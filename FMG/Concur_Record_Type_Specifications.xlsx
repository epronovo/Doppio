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dex" sheetId="1" state="visible" r:id="rId1"/>
    <sheet xmlns:r="http://schemas.openxmlformats.org/officeDocument/2006/relationships" name="Sources" sheetId="2" state="visible" r:id="rId2"/>
    <sheet xmlns:r="http://schemas.openxmlformats.org/officeDocument/2006/relationships" name="AV v3 - 100 Import Settings" sheetId="3" state="visible" r:id="rId3"/>
    <sheet xmlns:r="http://schemas.openxmlformats.org/officeDocument/2006/relationships" name="AV v3 - 200 Vendor" sheetId="4" state="visible" r:id="rId4"/>
    <sheet xmlns:r="http://schemas.openxmlformats.org/officeDocument/2006/relationships" name="PO - 200 Request Header" sheetId="5" state="visible" r:id="rId5"/>
    <sheet xmlns:r="http://schemas.openxmlformats.org/officeDocument/2006/relationships" name="PO - 210 Bill-to Address" sheetId="6" state="visible" r:id="rId6"/>
    <sheet xmlns:r="http://schemas.openxmlformats.org/officeDocument/2006/relationships" name="PO - 220 Ship-to Address" sheetId="7" state="visible" r:id="rId7"/>
    <sheet xmlns:r="http://schemas.openxmlformats.org/officeDocument/2006/relationships" name="PO - 300 Line Item" sheetId="8" state="visible" r:id="rId8"/>
    <sheet xmlns:r="http://schemas.openxmlformats.org/officeDocument/2006/relationships" name="PO - 400 Line Allocation" sheetId="9" state="visible" r:id="rId9"/>
    <sheet xmlns:r="http://schemas.openxmlformats.org/officeDocument/2006/relationships" name="PO Receipt v2 - 200 Header" sheetId="10" state="visible" r:id="rId10"/>
    <sheet xmlns:r="http://schemas.openxmlformats.org/officeDocument/2006/relationships" name="EMP - 100 Import Settings" sheetId="11" state="visible" r:id="rId11"/>
    <sheet xmlns:r="http://schemas.openxmlformats.org/officeDocument/2006/relationships" name="EMP - 305 Employee" sheetId="12" state="visible" r:id="rId12"/>
    <sheet xmlns:r="http://schemas.openxmlformats.org/officeDocument/2006/relationships" name="EMP - 350 Travel Addendum" sheetId="13" state="visible" r:id="rId13"/>
    <sheet xmlns:r="http://schemas.openxmlformats.org/officeDocument/2006/relationships" name="EMP - 360 Invoice Employee" sheetId="14" state="visible" r:id="rId14"/>
    <sheet xmlns:r="http://schemas.openxmlformats.org/officeDocument/2006/relationships" name="EMP - 700 Approval Authority" sheetId="15" state="visible" r:id="rId15"/>
    <sheet xmlns:r="http://schemas.openxmlformats.org/officeDocument/2006/relationships" name="EXT - Payment GL Header" sheetId="16" state="visible" r:id="rId16"/>
    <sheet xmlns:r="http://schemas.openxmlformats.org/officeDocument/2006/relationships" name="EXT - Payment GL Detail" sheetId="17" state="visible" r:id="rId17"/>
    <sheet xmlns:r="http://schemas.openxmlformats.org/officeDocument/2006/relationships" name="EXT - SAE v3 Detail" sheetId="18" state="visible" r:id="rId18"/>
    <sheet xmlns:r="http://schemas.openxmlformats.org/officeDocument/2006/relationships" name="POST - Steps" sheetId="19" state="visible" r:id="rId19"/>
    <sheet xmlns:r="http://schemas.openxmlformats.org/officeDocument/2006/relationships" name="POST - JBA PLP91 Header" sheetId="20" state="visible" r:id="rId20"/>
    <sheet xmlns:r="http://schemas.openxmlformats.org/officeDocument/2006/relationships" name="POST - JBA PLP92 Detail" sheetId="21" state="visible" r:id="rId21"/>
    <sheet xmlns:r="http://schemas.openxmlformats.org/officeDocument/2006/relationships" name="POST - M3 LoadSupplierInvoice" sheetId="22" state="visible" r:id="rId22"/>
  </sheets>
  <definedNames>
    <definedName name="_xlnm._FilterDatabase" localSheetId="2" hidden="1">'AV v3 - 100 Import Settings'!$A$7:$M$11</definedName>
    <definedName name="_xlnm.Print_Titles" localSheetId="2">'AV v3 - 100 Import Settings'!$7:$7</definedName>
    <definedName name="_xlnm._FilterDatabase" localSheetId="3" hidden="1">'AV v3 - 200 Vendor'!$A$7:$M$72</definedName>
    <definedName name="_xlnm.Print_Titles" localSheetId="3">'AV v3 - 200 Vendor'!$7:$7</definedName>
    <definedName name="_xlnm._FilterDatabase" localSheetId="4" hidden="1">'PO - 200 Request Header'!$A$7:$L$68</definedName>
    <definedName name="_xlnm.Print_Titles" localSheetId="4">'PO - 200 Request Header'!$7:$7</definedName>
    <definedName name="_xlnm._FilterDatabase" localSheetId="5" hidden="1">'PO - 210 Bill-to Address'!$A$7:$L$27</definedName>
    <definedName name="_xlnm.Print_Titles" localSheetId="5">'PO - 210 Bill-to Address'!$7:$7</definedName>
    <definedName name="_xlnm._FilterDatabase" localSheetId="6" hidden="1">'PO - 220 Ship-to Address'!$A$7:$L$27</definedName>
    <definedName name="_xlnm.Print_Titles" localSheetId="6">'PO - 220 Ship-to Address'!$7:$7</definedName>
    <definedName name="_xlnm._FilterDatabase" localSheetId="7" hidden="1">'PO - 300 Line Item'!$A$7:$L$59</definedName>
    <definedName name="_xlnm.Print_Titles" localSheetId="7">'PO - 300 Line Item'!$7:$7</definedName>
    <definedName name="_xlnm._FilterDatabase" localSheetId="8" hidden="1">'PO - 400 Line Allocation'!$A$7:$L$49</definedName>
    <definedName name="_xlnm.Print_Titles" localSheetId="8">'PO - 400 Line Allocation'!$7:$7</definedName>
    <definedName name="_xlnm._FilterDatabase" localSheetId="9" hidden="1">'PO Receipt v2 - 200 Header'!$A$7:$L$36</definedName>
    <definedName name="_xlnm.Print_Titles" localSheetId="9">'PO Receipt v2 - 200 Header'!$7:$7</definedName>
    <definedName name="_xlnm._FilterDatabase" localSheetId="10" hidden="1">'EMP - 100 Import Settings'!$A$7:$K$15</definedName>
    <definedName name="_xlnm.Print_Titles" localSheetId="10">'EMP - 100 Import Settings'!$7:$7</definedName>
    <definedName name="_xlnm._FilterDatabase" localSheetId="11" hidden="1">'EMP - 305 Employee'!$A$7:$K$151</definedName>
    <definedName name="_xlnm.Print_Titles" localSheetId="11">'EMP - 305 Employee'!$7:$7</definedName>
    <definedName name="_xlnm._FilterDatabase" localSheetId="12" hidden="1">'EMP - 350 Travel Addendum'!$A$7:$K$74</definedName>
    <definedName name="_xlnm.Print_Titles" localSheetId="12">'EMP - 350 Travel Addendum'!$7:$7</definedName>
    <definedName name="_xlnm._FilterDatabase" localSheetId="13" hidden="1">'EMP - 360 Invoice Employee'!$A$7:$K$42</definedName>
    <definedName name="_xlnm.Print_Titles" localSheetId="13">'EMP - 360 Invoice Employee'!$7:$7</definedName>
    <definedName name="_xlnm._FilterDatabase" localSheetId="14" hidden="1">'EMP - 700 Approval Authority'!$A$7:$K$23</definedName>
    <definedName name="_xlnm.Print_Titles" localSheetId="14">'EMP - 700 Approval Authority'!$7:$7</definedName>
    <definedName name="_xlnm._FilterDatabase" localSheetId="15" hidden="1">'EXT - Payment GL Header'!$A$7:$D$28</definedName>
    <definedName name="_xlnm._FilterDatabase" localSheetId="16" hidden="1">'EXT - Payment GL Detail'!$A$7:$F$27</definedName>
    <definedName name="_xlnm._FilterDatabase" localSheetId="17" hidden="1">'EXT - SAE v3 Detail'!$A$7:$F$407</definedName>
    <definedName name="_xlnm._FilterDatabase" localSheetId="18" hidden="1">'POST - Steps'!$A$7:$D$20</definedName>
    <definedName name="_xlnm._FilterDatabase" localSheetId="19" hidden="1">'POST - JBA PLP91 Header'!$A$7:$D$36</definedName>
    <definedName name="_xlnm._FilterDatabase" localSheetId="20" hidden="1">'POST - JBA PLP92 Detail'!$A$7:$D$28</definedName>
    <definedName name="_xlnm._FilterDatabase" localSheetId="21" hidden="1">'POST - M3 LoadSupplierInvoice'!$A$7:$D$37</definedName>
  </definedNames>
  <calcPr calcId="124519" fullCalcOnLoad="1"/>
</workbook>
</file>

<file path=xl/styles.xml><?xml version="1.0" encoding="utf-8"?>
<styleSheet xmlns="http://schemas.openxmlformats.org/spreadsheetml/2006/main">
  <numFmts count="0"/>
  <fonts count="35">
    <font>
      <name val="Calibri"/>
      <family val="2"/>
      <color theme="1"/>
      <sz val="11"/>
      <scheme val="minor"/>
    </font>
    <font>
      <name val="Arial"/>
      <b val="1"/>
      <color rgb="001F3864"/>
      <sz val="16"/>
    </font>
    <font>
      <name val="Arial"/>
      <i val="1"/>
      <color rgb="00595959"/>
      <sz val="10"/>
    </font>
    <font>
      <name val="Arial"/>
      <b val="1"/>
      <color rgb="00FFFFFF"/>
      <sz val="11"/>
    </font>
    <font>
      <name val="Arial"/>
      <sz val="10"/>
    </font>
    <font>
      <name val="Arial"/>
      <color rgb="000563C1"/>
      <sz val="10"/>
      <u val="single"/>
    </font>
    <font>
      <name val="Arial"/>
      <b val="1"/>
      <color rgb="00375623"/>
      <sz val="10"/>
    </font>
    <font>
      <name val="Arial"/>
      <color rgb="000563C1"/>
      <sz val="9"/>
      <u val="single"/>
    </font>
    <font>
      <name val="Arial"/>
      <color rgb="00A6A6A6"/>
      <sz val="10"/>
    </font>
    <font>
      <name val="Arial"/>
      <b val="1"/>
      <color rgb="00C00000"/>
      <sz val="10"/>
    </font>
    <font>
      <name val="Arial"/>
      <b val="1"/>
      <color rgb="001F3864"/>
      <sz val="10"/>
      <u val="single"/>
    </font>
    <font>
      <name val="Arial"/>
      <b val="1"/>
      <color rgb="001F3864"/>
      <sz val="10"/>
    </font>
    <font>
      <name val="Consolas"/>
      <color rgb="00000000"/>
      <sz val="9"/>
    </font>
    <font>
      <name val="Consolas"/>
      <color rgb="00375623"/>
      <sz val="9"/>
    </font>
    <font>
      <name val="Arial"/>
      <color rgb="00000000"/>
      <sz val="9"/>
    </font>
    <font>
      <name val="Arial"/>
      <b val="1"/>
      <color rgb="00C00000"/>
      <sz val="9"/>
    </font>
    <font>
      <name val="Arial"/>
      <b val="1"/>
      <color rgb="00C00000"/>
      <sz val="13"/>
    </font>
    <font>
      <name val="Arial"/>
      <sz val="9"/>
    </font>
    <font>
      <name val="Arial"/>
      <b val="1"/>
      <color rgb="001F3864"/>
      <sz val="14"/>
    </font>
    <font>
      <name val="Arial"/>
      <b val="1"/>
      <color rgb="00595959"/>
      <sz val="10"/>
    </font>
    <font>
      <name val="Arial"/>
      <i val="1"/>
      <color rgb="00808080"/>
      <sz val="9"/>
    </font>
    <font>
      <name val="Arial"/>
      <i val="1"/>
      <color rgb="00375623"/>
      <sz val="9"/>
    </font>
    <font>
      <name val="Arial"/>
      <b val="1"/>
      <sz val="10"/>
    </font>
    <font>
      <name val="Consolas"/>
      <color rgb="00375623"/>
      <sz val="10"/>
    </font>
    <font>
      <name val="Arial"/>
      <color rgb="00375623"/>
      <sz val="9"/>
    </font>
    <font>
      <name val="Consolas"/>
      <color rgb="00203864"/>
      <sz val="9"/>
    </font>
    <font>
      <name val="Consolas"/>
      <i val="1"/>
      <color rgb="00A6A6A6"/>
      <sz val="9"/>
    </font>
    <font>
      <name val="Consolas"/>
      <color rgb="007030A0"/>
      <sz val="10"/>
    </font>
    <font>
      <name val="Arial"/>
      <color rgb="007030A0"/>
      <sz val="9"/>
    </font>
    <font>
      <name val="Arial"/>
      <b val="1"/>
      <color rgb="007030A0"/>
      <sz val="10"/>
    </font>
    <font>
      <name val="Arial"/>
      <i val="1"/>
      <color rgb="00C00000"/>
      <sz val="9"/>
    </font>
    <font>
      <name val="Consolas"/>
      <b val="1"/>
      <color rgb="00000000"/>
      <sz val="10"/>
    </font>
    <font>
      <name val="Arial"/>
      <b val="1"/>
      <i val="1"/>
      <color rgb="00C00000"/>
      <sz val="9"/>
    </font>
    <font>
      <name val="Arial"/>
      <b val="1"/>
      <color rgb="00375623"/>
      <sz val="9"/>
    </font>
    <font>
      <name val="Consolas"/>
      <b val="1"/>
      <color rgb="00203864"/>
      <sz val="9"/>
    </font>
  </fonts>
  <fills count="10">
    <fill>
      <patternFill/>
    </fill>
    <fill>
      <patternFill patternType="gray125"/>
    </fill>
    <fill>
      <patternFill patternType="solid">
        <fgColor rgb="001F3864"/>
      </patternFill>
    </fill>
    <fill>
      <patternFill patternType="solid">
        <fgColor rgb="00D9E2F3"/>
      </patternFill>
    </fill>
    <fill>
      <patternFill patternType="solid">
        <fgColor rgb="00375623"/>
      </patternFill>
    </fill>
    <fill>
      <patternFill patternType="solid">
        <fgColor rgb="007030A0"/>
      </patternFill>
    </fill>
    <fill>
      <patternFill patternType="solid">
        <fgColor rgb="00203864"/>
      </patternFill>
    </fill>
    <fill>
      <patternFill patternType="solid">
        <fgColor rgb="00FFF2CC"/>
      </patternFill>
    </fill>
    <fill>
      <patternFill patternType="solid">
        <fgColor rgb="00FCE4D6"/>
      </patternFill>
    </fill>
    <fill>
      <patternFill patternType="solid">
        <fgColor rgb="00F2F2F2"/>
      </patternFill>
    </fill>
  </fills>
  <borders count="6">
    <border>
      <left/>
      <right/>
      <top/>
      <bottom/>
      <diagonal/>
    </border>
    <border>
      <left style="thin">
        <color rgb="00BFBFBF"/>
      </left>
      <right style="thin">
        <color rgb="00BFBFBF"/>
      </right>
      <top style="thin">
        <color rgb="00BFBFBF"/>
      </top>
      <bottom style="thin">
        <color rgb="00BFBFBF"/>
      </bottom>
    </border>
    <border>
      <left style="thin">
        <color rgb="00BFBFBF"/>
      </left>
      <right style="thin">
        <color rgb="00BFBFBF"/>
      </right>
      <top style="medium">
        <color rgb="008EA9DB"/>
      </top>
      <bottom style="thin">
        <color rgb="00BFBFBF"/>
      </bottom>
    </border>
    <border>
      <left/>
      <right/>
      <top style="thin">
        <color rgb="00BFBFBF"/>
      </top>
      <bottom/>
      <diagonal/>
    </border>
    <border>
      <left/>
      <right style="thin">
        <color rgb="00BFBFBF"/>
      </right>
      <top style="thin">
        <color rgb="00BFBFBF"/>
      </top>
      <bottom/>
      <diagonal/>
    </border>
    <border>
      <left/>
      <right style="thin">
        <color rgb="00BFBFBF"/>
      </right>
      <top style="thin">
        <color rgb="00BFBFBF"/>
      </top>
      <bottom style="thin">
        <color rgb="00BFBFBF"/>
      </bottom>
      <diagonal/>
    </border>
  </borders>
  <cellStyleXfs count="1">
    <xf numFmtId="0" fontId="0" fillId="0" borderId="0"/>
  </cellStyleXfs>
  <cellXfs count="74">
    <xf numFmtId="0" fontId="0" fillId="0" borderId="0" pivotButton="0" quotePrefix="0" xfId="0"/>
    <xf numFmtId="0" fontId="1" fillId="0" borderId="0" pivotButton="0" quotePrefix="0" xfId="0"/>
    <xf numFmtId="0" fontId="2" fillId="0" borderId="0" pivotButton="0" quotePrefix="0" xfId="0"/>
    <xf numFmtId="0" fontId="3" fillId="2" borderId="1" applyAlignment="1" pivotButton="0" quotePrefix="0" xfId="0">
      <alignment vertical="center"/>
    </xf>
    <xf numFmtId="0" fontId="4" fillId="0" borderId="1" applyAlignment="1" pivotButton="0" quotePrefix="0" xfId="0">
      <alignment vertical="center"/>
    </xf>
    <xf numFmtId="0" fontId="5" fillId="0" borderId="1" applyAlignment="1" pivotButton="0" quotePrefix="0" xfId="0">
      <alignment vertical="center"/>
    </xf>
    <xf numFmtId="0" fontId="6" fillId="0" borderId="1" applyAlignment="1" pivotButton="0" quotePrefix="0" xfId="0">
      <alignment vertical="center"/>
    </xf>
    <xf numFmtId="0" fontId="7" fillId="0" borderId="1" applyAlignment="1" pivotButton="0" quotePrefix="0" xfId="0">
      <alignment vertical="center"/>
    </xf>
    <xf numFmtId="0" fontId="8" fillId="0" borderId="1" applyAlignment="1" pivotButton="0" quotePrefix="0" xfId="0">
      <alignment horizontal="center" vertical="center"/>
    </xf>
    <xf numFmtId="0" fontId="0" fillId="0" borderId="1" applyAlignment="1" pivotButton="0" quotePrefix="0" xfId="0">
      <alignment vertical="center"/>
    </xf>
    <xf numFmtId="0" fontId="6" fillId="0" borderId="1" applyAlignment="1" pivotButton="0" quotePrefix="0" xfId="0">
      <alignment horizontal="center" vertical="center"/>
    </xf>
    <xf numFmtId="0" fontId="9" fillId="0" borderId="1" applyAlignment="1" pivotButton="0" quotePrefix="0" xfId="0">
      <alignment horizontal="center" vertical="center"/>
    </xf>
    <xf numFmtId="0" fontId="10" fillId="3" borderId="1" applyAlignment="1" pivotButton="0" quotePrefix="0" xfId="0">
      <alignment horizontal="center" vertical="center"/>
    </xf>
    <xf numFmtId="0" fontId="3" fillId="2" borderId="1" applyAlignment="1" pivotButton="0" quotePrefix="0" xfId="0">
      <alignment horizontal="center" vertical="center" wrapText="1"/>
    </xf>
    <xf numFmtId="0" fontId="11" fillId="0" borderId="2" applyAlignment="1" pivotButton="0" quotePrefix="0" xfId="0">
      <alignment vertical="top" wrapText="1"/>
    </xf>
    <xf numFmtId="0" fontId="12" fillId="0" borderId="2" applyAlignment="1" pivotButton="0" quotePrefix="0" xfId="0">
      <alignment vertical="top" wrapText="1"/>
    </xf>
    <xf numFmtId="0" fontId="13" fillId="0" borderId="2" applyAlignment="1" pivotButton="0" quotePrefix="0" xfId="0">
      <alignment vertical="top" wrapText="1"/>
    </xf>
    <xf numFmtId="0" fontId="14" fillId="0" borderId="2" applyAlignment="1" pivotButton="0" quotePrefix="0" xfId="0">
      <alignment vertical="top" wrapText="1"/>
    </xf>
    <xf numFmtId="0" fontId="11" fillId="0" borderId="1" applyAlignment="1" pivotButton="0" quotePrefix="0" xfId="0">
      <alignment vertical="top" wrapText="1"/>
    </xf>
    <xf numFmtId="0" fontId="12" fillId="0" borderId="1" applyAlignment="1" pivotButton="0" quotePrefix="0" xfId="0">
      <alignment vertical="top" wrapText="1"/>
    </xf>
    <xf numFmtId="0" fontId="13" fillId="0" borderId="1" applyAlignment="1" pivotButton="0" quotePrefix="0" xfId="0">
      <alignment vertical="top" wrapText="1"/>
    </xf>
    <xf numFmtId="0" fontId="14" fillId="0" borderId="1" applyAlignment="1" pivotButton="0" quotePrefix="0" xfId="0">
      <alignment vertical="top" wrapText="1"/>
    </xf>
    <xf numFmtId="0" fontId="15" fillId="0" borderId="1" applyAlignment="1" pivotButton="0" quotePrefix="0" xfId="0">
      <alignment vertical="top" wrapText="1"/>
    </xf>
    <xf numFmtId="0" fontId="15" fillId="0" borderId="2" applyAlignment="1" pivotButton="0" quotePrefix="0" xfId="0">
      <alignment vertical="top" wrapText="1"/>
    </xf>
    <xf numFmtId="0" fontId="16" fillId="0" borderId="0" pivotButton="0" quotePrefix="0" xfId="0"/>
    <xf numFmtId="0" fontId="9" fillId="0" borderId="1" applyAlignment="1" pivotButton="0" quotePrefix="0" xfId="0">
      <alignment vertical="top" wrapText="1"/>
    </xf>
    <xf numFmtId="0" fontId="0" fillId="0" borderId="1" pivotButton="0" quotePrefix="0" xfId="0"/>
    <xf numFmtId="0" fontId="17" fillId="0" borderId="1" applyAlignment="1" pivotButton="0" quotePrefix="0" xfId="0">
      <alignment vertical="top" wrapText="1"/>
    </xf>
    <xf numFmtId="0" fontId="18" fillId="0" borderId="0" pivotButton="0" quotePrefix="0" xfId="0"/>
    <xf numFmtId="0" fontId="19" fillId="0" borderId="0" pivotButton="0" quotePrefix="0" xfId="0"/>
    <xf numFmtId="0" fontId="7" fillId="0" borderId="0" pivotButton="0" quotePrefix="0" xfId="0"/>
    <xf numFmtId="0" fontId="20" fillId="0" borderId="0" pivotButton="0" quotePrefix="0" xfId="0"/>
    <xf numFmtId="0" fontId="21" fillId="0" borderId="0" pivotButton="0" quotePrefix="0" xfId="0"/>
    <xf numFmtId="0" fontId="3" fillId="4" borderId="1" applyAlignment="1" pivotButton="0" quotePrefix="0" xfId="0">
      <alignment horizontal="center" vertical="center" wrapText="1"/>
    </xf>
    <xf numFmtId="0" fontId="3" fillId="5" borderId="1" applyAlignment="1" pivotButton="0" quotePrefix="0" xfId="0">
      <alignment horizontal="center" vertical="center" wrapText="1"/>
    </xf>
    <xf numFmtId="0" fontId="3" fillId="6" borderId="1" applyAlignment="1" pivotButton="0" quotePrefix="0" xfId="0">
      <alignment horizontal="center" vertical="center" wrapText="1"/>
    </xf>
    <xf numFmtId="0" fontId="22" fillId="0" borderId="1" applyAlignment="1" pivotButton="0" quotePrefix="0" xfId="0">
      <alignment horizontal="left" vertical="top" wrapText="1"/>
    </xf>
    <xf numFmtId="0" fontId="23" fillId="0" borderId="1" applyAlignment="1" pivotButton="0" quotePrefix="0" xfId="0">
      <alignment horizontal="left" vertical="top" wrapText="1"/>
    </xf>
    <xf numFmtId="0" fontId="4" fillId="7" borderId="1" applyAlignment="1" pivotButton="0" quotePrefix="0" xfId="0">
      <alignment horizontal="left" vertical="top" wrapText="1"/>
    </xf>
    <xf numFmtId="0" fontId="24" fillId="0" borderId="1" applyAlignment="1" pivotButton="0" quotePrefix="0" xfId="0">
      <alignment horizontal="left" vertical="top" wrapText="1"/>
    </xf>
    <xf numFmtId="0" fontId="25" fillId="0" borderId="1" applyAlignment="1" pivotButton="0" quotePrefix="0" xfId="0">
      <alignment horizontal="left" vertical="top" wrapText="1"/>
    </xf>
    <xf numFmtId="0" fontId="4" fillId="0" borderId="1" applyAlignment="1" pivotButton="0" quotePrefix="0" xfId="0">
      <alignment horizontal="left" vertical="top" wrapText="1"/>
    </xf>
    <xf numFmtId="0" fontId="9" fillId="8" borderId="1" applyAlignment="1" pivotButton="0" quotePrefix="0" xfId="0">
      <alignment horizontal="center" vertical="top" wrapText="1"/>
    </xf>
    <xf numFmtId="0" fontId="22" fillId="9" borderId="1" applyAlignment="1" pivotButton="0" quotePrefix="0" xfId="0">
      <alignment horizontal="left" vertical="top" wrapText="1"/>
    </xf>
    <xf numFmtId="0" fontId="23" fillId="9" borderId="1" applyAlignment="1" pivotButton="0" quotePrefix="0" xfId="0">
      <alignment horizontal="left" vertical="top" wrapText="1"/>
    </xf>
    <xf numFmtId="0" fontId="24" fillId="9" borderId="1" applyAlignment="1" pivotButton="0" quotePrefix="0" xfId="0">
      <alignment horizontal="left" vertical="top" wrapText="1"/>
    </xf>
    <xf numFmtId="0" fontId="25" fillId="9" borderId="1" applyAlignment="1" pivotButton="0" quotePrefix="0" xfId="0">
      <alignment horizontal="left" vertical="top" wrapText="1"/>
    </xf>
    <xf numFmtId="0" fontId="4" fillId="9" borderId="1" applyAlignment="1" pivotButton="0" quotePrefix="0" xfId="0">
      <alignment horizontal="left" vertical="top" wrapText="1"/>
    </xf>
    <xf numFmtId="0" fontId="26" fillId="0" borderId="1" applyAlignment="1" pivotButton="0" quotePrefix="0" xfId="0">
      <alignment horizontal="left" vertical="top" wrapText="1"/>
    </xf>
    <xf numFmtId="0" fontId="4" fillId="0" borderId="1" applyAlignment="1" pivotButton="0" quotePrefix="0" xfId="0">
      <alignment horizontal="center" vertical="top" wrapText="1"/>
    </xf>
    <xf numFmtId="0" fontId="26" fillId="9" borderId="1" applyAlignment="1" pivotButton="0" quotePrefix="0" xfId="0">
      <alignment horizontal="left" vertical="top" wrapText="1"/>
    </xf>
    <xf numFmtId="0" fontId="4" fillId="9" borderId="1" applyAlignment="1" pivotButton="0" quotePrefix="0" xfId="0">
      <alignment horizontal="center" vertical="top" wrapText="1"/>
    </xf>
    <xf numFmtId="0" fontId="11" fillId="3" borderId="1" applyAlignment="1" pivotButton="0" quotePrefix="0" xfId="0">
      <alignment horizontal="left" vertical="top" wrapText="1"/>
    </xf>
    <xf numFmtId="0" fontId="15" fillId="9" borderId="1" applyAlignment="1" pivotButton="0" quotePrefix="0" xfId="0">
      <alignment horizontal="left" vertical="top" wrapText="1"/>
    </xf>
    <xf numFmtId="0" fontId="27" fillId="0" borderId="1" applyAlignment="1" pivotButton="0" quotePrefix="0" xfId="0">
      <alignment horizontal="left" vertical="top" wrapText="1"/>
    </xf>
    <xf numFmtId="0" fontId="28" fillId="0" borderId="1" applyAlignment="1" pivotButton="0" quotePrefix="0" xfId="0">
      <alignment horizontal="left" vertical="top" wrapText="1"/>
    </xf>
    <xf numFmtId="0" fontId="27" fillId="9" borderId="1" applyAlignment="1" pivotButton="0" quotePrefix="0" xfId="0">
      <alignment horizontal="left" vertical="top" wrapText="1"/>
    </xf>
    <xf numFmtId="0" fontId="28" fillId="9" borderId="1" applyAlignment="1" pivotButton="0" quotePrefix="0" xfId="0">
      <alignment horizontal="left" vertical="top" wrapText="1"/>
    </xf>
    <xf numFmtId="0" fontId="15" fillId="0" borderId="1" applyAlignment="1" pivotButton="0" quotePrefix="0" xfId="0">
      <alignment horizontal="left" vertical="top" wrapText="1"/>
    </xf>
    <xf numFmtId="0" fontId="13" fillId="0" borderId="1" applyAlignment="1" pivotButton="0" quotePrefix="0" xfId="0">
      <alignment horizontal="left" vertical="top" wrapText="1"/>
    </xf>
    <xf numFmtId="0" fontId="13" fillId="9" borderId="1" applyAlignment="1" pivotButton="0" quotePrefix="0" xfId="0">
      <alignment horizontal="left" vertical="top" wrapText="1"/>
    </xf>
    <xf numFmtId="0" fontId="29" fillId="0" borderId="0" pivotButton="0" quotePrefix="0" xfId="0"/>
    <xf numFmtId="0" fontId="30" fillId="0" borderId="0" pivotButton="0" quotePrefix="0" xfId="0"/>
    <xf numFmtId="0" fontId="14" fillId="0" borderId="1" applyAlignment="1" pivotButton="0" quotePrefix="0" xfId="0">
      <alignment horizontal="center" vertical="top" wrapText="1"/>
    </xf>
    <xf numFmtId="0" fontId="31" fillId="0" borderId="1" applyAlignment="1" pivotButton="0" quotePrefix="0" xfId="0">
      <alignment horizontal="left" vertical="top" wrapText="1"/>
    </xf>
    <xf numFmtId="0" fontId="14" fillId="0" borderId="1" applyAlignment="1" pivotButton="0" quotePrefix="0" xfId="0">
      <alignment horizontal="left" vertical="top" wrapText="1"/>
    </xf>
    <xf numFmtId="0" fontId="14" fillId="9" borderId="1" applyAlignment="1" pivotButton="0" quotePrefix="0" xfId="0">
      <alignment horizontal="center" vertical="top" wrapText="1"/>
    </xf>
    <xf numFmtId="0" fontId="14" fillId="9" borderId="1" applyAlignment="1" pivotButton="0" quotePrefix="0" xfId="0">
      <alignment horizontal="left" vertical="top" wrapText="1"/>
    </xf>
    <xf numFmtId="0" fontId="32" fillId="0" borderId="0" pivotButton="0" quotePrefix="0" xfId="0"/>
    <xf numFmtId="0" fontId="33" fillId="0" borderId="1" applyAlignment="1" pivotButton="0" quotePrefix="0" xfId="0">
      <alignment horizontal="center" vertical="top" wrapText="1"/>
    </xf>
    <xf numFmtId="0" fontId="34" fillId="0" borderId="1" applyAlignment="1" pivotButton="0" quotePrefix="0" xfId="0">
      <alignment horizontal="left" vertical="top" wrapText="1"/>
    </xf>
    <xf numFmtId="0" fontId="34" fillId="9" borderId="1" applyAlignment="1" pivotButton="0" quotePrefix="0" xfId="0">
      <alignment horizontal="left" vertical="top" wrapText="1"/>
    </xf>
    <xf numFmtId="0" fontId="0" fillId="0" borderId="5" pivotButton="0" quotePrefix="0" xfId="0"/>
    <xf numFmtId="0" fontId="26" fillId="7"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styles" Target="styles.xml" Id="rId23"/><Relationship Type="http://schemas.openxmlformats.org/officeDocument/2006/relationships/theme" Target="theme/theme1.xml" Id="rId2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help.sap.com/docs/concur-invoice/concur-invoice-professional-edition-administration-guides/import-settings-record-type-100-format-fa80f0d57c30449fa8311b0eccd0b8fa" TargetMode="External" Id="rId1"/><Relationship Type="http://schemas.openxmlformats.org/officeDocument/2006/relationships/hyperlink" Target="https://help.sap.com/docs/concur-invoice/concur-invoice-professional-edition-administration-guides/vendor-record-type-200-9c92487a861b4164b330e8283af8bd83" TargetMode="External" Id="rId2"/><Relationship Type="http://schemas.openxmlformats.org/officeDocument/2006/relationships/hyperlink" Target="https://help.sap.com/docs/concur-invoice/concur-invoice-professional-edition-administration-guides/purchase-order-request-header-record-type-200-format" TargetMode="External" Id="rId3"/><Relationship Type="http://schemas.openxmlformats.org/officeDocument/2006/relationships/hyperlink" Target="https://help.sap.com/docs/concur-invoice/concur-invoice-professional-edition-administration-guides/purchase-order-bill-to-address-record-type-210-format" TargetMode="External" Id="rId4"/><Relationship Type="http://schemas.openxmlformats.org/officeDocument/2006/relationships/hyperlink" Target="https://help.sap.com/docs/concur-invoice/concur-invoice-professional-edition-administration-guides/purchase-order-ship-to-address-record-type-220-format" TargetMode="External" Id="rId5"/><Relationship Type="http://schemas.openxmlformats.org/officeDocument/2006/relationships/hyperlink" Target="https://help.sap.com/docs/concur-invoice/concur-invoice-professional-edition-administration-guides/purchase-order-line-item-record-type-300-format" TargetMode="External" Id="rId6"/><Relationship Type="http://schemas.openxmlformats.org/officeDocument/2006/relationships/hyperlink" Target="https://help.sap.com/docs/concur-invoice/concur-invoice-professional-edition-administration-guides/purchase-order-line-item-allocation-record-type-400-format" TargetMode="External" Id="rId7"/><Relationship Type="http://schemas.openxmlformats.org/officeDocument/2006/relationships/hyperlink" Target="https://help.sap.com/docs/concur-invoice/concur-invoice-professional-edition-administration-guides/purchase-order-receipt-header-record-type-200-format" TargetMode="External" Id="rId8"/><Relationship Type="http://schemas.openxmlformats.org/officeDocument/2006/relationships/hyperlink" Target="https://help.sap.com/docs/sap-concur/employee-import-specification/reviewing-import-definition-file-feed-id-standardemployeeimport" TargetMode="External" Id="rId9"/><Relationship Type="http://schemas.openxmlformats.org/officeDocument/2006/relationships/hyperlink" Target="https://help.sap.com/docs/sap-concur/employee-import-specification/305-enhanced-employee-importer-identical-to-300-and-recommended-for-new-clients-or-existing-clients-who-need-additional-fields-for-emerging-features-they-will-use" TargetMode="External" Id="rId10"/><Relationship Type="http://schemas.openxmlformats.org/officeDocument/2006/relationships/hyperlink" Target="https://help.sap.com/docs/sap-concur/employee-import-specification/350-travel-addendum-importer" TargetMode="External" Id="rId11"/><Relationship Type="http://schemas.openxmlformats.org/officeDocument/2006/relationships/hyperlink" Target="https://help.sap.com/docs/sap-concur/employee-import-specification/360-invoice-employee-importer" TargetMode="External" Id="rId12"/></Relationships>
</file>

<file path=xl/worksheets/_rels/sheet3.xml.rels><Relationships xmlns="http://schemas.openxmlformats.org/package/2006/relationships"><Relationship Type="http://schemas.openxmlformats.org/officeDocument/2006/relationships/hyperlink" Target="https://help.sap.com/docs/concur-invoice/concur-invoice-professional-edition-administration-guides/import-settings-record-type-100-format-fa80f0d57c30449fa8311b0eccd0b8fa" TargetMode="External" Id="rId1"/></Relationships>
</file>

<file path=xl/worksheets/_rels/sheet4.xml.rels><Relationships xmlns="http://schemas.openxmlformats.org/package/2006/relationships"><Relationship Type="http://schemas.openxmlformats.org/officeDocument/2006/relationships/hyperlink" Target="https://help.sap.com/docs/concur-invoice/concur-invoice-professional-edition-administration-guides/vendor-record-type-200-9c92487a861b4164b330e8283af8bd83" TargetMode="External" Id="rId1"/></Relationships>
</file>

<file path=xl/worksheets/_rels/sheet5.xml.rels><Relationships xmlns="http://schemas.openxmlformats.org/package/2006/relationships"><Relationship Type="http://schemas.openxmlformats.org/officeDocument/2006/relationships/hyperlink" Target="https://help.sap.com/docs/concur-invoice/concur-invoice-professional-edition-administration-guides/purchase-order-request-header-record-type-200-format" TargetMode="External" Id="rId1"/></Relationships>
</file>

<file path=xl/worksheets/_rels/sheet6.xml.rels><Relationships xmlns="http://schemas.openxmlformats.org/package/2006/relationships"><Relationship Type="http://schemas.openxmlformats.org/officeDocument/2006/relationships/hyperlink" Target="https://help.sap.com/docs/concur-invoice/concur-invoice-professional-edition-administration-guides/purchase-order-bill-to-address-record-type-210-format" TargetMode="External" Id="rId1"/></Relationships>
</file>

<file path=xl/worksheets/_rels/sheet7.xml.rels><Relationships xmlns="http://schemas.openxmlformats.org/package/2006/relationships"><Relationship Type="http://schemas.openxmlformats.org/officeDocument/2006/relationships/hyperlink" Target="https://help.sap.com/docs/concur-invoice/concur-invoice-professional-edition-administration-guides/purchase-order-ship-to-address-record-type-220-format" TargetMode="External" Id="rId1"/></Relationships>
</file>

<file path=xl/worksheets/_rels/sheet8.xml.rels><Relationships xmlns="http://schemas.openxmlformats.org/package/2006/relationships"><Relationship Type="http://schemas.openxmlformats.org/officeDocument/2006/relationships/hyperlink" Target="https://help.sap.com/docs/concur-invoice/concur-invoice-professional-edition-administration-guides/purchase-order-line-item-record-type-300-format" TargetMode="External" Id="rId1"/></Relationships>
</file>

<file path=xl/worksheets/_rels/sheet9.xml.rels><Relationships xmlns="http://schemas.openxmlformats.org/package/2006/relationships"><Relationship Type="http://schemas.openxmlformats.org/officeDocument/2006/relationships/hyperlink" Target="https://help.sap.com/docs/concur-invoice/concur-invoice-professional-edition-administration-guides/purchase-order-line-item-allocation-record-type-400-format" TargetMode="External" Id="rId1"/></Relationships>
</file>

<file path=xl/worksheets/_rels/sheet10.xml.rels><Relationships xmlns="http://schemas.openxmlformats.org/package/2006/relationships"><Relationship Type="http://schemas.openxmlformats.org/officeDocument/2006/relationships/hyperlink" Target="https://help.sap.com/docs/concur-invoice/concur-invoice-professional-edition-administration-guides/purchase-order-receipt-header-record-type-200-format" TargetMode="External" Id="rId1"/></Relationships>
</file>

<file path=xl/worksheets/_rels/sheet11.xml.rels><Relationships xmlns="http://schemas.openxmlformats.org/package/2006/relationships"><Relationship Type="http://schemas.openxmlformats.org/officeDocument/2006/relationships/hyperlink" Target="https://help.sap.com/docs/sap-concur/employee-import-specification/reviewing-import-definition-file-feed-id-standardemployeeimport" TargetMode="External" Id="rId1"/></Relationships>
</file>

<file path=xl/worksheets/_rels/sheet12.xml.rels><Relationships xmlns="http://schemas.openxmlformats.org/package/2006/relationships"><Relationship Type="http://schemas.openxmlformats.org/officeDocument/2006/relationships/hyperlink" Target="https://help.sap.com/docs/sap-concur/employee-import-specification/305-enhanced-employee-importer-identical-to-300-and-recommended-for-new-clients-or-existing-clients-who-need-additional-fields-for-emerging-features-they-will-use" TargetMode="External" Id="rId1"/></Relationships>
</file>

<file path=xl/worksheets/_rels/sheet13.xml.rels><Relationships xmlns="http://schemas.openxmlformats.org/package/2006/relationships"><Relationship Type="http://schemas.openxmlformats.org/officeDocument/2006/relationships/hyperlink" Target="https://help.sap.com/docs/sap-concur/employee-import-specification/350-travel-addendum-importer" TargetMode="External" Id="rId1"/></Relationships>
</file>

<file path=xl/worksheets/_rels/sheet14.xml.rels><Relationships xmlns="http://schemas.openxmlformats.org/package/2006/relationships"><Relationship Type="http://schemas.openxmlformats.org/officeDocument/2006/relationships/hyperlink" Target="https://help.sap.com/docs/sap-concur/employee-import-specification/360-invoice-employee-importer" TargetMode="External" Id="rId1"/></Relationships>
</file>

<file path=xl/worksheets/sheet1.xml><?xml version="1.0" encoding="utf-8"?>
<worksheet xmlns="http://schemas.openxmlformats.org/spreadsheetml/2006/main">
  <sheetPr>
    <outlinePr summaryBelow="1" summaryRight="1"/>
    <pageSetUpPr/>
  </sheetPr>
  <dimension ref="A1:F27"/>
  <sheetViews>
    <sheetView showGridLines="0" workbookViewId="0">
      <pane ySplit="6" topLeftCell="A7" activePane="bottomLeft" state="frozen"/>
      <selection pane="bottomLeft" activeCell="A1" sqref="A1"/>
    </sheetView>
  </sheetViews>
  <sheetFormatPr baseColWidth="8" defaultRowHeight="15"/>
  <cols>
    <col width="26" customWidth="1" min="1" max="1"/>
    <col width="52" customWidth="1" min="2" max="2"/>
    <col width="30" customWidth="1" min="3" max="3"/>
    <col width="8" customWidth="1" min="4" max="4"/>
    <col width="11" customWidth="1" min="5" max="5"/>
    <col width="95" customWidth="1" min="6" max="6"/>
  </cols>
  <sheetData>
    <row r="1">
      <c r="A1" s="1" t="inlineStr">
        <is>
          <t>Concur Invoice — Record Type Field Specifications</t>
        </is>
      </c>
    </row>
    <row r="2">
      <c r="A2" s="2" t="inlineStr">
        <is>
          <t>Extracted from the SAP Help Portal, Concur Invoice Professional Edition Administration Guides (version 2026_08)</t>
        </is>
      </c>
    </row>
    <row r="3">
      <c r="A3" s="2" t="inlineStr">
        <is>
          <t>Retrieved 2026-09-11. Spec columns (Field Name, Definition, Required?, Description) are reproduced verbatim; the green M3 and purple JBA columns are our mapping work.</t>
        </is>
      </c>
    </row>
    <row r="4">
      <c r="A4" s="2" t="inlineStr">
        <is>
          <t>Ranged fields in the source (e.g. "Custom 1-10") are expanded to one row per field (Custom_1 ... Custom_10). Approved Vendor sheets also carry the source's blank 'Client Field Definition' column for your own notes.</t>
        </is>
      </c>
    </row>
    <row r="6">
      <c r="A6" s="3" t="inlineStr">
        <is>
          <t>Section</t>
        </is>
      </c>
      <c r="B6" s="3" t="inlineStr">
        <is>
          <t>Record Type</t>
        </is>
      </c>
      <c r="C6" s="3" t="inlineStr">
        <is>
          <t>Sheet</t>
        </is>
      </c>
      <c r="D6" s="3" t="inlineStr">
        <is>
          <t>Fields</t>
        </is>
      </c>
      <c r="E6" s="3" t="inlineStr">
        <is>
          <t>Mapped</t>
        </is>
      </c>
      <c r="F6" s="3" t="inlineStr">
        <is>
          <t>Source URL</t>
        </is>
      </c>
    </row>
    <row r="7">
      <c r="A7" s="4" t="inlineStr">
        <is>
          <t>Approved Vendor v3</t>
        </is>
      </c>
      <c r="B7" s="4" t="inlineStr">
        <is>
          <t>Import Settings (Record Type 100) Format</t>
        </is>
      </c>
      <c r="C7" s="5" t="inlineStr">
        <is>
          <t>AV v3 - 100 Import Settings</t>
        </is>
      </c>
      <c r="D7" s="4" t="n">
        <v>4</v>
      </c>
      <c r="E7" s="6" t="inlineStr">
        <is>
          <t>4 / 4</t>
        </is>
      </c>
      <c r="F7" s="7" t="inlineStr">
        <is>
          <t>https://help.sap.com/docs/concur-invoice/concur-invoice-professional-edition-administration-guides/import-settings-record-type-100-format-fa80f0d57c30449fa8311b0eccd0b8fa</t>
        </is>
      </c>
    </row>
    <row r="8">
      <c r="A8" s="4" t="inlineStr">
        <is>
          <t>Approved Vendor v3</t>
        </is>
      </c>
      <c r="B8" s="4" t="inlineStr">
        <is>
          <t>Vendor (Record Type 200)</t>
        </is>
      </c>
      <c r="C8" s="5" t="inlineStr">
        <is>
          <t>AV v3 - 200 Vendor</t>
        </is>
      </c>
      <c r="D8" s="4" t="n">
        <v>62</v>
      </c>
      <c r="E8" s="6" t="inlineStr">
        <is>
          <t>62 / 62</t>
        </is>
      </c>
      <c r="F8" s="7" t="inlineStr">
        <is>
          <t>https://help.sap.com/docs/concur-invoice/concur-invoice-professional-edition-administration-guides/vendor-record-type-200-9c92487a861b4164b330e8283af8bd83</t>
        </is>
      </c>
    </row>
    <row r="9">
      <c r="A9" s="4" t="inlineStr">
        <is>
          <t>Purchase Order Import</t>
        </is>
      </c>
      <c r="B9" s="4" t="inlineStr">
        <is>
          <t>Purchase Order Request Header (Record Type 200) Format</t>
        </is>
      </c>
      <c r="C9" s="5" t="inlineStr">
        <is>
          <t>PO - 200 Request Header</t>
        </is>
      </c>
      <c r="D9" s="4" t="n">
        <v>61</v>
      </c>
      <c r="E9" s="6" t="inlineStr">
        <is>
          <t>61 / 61</t>
        </is>
      </c>
      <c r="F9" s="7" t="inlineStr">
        <is>
          <t>https://help.sap.com/docs/concur-invoice/concur-invoice-professional-edition-administration-guides/purchase-order-request-header-record-type-200-format</t>
        </is>
      </c>
    </row>
    <row r="10">
      <c r="A10" s="4" t="inlineStr">
        <is>
          <t>Purchase Order Import</t>
        </is>
      </c>
      <c r="B10" s="4" t="inlineStr">
        <is>
          <t>Purchase Order Bill-to Address (Record Type 210) Format</t>
        </is>
      </c>
      <c r="C10" s="5" t="inlineStr">
        <is>
          <t>PO - 210 Bill-to Address</t>
        </is>
      </c>
      <c r="D10" s="4" t="n">
        <v>20</v>
      </c>
      <c r="E10" s="6" t="inlineStr">
        <is>
          <t>20 / 20</t>
        </is>
      </c>
      <c r="F10" s="7" t="inlineStr">
        <is>
          <t>https://help.sap.com/docs/concur-invoice/concur-invoice-professional-edition-administration-guides/purchase-order-bill-to-address-record-type-210-format</t>
        </is>
      </c>
    </row>
    <row r="11">
      <c r="A11" s="4" t="inlineStr">
        <is>
          <t>Purchase Order Import</t>
        </is>
      </c>
      <c r="B11" s="4" t="inlineStr">
        <is>
          <t>Purchase Order Ship-to Address (Record Type 220) Format</t>
        </is>
      </c>
      <c r="C11" s="5" t="inlineStr">
        <is>
          <t>PO - 220 Ship-to Address</t>
        </is>
      </c>
      <c r="D11" s="4" t="n">
        <v>20</v>
      </c>
      <c r="E11" s="6" t="inlineStr">
        <is>
          <t>20 / 20</t>
        </is>
      </c>
      <c r="F11" s="7" t="inlineStr">
        <is>
          <t>https://help.sap.com/docs/concur-invoice/concur-invoice-professional-edition-administration-guides/purchase-order-ship-to-address-record-type-220-format</t>
        </is>
      </c>
    </row>
    <row r="12">
      <c r="A12" s="4" t="inlineStr">
        <is>
          <t>Purchase Order Import</t>
        </is>
      </c>
      <c r="B12" s="4" t="inlineStr">
        <is>
          <t>Purchase Order Line Item (Record Type 300) Format</t>
        </is>
      </c>
      <c r="C12" s="5" t="inlineStr">
        <is>
          <t>PO - 300 Line Item</t>
        </is>
      </c>
      <c r="D12" s="4" t="n">
        <v>52</v>
      </c>
      <c r="E12" s="6" t="inlineStr">
        <is>
          <t>52 / 52</t>
        </is>
      </c>
      <c r="F12" s="7" t="inlineStr">
        <is>
          <t>https://help.sap.com/docs/concur-invoice/concur-invoice-professional-edition-administration-guides/purchase-order-line-item-record-type-300-format</t>
        </is>
      </c>
    </row>
    <row r="13">
      <c r="A13" s="4" t="inlineStr">
        <is>
          <t>Purchase Order Import</t>
        </is>
      </c>
      <c r="B13" s="4" t="inlineStr">
        <is>
          <t>Purchase Order Line Item Allocation (Record Type 400) Format</t>
        </is>
      </c>
      <c r="C13" s="5" t="inlineStr">
        <is>
          <t>PO - 400 Line Allocation</t>
        </is>
      </c>
      <c r="D13" s="4" t="n">
        <v>42</v>
      </c>
      <c r="E13" s="6" t="inlineStr">
        <is>
          <t>2 / 42</t>
        </is>
      </c>
      <c r="F13" s="7" t="inlineStr">
        <is>
          <t>https://help.sap.com/docs/concur-invoice/concur-invoice-professional-edition-administration-guides/purchase-order-line-item-allocation-record-type-400-format</t>
        </is>
      </c>
    </row>
    <row r="14">
      <c r="A14" s="4" t="inlineStr">
        <is>
          <t>Purchase Order Receipt v2</t>
        </is>
      </c>
      <c r="B14" s="4" t="inlineStr">
        <is>
          <t>Purchase Order Receipt Header (Record Type 200) Format</t>
        </is>
      </c>
      <c r="C14" s="5" t="inlineStr">
        <is>
          <t>PO Receipt v2 - 200 Header</t>
        </is>
      </c>
      <c r="D14" s="4" t="n">
        <v>29</v>
      </c>
      <c r="E14" s="6" t="inlineStr">
        <is>
          <t>29 / 29</t>
        </is>
      </c>
      <c r="F14" s="7" t="inlineStr">
        <is>
          <t>https://help.sap.com/docs/concur-invoice/concur-invoice-professional-edition-administration-guides/purchase-order-receipt-header-record-type-200-format</t>
        </is>
      </c>
    </row>
    <row r="15">
      <c r="A15" s="4" t="inlineStr">
        <is>
          <t>Employee Import</t>
        </is>
      </c>
      <c r="B15" s="4" t="inlineStr">
        <is>
          <t>Import Settings (Record Type 100)</t>
        </is>
      </c>
      <c r="C15" s="5" t="inlineStr">
        <is>
          <t>EMP - 100 Import Settings</t>
        </is>
      </c>
      <c r="D15" s="4" t="n">
        <v>7</v>
      </c>
      <c r="E15" s="6" t="inlineStr">
        <is>
          <t>7 / 7</t>
        </is>
      </c>
      <c r="F15" s="7" t="inlineStr">
        <is>
          <t>https://help.sap.com/docs/sap-concur/employee-import-specification/reviewing-import-definition-file-feed-id-standardemployeeimport</t>
        </is>
      </c>
    </row>
    <row r="16">
      <c r="A16" s="4" t="inlineStr">
        <is>
          <t>Employee Import</t>
        </is>
      </c>
      <c r="B16" s="4" t="inlineStr">
        <is>
          <t>305 (Enhanced Employee Importer)</t>
        </is>
      </c>
      <c r="C16" s="5" t="inlineStr">
        <is>
          <t>EMP - 305 Employee</t>
        </is>
      </c>
      <c r="D16" s="4" t="n">
        <v>137</v>
      </c>
      <c r="E16" s="6" t="inlineStr">
        <is>
          <t>28 / 137</t>
        </is>
      </c>
      <c r="F16" s="7" t="inlineStr">
        <is>
          <t>https://help.sap.com/docs/sap-concur/employee-import-specification/305-enhanced-employee-importer-identical-to-300-and-recommended-for-new-clients-or-existing-clients-who-need-additional-fields-for-emerging-features-they-will-use</t>
        </is>
      </c>
    </row>
    <row r="17">
      <c r="A17" s="4" t="inlineStr">
        <is>
          <t>Employee Import</t>
        </is>
      </c>
      <c r="B17" s="4" t="inlineStr">
        <is>
          <t>350 (Travel Addendum Importer)</t>
        </is>
      </c>
      <c r="C17" s="5" t="inlineStr">
        <is>
          <t>EMP - 350 Travel Addendum</t>
        </is>
      </c>
      <c r="D17" s="4" t="n">
        <v>67</v>
      </c>
      <c r="E17" s="6" t="inlineStr">
        <is>
          <t>4 / 67</t>
        </is>
      </c>
      <c r="F17" s="7" t="inlineStr">
        <is>
          <t>https://help.sap.com/docs/sap-concur/employee-import-specification/350-travel-addendum-importer</t>
        </is>
      </c>
    </row>
    <row r="18">
      <c r="A18" s="4" t="inlineStr">
        <is>
          <t>Employee Import</t>
        </is>
      </c>
      <c r="B18" s="4" t="inlineStr">
        <is>
          <t>360 (Invoice Employee Importer)</t>
        </is>
      </c>
      <c r="C18" s="5" t="inlineStr">
        <is>
          <t>EMP - 360 Invoice Employee</t>
        </is>
      </c>
      <c r="D18" s="4" t="n">
        <v>35</v>
      </c>
      <c r="E18" s="6" t="inlineStr">
        <is>
          <t>10 / 35</t>
        </is>
      </c>
      <c r="F18" s="7" t="inlineStr">
        <is>
          <t>https://help.sap.com/docs/sap-concur/employee-import-specification/360-invoice-employee-importer</t>
        </is>
      </c>
    </row>
    <row r="19">
      <c r="A19" s="4" t="inlineStr">
        <is>
          <t>Employee Import</t>
        </is>
      </c>
      <c r="B19" s="4" t="inlineStr">
        <is>
          <t>700 (Payment Request Approval Authority)</t>
        </is>
      </c>
      <c r="C19" s="5" t="inlineStr">
        <is>
          <t>EMP - 700 Approval Authority</t>
        </is>
      </c>
      <c r="D19" s="4" t="n">
        <v>16</v>
      </c>
      <c r="E19" s="6" t="inlineStr">
        <is>
          <t>5 / 16</t>
        </is>
      </c>
      <c r="F19" s="7" t="inlineStr">
        <is>
          <t>https://help.sap.com/docs/sap-concur/employee-import-specification</t>
        </is>
      </c>
    </row>
    <row r="20">
      <c r="A20" s="4" t="inlineStr">
        <is>
          <t>Reference</t>
        </is>
      </c>
      <c r="B20" s="4" t="inlineStr">
        <is>
          <t>Pipeline lineage and findings</t>
        </is>
      </c>
      <c r="C20" s="5" t="inlineStr">
        <is>
          <t>Sources</t>
        </is>
      </c>
      <c r="D20" s="4" t="n"/>
      <c r="E20" s="8" t="n"/>
      <c r="F20" s="9" t="n"/>
    </row>
    <row r="21">
      <c r="A21" s="4" t="inlineStr">
        <is>
          <t>Concur → ERP extract</t>
        </is>
      </c>
      <c r="B21" s="4" t="inlineStr">
        <is>
          <t>Payment GL Consolidated — Header record</t>
        </is>
      </c>
      <c r="C21" s="5" t="inlineStr">
        <is>
          <t>EXT - Payment GL Header</t>
        </is>
      </c>
      <c r="D21" s="4" t="n">
        <v>21</v>
      </c>
      <c r="E21" s="10" t="inlineStr">
        <is>
          <t>mapped</t>
        </is>
      </c>
      <c r="F21" s="9" t="n"/>
    </row>
    <row r="22">
      <c r="A22" s="4" t="inlineStr">
        <is>
          <t>Concur → ERP extract</t>
        </is>
      </c>
      <c r="B22" s="4" t="inlineStr">
        <is>
          <t>Payment GL Consolidated — Detail record</t>
        </is>
      </c>
      <c r="C22" s="5" t="inlineStr">
        <is>
          <t>EXT - Payment GL Detail</t>
        </is>
      </c>
      <c r="D22" s="4" t="n">
        <v>20</v>
      </c>
      <c r="E22" s="10" t="inlineStr">
        <is>
          <t>mapped</t>
        </is>
      </c>
      <c r="F22" s="9" t="n"/>
    </row>
    <row r="23">
      <c r="A23" s="4" t="inlineStr">
        <is>
          <t>Concur → ERP extract</t>
        </is>
      </c>
      <c r="B23" s="4" t="inlineStr">
        <is>
          <t>Standard Accounting Extract v3 — DETAIL layout</t>
        </is>
      </c>
      <c r="C23" s="5" t="inlineStr">
        <is>
          <t>EXT - SAE v3 Detail</t>
        </is>
      </c>
      <c r="D23" s="4" t="n">
        <v>400</v>
      </c>
      <c r="E23" s="11" t="inlineStr">
        <is>
          <t>⚠ needs spec</t>
        </is>
      </c>
      <c r="F23" s="9" t="n"/>
    </row>
    <row r="24">
      <c r="A24" s="4" t="inlineStr">
        <is>
          <t>Concur → ERP posting</t>
        </is>
      </c>
      <c r="B24" s="4" t="inlineStr">
        <is>
          <t>The run, step by step</t>
        </is>
      </c>
      <c r="C24" s="5" t="inlineStr">
        <is>
          <t>POST - Steps</t>
        </is>
      </c>
      <c r="D24" s="4" t="n">
        <v>13</v>
      </c>
      <c r="E24" s="10" t="inlineStr">
        <is>
          <t>steps</t>
        </is>
      </c>
      <c r="F24" s="9" t="n"/>
    </row>
    <row r="25">
      <c r="A25" s="4" t="inlineStr">
        <is>
          <t>Concur → ERP posting</t>
        </is>
      </c>
      <c r="B25" s="4" t="inlineStr">
        <is>
          <t>JBA Aurora — BI_PLP91U (invoice header)</t>
        </is>
      </c>
      <c r="C25" s="5" t="inlineStr">
        <is>
          <t>POST - JBA PLP91 Header</t>
        </is>
      </c>
      <c r="D25" s="4" t="n">
        <v>29</v>
      </c>
      <c r="E25" s="10" t="inlineStr">
        <is>
          <t>mapped</t>
        </is>
      </c>
      <c r="F25" s="9" t="n"/>
    </row>
    <row r="26">
      <c r="A26" s="4" t="inlineStr">
        <is>
          <t>Concur → ERP posting</t>
        </is>
      </c>
      <c r="B26" s="4" t="inlineStr">
        <is>
          <t>JBA Aurora — BI_PLP92U (invoice detail)</t>
        </is>
      </c>
      <c r="C26" s="5" t="inlineStr">
        <is>
          <t>POST - JBA PLP92 Detail</t>
        </is>
      </c>
      <c r="D26" s="4" t="n">
        <v>21</v>
      </c>
      <c r="E26" s="10" t="inlineStr">
        <is>
          <t>mapped</t>
        </is>
      </c>
      <c r="F26" s="9" t="n"/>
    </row>
    <row r="27">
      <c r="A27" s="4" t="inlineStr">
        <is>
          <t>Concur → ERP posting</t>
        </is>
      </c>
      <c r="B27" s="4" t="inlineStr">
        <is>
          <t>M3 — Infor ION LoadSupplierInvoice BOD</t>
        </is>
      </c>
      <c r="C27" s="5" t="inlineStr">
        <is>
          <t>POST - M3 LoadSupplierInvoice</t>
        </is>
      </c>
      <c r="D27" s="4" t="n">
        <v>30</v>
      </c>
      <c r="E27" s="10" t="inlineStr">
        <is>
          <t>mapped</t>
        </is>
      </c>
      <c r="F27" s="9" t="n"/>
    </row>
  </sheetData>
  <hyperlinks>
    <hyperlink ref="C7" location="'AV v3 - 100 Import Settings'!A1" display="AV v3 - 100 Import Settings"/>
    <hyperlink xmlns:r="http://schemas.openxmlformats.org/officeDocument/2006/relationships" ref="F7" r:id="rId1"/>
    <hyperlink ref="C8" location="'AV v3 - 200 Vendor'!A1" display="AV v3 - 200 Vendor"/>
    <hyperlink xmlns:r="http://schemas.openxmlformats.org/officeDocument/2006/relationships" ref="F8" r:id="rId2"/>
    <hyperlink ref="C9" location="'PO - 200 Request Header'!A1" display="PO - 200 Request Header"/>
    <hyperlink xmlns:r="http://schemas.openxmlformats.org/officeDocument/2006/relationships" ref="F9" r:id="rId3"/>
    <hyperlink ref="C10" location="'PO - 210 Bill-to Address'!A1" display="PO - 210 Bill-to Address"/>
    <hyperlink xmlns:r="http://schemas.openxmlformats.org/officeDocument/2006/relationships" ref="F10" r:id="rId4"/>
    <hyperlink ref="C11" location="'PO - 220 Ship-to Address'!A1" display="PO - 220 Ship-to Address"/>
    <hyperlink xmlns:r="http://schemas.openxmlformats.org/officeDocument/2006/relationships" ref="F11" r:id="rId5"/>
    <hyperlink ref="C12" location="'PO - 300 Line Item'!A1" display="PO - 300 Line Item"/>
    <hyperlink xmlns:r="http://schemas.openxmlformats.org/officeDocument/2006/relationships" ref="F12" r:id="rId6"/>
    <hyperlink ref="C13" location="'PO - 400 Line Allocation'!A1" display="PO - 400 Line Allocation"/>
    <hyperlink xmlns:r="http://schemas.openxmlformats.org/officeDocument/2006/relationships" ref="F13" r:id="rId7"/>
    <hyperlink ref="C14" location="'PO Receipt v2 - 200 Header'!A1" display="PO Receipt v2 - 200 Header"/>
    <hyperlink xmlns:r="http://schemas.openxmlformats.org/officeDocument/2006/relationships" ref="F14" r:id="rId8"/>
    <hyperlink ref="C15" location="'EMP - 100 Import Settings'!A1" display="EMP - 100 Import Settings"/>
    <hyperlink xmlns:r="http://schemas.openxmlformats.org/officeDocument/2006/relationships" ref="F15" r:id="rId9"/>
    <hyperlink ref="C16" location="'EMP - 305 Employee'!A1" display="EMP - 305 Employee"/>
    <hyperlink xmlns:r="http://schemas.openxmlformats.org/officeDocument/2006/relationships" ref="F16" r:id="rId10"/>
    <hyperlink ref="C17" location="'EMP - 350 Travel Addendum'!A1" display="EMP - 350 Travel Addendum"/>
    <hyperlink xmlns:r="http://schemas.openxmlformats.org/officeDocument/2006/relationships" ref="F17" r:id="rId11"/>
    <hyperlink ref="C18" location="'EMP - 360 Invoice Employee'!A1" display="EMP - 360 Invoice Employee"/>
    <hyperlink xmlns:r="http://schemas.openxmlformats.org/officeDocument/2006/relationships" ref="F18" r:id="rId12"/>
    <hyperlink ref="C19" location="'Sources'!A1" display="Sources"/>
    <hyperlink ref="C20" location="'EXT - Payment GL Header'!A1" display="EXT - Payment GL Header"/>
    <hyperlink ref="C21" location="'EXT - Payment GL Detail'!A1" display="EXT - Payment GL Detail"/>
    <hyperlink ref="C22" location="'EXT - SAE v3 Detail'!A1" display="EXT - SAE v3 Detail"/>
    <hyperlink ref="C23" location="'POST - Steps'!A1" display="POST - Steps"/>
    <hyperlink ref="C24" location="'POST - JBA PLP91 Header'!A1" display="POST - JBA PLP91 Header"/>
    <hyperlink ref="C25" location="'POST - JBA PLP92 Detail'!A1" display="POST - JBA PLP92 Detail"/>
    <hyperlink ref="C26" location="'POST - M3 LoadSupplierInvoice'!A1" display="POST - M3 LoadSupplierInvoice"/>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41"/>
  <sheetViews>
    <sheetView showGridLines="0" workbookViewId="0">
      <pane ySplit="6" topLeftCell="A7" activePane="bottomLeft" state="frozen"/>
      <selection pane="bottomLeft" activeCell="A1" sqref="A1"/>
    </sheetView>
  </sheetViews>
  <sheetFormatPr baseColWidth="8" defaultRowHeight="15"/>
  <cols>
    <col width="20" customWidth="1" min="1" max="1"/>
    <col width="62" customWidth="1" min="2" max="2"/>
    <col width="34" customWidth="1" min="3" max="3"/>
    <col width="96" customWidth="1" min="4" max="4"/>
  </cols>
  <sheetData>
    <row r="1">
      <c r="A1" s="1" t="inlineStr">
        <is>
          <t>Where every column comes from</t>
        </is>
      </c>
    </row>
    <row r="2">
      <c r="A2" s="2" t="inlineStr">
        <is>
          <t>ERP  -&gt;  SSIS package  -&gt;  BGIDW staging table  -&gt;  App_Concur view  -&gt;  extract proc  -&gt;  import file. Read out of BGIDW_ASR_M3_Daily.dtsx and BGIDW_Aurora_Daily.dtsx.</t>
        </is>
      </c>
    </row>
    <row r="4">
      <c r="A4" s="12" t="inlineStr">
        <is>
          <t>◀  Back to Index</t>
        </is>
      </c>
    </row>
    <row r="6" ht="20" customHeight="1">
      <c r="A6" s="13" t="inlineStr">
        <is>
          <t>Layer</t>
        </is>
      </c>
      <c r="B6" s="13" t="inlineStr">
        <is>
          <t>Object</t>
        </is>
      </c>
      <c r="C6" s="13" t="inlineStr">
        <is>
          <t>Produces / feeds</t>
        </is>
      </c>
      <c r="D6" s="13" t="inlineStr">
        <is>
          <t>Notes</t>
        </is>
      </c>
    </row>
    <row r="7">
      <c r="A7" s="14" t="inlineStr">
        <is>
          <t>ERP extract (M3)</t>
        </is>
      </c>
      <c r="B7" s="15" t="inlineStr">
        <is>
          <t>BGIDW_ASR_M3_Daily  ›  Package\PO\PO Header\ADO NET Source</t>
        </is>
      </c>
      <c r="C7" s="16" t="inlineStr">
        <is>
          <t>dbo.po_header</t>
        </is>
      </c>
      <c r="D7" s="17" t="inlineStr">
        <is>
          <t>system_id 33. MPHEAD / MPPOAD (ADPOAD = 1, ADPNLI = 0) / CIDADR. Filter IACONO = '910', deleted = 0. Upsert key: system_id + system_entity_id + po_num + vend_num.</t>
        </is>
      </c>
    </row>
    <row r="8">
      <c r="A8" s="18" t="n"/>
      <c r="B8" s="19" t="inlineStr">
        <is>
          <t>BGIDW_ASR_M3_Daily  ›  Package\PO\PO Lines\ADO NET Source</t>
        </is>
      </c>
      <c r="C8" s="20" t="inlineStr">
        <is>
          <t>dbo.po_line</t>
        </is>
      </c>
      <c r="D8" s="21" t="inlineStr">
        <is>
          <t>system_id 33. MPLINE / MPHEAD / MPPOAD (ADPOAD = 3). Filter IBCONO = '910', deleted = 0, IBPUSL &lt;&gt; 99. Upsert key: system_id + system_entity_id + po_num + po_seq + po_line + ⚠ item_num_internal.</t>
        </is>
      </c>
    </row>
    <row r="9">
      <c r="A9" s="18" t="n"/>
      <c r="B9" s="19" t="inlineStr">
        <is>
          <t>BGIDW_ASR_M3_Daily  ›  Package\PO Lines Full\Data Flow Task\ADO NET Source</t>
        </is>
      </c>
      <c r="C9" s="20" t="inlineStr">
        <is>
          <t>dbo.po_line</t>
        </is>
      </c>
      <c r="D9" s="22" t="inlineStr">
        <is>
          <t>⚠ system_id 22 — a THIRD source: the same MPLINE query against M3 company 900. It writes PO LINES only; there is no matching header, receipt or vendor load for system_id 22, so those lines can never form a complete PO. It also sets vendor_seq and item_num_vendor to '' and skips the description de-duplication the 910 load does.</t>
        </is>
      </c>
    </row>
    <row r="10">
      <c r="A10" s="18" t="n"/>
      <c r="B10" s="19" t="inlineStr">
        <is>
          <t>BGIDW_ASR_M3_Daily  ›  Package\PO\Po Line Receipts\ADO NET Source</t>
        </is>
      </c>
      <c r="C10" s="20" t="inlineStr">
        <is>
          <t>dbo.po_line_receipt</t>
        </is>
      </c>
      <c r="D10" s="21" t="inlineStr">
        <is>
          <t>system_id 33. MPLIND / MPLINE / MPHEAD / CIDADR, FGRECL anti-join. Filter ICCONO = '910', ICPUOS in (75), F2IMST &lt;&gt; '9'. Upsert key includes vendor_num and vendor_seq; external_id is a non-key column.</t>
        </is>
      </c>
    </row>
    <row r="11">
      <c r="A11" s="18" t="n"/>
      <c r="B11" s="19" t="inlineStr">
        <is>
          <t>BGIDW_ASR_M3_Daily  ›  Package\PO\Po Line Charges\ADO NET Source</t>
        </is>
      </c>
      <c r="C11" s="20" t="inlineStr">
        <is>
          <t>dbo.po_line_charges</t>
        </is>
      </c>
      <c r="D11" s="21" t="inlineStr">
        <is>
          <t>system_id 33. Upsert key: system_id + system_entity_id + po_num + po_line + po_seq + charge_sequence.</t>
        </is>
      </c>
    </row>
    <row r="12">
      <c r="A12" s="18" t="n"/>
      <c r="B12" s="19" t="inlineStr">
        <is>
          <t>BGIDW_ASR_M3_Daily  ›  Package\Vendor New\Vendors\ADO NET Source</t>
        </is>
      </c>
      <c r="C12" s="20" t="inlineStr">
        <is>
          <t>dbo.vendor</t>
        </is>
      </c>
      <c r="D12" s="21" t="inlineStr">
        <is>
          <t>system_id 33. CIDMAS / CIDADR / CIDVEN. Filter IDCONO = '910', deleted = 0. Loads only name, address, payment_terms, currency_code, matching_type, active_flag, intercompany_flag.</t>
        </is>
      </c>
    </row>
    <row r="13">
      <c r="A13" s="14" t="inlineStr">
        <is>
          <t>ERP extract (JBA)</t>
        </is>
      </c>
      <c r="B13" s="15" t="inlineStr">
        <is>
          <t>BGIDW_Aurora_Daily  ›  Package\PO Header\Po_Header\Get Po Headers</t>
        </is>
      </c>
      <c r="C13" s="16" t="inlineStr">
        <is>
          <t>dbo.po_header</t>
        </is>
      </c>
      <c r="D13" s="17" t="inlineStr">
        <is>
          <t>system_id 1. PMP02 / PMP06 / PLP05 / PMP03. Requires an uninvoiced PMP09 receipt to exist.</t>
        </is>
      </c>
    </row>
    <row r="14">
      <c r="A14" s="18" t="n"/>
      <c r="B14" s="19" t="inlineStr">
        <is>
          <t>BGIDW_Aurora_Daily  ›  Package\PO Lines\po_line\ERP Open PO Lines - PLP03 and PLP02</t>
        </is>
      </c>
      <c r="C14" s="20" t="inlineStr">
        <is>
          <t>dbo.po_line</t>
        </is>
      </c>
      <c r="D14" s="21" t="inlineStr">
        <is>
          <t>system_id 1. PMP02 / PMP03 / INP35 / PMP11. Zero-pads po_line to 3 and po_seq to 5.</t>
        </is>
      </c>
    </row>
    <row r="15">
      <c r="A15" s="18" t="n"/>
      <c r="B15" s="19" t="inlineStr">
        <is>
          <t>BGIDW_Aurora_Daily  ›  Package\PO Lines JBA\po_line\ERP Open PO Lines - PLP03 and PLP02</t>
        </is>
      </c>
      <c r="C15" s="20" t="inlineStr">
        <is>
          <t>dbo.po_line_jba</t>
        </is>
      </c>
      <c r="D15" s="22" t="inlineStr">
        <is>
          <t>⚠ A SECOND, shorter JBA line query writing to a different table (po_line_jba). Confirm which table the Concur view actually reads, and whether this one is still needed.</t>
        </is>
      </c>
    </row>
    <row r="16">
      <c r="A16" s="18" t="n"/>
      <c r="B16" s="19" t="inlineStr">
        <is>
          <t>BGIDW_Aurora_Daily  ›  Package\PO Receipts\po_line_receipt\OLE DB Source</t>
        </is>
      </c>
      <c r="C16" s="20" t="inlineStr">
        <is>
          <t>dbo.po_line_receipt</t>
        </is>
      </c>
      <c r="D16" s="22" t="inlineStr">
        <is>
          <t>⚠ system_id 1. PMP09 / PMP02. Selects NO external_id column, so the destination's external_id is left NULL for every JBA receipt — confirmed in the delivered file, where Goods Receipt Number is the proc's ROW_NUMBER fallback (76771028404, 76771028401, ...) rather than a real key. Also does not zero-pad po_line / po_seq, unlike the JBA line load, though the delivered External IDs do agree.</t>
        </is>
      </c>
    </row>
    <row r="17">
      <c r="A17" s="18" t="n"/>
      <c r="B17" s="19" t="inlineStr">
        <is>
          <t>BGIDW_Aurora_Daily  ›  Package\Vendors\Load Vendors\ADO NET Source</t>
        </is>
      </c>
      <c r="C17" s="20" t="inlineStr">
        <is>
          <t>dbo.vendor</t>
        </is>
      </c>
      <c r="D17" s="21" t="inlineStr">
        <is>
          <t>system_id 1. PLP05 / PLP05X / T1P1A01P / zccity. Supplies tax_id (VTID05), contact_first_name (CNTN1A), email_address (EMIL1A), office_phone (OFNB1A), matching_type (POST05). discount and discount_days are literal empty strings.</t>
        </is>
      </c>
    </row>
    <row r="18">
      <c r="A18" s="14" t="inlineStr">
        <is>
          <t>Staging (DW_BGI_OpData)</t>
        </is>
      </c>
      <c r="B18" s="15" t="inlineStr">
        <is>
          <t>dbo.po_header</t>
        </is>
      </c>
      <c r="C18" s="16" t="inlineStr">
        <is>
          <t>vw_concur_extract_po_header</t>
        </is>
      </c>
      <c r="D18" s="17" t="inlineStr">
        <is>
          <t>Shared by both ERPs, discriminated by system_id (33 = M3 co 910, 1 = JBA).</t>
        </is>
      </c>
    </row>
    <row r="19">
      <c r="A19" s="18" t="n"/>
      <c r="B19" s="19" t="inlineStr">
        <is>
          <t>dbo.po_line</t>
        </is>
      </c>
      <c r="C19" s="20" t="inlineStr">
        <is>
          <t>vw_concur_extract_po_line</t>
        </is>
      </c>
      <c r="D19" s="22" t="inlineStr">
        <is>
          <t>⚠ item_num_internal is part of the upsert key, so a changed item number INSERTS a second row for the same PO line instead of updating it — a duplicate line, and a duplicate External ID downstream.</t>
        </is>
      </c>
    </row>
    <row r="20">
      <c r="A20" s="18" t="n"/>
      <c r="B20" s="19" t="inlineStr">
        <is>
          <t>dbo.po_line_receipt</t>
        </is>
      </c>
      <c r="C20" s="20" t="inlineStr">
        <is>
          <t>vw_concur_extract_po_line_receipt</t>
        </is>
      </c>
      <c r="D20" s="21" t="inlineStr">
        <is>
          <t>external_id is a non-key, updatable column — populated by M3, left NULL by JBA.</t>
        </is>
      </c>
    </row>
    <row r="21">
      <c r="A21" s="18" t="n"/>
      <c r="B21" s="19" t="inlineStr">
        <is>
          <t>dbo.po_line_charges</t>
        </is>
      </c>
      <c r="C21" s="20" t="inlineStr">
        <is>
          <t>vw_concur_extract_po_line_charges</t>
        </is>
      </c>
      <c r="D21" s="21" t="inlineStr">
        <is>
          <t>Feeds the UNION charge branch of the 300 line proc.</t>
        </is>
      </c>
    </row>
    <row r="22">
      <c r="A22" s="18" t="n"/>
      <c r="B22" s="19" t="inlineStr">
        <is>
          <t>dbo.vendor</t>
        </is>
      </c>
      <c r="C22" s="20" t="inlineStr">
        <is>
          <t>vw_concur_extract_po_vendor</t>
        </is>
      </c>
      <c r="D22" s="22" t="inlineStr">
        <is>
          <t>⚠ Neither package loads a vendor_address_code; the Concur proc reads ven.vendor_address_code, so it is derived in the view layer. M3 loads no tax_id, contact or discount columns at all.</t>
        </is>
      </c>
    </row>
    <row r="23">
      <c r="A23" s="14" t="inlineStr">
        <is>
          <t>View (App_Concur)</t>
        </is>
      </c>
      <c r="B23" s="15" t="inlineStr">
        <is>
          <t>vw_concur_extract_po_header / _po_line / _po_line_receipt / _po_line_charges / _po_vendor</t>
        </is>
      </c>
      <c r="C23" s="16" t="inlineStr">
        <is>
          <t>the five extract procs</t>
        </is>
      </c>
      <c r="D23" s="23" t="inlineStr">
        <is>
          <t>⚠ This is where entity_id appears. Neither package writes an entity_id column — every staging table carries system_id + system_entity_id only — yet every proc reads pol.entity_id / poh.entity_id and builds the External ID keys from it. entity_id is therefore derived here, and its definition is the missing piece of the lineage.</t>
        </is>
      </c>
    </row>
    <row r="24">
      <c r="A24" s="14" t="inlineStr">
        <is>
          <t>Proc (App_Concur)</t>
        </is>
      </c>
      <c r="B24" s="15" t="inlineStr">
        <is>
          <t>p_concurinvoicepo_get_poheader / _pobillto / _poshipto / _poline / _poreceipt / _get_vendor</t>
        </is>
      </c>
      <c r="C24" s="16" t="inlineStr">
        <is>
          <t>the import files</t>
        </is>
      </c>
      <c r="D24" s="17" t="inlineStr">
        <is>
          <t>One proc per record type; see the individual tabs. Verified 2026-09-11 against the deployed script — the definitions match what is mapped here.</t>
        </is>
      </c>
    </row>
    <row r="25">
      <c r="A25" s="18" t="n"/>
      <c r="B25" s="19" t="inlineStr">
        <is>
          <t>p_concur_get_po_chargers  /  p_concur_get_account_codes</t>
        </is>
      </c>
      <c r="C25" s="20" t="inlineStr">
        <is>
          <t>charge lookups</t>
        </is>
      </c>
      <c r="D25" s="21" t="inlineStr">
        <is>
          <t>Helpers, not file producers. get_po_chargers decodes a '99'+po_line+'99'+charge_sequence Concur line number back to a charge row, falling back to App_Concur.dbo.charge_types when no charge matches. It reads DW_BGI_OpData.dbo.po_line_charges and po_charges directly, and ⚠ hardcodes system_entity_id = '910088' and currency 'USD'.</t>
        </is>
      </c>
    </row>
    <row r="26">
      <c r="A26" s="14" t="inlineStr">
        <is>
          <t>Lookup (App_Concur)</t>
        </is>
      </c>
      <c r="B26" s="15" t="inlineStr">
        <is>
          <t>entity_default_bill_to_address  /  entity_department_account_code  /  charge_types</t>
        </is>
      </c>
      <c r="C26" s="16" t="inlineStr">
        <is>
          <t>the 210, 220 and 300 records</t>
        </is>
      </c>
      <c r="D26" s="17" t="inlineStr">
        <is>
          <t>Keyed by entity_id. The bill-to table supplies the address fallback; entity_department_account_code resolves the line account code from entity_id + the header's ledger_code.</t>
        </is>
      </c>
    </row>
    <row r="27">
      <c r="A27" s="14" t="inlineStr">
        <is>
          <t>Concur -&gt; ERP</t>
        </is>
      </c>
      <c r="B27" s="15" t="inlineStr">
        <is>
          <t>Invoice_Import.dtsx  ›  FlatFile_InvoiceHeader / FlatFile_InvoiceDetail.txt</t>
        </is>
      </c>
      <c r="C27" s="16" t="inlineStr">
        <is>
          <t>dbo.Invoice_Header / Invoice_Detail  -&gt;  AS400 BI_PLP91U / BI_PLP92U (and BR_*)</t>
        </is>
      </c>
      <c r="D27" s="17" t="inlineStr">
        <is>
          <t>Consumes extract_payment_gl_as_consolidated_hdr (21 cols) and _dtl (20 cols). Connections AS400_OLEDB_BI_PCSRVR2 and AS400_OLEDB_BR_ASRDW, so BI and BR post to different libraries. ⚠ This layout matches NO published SAP spec — the Extracts Assisted section documents Payment Request Accounting v2 as 5 header + 256 detail fields. Treat the package's flat-file column list as the authoritative layout.</t>
        </is>
      </c>
    </row>
    <row r="28">
      <c r="A28" s="18" t="n"/>
      <c r="B28" s="19" t="inlineStr">
        <is>
          <t>TravelAndExpense_Incoming.dtsx  ›  Store Concur Raw Data</t>
        </is>
      </c>
      <c r="C28" s="20" t="inlineStr">
        <is>
          <t>FMG_DataWarehouse</t>
        </is>
      </c>
      <c r="D28" s="21" t="inlineStr">
        <is>
          <t>Consumes extract_CES_SAE_v3 (EXTRACT header + 400-field DETAIL rows). The package stores the file raw rather than mapping columns, so it imposes no field names of its own. ⚠ The SAE v3 field list is not published on the SAP help portal; the specification document is needed to name the 400 positions.</t>
        </is>
      </c>
    </row>
    <row r="29">
      <c r="A29" s="14" t="inlineStr">
        <is>
          <t>Package (SSIS)</t>
        </is>
      </c>
      <c r="B29" s="15" t="inlineStr">
        <is>
          <t>ConcurExtracts/PurchaseOrder.dtsx</t>
        </is>
      </c>
      <c r="C29" s="16" t="inlineStr">
        <is>
          <t>the .txt files on the Concur SFTP</t>
        </is>
      </c>
      <c r="D29" s="17" t="inlineStr">
        <is>
          <t>Runs PO Invoice, then Vendor, then PO Receipt. The 200 header is written by name; every other record type is streamed in proc column order, so the proc's SELECT list IS the file layout.</t>
        </is>
      </c>
    </row>
    <row r="32">
      <c r="A32" s="24" t="inlineStr">
        <is>
          <t>What the packages changed about the picture</t>
        </is>
      </c>
    </row>
    <row r="33">
      <c r="A33" s="25" t="inlineStr">
        <is>
          <t>⚠ The two outbound extracts have no matching published spec</t>
        </is>
      </c>
      <c r="B33" s="72" t="n"/>
      <c r="C33" s="27" t="inlineStr">
        <is>
          <t>The Extracts Assisted (scheduled with SAP Concur) section of the Invoice admin guides covers four extracts: Payment Request Accounting v1/v2, Positive Pay, Purchase Order and Purchase Order Receipt. Payment Request Accounting v2 is 5 header + 256 detail fields — nothing like the 21 + 20 in extract_payment_gl_as_consolidated, which is a configured client extract. The SAE v3 400-field list is Concur Expense, and its field table is not published as HTML at all. So the Payment GL tabs are built from Invoice_Import.dtsx's own flat-file column definitions (authoritative for what the ERP reads), and the SAE tab carries positions and sample values but no field names until the spec document is supplied.</t>
        </is>
      </c>
      <c r="D33" s="72" t="n"/>
    </row>
    <row r="34">
      <c r="A34" s="25" t="inlineStr">
        <is>
          <t>⚠ Header tax and detail tax disagree in the Payment GL sample</t>
        </is>
      </c>
      <c r="B34" s="72" t="n"/>
      <c r="C34" s="27" t="inlineStr">
        <is>
          <t>The header's TTAX91 is empty while the detail file carries a fourth line of 1.00 against account 5555 (the same hardcoded tax account the PO line proc's charge branch emits). The header's TINV91 is 40.50, which is the three goods lines (17.50 + 10.50 + 11.50) exactly — the tax line is not in the total.</t>
        </is>
      </c>
      <c r="D34" s="72" t="n"/>
    </row>
    <row r="35">
      <c r="A35" s="25" t="inlineStr">
        <is>
          <t>⚠ Two placeholder-named columns carry real data in the Payment GL detail</t>
        </is>
      </c>
      <c r="B35" s="72" t="n"/>
      <c r="C35" s="27" t="inlineStr">
        <is>
          <t>ExtraCol1 holds 40 / 90 / 120 (a line or sequence value) and ExtraCol3 holds 76771042501 — the same shape as the PO Receipt Goods Receipt Number fallback key. Meanwhile the properly named POLN92 (PO line) and POLS92 (PO line sequence) are empty on every row. Anything reading POLN92 will find nothing.</t>
        </is>
      </c>
      <c r="D35" s="72" t="n"/>
    </row>
    <row r="36">
      <c r="A36" s="25" t="inlineStr">
        <is>
          <t>⚠ DEPT92 ships the literal text 'Blank' on the tax line</t>
        </is>
      </c>
      <c r="B36" s="72" t="n"/>
      <c r="C36" s="27" t="inlineStr">
        <is>
          <t>The three goods lines carry department 910; the tax line carries the five-character string 'Blank' rather than an empty field. That will fail any numeric or lookup validation on the AS400 side.</t>
        </is>
      </c>
      <c r="D36" s="72" t="n"/>
    </row>
    <row r="37">
      <c r="A37" s="25" t="inlineStr">
        <is>
          <t>⚠ M3 vendor rows hardcode facility '088' into system_entity_id</t>
        </is>
      </c>
      <c r="B37" s="72" t="n"/>
      <c r="C37" s="27" t="inlineStr">
        <is>
          <t>The M3 PO loads build system_entity_id = CONCAT(RIGHT('000' + company, 3), facility) — '910' + IAFACI. The M3 vendor load instead hardcodes it: CAST(IDCONO AS NVARCHAR(7)) + '088', always '910088'. The Concur header proc joins the vendor view on ven.system_entity_id = poh.system_entity_id, so a vendor is found only for POs whose facility is 088. That '910088' literal also appears hardcoded in p_concur_get_po_chargers, so 088 does look like the live facility — but any PO raised in a second M3 facility would silently find no vendor and fail with 'Error Code: 2000'. Check the distinct IAFACI values in MPHEAD for company 910.</t>
        </is>
      </c>
      <c r="D37" s="72" t="n"/>
    </row>
    <row r="38">
      <c r="A38" s="25" t="inlineStr">
        <is>
          <t>⚠ M3 vendors carry no tax ID, contact details, discount or shipping terms</t>
        </is>
      </c>
      <c r="B38" s="72" t="n"/>
      <c r="C38" s="27" t="inlineStr">
        <is>
          <t>The Concur vendor proc reads ven.tax_id, ven.contact_phone_number, ven.contact_first_name, ven.contact_last_name, ven.contact_email_address, ven.discount, ven.discount_days and ven.terms. The M3 vendor extract selects none of them — only name, address, payment_terms, currency_code, matching_type, active_flag and intercompany_flag. JBA does supply tax_id, contact name, email and phone. So those vendor fields are blank for M3 vendors unless another job fills them.</t>
        </is>
      </c>
      <c r="D38" s="72" t="n"/>
    </row>
    <row r="39">
      <c r="A39" s="25" t="inlineStr">
        <is>
          <t>⚠ entity_id is not produced anywhere in the staging layer</t>
        </is>
      </c>
      <c r="B39" s="72" t="n"/>
      <c r="C39" s="27" t="inlineStr">
        <is>
          <t>Both packages write system_id and system_entity_id only. Every extract proc builds its External ID from entity_id. Whatever adds it in the view layer is the single most load-bearing piece of the whole chain, and it is not in either package.</t>
        </is>
      </c>
      <c r="D39" s="72" t="n"/>
    </row>
    <row r="40">
      <c r="A40" s="25" t="inlineStr">
        <is>
          <t>⚠ system_id 22 (M3 company 900) loads PO lines and nothing else</t>
        </is>
      </c>
      <c r="B40" s="72" t="n"/>
      <c r="C40" s="27" t="inlineStr">
        <is>
          <t>Package\PO Lines Full writes lines for company 900 into the same dbo.po_line table, but there is no header, receipt, vendor or charge load for system_id 22. Those lines cannot form a complete PO, and the Concur header proc's inner join to lines means they are silently excluded rather than failing loudly.</t>
        </is>
      </c>
      <c r="D40" s="72" t="n"/>
    </row>
    <row r="41">
      <c r="A41" s="25" t="inlineStr">
        <is>
          <t>⚠ Checked against the delivered files — what held and what did not</t>
        </is>
      </c>
      <c r="B41" s="72" t="n"/>
      <c r="C41" s="27" t="inlineStr">
        <is>
          <t>Every record's field count matches the spec exactly (61 / 20 / 20 / 52 / 29 / 62 / 4), and entity_id is visible at last: '0088' for M3 and '0096' for JBA, carried in custom_1. CONFIRMED: the JBA Goods Receipt Number is the ROW_NUMBER fallback (76771028404), M3 vendors ship no tax ID or contact details, Shipping Terms is blank on every vendor row, and both charge lines share one External ID. NOT CONFIRMED: the predicted JBA line-vs-receipt padding mismatch — PO 7710284 shows 0096771028450 on both sides, so the two queries are being reconciled somewhere downstream; find out where before relying on it.</t>
        </is>
      </c>
      <c r="D41" s="72" t="n"/>
    </row>
  </sheetData>
  <mergeCells count="18">
    <mergeCell ref="C34:D34"/>
    <mergeCell ref="A38:B38"/>
    <mergeCell ref="C38:D38"/>
    <mergeCell ref="C33:D33"/>
    <mergeCell ref="A33:B33"/>
    <mergeCell ref="A41:B41"/>
    <mergeCell ref="C41:D41"/>
    <mergeCell ref="C37:D37"/>
    <mergeCell ref="A37:B37"/>
    <mergeCell ref="C36:D36"/>
    <mergeCell ref="A36:B36"/>
    <mergeCell ref="C40:D40"/>
    <mergeCell ref="A40:B40"/>
    <mergeCell ref="A34:B34"/>
    <mergeCell ref="C39:D39"/>
    <mergeCell ref="A39:B39"/>
    <mergeCell ref="C35:D35"/>
    <mergeCell ref="A35:B35"/>
  </mergeCells>
  <hyperlinks>
    <hyperlink ref="A4" location="Index!A1" display="Back to Index"/>
  </hyperlinks>
  <pageMargins left="0.75" right="0.75" top="1" bottom="1" header="0.5" footer="0.5"/>
</worksheet>
</file>

<file path=xl/worksheets/sheet3.xml><?xml version="1.0" encoding="utf-8"?>
<worksheet xmlns="http://schemas.openxmlformats.org/spreadsheetml/2006/main">
  <sheetPr>
    <outlinePr summaryBelow="1" summaryRight="1"/>
    <pageSetUpPr fitToPage="1"/>
  </sheetPr>
  <dimension ref="A1:M11"/>
  <sheetViews>
    <sheetView showGridLines="0" workbookViewId="0">
      <pane xSplit="1" ySplit="7" topLeftCell="B8" activePane="bottomRight" state="frozen"/>
      <selection pane="topRight" activeCell="A1" sqref="A1"/>
      <selection pane="bottomLeft" activeCell="A1" sqref="A1"/>
      <selection pane="bottomRight" activeCell="A1" sqref="A1"/>
    </sheetView>
  </sheetViews>
  <sheetFormatPr baseColWidth="8" defaultRowHeight="15"/>
  <cols>
    <col width="30" customWidth="1" min="1" max="1"/>
    <col width="24" customWidth="1" min="2" max="2"/>
    <col width="26" customWidth="1" min="3" max="3"/>
    <col width="26" customWidth="1" min="4" max="4"/>
    <col width="52" customWidth="1" min="5" max="5"/>
    <col width="24" customWidth="1" min="6" max="6"/>
    <col width="40" customWidth="1" min="7" max="7"/>
    <col width="26" customWidth="1" min="8" max="8"/>
    <col width="26" customWidth="1" min="9" max="9"/>
    <col width="30" customWidth="1" min="10" max="10"/>
    <col width="11" customWidth="1" min="11" max="11"/>
    <col width="62" customWidth="1" min="12" max="12"/>
    <col width="24" customWidth="1" min="13" max="13"/>
  </cols>
  <sheetData>
    <row r="1">
      <c r="A1" s="28" t="inlineStr">
        <is>
          <t>Import Settings (Record Type 100) Format</t>
        </is>
      </c>
    </row>
    <row r="2">
      <c r="A2" s="29" t="inlineStr">
        <is>
          <t>Section: Approved Vendor v3</t>
        </is>
      </c>
    </row>
    <row r="3">
      <c r="A3" s="30" t="inlineStr">
        <is>
          <t>https://help.sap.com/docs/concur-invoice/concur-invoice-professional-edition-administration-guides/import-settings-record-type-100-format-fa80f0d57c30449fa8311b0eccd0b8fa</t>
        </is>
      </c>
    </row>
    <row r="4">
      <c r="A4" s="31" t="inlineStr">
        <is>
          <t>Source: SAP Help Portal, Concur Invoice Professional Edition Administration Guides (2026_08). Retrieved 2026-09-11. Ranged fields in the source are expanded to one row per field; each shares the range's definition and description.</t>
        </is>
      </c>
    </row>
    <row r="5" ht="18" customHeight="1">
      <c r="A5" s="12" t="inlineStr">
        <is>
          <t>◀  Back to Index</t>
        </is>
      </c>
    </row>
    <row r="6">
      <c r="A6" s="32" t="inlineStr">
        <is>
          <t>Extract chain: no proc — the four 100-record fields are written by hand in the Vendor script task of ConcurExtracts/PurchaseOrder.dtsx  &lt;-  n/a  &lt;-  M3: n/a   |   JBA: n/a   |   ERP SQL lives in the SSIS packages — see the Sources tab.   |   Samples: M3 = vendor file settings record, JBA = same record (one per file) (from the delivered files; '(blank)' means the field was empty)</t>
        </is>
      </c>
    </row>
    <row r="7" ht="30" customHeight="1">
      <c r="A7" s="13" t="inlineStr">
        <is>
          <t>Field Name</t>
        </is>
      </c>
      <c r="B7" s="33" t="inlineStr">
        <is>
          <t>Mapped From (proc)</t>
        </is>
      </c>
      <c r="C7" s="33" t="inlineStr">
        <is>
          <t>View Column</t>
        </is>
      </c>
      <c r="D7" s="33" t="inlineStr">
        <is>
          <t>M3 Source Field</t>
        </is>
      </c>
      <c r="E7" s="33" t="inlineStr">
        <is>
          <t>M3 Derivation</t>
        </is>
      </c>
      <c r="F7" s="34" t="inlineStr">
        <is>
          <t>JBA Source Field</t>
        </is>
      </c>
      <c r="G7" s="34" t="inlineStr">
        <is>
          <t>JBA Derivation</t>
        </is>
      </c>
      <c r="H7" s="35" t="inlineStr">
        <is>
          <t>Sample - M3</t>
        </is>
      </c>
      <c r="I7" s="35" t="inlineStr">
        <is>
          <t>Sample - JBA</t>
        </is>
      </c>
      <c r="J7" s="13" t="inlineStr">
        <is>
          <t>Definition</t>
        </is>
      </c>
      <c r="K7" s="13" t="inlineStr">
        <is>
          <t>Required?</t>
        </is>
      </c>
      <c r="L7" s="13" t="inlineStr">
        <is>
          <t>Description</t>
        </is>
      </c>
      <c r="M7" s="13" t="inlineStr">
        <is>
          <t>Client Field Definition</t>
        </is>
      </c>
    </row>
    <row r="8">
      <c r="A8" s="36" t="inlineStr">
        <is>
          <t>Record Type</t>
        </is>
      </c>
      <c r="B8" s="37" t="inlineStr">
        <is>
          <t>(dtsx literal)</t>
        </is>
      </c>
      <c r="C8" s="38" t="n"/>
      <c r="D8" s="38" t="n"/>
      <c r="E8" s="39" t="inlineStr">
        <is>
          <t>Literal 100.</t>
        </is>
      </c>
      <c r="F8" s="38" t="n"/>
      <c r="G8" s="38" t="n"/>
      <c r="H8" s="40" t="inlineStr">
        <is>
          <t>100</t>
        </is>
      </c>
      <c r="I8" s="40" t="inlineStr">
        <is>
          <t>100</t>
        </is>
      </c>
      <c r="J8" s="41" t="inlineStr">
        <is>
          <t>100</t>
        </is>
      </c>
      <c r="K8" s="42" t="inlineStr">
        <is>
          <t>Y</t>
        </is>
      </c>
      <c r="L8" s="41" t="inlineStr">
        <is>
          <t>This is a static value always equal to 100. It indicates the Record Type</t>
        </is>
      </c>
      <c r="M8" s="41" t="n"/>
    </row>
    <row r="9">
      <c r="A9" s="43" t="inlineStr">
        <is>
          <t>Error Threshold</t>
        </is>
      </c>
      <c r="B9" s="44" t="inlineStr">
        <is>
          <t>(dtsx literal)</t>
        </is>
      </c>
      <c r="C9" s="38" t="n"/>
      <c r="D9" s="38" t="n"/>
      <c r="E9" s="45" t="inlineStr">
        <is>
          <t>Hardcoded 0 = do not stop the import because of errors. Per the spec this value is no longer used from Service Update 14.1 onward.</t>
        </is>
      </c>
      <c r="F9" s="38" t="n"/>
      <c r="G9" s="38" t="n"/>
      <c r="H9" s="46" t="inlineStr">
        <is>
          <t>0</t>
        </is>
      </c>
      <c r="I9" s="46" t="inlineStr">
        <is>
          <t>0</t>
        </is>
      </c>
      <c r="J9" s="47" t="inlineStr">
        <is>
          <t>Integer greater than or equal to 0</t>
        </is>
      </c>
      <c r="K9" s="42" t="inlineStr">
        <is>
          <t>Y</t>
        </is>
      </c>
      <c r="L9" s="47" t="inlineStr">
        <is>
          <t>Specified number of errors allowed before the import process should abort. Setting the error_threshold to 0 means "do not stop import because of errors." As of Service Update 14.1 and higher, this value is no longer used to determine error threshold. However, leave the value that is already defined in this field. There is no need to change or omit this value. Concur Operations determines this value.</t>
        </is>
      </c>
      <c r="M9" s="47" t="n"/>
    </row>
    <row r="10">
      <c r="A10" s="36" t="inlineStr">
        <is>
          <t>Default Country Code</t>
        </is>
      </c>
      <c r="B10" s="37" t="inlineStr">
        <is>
          <t>(dtsx literal)</t>
        </is>
      </c>
      <c r="C10" s="38" t="n"/>
      <c r="D10" s="38" t="n"/>
      <c r="E10" s="39" t="inlineStr">
        <is>
          <t>Hardcoded '' — so the import falls back to US as the default country for any vendor row without a country code.</t>
        </is>
      </c>
      <c r="F10" s="38" t="n"/>
      <c r="G10" s="38" t="n"/>
      <c r="H10" s="48" t="inlineStr">
        <is>
          <t>(blank)</t>
        </is>
      </c>
      <c r="I10" s="48" t="inlineStr">
        <is>
          <t>(blank)</t>
        </is>
      </c>
      <c r="J10" s="41" t="inlineStr">
        <is>
          <t>Two characters; case insensitive ISO Country Code</t>
        </is>
      </c>
      <c r="K10" s="49" t="inlineStr">
        <is>
          <t>N</t>
        </is>
      </c>
      <c r="L10" s="41" t="inlineStr">
        <is>
          <t>This is a 2-character country default code.
If a vendor record does not include a country code, use this default value.
If no value is provided, the import defaults to US as the default country code.
Note: The 2-character code must be upper case.</t>
        </is>
      </c>
      <c r="M10" s="41" t="n"/>
    </row>
    <row r="11">
      <c r="A11" s="43" t="inlineStr">
        <is>
          <t>Pay Method Type</t>
        </is>
      </c>
      <c r="B11" s="44" t="inlineStr">
        <is>
          <t>(dtsx literal)</t>
        </is>
      </c>
      <c r="C11" s="38" t="n"/>
      <c r="D11" s="38" t="n"/>
      <c r="E11" s="45" t="inlineStr">
        <is>
          <t>Hardcoded '' — defaults to CLIENT.</t>
        </is>
      </c>
      <c r="F11" s="38" t="n"/>
      <c r="G11" s="38" t="n"/>
      <c r="H11" s="50" t="inlineStr">
        <is>
          <t>(blank)</t>
        </is>
      </c>
      <c r="I11" s="50" t="inlineStr">
        <is>
          <t>(blank)</t>
        </is>
      </c>
      <c r="J11" s="47" t="inlineStr">
        <is>
          <t>Accepted values:
ACH
CHECK
CLIENT (Default if no value entered)
WIRE
PAYPVD (Payment Provider)
CARD
VCHER (Voucher Card)</t>
        </is>
      </c>
      <c r="K11" s="51" t="inlineStr">
        <is>
          <t>N</t>
        </is>
      </c>
      <c r="L11" s="47" t="inlineStr">
        <is>
          <t>The backup payment method to be used in lieu of a specified value in the 200-level field of the same name.
Note: If no value is supplied, the field will default to CLIENT. This indicates that the client will reimburse outside the Invoice Pay system (for example, by cash or non-ACH generated check.</t>
        </is>
      </c>
      <c r="M11" s="47" t="n"/>
    </row>
  </sheetData>
  <autoFilter ref="A7:M11"/>
  <hyperlinks>
    <hyperlink xmlns:r="http://schemas.openxmlformats.org/officeDocument/2006/relationships" ref="A3" r:id="rId1"/>
    <hyperlink ref="A5" location="Index!A1" display="Back to Index"/>
  </hyperlinks>
  <pageMargins left="0.75" right="0.75" top="1" bottom="1" header="0.5" footer="0.5"/>
  <pageSetup orientation="landscape" fitToWidth="1"/>
</worksheet>
</file>

<file path=xl/worksheets/sheet4.xml><?xml version="1.0" encoding="utf-8"?>
<worksheet xmlns="http://schemas.openxmlformats.org/spreadsheetml/2006/main">
  <sheetPr>
    <outlinePr summaryBelow="1" summaryRight="1"/>
    <pageSetUpPr fitToPage="1"/>
  </sheetPr>
  <dimension ref="A1:M72"/>
  <sheetViews>
    <sheetView showGridLines="0" workbookViewId="0">
      <pane xSplit="1" ySplit="7" topLeftCell="B8" activePane="bottomRight" state="frozen"/>
      <selection pane="topRight" activeCell="A1" sqref="A1"/>
      <selection pane="bottomLeft" activeCell="A1" sqref="A1"/>
      <selection pane="bottomRight" activeCell="A1" sqref="A1"/>
    </sheetView>
  </sheetViews>
  <sheetFormatPr baseColWidth="8" defaultRowHeight="15"/>
  <cols>
    <col width="30" customWidth="1" min="1" max="1"/>
    <col width="24" customWidth="1" min="2" max="2"/>
    <col width="26" customWidth="1" min="3" max="3"/>
    <col width="26" customWidth="1" min="4" max="4"/>
    <col width="52" customWidth="1" min="5" max="5"/>
    <col width="24" customWidth="1" min="6" max="6"/>
    <col width="40" customWidth="1" min="7" max="7"/>
    <col width="26" customWidth="1" min="8" max="8"/>
    <col width="26" customWidth="1" min="9" max="9"/>
    <col width="30" customWidth="1" min="10" max="10"/>
    <col width="11" customWidth="1" min="11" max="11"/>
    <col width="62" customWidth="1" min="12" max="12"/>
    <col width="24" customWidth="1" min="13" max="13"/>
  </cols>
  <sheetData>
    <row r="1">
      <c r="A1" s="28" t="inlineStr">
        <is>
          <t>Vendor (Record Type 200)</t>
        </is>
      </c>
    </row>
    <row r="2">
      <c r="A2" s="29" t="inlineStr">
        <is>
          <t>Section: Approved Vendor v3</t>
        </is>
      </c>
    </row>
    <row r="3">
      <c r="A3" s="30" t="inlineStr">
        <is>
          <t>https://help.sap.com/docs/concur-invoice/concur-invoice-professional-edition-administration-guides/vendor-record-type-200-9c92487a861b4164b330e8283af8bd83</t>
        </is>
      </c>
    </row>
    <row r="4">
      <c r="A4" s="31" t="inlineStr">
        <is>
          <t>Source: SAP Help Portal, Concur Invoice Professional Edition Administration Guides (2026_08). Retrieved 2026-09-11. Ranged fields in the source are expanded to one row per field; each shares the range's definition and description.</t>
        </is>
      </c>
    </row>
    <row r="5" ht="18" customHeight="1">
      <c r="A5" s="12" t="inlineStr">
        <is>
          <t>◀  Back to Index</t>
        </is>
      </c>
    </row>
    <row r="6">
      <c r="A6" s="32" t="inlineStr">
        <is>
          <t>Extract chain: App_Concur.dbo.p_concurinvoicepo_get_vendor  &lt;-  App_Concur.dbo.vw_concur_extract_po_vendor (ven); filter ven.country_code is not null  &lt;-  M3: M3 CIDMAS (C) / CIDADR (A) / CIDVEN (B); filter IDCONO = '910', deleted = 0. SSIS: BGIDW_ASR_M3_Daily &gt; Package\Vendor New\Vendors, system_id 33 -&gt; DW_BGI_OpData.dbo.vendor   |   JBA: JBA AULT1F2PRD.PLP05 (a) / PRDMODSF4.PLP05X / Ault1F2PRD.T1P1A01P (contact, APPL1A='PL', CTNU1A=1) / zclib.zccity; filter SUPN05 &lt;&gt; '' and not (CONO05 = '69' and SUPN05 = 'REC02'). SSIS: BGIDW_Aurora_Daily &gt; Package\Vendors\Load Vendors, system_id 1 -&gt; DW_BGI_OpData.dbo.vendor   |   ERP SQL lives in the SSIS packages — see the Sources tab.   |   Samples: M3 = vendor 008820044 ULINE, JBA = vendor 0096102900 Ryerson (from the delivered files; '(blank)' means the field was empty)</t>
        </is>
      </c>
    </row>
    <row r="7" ht="30" customHeight="1">
      <c r="A7" s="13" t="inlineStr">
        <is>
          <t>Field Name</t>
        </is>
      </c>
      <c r="B7" s="33" t="inlineStr">
        <is>
          <t>Mapped From (proc)</t>
        </is>
      </c>
      <c r="C7" s="33" t="inlineStr">
        <is>
          <t>View Column</t>
        </is>
      </c>
      <c r="D7" s="33" t="inlineStr">
        <is>
          <t>M3 Source Field</t>
        </is>
      </c>
      <c r="E7" s="33" t="inlineStr">
        <is>
          <t>M3 Derivation</t>
        </is>
      </c>
      <c r="F7" s="34" t="inlineStr">
        <is>
          <t>JBA Source Field</t>
        </is>
      </c>
      <c r="G7" s="34" t="inlineStr">
        <is>
          <t>JBA Derivation</t>
        </is>
      </c>
      <c r="H7" s="35" t="inlineStr">
        <is>
          <t>Sample - M3</t>
        </is>
      </c>
      <c r="I7" s="35" t="inlineStr">
        <is>
          <t>Sample - JBA</t>
        </is>
      </c>
      <c r="J7" s="13" t="inlineStr">
        <is>
          <t>Definition</t>
        </is>
      </c>
      <c r="K7" s="13" t="inlineStr">
        <is>
          <t>Required?</t>
        </is>
      </c>
      <c r="L7" s="13" t="inlineStr">
        <is>
          <t>Description</t>
        </is>
      </c>
      <c r="M7" s="13" t="inlineStr">
        <is>
          <t>Client Field Definition</t>
        </is>
      </c>
    </row>
    <row r="8">
      <c r="A8" s="36" t="inlineStr">
        <is>
          <t>Record Type</t>
        </is>
      </c>
      <c r="B8" s="37" t="inlineStr">
        <is>
          <t>record_type</t>
        </is>
      </c>
      <c r="C8" s="38" t="n"/>
      <c r="D8" s="38" t="n"/>
      <c r="E8" s="39" t="inlineStr">
        <is>
          <t>Literal 200.</t>
        </is>
      </c>
      <c r="F8" s="38" t="n"/>
      <c r="G8" s="38" t="n"/>
      <c r="H8" s="40" t="inlineStr">
        <is>
          <t>200</t>
        </is>
      </c>
      <c r="I8" s="40" t="inlineStr">
        <is>
          <t>200</t>
        </is>
      </c>
      <c r="J8" s="41" t="inlineStr">
        <is>
          <t>200</t>
        </is>
      </c>
      <c r="K8" s="42" t="inlineStr">
        <is>
          <t>Y</t>
        </is>
      </c>
      <c r="L8" s="41" t="inlineStr">
        <is>
          <t>This is a static value always equal to 200; indicates the Record Type.</t>
        </is>
      </c>
      <c r="M8" s="41" t="n"/>
    </row>
    <row r="9">
      <c r="A9" s="52" t="inlineStr">
        <is>
          <t>Vendor Header</t>
        </is>
      </c>
      <c r="B9" s="52" t="n"/>
      <c r="C9" s="52" t="n"/>
      <c r="D9" s="52" t="n"/>
      <c r="E9" s="52" t="n"/>
      <c r="F9" s="52" t="n"/>
      <c r="G9" s="52" t="n"/>
      <c r="H9" s="52" t="n"/>
      <c r="I9" s="52" t="n"/>
      <c r="J9" s="52" t="n"/>
      <c r="K9" s="52" t="n"/>
      <c r="L9" s="52" t="n"/>
      <c r="M9" s="52" t="n"/>
    </row>
    <row r="10">
      <c r="A10" s="43" t="inlineStr">
        <is>
          <t>Vendor Code</t>
        </is>
      </c>
      <c r="B10" s="44" t="inlineStr">
        <is>
          <t>vendor_code</t>
        </is>
      </c>
      <c r="C10" s="44" t="inlineStr">
        <is>
          <t>ven.vendor_code</t>
        </is>
      </c>
      <c r="D10" s="53" t="inlineStr">
        <is>
          <t>⚠ none</t>
        </is>
      </c>
      <c r="E10" s="45" t="inlineStr">
        <is>
          <t>cast as varchar(32). Must equal the PO 200 record's Vendor Code or the PO fails with error 2000.  ⚠ Not loaded by either extract — the staging table carries vend_num and vend_seq. This is derived in vw_concur_extract_po_vendor, and the PO 200 record must resolve to the identical value or Concur rejects the PO with error 2000.</t>
        </is>
      </c>
      <c r="F10" s="53" t="inlineStr">
        <is>
          <t>⚠ none</t>
        </is>
      </c>
      <c r="G10" s="53" t="inlineStr">
        <is>
          <t>⚠ Not loaded by either extract — the staging table carries vend_num and vend_seq. This is derived in vw_concur_extract_po_vendor, and the PO 200 record must resolve to the identical value or Concur rejects the PO with error 2000.</t>
        </is>
      </c>
      <c r="H10" s="46" t="inlineStr">
        <is>
          <t>008820044</t>
        </is>
      </c>
      <c r="I10" s="46" t="inlineStr">
        <is>
          <t>0096102900</t>
        </is>
      </c>
      <c r="J10" s="47" t="inlineStr">
        <is>
          <t>Maximum 32 characters; case insensitive</t>
        </is>
      </c>
      <c r="K10" s="42" t="inlineStr">
        <is>
          <t>Y</t>
        </is>
      </c>
      <c r="L10" s="47" t="inlineStr">
        <is>
          <t>This code is used to identify this specific vendor. It is the code the system-of-record for the Vendor Master List uses to uniquely identify a vendor.
Note: For any given Vendor Code there is one Vendor Name. Example: If the same company conducts business as both Acme Paints and San Diego Paints, it must either only do business as San Diego Paints, or register for two different vendor codes—one for each name.</t>
        </is>
      </c>
      <c r="M10" s="47" t="n"/>
    </row>
    <row r="11">
      <c r="A11" s="36" t="inlineStr">
        <is>
          <t>Vendor Name</t>
        </is>
      </c>
      <c r="B11" s="37" t="inlineStr">
        <is>
          <t>vendor_name</t>
        </is>
      </c>
      <c r="C11" s="37" t="inlineStr">
        <is>
          <t>ven.name</t>
        </is>
      </c>
      <c r="D11" s="37" t="inlineStr">
        <is>
          <t>CIDMAS.IDSUNM</t>
        </is>
      </c>
      <c r="E11" s="39" t="inlineStr">
        <is>
          <t>cast as varchar(255).  Loaded as vendor.name.</t>
        </is>
      </c>
      <c r="F11" s="54" t="inlineStr">
        <is>
          <t>PLP05.SNAM05</t>
        </is>
      </c>
      <c r="G11" s="55" t="inlineStr">
        <is>
          <t>Loaded as vendor.name.</t>
        </is>
      </c>
      <c r="H11" s="40" t="inlineStr">
        <is>
          <t>ULINE</t>
        </is>
      </c>
      <c r="I11" s="40" t="inlineStr">
        <is>
          <t>JOSEPH T RYERSON &amp; SON, INC</t>
        </is>
      </c>
      <c r="J11" s="41" t="inlineStr">
        <is>
          <t>Maximum 255 characters; case insensitive</t>
        </is>
      </c>
      <c r="K11" s="49" t="inlineStr">
        <is>
          <t>N</t>
        </is>
      </c>
      <c r="L11" s="41" t="inlineStr">
        <is>
          <t>This is the vendor's name.
Note: For any given Vendor Name there is one Vendor Code. Example: If the same company conducts business as both Acme Paints and San Diego Paints, it must register for two different vendor codes—one for each name.</t>
        </is>
      </c>
      <c r="M11" s="41" t="n"/>
    </row>
    <row r="12">
      <c r="A12" s="43" t="inlineStr">
        <is>
          <t>Tax ID</t>
        </is>
      </c>
      <c r="B12" s="44" t="inlineStr">
        <is>
          <t>tax_id</t>
        </is>
      </c>
      <c r="C12" s="44" t="inlineStr">
        <is>
          <t>ven.tax_id</t>
        </is>
      </c>
      <c r="D12" s="53" t="inlineStr">
        <is>
          <t>⚠ none</t>
        </is>
      </c>
      <c r="E12" s="45" t="inlineStr">
        <is>
          <t>cast as varchar(48).  ⚠ The M3 vendor extract does not select this column at all, so it is blank for every M3 vendor.</t>
        </is>
      </c>
      <c r="F12" s="56" t="inlineStr">
        <is>
          <t>PLP05.VTID05</t>
        </is>
      </c>
      <c r="G12" s="57" t="inlineStr">
        <is>
          <t>Loaded as vendor.tax_id.</t>
        </is>
      </c>
      <c r="H12" s="50" t="inlineStr">
        <is>
          <t>(blank)</t>
        </is>
      </c>
      <c r="I12" s="50" t="inlineStr">
        <is>
          <t>(blank)</t>
        </is>
      </c>
      <c r="J12" s="47" t="inlineStr">
        <is>
          <t>Maximum 48 characters; case insensitive</t>
        </is>
      </c>
      <c r="K12" s="51" t="inlineStr">
        <is>
          <t>N</t>
        </is>
      </c>
      <c r="L12" s="47" t="inlineStr">
        <is>
          <t>This is the vendor's unique tax identification number.
Note: If two or more records include identical Vendor Code and Vendor Name values, then this record must also be identical for each record, otherwise leave this record blank.</t>
        </is>
      </c>
      <c r="M12" s="47" t="n"/>
    </row>
    <row r="13">
      <c r="A13" s="36" t="inlineStr">
        <is>
          <t>Default Employee ID</t>
        </is>
      </c>
      <c r="B13" s="37" t="inlineStr">
        <is>
          <t>default_employee_id</t>
        </is>
      </c>
      <c r="C13" s="38" t="n"/>
      <c r="D13" s="38" t="n"/>
      <c r="E13" s="39" t="inlineStr">
        <is>
          <t>Proc emits '' (empty string) — never populated.</t>
        </is>
      </c>
      <c r="F13" s="38" t="n"/>
      <c r="G13" s="38" t="n"/>
      <c r="H13" s="48" t="inlineStr">
        <is>
          <t>(blank)</t>
        </is>
      </c>
      <c r="I13" s="48" t="inlineStr">
        <is>
          <t>(blank)</t>
        </is>
      </c>
      <c r="J13" s="41" t="inlineStr">
        <is>
          <t>Maximum 48 characters; case insensitive</t>
        </is>
      </c>
      <c r="K13" s="49" t="inlineStr">
        <is>
          <t>N</t>
        </is>
      </c>
      <c r="L13" s="41" t="inlineStr">
        <is>
          <t>This field represents the employee ID of the default employee associated with a vendor.
Note: Use "N" as the field value to clear this field of any existing value.</t>
        </is>
      </c>
      <c r="M13" s="41" t="n"/>
    </row>
    <row r="14">
      <c r="A14" s="43" t="inlineStr">
        <is>
          <t>Default Expense Type Name</t>
        </is>
      </c>
      <c r="B14" s="44" t="inlineStr">
        <is>
          <t>default_expense_type_name</t>
        </is>
      </c>
      <c r="C14" s="38" t="n"/>
      <c r="D14" s="38" t="n"/>
      <c r="E14" s="45" t="inlineStr">
        <is>
          <t>Proc emits '' (empty string) — never populated.</t>
        </is>
      </c>
      <c r="F14" s="38" t="n"/>
      <c r="G14" s="38" t="n"/>
      <c r="H14" s="50" t="inlineStr">
        <is>
          <t>(blank)</t>
        </is>
      </c>
      <c r="I14" s="50" t="inlineStr">
        <is>
          <t>(blank)</t>
        </is>
      </c>
      <c r="J14" s="47" t="inlineStr">
        <is>
          <t>Maximum 64 characters; case insensitive</t>
        </is>
      </c>
      <c r="K14" s="51" t="inlineStr">
        <is>
          <t>N</t>
        </is>
      </c>
      <c r="L14" s="47" t="inlineStr">
        <is>
          <t>This field represents the name (in English) of the default Expense Type associated with a vendor.
Note: Use "N" as the field value to clear this field of any existing value.</t>
        </is>
      </c>
      <c r="M14" s="47" t="n"/>
    </row>
    <row r="15">
      <c r="A15" s="36" t="inlineStr">
        <is>
          <t>Account Number</t>
        </is>
      </c>
      <c r="B15" s="37" t="inlineStr">
        <is>
          <t>account_number</t>
        </is>
      </c>
      <c r="C15" s="38" t="n"/>
      <c r="D15" s="38" t="n"/>
      <c r="E15" s="39" t="inlineStr">
        <is>
          <t>Proc emits '' (empty string) — never populated. Invoice Pay service field only.</t>
        </is>
      </c>
      <c r="F15" s="38" t="n"/>
      <c r="G15" s="38" t="n"/>
      <c r="H15" s="48" t="inlineStr">
        <is>
          <t>(blank)</t>
        </is>
      </c>
      <c r="I15" s="48" t="inlineStr">
        <is>
          <t>(blank)</t>
        </is>
      </c>
      <c r="J15" s="41" t="inlineStr">
        <is>
          <t>Maximum 50 characters; case insensitive</t>
        </is>
      </c>
      <c r="K15" s="49" t="inlineStr">
        <is>
          <t>N</t>
        </is>
      </c>
      <c r="L15" s="41" t="inlineStr">
        <is>
          <t>This field represents a buyer's account number as provided by the vendor to the buyer for identification purposes.
Note:
- Invoice Pay service field only. Does not display in Payment Request Accounting extract and cannot be used to copy down data.
- Use "N" as the field value to clear this field of any existing value.
- If two or more records include identical Vendor Code and Vendor Name values, than this record must also be identical for each record, otherwise leave this record blank.</t>
        </is>
      </c>
      <c r="M15" s="41" t="n"/>
    </row>
    <row r="16">
      <c r="A16" s="43" t="inlineStr">
        <is>
          <t>Tax Type</t>
        </is>
      </c>
      <c r="B16" s="44" t="inlineStr">
        <is>
          <t>tax_type</t>
        </is>
      </c>
      <c r="C16" s="38" t="n"/>
      <c r="D16" s="38" t="n"/>
      <c r="E16" s="45" t="inlineStr">
        <is>
          <t>Proc emits '' (empty string) — never populated.</t>
        </is>
      </c>
      <c r="F16" s="38" t="n"/>
      <c r="G16" s="38" t="n"/>
      <c r="H16" s="50" t="inlineStr">
        <is>
          <t>(blank)</t>
        </is>
      </c>
      <c r="I16" s="50" t="inlineStr">
        <is>
          <t>(blank)</t>
        </is>
      </c>
      <c r="J16" s="47" t="inlineStr">
        <is>
          <t>One of the following values only:
DITX - Domestic Taxable
DNTX - Domestic Non Taxable
INTX - International Non Taxable</t>
        </is>
      </c>
      <c r="K16" s="51" t="inlineStr">
        <is>
          <t>N</t>
        </is>
      </c>
      <c r="L16" s="47" t="inlineStr">
        <is>
          <t>This is the tax status of the vendor.</t>
        </is>
      </c>
      <c r="M16" s="47" t="n"/>
    </row>
    <row r="17">
      <c r="A17" s="36" t="inlineStr">
        <is>
          <t>Provincial Tax Identification Number</t>
        </is>
      </c>
      <c r="B17" s="37" t="inlineStr">
        <is>
          <t>provincial_tax_identification_number</t>
        </is>
      </c>
      <c r="C17" s="38" t="n"/>
      <c r="D17" s="38" t="n"/>
      <c r="E17" s="39" t="inlineStr">
        <is>
          <t>Proc emits '' (empty string) — never populated.</t>
        </is>
      </c>
      <c r="F17" s="38" t="n"/>
      <c r="G17" s="38" t="n"/>
      <c r="H17" s="48" t="inlineStr">
        <is>
          <t>(blank)</t>
        </is>
      </c>
      <c r="I17" s="48" t="inlineStr">
        <is>
          <t>(blank)</t>
        </is>
      </c>
      <c r="J17" s="41" t="inlineStr">
        <is>
          <t>Maximum 15 alphanumeric characters</t>
        </is>
      </c>
      <c r="K17" s="49" t="inlineStr">
        <is>
          <t>N</t>
        </is>
      </c>
      <c r="L17" s="41" t="inlineStr">
        <is>
          <t>This is the unique tax identification number for a vendor based on which province the vendor is located.
Clients can add up to fifteen alphanumeric characters (a combination of letters and numbers).</t>
        </is>
      </c>
      <c r="M17" s="41" t="n"/>
    </row>
    <row r="18">
      <c r="A18" s="43" t="inlineStr">
        <is>
          <t>Vendor includes VAT in Unit Price</t>
        </is>
      </c>
      <c r="B18" s="44" t="inlineStr">
        <is>
          <t>vendor_includes_vat_in_unit_price</t>
        </is>
      </c>
      <c r="C18" s="38" t="n"/>
      <c r="D18" s="38" t="n"/>
      <c r="E18" s="45" t="inlineStr">
        <is>
          <t>Proc emits '' (empty string) — never populated. Spec default is N.</t>
        </is>
      </c>
      <c r="F18" s="38" t="n"/>
      <c r="G18" s="38" t="n"/>
      <c r="H18" s="50" t="inlineStr">
        <is>
          <t>(blank)</t>
        </is>
      </c>
      <c r="I18" s="50" t="inlineStr">
        <is>
          <t>(blank)</t>
        </is>
      </c>
      <c r="J18" s="47" t="inlineStr">
        <is>
          <t>1 character (Y or N), default is N; case insensitive</t>
        </is>
      </c>
      <c r="K18" s="51" t="inlineStr">
        <is>
          <t>N</t>
        </is>
      </c>
      <c r="L18" s="47" t="inlineStr">
        <is>
          <t>This indicates whether or not VAT is included in the unit price. If it is, then the system does not include VAT when calculating the gross amount.</t>
        </is>
      </c>
      <c r="M18" s="47" t="n"/>
    </row>
    <row r="19">
      <c r="A19" s="36" t="inlineStr">
        <is>
          <t>Vendor_Future_Use_5</t>
        </is>
      </c>
      <c r="B19" s="37" t="inlineStr">
        <is>
          <t>vendor_future_use_5</t>
        </is>
      </c>
      <c r="C19" s="38" t="n"/>
      <c r="D19" s="38" t="n"/>
      <c r="E19" s="39" t="inlineStr">
        <is>
          <t>Proc emits '' (empty string) — never populated.</t>
        </is>
      </c>
      <c r="F19" s="38" t="n"/>
      <c r="G19" s="38" t="n"/>
      <c r="H19" s="48" t="inlineStr">
        <is>
          <t>(blank)</t>
        </is>
      </c>
      <c r="I19" s="48" t="inlineStr">
        <is>
          <t>(blank)</t>
        </is>
      </c>
      <c r="J19" s="41" t="inlineStr">
        <is>
          <t>--</t>
        </is>
      </c>
      <c r="K19" s="49" t="inlineStr">
        <is>
          <t>N</t>
        </is>
      </c>
      <c r="L19" s="41" t="inlineStr">
        <is>
          <t>The future use fields are currently not in use (they will be activated in a future service release). They must be accounted for in the data file, but any data included in them will be ignored.</t>
        </is>
      </c>
      <c r="M19" s="41" t="n"/>
    </row>
    <row r="20">
      <c r="A20" s="43" t="inlineStr">
        <is>
          <t>Vendor_Future_Use_6</t>
        </is>
      </c>
      <c r="B20" s="44" t="inlineStr">
        <is>
          <t>vendor_future_use_6</t>
        </is>
      </c>
      <c r="C20" s="38" t="n"/>
      <c r="D20" s="38" t="n"/>
      <c r="E20" s="45" t="inlineStr">
        <is>
          <t>Proc emits '' (empty string) — never populated.</t>
        </is>
      </c>
      <c r="F20" s="38" t="n"/>
      <c r="G20" s="38" t="n"/>
      <c r="H20" s="50" t="inlineStr">
        <is>
          <t>(blank)</t>
        </is>
      </c>
      <c r="I20" s="50" t="inlineStr">
        <is>
          <t>(blank)</t>
        </is>
      </c>
      <c r="J20" s="47" t="inlineStr">
        <is>
          <t>--</t>
        </is>
      </c>
      <c r="K20" s="51" t="inlineStr">
        <is>
          <t>N</t>
        </is>
      </c>
      <c r="L20" s="47" t="inlineStr">
        <is>
          <t>The future use fields are currently not in use (they will be activated in a future service release). They must be accounted for in the data file, but any data included in them will be ignored.</t>
        </is>
      </c>
      <c r="M20" s="47" t="n"/>
    </row>
    <row r="21">
      <c r="A21" s="36" t="inlineStr">
        <is>
          <t>Vendor_Future_Use_7</t>
        </is>
      </c>
      <c r="B21" s="37" t="inlineStr">
        <is>
          <t>vendor_future_use_7</t>
        </is>
      </c>
      <c r="C21" s="38" t="n"/>
      <c r="D21" s="38" t="n"/>
      <c r="E21" s="39" t="inlineStr">
        <is>
          <t>Proc emits '' (empty string) — never populated.</t>
        </is>
      </c>
      <c r="F21" s="38" t="n"/>
      <c r="G21" s="38" t="n"/>
      <c r="H21" s="48" t="inlineStr">
        <is>
          <t>(blank)</t>
        </is>
      </c>
      <c r="I21" s="48" t="inlineStr">
        <is>
          <t>(blank)</t>
        </is>
      </c>
      <c r="J21" s="41" t="inlineStr">
        <is>
          <t>--</t>
        </is>
      </c>
      <c r="K21" s="49" t="inlineStr">
        <is>
          <t>N</t>
        </is>
      </c>
      <c r="L21" s="41" t="inlineStr">
        <is>
          <t>The future use fields are currently not in use (they will be activated in a future service release). They must be accounted for in the data file, but any data included in them will be ignored.</t>
        </is>
      </c>
      <c r="M21" s="41" t="n"/>
    </row>
    <row r="22">
      <c r="A22" s="43" t="inlineStr">
        <is>
          <t>Vendor_Future_Use_8</t>
        </is>
      </c>
      <c r="B22" s="44" t="inlineStr">
        <is>
          <t>vendor_future_use_8</t>
        </is>
      </c>
      <c r="C22" s="38" t="n"/>
      <c r="D22" s="38" t="n"/>
      <c r="E22" s="45" t="inlineStr">
        <is>
          <t>Proc emits '' (empty string) — never populated.</t>
        </is>
      </c>
      <c r="F22" s="38" t="n"/>
      <c r="G22" s="38" t="n"/>
      <c r="H22" s="50" t="inlineStr">
        <is>
          <t>(blank)</t>
        </is>
      </c>
      <c r="I22" s="50" t="inlineStr">
        <is>
          <t>(blank)</t>
        </is>
      </c>
      <c r="J22" s="47" t="inlineStr">
        <is>
          <t>--</t>
        </is>
      </c>
      <c r="K22" s="51" t="inlineStr">
        <is>
          <t>N</t>
        </is>
      </c>
      <c r="L22" s="47" t="inlineStr">
        <is>
          <t>The future use fields are currently not in use (they will be activated in a future service release). They must be accounted for in the data file, but any data included in them will be ignored.</t>
        </is>
      </c>
      <c r="M22" s="47" t="n"/>
    </row>
    <row r="23">
      <c r="A23" s="52" t="inlineStr">
        <is>
          <t>Vendor Address Header</t>
        </is>
      </c>
      <c r="B23" s="52" t="n"/>
      <c r="C23" s="52" t="n"/>
      <c r="D23" s="52" t="n"/>
      <c r="E23" s="52" t="n"/>
      <c r="F23" s="52" t="n"/>
      <c r="G23" s="52" t="n"/>
      <c r="H23" s="52" t="n"/>
      <c r="I23" s="52" t="n"/>
      <c r="J23" s="52" t="n"/>
      <c r="K23" s="52" t="n"/>
      <c r="L23" s="52" t="n"/>
      <c r="M23" s="52" t="n"/>
    </row>
    <row r="24">
      <c r="A24" s="36" t="inlineStr">
        <is>
          <t>Vendor Address ID
(On-demand vendor import name in Excel spreadsheet is Address Import Sync ID)</t>
        </is>
      </c>
      <c r="B24" s="37" t="inlineStr">
        <is>
          <t>vendor_address_id</t>
        </is>
      </c>
      <c r="C24" s="38" t="n"/>
      <c r="D24" s="38" t="n"/>
      <c r="E24" s="58" t="inlineStr">
        <is>
          <t>⚠ Proc emits ''. Per the spec this field is what enables automatic matching of imported vendors to Employee Requested Vendors — blank means that matching never happens. Position is correct: it sits immediately before Vendor Address Code, as the template requires.</t>
        </is>
      </c>
      <c r="F24" s="38" t="n"/>
      <c r="G24" s="38" t="n"/>
      <c r="H24" s="48" t="inlineStr">
        <is>
          <t>(blank)</t>
        </is>
      </c>
      <c r="I24" s="48" t="inlineStr">
        <is>
          <t>(blank)</t>
        </is>
      </c>
      <c r="J24" s="41" t="inlineStr">
        <is>
          <t>Maximum 20 characters; case insensitive</t>
        </is>
      </c>
      <c r="K24" s="49" t="inlineStr">
        <is>
          <t>N (see note next column)</t>
        </is>
      </c>
      <c r="L24" s="41" t="inlineStr">
        <is>
          <t>This ID is originally generated by Concur Invoice when an employee requests a new vendor. The Employee Request Vendor Extract provides this value to positively identify the vendor address record when re-importing vendors from the client's system-of-record for the Vendor Master List.
Note:
- Though this is an optional field, this field is required to enable automatic matching of Imported Vendors to the associated Employee Requested Vendor.
- Not relevant for Approved vendors.</t>
        </is>
      </c>
      <c r="M24" s="41" t="n"/>
    </row>
    <row r="25">
      <c r="A25" s="43" t="inlineStr">
        <is>
          <t>Vendor Address Code
(On-demand vendor import name in Excel spreadsheet is Address Accounting Code)</t>
        </is>
      </c>
      <c r="B25" s="44" t="inlineStr">
        <is>
          <t>vendor_address_code</t>
        </is>
      </c>
      <c r="C25" s="44" t="inlineStr">
        <is>
          <t>ven.vendor_address_code</t>
        </is>
      </c>
      <c r="D25" s="53" t="inlineStr">
        <is>
          <t>⚠ none</t>
        </is>
      </c>
      <c r="E25" s="45" t="inlineStr">
        <is>
          <t>cast as varchar(64). Must equal the PO 200 record's Vendor Address Code — the pair (vendor_code, vendor_address_code) is what Concur matches a PO on.  ⚠ Not loaded by either extract — the staging table carries vend_num and vend_seq. This is derived in vw_concur_extract_po_vendor, and the PO 200 record must resolve to the identical value or Concur rejects the PO with error 2000.</t>
        </is>
      </c>
      <c r="F25" s="53" t="inlineStr">
        <is>
          <t>⚠ none</t>
        </is>
      </c>
      <c r="G25" s="53" t="inlineStr">
        <is>
          <t>⚠ Not loaded by either extract — the staging table carries vend_num and vend_seq. This is derived in vw_concur_extract_po_vendor, and the PO 200 record must resolve to the identical value or Concur rejects the PO with error 2000.</t>
        </is>
      </c>
      <c r="H25" s="46" t="inlineStr">
        <is>
          <t>008820044000</t>
        </is>
      </c>
      <c r="I25" s="46" t="inlineStr">
        <is>
          <t>0096102900000</t>
        </is>
      </c>
      <c r="J25" s="47" t="inlineStr">
        <is>
          <t>Maximum 64 characters; case insensitive</t>
        </is>
      </c>
      <c r="K25" s="42" t="inlineStr">
        <is>
          <t>Y</t>
        </is>
      </c>
      <c r="L25" s="47" t="inlineStr">
        <is>
          <t>It is the code the system-of-record for the Vendor Master List uses to uniquely identify a vendor address. This code must be unique for the specified Vendor Code. If your financial system does not have a code for this purpose, you must create one for the import (it is a required field). For example, you might be able to use the Postal Code for the address as a "Vendor Address Code". Another example is to use the first 64 characters of the Address 1 line. It simply needs to be a value with up to 64 characters that is unique for the specified Vendor Code.</t>
        </is>
      </c>
      <c r="M25" s="47" t="n"/>
    </row>
    <row r="26">
      <c r="A26" s="36" t="inlineStr">
        <is>
          <t>Currency</t>
        </is>
      </c>
      <c r="B26" s="37" t="inlineStr">
        <is>
          <t>currency</t>
        </is>
      </c>
      <c r="C26" s="37" t="inlineStr">
        <is>
          <t>ven.currency_code</t>
        </is>
      </c>
      <c r="D26" s="37" t="inlineStr">
        <is>
          <t>CIDVEN.IICUCD</t>
        </is>
      </c>
      <c r="E26" s="39" t="inlineStr">
        <is>
          <t>cast as varchar(3). Also the fallback the PO 200 proc uses when the header has no currency.  Loaded as vendor.currency_code.</t>
        </is>
      </c>
      <c r="F26" s="54" t="inlineStr">
        <is>
          <t>PLP05.CURN05</t>
        </is>
      </c>
      <c r="G26" s="55" t="inlineStr">
        <is>
          <t>CASE mapping non-ISO codes: CAN -&gt; CAD, PES -&gt; MXN, RMB -&gt; CNX; everything else passes through.</t>
        </is>
      </c>
      <c r="H26" s="40" t="inlineStr">
        <is>
          <t>USD</t>
        </is>
      </c>
      <c r="I26" s="40" t="inlineStr">
        <is>
          <t>USD</t>
        </is>
      </c>
      <c r="J26" s="41" t="inlineStr">
        <is>
          <t>Maximum 3 characters; case insensitive</t>
        </is>
      </c>
      <c r="K26" s="42" t="inlineStr">
        <is>
          <t>Y</t>
        </is>
      </c>
      <c r="L26" s="41" t="inlineStr">
        <is>
          <t>This field represents the three-character Alpha Code of the reimbursement currency for a vendor. This field is required.</t>
        </is>
      </c>
      <c r="M26" s="41" t="n"/>
    </row>
    <row r="27">
      <c r="A27" s="43" t="inlineStr">
        <is>
          <t>Payment Term Days</t>
        </is>
      </c>
      <c r="B27" s="44" t="inlineStr">
        <is>
          <t>payment_term_days</t>
        </is>
      </c>
      <c r="C27" s="44" t="inlineStr">
        <is>
          <t>ven.payment_terms</t>
        </is>
      </c>
      <c r="D27" s="44" t="inlineStr">
        <is>
          <t>CIDVEN.IITEPY</t>
        </is>
      </c>
      <c r="E27" s="45" t="inlineStr">
        <is>
          <t>cast as int. The PO 200 record takes its Payment Terms from this same vendor column.  LEFT(REPLACE(IITEPY, 'N', ''), 20) — a terms CODE stripped of 'N', then cast to int by the Concur proc.</t>
        </is>
      </c>
      <c r="F27" s="56" t="inlineStr">
        <is>
          <t>PLP05.PTTD05</t>
        </is>
      </c>
      <c r="G27" s="57" t="inlineStr">
        <is>
          <t>cast(PTTD05 as varchar(20)), then cast to int by the Concur proc.</t>
        </is>
      </c>
      <c r="H27" s="46" t="inlineStr">
        <is>
          <t>60</t>
        </is>
      </c>
      <c r="I27" s="46" t="inlineStr">
        <is>
          <t>45</t>
        </is>
      </c>
      <c r="J27" s="47" t="inlineStr">
        <is>
          <t>Integer, between 1 and 999</t>
        </is>
      </c>
      <c r="K27" s="51" t="inlineStr">
        <is>
          <t>N</t>
        </is>
      </c>
      <c r="L27" s="47" t="inlineStr">
        <is>
          <t>This field represents the number of days by which a payment must be made, for example, 30 days.</t>
        </is>
      </c>
      <c r="M27" s="47" t="n"/>
    </row>
    <row r="28">
      <c r="A28" s="36" t="inlineStr">
        <is>
          <t>Pay Method Type</t>
        </is>
      </c>
      <c r="B28" s="37" t="inlineStr">
        <is>
          <t>pay_method_type</t>
        </is>
      </c>
      <c r="C28" s="38" t="n"/>
      <c r="D28" s="38" t="n"/>
      <c r="E28" s="39" t="inlineStr">
        <is>
          <t>Proc emits '' (empty string) — never populated. Spec defaults blank to CLIENT, i.e. the client reimburses outside Invoice Pay.</t>
        </is>
      </c>
      <c r="F28" s="38" t="n"/>
      <c r="G28" s="38" t="n"/>
      <c r="H28" s="48" t="inlineStr">
        <is>
          <t>(blank)</t>
        </is>
      </c>
      <c r="I28" s="48" t="inlineStr">
        <is>
          <t>(blank)</t>
        </is>
      </c>
      <c r="J28" s="41" t="inlineStr">
        <is>
          <t>Accepted values:
ACH
CHECK
CLIENT (Default if no value entered)
WIRE
PAYPVD (Payment Provider)
CARD
VCHER (Voucher Card)</t>
        </is>
      </c>
      <c r="K28" s="49" t="inlineStr">
        <is>
          <t>N</t>
        </is>
      </c>
      <c r="L28" s="41" t="inlineStr">
        <is>
          <t>This field represents the way in which the payer intends to reimburse the vendor for the good or service rendered.
Note: If no value is supplied, the field will default to CLIENT. This indicates that the client will reimburse outside the Invoice Pay system (for example, by cash or non-ACH generated check.</t>
        </is>
      </c>
      <c r="M28" s="41" t="n"/>
    </row>
    <row r="29">
      <c r="A29" s="43" t="inlineStr">
        <is>
          <t>Shipping Terms</t>
        </is>
      </c>
      <c r="B29" s="44" t="inlineStr">
        <is>
          <t>shipping_terms</t>
        </is>
      </c>
      <c r="C29" s="44" t="inlineStr">
        <is>
          <t>ven.terms</t>
        </is>
      </c>
      <c r="D29" s="53" t="inlineStr">
        <is>
          <t>⚠ none</t>
        </is>
      </c>
      <c r="E29" s="45" t="inlineStr">
        <is>
          <t>cast(ven.terms as varchar(10)) — note this is ven.terms, a different column from ven.payment_terms used above. Confirm ven.terms really holds shipping terms and not payment terms.  ⚠ The proc reads ven.terms, which NEITHER extract populates — M3 and JBA both load payment_terms only. Shipping Terms will be blank on every vendor row.</t>
        </is>
      </c>
      <c r="F29" s="53" t="inlineStr">
        <is>
          <t>⚠ none</t>
        </is>
      </c>
      <c r="G29" s="53" t="inlineStr">
        <is>
          <t>⚠ Same — no terms column is loaded by the JBA extract either.</t>
        </is>
      </c>
      <c r="H29" s="50" t="inlineStr">
        <is>
          <t>(blank)</t>
        </is>
      </c>
      <c r="I29" s="50" t="inlineStr">
        <is>
          <t>(blank)</t>
        </is>
      </c>
      <c r="J29" s="47" t="inlineStr">
        <is>
          <t>Maximum 10 characters</t>
        </is>
      </c>
      <c r="K29" s="51" t="n"/>
      <c r="L29" s="47" t="inlineStr">
        <is>
          <t>The code representing shipping terms with a supplier.</t>
        </is>
      </c>
      <c r="M29" s="47" t="n"/>
    </row>
    <row r="30">
      <c r="A30" s="36" t="inlineStr">
        <is>
          <t>Shipping Method</t>
        </is>
      </c>
      <c r="B30" s="37" t="inlineStr">
        <is>
          <t>shipping_method</t>
        </is>
      </c>
      <c r="C30" s="38" t="n"/>
      <c r="D30" s="38" t="n"/>
      <c r="E30" s="39" t="inlineStr">
        <is>
          <t>Proc emits '' (empty string) — never populated.</t>
        </is>
      </c>
      <c r="F30" s="38" t="n"/>
      <c r="G30" s="38" t="n"/>
      <c r="H30" s="48" t="inlineStr">
        <is>
          <t>(blank)</t>
        </is>
      </c>
      <c r="I30" s="48" t="inlineStr">
        <is>
          <t>(blank)</t>
        </is>
      </c>
      <c r="J30" s="41" t="inlineStr">
        <is>
          <t>Maximum 10 characters</t>
        </is>
      </c>
      <c r="K30" s="49" t="n"/>
      <c r="L30" s="41" t="inlineStr">
        <is>
          <t>The code representing the shipping method by which the supplier ships an item.</t>
        </is>
      </c>
      <c r="M30" s="41" t="n"/>
    </row>
    <row r="31">
      <c r="A31" s="43" t="inlineStr">
        <is>
          <t>Discount Term Days</t>
        </is>
      </c>
      <c r="B31" s="44" t="inlineStr">
        <is>
          <t>discount_term_days</t>
        </is>
      </c>
      <c r="C31" s="44" t="inlineStr">
        <is>
          <t>ven.discount_days</t>
        </is>
      </c>
      <c r="D31" s="53" t="inlineStr">
        <is>
          <t>⚠ none</t>
        </is>
      </c>
      <c r="E31" s="45" t="inlineStr">
        <is>
          <t>cast as int.  ⚠ The M3 vendor extract does not select this column at all, so it is blank for every M3 vendor.</t>
        </is>
      </c>
      <c r="F31" s="56" t="inlineStr">
        <is>
          <t>(literal '')</t>
        </is>
      </c>
      <c r="G31" s="57" t="inlineStr">
        <is>
          <t>JBA selects '' as discount_days. cast('' as int) yields 0, so every vendor gets zero discount days.</t>
        </is>
      </c>
      <c r="H31" s="50" t="inlineStr">
        <is>
          <t>(blank)</t>
        </is>
      </c>
      <c r="I31" s="46" t="inlineStr">
        <is>
          <t>0</t>
        </is>
      </c>
      <c r="J31" s="47" t="inlineStr">
        <is>
          <t>Integer greater than 0 and less than 999</t>
        </is>
      </c>
      <c r="K31" s="51" t="n"/>
      <c r="L31" s="47" t="inlineStr">
        <is>
          <t>This field represents the discount terms, in days, for a vendor.
Note: The data in this field is for information purposes only. It is not used in any calculations.</t>
        </is>
      </c>
      <c r="M31" s="47" t="n"/>
    </row>
    <row r="32">
      <c r="A32" s="36" t="inlineStr">
        <is>
          <t>Discount Percentage</t>
        </is>
      </c>
      <c r="B32" s="37" t="inlineStr">
        <is>
          <t>discount_percentage</t>
        </is>
      </c>
      <c r="C32" s="37" t="inlineStr">
        <is>
          <t>ven.discount</t>
        </is>
      </c>
      <c r="D32" s="58" t="inlineStr">
        <is>
          <t>⚠ none</t>
        </is>
      </c>
      <c r="E32" s="39" t="inlineStr">
        <is>
          <t>cast(case when ven.discount = '' then null else ven.discount end as decimal(11,8)) — the empty-string guard was added because ven.discount is character data and a direct cast fails on ''.  ⚠ The M3 vendor extract does not select this column at all, so it is blank for every M3 vendor.</t>
        </is>
      </c>
      <c r="F32" s="54" t="inlineStr">
        <is>
          <t>(literal '')</t>
        </is>
      </c>
      <c r="G32" s="55" t="inlineStr">
        <is>
          <t>JBA selects '' as discount. This is exactly why the proc needs its case when ven.discount = '' then null guard.</t>
        </is>
      </c>
      <c r="H32" s="48" t="inlineStr">
        <is>
          <t>(blank)</t>
        </is>
      </c>
      <c r="I32" s="48" t="inlineStr">
        <is>
          <t>(blank)</t>
        </is>
      </c>
      <c r="J32" s="41" t="inlineStr">
        <is>
          <t>Number (11,8) 11 numbers maximum, with no more than 8 numbers to the right of the decimal</t>
        </is>
      </c>
      <c r="K32" s="49" t="n"/>
      <c r="L32" s="41" t="inlineStr">
        <is>
          <t>The discount from the supplier if the terms of the discount (Discount Term Days) terms are met by the client.
Note: The data in this field is for information purposes only. It is not used in any calculations.</t>
        </is>
      </c>
      <c r="M32" s="41" t="n"/>
    </row>
    <row r="33">
      <c r="A33" s="43" t="inlineStr">
        <is>
          <t>Is Vendor Visible for content Extraction</t>
        </is>
      </c>
      <c r="B33" s="44" t="inlineStr">
        <is>
          <t>is_vendor_visible_for_content_extration</t>
        </is>
      </c>
      <c r="C33" s="38" t="n"/>
      <c r="D33" s="38" t="n"/>
      <c r="E33" s="45" t="inlineStr">
        <is>
          <t>Proc emits '' (empty string) — never populated. Note the proc's alias is misspelled 'extration'; harmless if read positionally.</t>
        </is>
      </c>
      <c r="F33" s="38" t="n"/>
      <c r="G33" s="38" t="n"/>
      <c r="H33" s="50" t="inlineStr">
        <is>
          <t>(blank)</t>
        </is>
      </c>
      <c r="I33" s="50" t="inlineStr">
        <is>
          <t>(blank)</t>
        </is>
      </c>
      <c r="J33" s="47" t="inlineStr">
        <is>
          <t>1 character (Y or N), default of N; case insensitive</t>
        </is>
      </c>
      <c r="K33" s="51" t="inlineStr">
        <is>
          <t>N</t>
        </is>
      </c>
      <c r="L33" s="47" t="inlineStr">
        <is>
          <t>(Optional) Ignored if the Capture Processing module is not enabled.
Includes or excludes a vendor from being included in the invoice generated via OCR processing in Capture Processing.</t>
        </is>
      </c>
      <c r="M33" s="47" t="n"/>
    </row>
    <row r="34">
      <c r="A34" s="36" t="inlineStr">
        <is>
          <t>Voucher Notes</t>
        </is>
      </c>
      <c r="B34" s="37" t="inlineStr">
        <is>
          <t>voucher_notes</t>
        </is>
      </c>
      <c r="C34" s="38" t="n"/>
      <c r="D34" s="38" t="n"/>
      <c r="E34" s="39" t="inlineStr">
        <is>
          <t>Proc emits '' (empty string) — never populated.</t>
        </is>
      </c>
      <c r="F34" s="38" t="n"/>
      <c r="G34" s="38" t="n"/>
      <c r="H34" s="48" t="inlineStr">
        <is>
          <t>(blank)</t>
        </is>
      </c>
      <c r="I34" s="48" t="inlineStr">
        <is>
          <t>(blank)</t>
        </is>
      </c>
      <c r="J34" s="41" t="inlineStr">
        <is>
          <t>Maximum 250 characters; case insensitive</t>
        </is>
      </c>
      <c r="K34" s="49" t="inlineStr">
        <is>
          <t>N</t>
        </is>
      </c>
      <c r="L34" s="41" t="inlineStr">
        <is>
          <t>Notes that are included in the Payment Card Voucher email when the Card Voucher (VCHER) payment type is used.</t>
        </is>
      </c>
      <c r="M34" s="41" t="n"/>
    </row>
    <row r="35">
      <c r="A35" s="43" t="inlineStr">
        <is>
          <t>Vendor Form Name</t>
        </is>
      </c>
      <c r="B35" s="44" t="inlineStr">
        <is>
          <t>vendor_form_name</t>
        </is>
      </c>
      <c r="C35" s="38" t="n"/>
      <c r="D35" s="38" t="n"/>
      <c r="E35" s="45" t="inlineStr">
        <is>
          <t>Proc emits '' (empty string) — never populated. The vendor form then comes from the Vendor Manager's group and policy.</t>
        </is>
      </c>
      <c r="F35" s="38" t="n"/>
      <c r="G35" s="38" t="n"/>
      <c r="H35" s="50" t="inlineStr">
        <is>
          <t>(blank)</t>
        </is>
      </c>
      <c r="I35" s="50" t="inlineStr">
        <is>
          <t>(blank)</t>
        </is>
      </c>
      <c r="J35" s="47" t="inlineStr">
        <is>
          <t>Maximum 64 characters; case insensitive</t>
        </is>
      </c>
      <c r="K35" s="51" t="inlineStr">
        <is>
          <t>N</t>
        </is>
      </c>
      <c r="L35" s="47" t="inlineStr">
        <is>
          <t>This is the name of the form with which the vendor is associated. When the Vendor Manager views the vendor, the information will appear in the specified vendor form.
If this field is not populated, the Vendor Form associated to the Vendor Manager’s Group and Policy will be displayed.</t>
        </is>
      </c>
      <c r="M35" s="47" t="n"/>
    </row>
    <row r="36">
      <c r="A36" s="36" t="inlineStr">
        <is>
          <t>Delete Address?</t>
        </is>
      </c>
      <c r="B36" s="37" t="inlineStr">
        <is>
          <t>delete_address</t>
        </is>
      </c>
      <c r="C36" s="38" t="n"/>
      <c r="D36" s="37" t="inlineStr">
        <is>
          <t>CIDMAS.IDSTAT</t>
        </is>
      </c>
      <c r="E36" s="39" t="inlineStr">
        <is>
          <t>Proc emits '' (empty string) — never populated. Spec default is N, so no address is ever deactivated by this feed.  M3 loads the status into vendor.active_flag, and JBA loads CASE WHEN RSTS05 = ' ' THEN 1 ELSE 0 — but the proc emits '' for Delete Address, so an inactive vendor is never deactivated in Concur.</t>
        </is>
      </c>
      <c r="F36" s="54" t="inlineStr">
        <is>
          <t>PLP05.RSTS05</t>
        </is>
      </c>
      <c r="G36" s="55" t="inlineStr">
        <is>
          <t>Loaded as vendor.active_flag; never read by the proc.</t>
        </is>
      </c>
      <c r="H36" s="48" t="inlineStr">
        <is>
          <t>(blank)</t>
        </is>
      </c>
      <c r="I36" s="48" t="inlineStr">
        <is>
          <t>(blank)</t>
        </is>
      </c>
      <c r="J36" s="41" t="inlineStr">
        <is>
          <t>1 character (Y or N), default of N; case insensitive</t>
        </is>
      </c>
      <c r="K36" s="49" t="inlineStr">
        <is>
          <t>N</t>
        </is>
      </c>
      <c r="L36" s="41" t="inlineStr">
        <is>
          <t>If Y, the existing address record will be removed from the Approved Vendor List preventing Invoice users from using this vendor address in new invoice.
Note: The system will prompt the user to select a different vendor for invoices associated with a deactivated vendor.</t>
        </is>
      </c>
      <c r="M36" s="41" t="n"/>
    </row>
    <row r="37">
      <c r="A37" s="52" t="inlineStr">
        <is>
          <t>Vendor Address Detail</t>
        </is>
      </c>
      <c r="B37" s="52" t="n"/>
      <c r="C37" s="52" t="n"/>
      <c r="D37" s="52" t="n"/>
      <c r="E37" s="52" t="n"/>
      <c r="F37" s="52" t="n"/>
      <c r="G37" s="52" t="n"/>
      <c r="H37" s="52" t="n"/>
      <c r="I37" s="52" t="n"/>
      <c r="J37" s="52" t="n"/>
      <c r="K37" s="52" t="n"/>
      <c r="L37" s="52" t="n"/>
      <c r="M37" s="52" t="n"/>
    </row>
    <row r="38">
      <c r="A38" s="43" t="inlineStr">
        <is>
          <t>Address Line 1</t>
        </is>
      </c>
      <c r="B38" s="44" t="inlineStr">
        <is>
          <t>address_line_1</t>
        </is>
      </c>
      <c r="C38" s="44" t="inlineStr">
        <is>
          <t>ven.address_line_1</t>
        </is>
      </c>
      <c r="D38" s="44" t="inlineStr">
        <is>
          <t>CIDADR.SAADR1</t>
        </is>
      </c>
      <c r="E38" s="45" t="inlineStr">
        <is>
          <t>cast as varchar(255).  Loaded as vendor.address_1.</t>
        </is>
      </c>
      <c r="F38" s="56" t="inlineStr">
        <is>
          <t>PLP05.SAD105</t>
        </is>
      </c>
      <c r="G38" s="57" t="inlineStr">
        <is>
          <t>Loaded as vendor.address_1.</t>
        </is>
      </c>
      <c r="H38" s="50" t="inlineStr">
        <is>
          <t>(blank)</t>
        </is>
      </c>
      <c r="I38" s="46" t="inlineStr">
        <is>
          <t>17200 FOLTZ PARKWAY</t>
        </is>
      </c>
      <c r="J38" s="47" t="inlineStr">
        <is>
          <t>Maximum 255 characters; case insensitive</t>
        </is>
      </c>
      <c r="K38" s="51" t="inlineStr">
        <is>
          <t>N</t>
        </is>
      </c>
      <c r="L38" s="47" t="inlineStr">
        <is>
          <t>The three address lines are all optional; however, if used, address1 must be filled before address2, and address2 must be filled before address3. Gaps are not permitted.
Note: Address 3 does not appear on the printed check.</t>
        </is>
      </c>
      <c r="M38" s="47" t="n"/>
    </row>
    <row r="39">
      <c r="A39" s="36" t="inlineStr">
        <is>
          <t>Address Line 2</t>
        </is>
      </c>
      <c r="B39" s="37" t="inlineStr">
        <is>
          <t>address_line_2</t>
        </is>
      </c>
      <c r="C39" s="37" t="inlineStr">
        <is>
          <t>ven.address_line_2</t>
        </is>
      </c>
      <c r="D39" s="37" t="inlineStr">
        <is>
          <t>CIDADR.SAADR2</t>
        </is>
      </c>
      <c r="E39" s="39" t="inlineStr">
        <is>
          <t>cast as varchar(255).  Loaded as vendor.address_2.</t>
        </is>
      </c>
      <c r="F39" s="54" t="inlineStr">
        <is>
          <t>PLP05.SAD205</t>
        </is>
      </c>
      <c r="G39" s="55" t="inlineStr">
        <is>
          <t>Loaded as vendor.address_2.</t>
        </is>
      </c>
      <c r="H39" s="40" t="inlineStr">
        <is>
          <t>2200 S. LAKESIDE DRIVE</t>
        </is>
      </c>
      <c r="I39" s="48" t="inlineStr">
        <is>
          <t>(blank)</t>
        </is>
      </c>
      <c r="J39" s="41" t="inlineStr">
        <is>
          <t>Maximum 255 characters; case insensitive</t>
        </is>
      </c>
      <c r="K39" s="49" t="inlineStr">
        <is>
          <t>N</t>
        </is>
      </c>
      <c r="L39" s="41" t="n"/>
      <c r="M39" s="41" t="n"/>
    </row>
    <row r="40">
      <c r="A40" s="43" t="inlineStr">
        <is>
          <t>Address Line 3</t>
        </is>
      </c>
      <c r="B40" s="44" t="inlineStr">
        <is>
          <t>address_line_3</t>
        </is>
      </c>
      <c r="C40" s="44" t="inlineStr">
        <is>
          <t>ven.address_line_3</t>
        </is>
      </c>
      <c r="D40" s="44" t="inlineStr">
        <is>
          <t>CIDADR.SAADR3</t>
        </is>
      </c>
      <c r="E40" s="45" t="inlineStr">
        <is>
          <t>cast as varchar(255).  ⚠ M3 also loads SAADR4 into vendor.address_4, but the Concur proc reads only address_line_1 through 3 — so the fourth M3 address line is dropped.</t>
        </is>
      </c>
      <c r="F40" s="56" t="inlineStr">
        <is>
          <t>PLP05.SAD305</t>
        </is>
      </c>
      <c r="G40" s="53" t="inlineStr">
        <is>
          <t>⚠ JBA also loads SAD405 and SAD505 into address_4 and address_5, which the proc likewise never reads.</t>
        </is>
      </c>
      <c r="H40" s="50" t="inlineStr">
        <is>
          <t>(blank)</t>
        </is>
      </c>
      <c r="I40" s="50" t="inlineStr">
        <is>
          <t>(blank)</t>
        </is>
      </c>
      <c r="J40" s="47" t="inlineStr">
        <is>
          <t>Maximum 255 characters; case insensitive</t>
        </is>
      </c>
      <c r="K40" s="51" t="inlineStr">
        <is>
          <t>N</t>
        </is>
      </c>
      <c r="L40" s="47" t="n"/>
      <c r="M40" s="47" t="n"/>
    </row>
    <row r="41">
      <c r="A41" s="36" t="inlineStr">
        <is>
          <t>City</t>
        </is>
      </c>
      <c r="B41" s="37" t="inlineStr">
        <is>
          <t>city</t>
        </is>
      </c>
      <c r="C41" s="37" t="inlineStr">
        <is>
          <t>ven.city</t>
        </is>
      </c>
      <c r="D41" s="37" t="inlineStr">
        <is>
          <t>CIDADR.SATOWN</t>
        </is>
      </c>
      <c r="E41" s="39" t="inlineStr">
        <is>
          <t>cast as varchar(255).  The vendor's own city.</t>
        </is>
      </c>
      <c r="F41" s="54" t="inlineStr">
        <is>
          <t>zclib.zccity.ZCITY</t>
        </is>
      </c>
      <c r="G41" s="58" t="inlineStr">
        <is>
          <t>⚠ Not the vendor's own city field: JBA derives it from a postal-code lookup (LEFT JOIN zccity ON PCD105 = ZCODE) and takes MIN(zcity). Where one postal code maps to several city names, the value is arbitrary.</t>
        </is>
      </c>
      <c r="H41" s="40" t="inlineStr">
        <is>
          <t>WAUKEGAN</t>
        </is>
      </c>
      <c r="I41" s="40" t="inlineStr">
        <is>
          <t>STRONGSVILLE</t>
        </is>
      </c>
      <c r="J41" s="41" t="inlineStr">
        <is>
          <t>Maximum 255 characters; case insensitive</t>
        </is>
      </c>
      <c r="K41" s="49" t="inlineStr">
        <is>
          <t>N</t>
        </is>
      </c>
      <c r="L41" s="41" t="n"/>
      <c r="M41" s="41" t="n"/>
    </row>
    <row r="42">
      <c r="A42" s="43" t="inlineStr">
        <is>
          <t>State or Province</t>
        </is>
      </c>
      <c r="B42" s="44" t="inlineStr">
        <is>
          <t>state</t>
        </is>
      </c>
      <c r="C42" s="44" t="inlineStr">
        <is>
          <t>ven.state</t>
        </is>
      </c>
      <c r="D42" s="44" t="inlineStr">
        <is>
          <t>CIDADR.SAECAR</t>
        </is>
      </c>
      <c r="E42" s="45" t="inlineStr">
        <is>
          <t>cast as varchar(255). Spec requires a 2-character US state code when Check Pay is used, and requires the field at all for sanctions-screened countries.  The vendor's own state/region.</t>
        </is>
      </c>
      <c r="F42" s="56" t="inlineStr">
        <is>
          <t>zclib.zccity.ZSTATE</t>
        </is>
      </c>
      <c r="G42" s="53" t="inlineStr">
        <is>
          <t>⚠ Same postal-code lookup, taking MAX(zstate). The spec requires a 2-character US state code when Check Pay is used, and requires the field for sanctions-screened countries.</t>
        </is>
      </c>
      <c r="H42" s="46" t="inlineStr">
        <is>
          <t>IL</t>
        </is>
      </c>
      <c r="I42" s="46" t="inlineStr">
        <is>
          <t>OH</t>
        </is>
      </c>
      <c r="J42" s="47" t="inlineStr">
        <is>
          <t>Maximum 255 characters; case insensitive</t>
        </is>
      </c>
      <c r="K42" s="51" t="inlineStr">
        <is>
          <t>N*</t>
        </is>
      </c>
      <c r="L42" s="47" t="inlineStr">
        <is>
          <t>The state or province of the vendor.
Note: If you use Check Pay and a US state is imported, the value must be the 2-character US state code.
Note: The State/Province fields are now required if the selected vendor has a country defined that requires the state or region to be populated due to the SAP Export Control and Sanctions Compliance Policy.
For example, Ukraine is a country that is not completely embargoed so the State/Province field will be required, and the field value validated against the embargoed states. If the selected vendor is from a non-embargoed country, then the State/Province field is not mandatory.
More Information: Refer to SAP Export Control and Sanctions Compliance Policy.</t>
        </is>
      </c>
      <c r="M42" s="47" t="n"/>
    </row>
    <row r="43">
      <c r="A43" s="36" t="inlineStr">
        <is>
          <t>Postal Code</t>
        </is>
      </c>
      <c r="B43" s="37" t="inlineStr">
        <is>
          <t>postal_code</t>
        </is>
      </c>
      <c r="C43" s="37" t="inlineStr">
        <is>
          <t>ven.postal_code</t>
        </is>
      </c>
      <c r="D43" s="37" t="inlineStr">
        <is>
          <t>CIDADR.SAPONO</t>
        </is>
      </c>
      <c r="E43" s="39" t="inlineStr">
        <is>
          <t>cast as varchar(20).  Loaded as vendor.postal_code1.</t>
        </is>
      </c>
      <c r="F43" s="54" t="inlineStr">
        <is>
          <t>PLP05.PCD105</t>
        </is>
      </c>
      <c r="G43" s="55" t="inlineStr">
        <is>
          <t>Loaded as vendor.postal_code1; PCD205 goes to postal_code2, which the proc never reads.</t>
        </is>
      </c>
      <c r="H43" s="40" t="inlineStr">
        <is>
          <t>60085</t>
        </is>
      </c>
      <c r="I43" s="40" t="inlineStr">
        <is>
          <t xml:space="preserve">44149     </t>
        </is>
      </c>
      <c r="J43" s="41" t="inlineStr">
        <is>
          <t>Maximum 20 characters; case insensitive</t>
        </is>
      </c>
      <c r="K43" s="49" t="inlineStr">
        <is>
          <t>N</t>
        </is>
      </c>
      <c r="L43" s="41" t="n"/>
      <c r="M43" s="41" t="n"/>
    </row>
    <row r="44">
      <c r="A44" s="43" t="inlineStr">
        <is>
          <t>Country Code</t>
        </is>
      </c>
      <c r="B44" s="44" t="inlineStr">
        <is>
          <t>country_code</t>
        </is>
      </c>
      <c r="C44" s="44" t="inlineStr">
        <is>
          <t>ven.country_code</t>
        </is>
      </c>
      <c r="D44" s="44" t="inlineStr">
        <is>
          <t>CIDADR.SACSCD</t>
        </is>
      </c>
      <c r="E44" s="53" t="inlineStr">
        <is>
          <t>⚠ CASE mapping only four single-letter codes to ISO: J-&gt;JP, S-&gt;SE, D-&gt;DE, E-&gt;ES; everything else passes through unchanged. Any other non-ISO value reaches Concur as-is. The proc's filter is 'country_code is not null', which does NOT exclude an empty string — and Country Code is required.  Loaded as vendor.erp_country, then run through the proc's four-code J/S/D/E to ISO CASE.</t>
        </is>
      </c>
      <c r="F44" s="56" t="inlineStr">
        <is>
          <t>PLP05.COCD05</t>
        </is>
      </c>
      <c r="G44" s="57" t="inlineStr">
        <is>
          <t>Loaded as vendor.erp_country, then the same four-code CASE.</t>
        </is>
      </c>
      <c r="H44" s="46" t="inlineStr">
        <is>
          <t>US</t>
        </is>
      </c>
      <c r="I44" s="46" t="inlineStr">
        <is>
          <t>US</t>
        </is>
      </c>
      <c r="J44" s="47" t="inlineStr">
        <is>
          <t>2 characters; case sensitive, ISO Country Code</t>
        </is>
      </c>
      <c r="K44" s="42" t="inlineStr">
        <is>
          <t>Y</t>
        </is>
      </c>
      <c r="L44" s="47" t="inlineStr">
        <is>
          <t>This is an ISO two-character country code.
Note: The 2-character country code must be upper case and is required to be populated.
More Information: For more information, refer to Concur Invoice: Country Code List Specification.</t>
        </is>
      </c>
      <c r="M44" s="47" t="n"/>
    </row>
    <row r="45">
      <c r="A45" s="36" t="inlineStr">
        <is>
          <t>Contact Phone Number</t>
        </is>
      </c>
      <c r="B45" s="37" t="inlineStr">
        <is>
          <t>contact_phone_number</t>
        </is>
      </c>
      <c r="C45" s="37" t="inlineStr">
        <is>
          <t>ven.contact_phone_number</t>
        </is>
      </c>
      <c r="D45" s="58" t="inlineStr">
        <is>
          <t>⚠ none</t>
        </is>
      </c>
      <c r="E45" s="39" t="inlineStr">
        <is>
          <t>cast as varchar(25).  ⚠ The M3 vendor extract does not select this column at all, so it is blank for every M3 vendor.</t>
        </is>
      </c>
      <c r="F45" s="54" t="inlineStr">
        <is>
          <t>T1P1A01P.OFNB1A</t>
        </is>
      </c>
      <c r="G45" s="55" t="inlineStr">
        <is>
          <t>Office phone from the PL contact record.</t>
        </is>
      </c>
      <c r="H45" s="48" t="inlineStr">
        <is>
          <t>(blank)</t>
        </is>
      </c>
      <c r="I45" s="40" t="inlineStr">
        <is>
          <t>1</t>
        </is>
      </c>
      <c r="J45" s="41" t="inlineStr">
        <is>
          <t>Maximum 25 characters; case insensitive</t>
        </is>
      </c>
      <c r="K45" s="49" t="inlineStr">
        <is>
          <t>N</t>
        </is>
      </c>
      <c r="L45" s="41" t="inlineStr">
        <is>
          <t>This is the telephone number for the person who is the primary contact for this vendor address.</t>
        </is>
      </c>
      <c r="M45" s="41" t="n"/>
    </row>
    <row r="46">
      <c r="A46" s="43" t="inlineStr">
        <is>
          <t>Contact First Name</t>
        </is>
      </c>
      <c r="B46" s="44" t="inlineStr">
        <is>
          <t>contact_first_name</t>
        </is>
      </c>
      <c r="C46" s="44" t="inlineStr">
        <is>
          <t>ven.contact_first_name</t>
        </is>
      </c>
      <c r="D46" s="53" t="inlineStr">
        <is>
          <t>⚠ none</t>
        </is>
      </c>
      <c r="E46" s="45" t="inlineStr">
        <is>
          <t>cast as varchar(255).  ⚠ The M3 vendor extract does not select this column at all, so it is blank for every M3 vendor.</t>
        </is>
      </c>
      <c r="F46" s="56" t="inlineStr">
        <is>
          <t>T1P1A01P.CNTN1A</t>
        </is>
      </c>
      <c r="G46" s="57" t="inlineStr">
        <is>
          <t>Contact name from the PL contact record.</t>
        </is>
      </c>
      <c r="H46" s="50" t="inlineStr">
        <is>
          <t>(blank)</t>
        </is>
      </c>
      <c r="I46" s="46" t="inlineStr">
        <is>
          <t>AR</t>
        </is>
      </c>
      <c r="J46" s="47" t="inlineStr">
        <is>
          <t>Maximum 255 characters; case insensitive</t>
        </is>
      </c>
      <c r="K46" s="51" t="inlineStr">
        <is>
          <t>N</t>
        </is>
      </c>
      <c r="L46" s="47" t="inlineStr">
        <is>
          <t>This is the first name of the person who is the primary contact for this vendor address.</t>
        </is>
      </c>
      <c r="M46" s="47" t="n"/>
    </row>
    <row r="47">
      <c r="A47" s="36" t="inlineStr">
        <is>
          <t>Contact Last Name</t>
        </is>
      </c>
      <c r="B47" s="37" t="inlineStr">
        <is>
          <t>contact_last_name</t>
        </is>
      </c>
      <c r="C47" s="37" t="inlineStr">
        <is>
          <t>ven.contact_last_name</t>
        </is>
      </c>
      <c r="D47" s="58" t="inlineStr">
        <is>
          <t>⚠ none</t>
        </is>
      </c>
      <c r="E47" s="39" t="inlineStr">
        <is>
          <t>cast as varchar(255).  ⚠ The M3 vendor extract does not select this column at all, so it is blank for every M3 vendor.</t>
        </is>
      </c>
      <c r="F47" s="54" t="inlineStr">
        <is>
          <t>(literal '')</t>
        </is>
      </c>
      <c r="G47" s="55" t="inlineStr">
        <is>
          <t>JBA selects '' as contact_last_name — the whole name sits in the first-name field.</t>
        </is>
      </c>
      <c r="H47" s="48" t="inlineStr">
        <is>
          <t>(blank)</t>
        </is>
      </c>
      <c r="I47" s="48" t="inlineStr">
        <is>
          <t>(blank)</t>
        </is>
      </c>
      <c r="J47" s="41" t="inlineStr">
        <is>
          <t>Maximum 255 characters; case insensitive</t>
        </is>
      </c>
      <c r="K47" s="49" t="inlineStr">
        <is>
          <t>N</t>
        </is>
      </c>
      <c r="L47" s="41" t="inlineStr">
        <is>
          <t>This is the last name of the person who is the primary contact for this vendor address.</t>
        </is>
      </c>
      <c r="M47" s="41" t="n"/>
    </row>
    <row r="48">
      <c r="A48" s="43" t="inlineStr">
        <is>
          <t>Custom_01</t>
        </is>
      </c>
      <c r="B48" s="44" t="inlineStr">
        <is>
          <t>custom_field_01</t>
        </is>
      </c>
      <c r="C48" s="38" t="n"/>
      <c r="D48" s="38" t="n"/>
      <c r="E48" s="45" t="inlineStr">
        <is>
          <t>Proc emits '' (empty string) — never populated.</t>
        </is>
      </c>
      <c r="F48" s="38" t="n"/>
      <c r="G48" s="38" t="n"/>
      <c r="H48" s="50" t="inlineStr">
        <is>
          <t>(blank)</t>
        </is>
      </c>
      <c r="I48" s="50" t="inlineStr">
        <is>
          <t>(blank)</t>
        </is>
      </c>
      <c r="J48" s="47" t="inlineStr">
        <is>
          <t>Maximum 48 characters each; case insensitive</t>
        </is>
      </c>
      <c r="K48" s="51" t="inlineStr">
        <is>
          <t>N</t>
        </is>
      </c>
      <c r="L48" s="47" t="inlineStr">
        <is>
          <t>These fifteen fields are the custom fields for the Vendor Address Form. These custom fields will be validated using the custom field definitions for the Vendor Address Form.</t>
        </is>
      </c>
      <c r="M48" s="47" t="n"/>
    </row>
    <row r="49">
      <c r="A49" s="36" t="inlineStr">
        <is>
          <t>Custom_02</t>
        </is>
      </c>
      <c r="B49" s="37" t="inlineStr">
        <is>
          <t>custom_field_02</t>
        </is>
      </c>
      <c r="C49" s="38" t="n"/>
      <c r="D49" s="38" t="n"/>
      <c r="E49" s="39" t="inlineStr">
        <is>
          <t>Proc emits '' (empty string) — never populated.</t>
        </is>
      </c>
      <c r="F49" s="38" t="n"/>
      <c r="G49" s="38" t="n"/>
      <c r="H49" s="48" t="inlineStr">
        <is>
          <t>(blank)</t>
        </is>
      </c>
      <c r="I49" s="48" t="inlineStr">
        <is>
          <t>(blank)</t>
        </is>
      </c>
      <c r="J49" s="41" t="inlineStr">
        <is>
          <t>Maximum 48 characters each; case insensitive</t>
        </is>
      </c>
      <c r="K49" s="49" t="inlineStr">
        <is>
          <t>N</t>
        </is>
      </c>
      <c r="L49" s="41" t="inlineStr">
        <is>
          <t>These fifteen fields are the custom fields for the Vendor Address Form. These custom fields will be validated using the custom field definitions for the Vendor Address Form.</t>
        </is>
      </c>
      <c r="M49" s="41" t="n"/>
    </row>
    <row r="50">
      <c r="A50" s="43" t="inlineStr">
        <is>
          <t>Custom_03</t>
        </is>
      </c>
      <c r="B50" s="44" t="inlineStr">
        <is>
          <t>custom_field_03</t>
        </is>
      </c>
      <c r="C50" s="38" t="n"/>
      <c r="D50" s="38" t="n"/>
      <c r="E50" s="45" t="inlineStr">
        <is>
          <t>Proc emits '' (empty string) — never populated.</t>
        </is>
      </c>
      <c r="F50" s="38" t="n"/>
      <c r="G50" s="38" t="n"/>
      <c r="H50" s="50" t="inlineStr">
        <is>
          <t>(blank)</t>
        </is>
      </c>
      <c r="I50" s="50" t="inlineStr">
        <is>
          <t>(blank)</t>
        </is>
      </c>
      <c r="J50" s="47" t="inlineStr">
        <is>
          <t>Maximum 48 characters each; case insensitive</t>
        </is>
      </c>
      <c r="K50" s="51" t="inlineStr">
        <is>
          <t>N</t>
        </is>
      </c>
      <c r="L50" s="47" t="inlineStr">
        <is>
          <t>These fifteen fields are the custom fields for the Vendor Address Form. These custom fields will be validated using the custom field definitions for the Vendor Address Form.</t>
        </is>
      </c>
      <c r="M50" s="47" t="n"/>
    </row>
    <row r="51">
      <c r="A51" s="36" t="inlineStr">
        <is>
          <t>Custom_04</t>
        </is>
      </c>
      <c r="B51" s="37" t="inlineStr">
        <is>
          <t>custom_field_04</t>
        </is>
      </c>
      <c r="C51" s="38" t="n"/>
      <c r="D51" s="38" t="n"/>
      <c r="E51" s="39" t="inlineStr">
        <is>
          <t>Proc emits '' (empty string) — never populated.</t>
        </is>
      </c>
      <c r="F51" s="38" t="n"/>
      <c r="G51" s="38" t="n"/>
      <c r="H51" s="48" t="inlineStr">
        <is>
          <t>(blank)</t>
        </is>
      </c>
      <c r="I51" s="48" t="inlineStr">
        <is>
          <t>(blank)</t>
        </is>
      </c>
      <c r="J51" s="41" t="inlineStr">
        <is>
          <t>Maximum 48 characters each; case insensitive</t>
        </is>
      </c>
      <c r="K51" s="49" t="inlineStr">
        <is>
          <t>N</t>
        </is>
      </c>
      <c r="L51" s="41" t="inlineStr">
        <is>
          <t>These fifteen fields are the custom fields for the Vendor Address Form. These custom fields will be validated using the custom field definitions for the Vendor Address Form.</t>
        </is>
      </c>
      <c r="M51" s="41" t="n"/>
    </row>
    <row r="52">
      <c r="A52" s="43" t="inlineStr">
        <is>
          <t>Custom_05</t>
        </is>
      </c>
      <c r="B52" s="44" t="inlineStr">
        <is>
          <t>custom_field_05</t>
        </is>
      </c>
      <c r="C52" s="38" t="n"/>
      <c r="D52" s="38" t="n"/>
      <c r="E52" s="45" t="inlineStr">
        <is>
          <t>Proc emits '' (empty string) — never populated.</t>
        </is>
      </c>
      <c r="F52" s="38" t="n"/>
      <c r="G52" s="38" t="n"/>
      <c r="H52" s="50" t="inlineStr">
        <is>
          <t>(blank)</t>
        </is>
      </c>
      <c r="I52" s="50" t="inlineStr">
        <is>
          <t>(blank)</t>
        </is>
      </c>
      <c r="J52" s="47" t="inlineStr">
        <is>
          <t>Maximum 48 characters each; case insensitive</t>
        </is>
      </c>
      <c r="K52" s="51" t="inlineStr">
        <is>
          <t>N</t>
        </is>
      </c>
      <c r="L52" s="47" t="inlineStr">
        <is>
          <t>These fifteen fields are the custom fields for the Vendor Address Form. These custom fields will be validated using the custom field definitions for the Vendor Address Form.</t>
        </is>
      </c>
      <c r="M52" s="47" t="n"/>
    </row>
    <row r="53">
      <c r="A53" s="36" t="inlineStr">
        <is>
          <t>Custom_06</t>
        </is>
      </c>
      <c r="B53" s="37" t="inlineStr">
        <is>
          <t>custom_field_06</t>
        </is>
      </c>
      <c r="C53" s="38" t="n"/>
      <c r="D53" s="38" t="n"/>
      <c r="E53" s="39" t="inlineStr">
        <is>
          <t>Proc emits '' (empty string) — never populated.</t>
        </is>
      </c>
      <c r="F53" s="38" t="n"/>
      <c r="G53" s="38" t="n"/>
      <c r="H53" s="48" t="inlineStr">
        <is>
          <t>(blank)</t>
        </is>
      </c>
      <c r="I53" s="48" t="inlineStr">
        <is>
          <t>(blank)</t>
        </is>
      </c>
      <c r="J53" s="41" t="inlineStr">
        <is>
          <t>Maximum 48 characters each; case insensitive</t>
        </is>
      </c>
      <c r="K53" s="49" t="inlineStr">
        <is>
          <t>N</t>
        </is>
      </c>
      <c r="L53" s="41" t="inlineStr">
        <is>
          <t>These fifteen fields are the custom fields for the Vendor Address Form. These custom fields will be validated using the custom field definitions for the Vendor Address Form.</t>
        </is>
      </c>
      <c r="M53" s="41" t="n"/>
    </row>
    <row r="54">
      <c r="A54" s="43" t="inlineStr">
        <is>
          <t>Custom_07</t>
        </is>
      </c>
      <c r="B54" s="44" t="inlineStr">
        <is>
          <t>custom_field_07</t>
        </is>
      </c>
      <c r="C54" s="38" t="n"/>
      <c r="D54" s="38" t="n"/>
      <c r="E54" s="45" t="inlineStr">
        <is>
          <t>Proc emits '' (empty string) — never populated.</t>
        </is>
      </c>
      <c r="F54" s="38" t="n"/>
      <c r="G54" s="38" t="n"/>
      <c r="H54" s="50" t="inlineStr">
        <is>
          <t>(blank)</t>
        </is>
      </c>
      <c r="I54" s="50" t="inlineStr">
        <is>
          <t>(blank)</t>
        </is>
      </c>
      <c r="J54" s="47" t="inlineStr">
        <is>
          <t>Maximum 48 characters each; case insensitive</t>
        </is>
      </c>
      <c r="K54" s="51" t="inlineStr">
        <is>
          <t>N</t>
        </is>
      </c>
      <c r="L54" s="47" t="inlineStr">
        <is>
          <t>These fifteen fields are the custom fields for the Vendor Address Form. These custom fields will be validated using the custom field definitions for the Vendor Address Form.</t>
        </is>
      </c>
      <c r="M54" s="47" t="n"/>
    </row>
    <row r="55">
      <c r="A55" s="36" t="inlineStr">
        <is>
          <t>Custom_08</t>
        </is>
      </c>
      <c r="B55" s="37" t="inlineStr">
        <is>
          <t>custom_field_08</t>
        </is>
      </c>
      <c r="C55" s="37" t="inlineStr">
        <is>
          <t>ven.matching_type</t>
        </is>
      </c>
      <c r="D55" s="37" t="inlineStr">
        <is>
          <t>CIDMAS.IDCFI5</t>
        </is>
      </c>
      <c r="E55" s="39" t="inlineStr">
        <is>
          <t>The only populated custom field: ven.matching_type (Matching Type). This is where 2-way vs 3-way matching is configured, which matters because Receipt Type is never set on either PO record.  M3 user-defined field 5, loaded as vendor.matching_type.</t>
        </is>
      </c>
      <c r="F55" s="54" t="inlineStr">
        <is>
          <t>PLP05X.POST05</t>
        </is>
      </c>
      <c r="G55" s="55" t="inlineStr">
        <is>
          <t>Loaded as vendor.matching_type. This is the only thing driving 2-way vs 3-way matching, since Receipt Type is never set on either PO record.</t>
        </is>
      </c>
      <c r="H55" s="40" t="inlineStr">
        <is>
          <t>M</t>
        </is>
      </c>
      <c r="I55" s="40" t="inlineStr">
        <is>
          <t>M</t>
        </is>
      </c>
      <c r="J55" s="41" t="inlineStr">
        <is>
          <t>Maximum 48 characters each; case insensitive</t>
        </is>
      </c>
      <c r="K55" s="49" t="inlineStr">
        <is>
          <t>N</t>
        </is>
      </c>
      <c r="L55" s="41" t="inlineStr">
        <is>
          <t>These fifteen fields are the custom fields for the Vendor Address Form. These custom fields will be validated using the custom field definitions for the Vendor Address Form.</t>
        </is>
      </c>
      <c r="M55" s="41" t="n"/>
    </row>
    <row r="56">
      <c r="A56" s="43" t="inlineStr">
        <is>
          <t>Custom_09</t>
        </is>
      </c>
      <c r="B56" s="44" t="inlineStr">
        <is>
          <t>custom_field_09</t>
        </is>
      </c>
      <c r="C56" s="38" t="n"/>
      <c r="D56" s="38" t="n"/>
      <c r="E56" s="45" t="inlineStr">
        <is>
          <t>Proc emits '' (empty string) — never populated.</t>
        </is>
      </c>
      <c r="F56" s="38" t="n"/>
      <c r="G56" s="38" t="n"/>
      <c r="H56" s="50" t="inlineStr">
        <is>
          <t>(blank)</t>
        </is>
      </c>
      <c r="I56" s="50" t="inlineStr">
        <is>
          <t>(blank)</t>
        </is>
      </c>
      <c r="J56" s="47" t="inlineStr">
        <is>
          <t>Maximum 48 characters each; case insensitive</t>
        </is>
      </c>
      <c r="K56" s="51" t="inlineStr">
        <is>
          <t>N</t>
        </is>
      </c>
      <c r="L56" s="47" t="inlineStr">
        <is>
          <t>These fifteen fields are the custom fields for the Vendor Address Form. These custom fields will be validated using the custom field definitions for the Vendor Address Form.</t>
        </is>
      </c>
      <c r="M56" s="47" t="n"/>
    </row>
    <row r="57">
      <c r="A57" s="36" t="inlineStr">
        <is>
          <t>Custom_10</t>
        </is>
      </c>
      <c r="B57" s="37" t="inlineStr">
        <is>
          <t>custom_field_10</t>
        </is>
      </c>
      <c r="C57" s="38" t="n"/>
      <c r="D57" s="38" t="n"/>
      <c r="E57" s="39" t="inlineStr">
        <is>
          <t>Proc emits '' (empty string) — never populated.</t>
        </is>
      </c>
      <c r="F57" s="38" t="n"/>
      <c r="G57" s="38" t="n"/>
      <c r="H57" s="48" t="inlineStr">
        <is>
          <t>(blank)</t>
        </is>
      </c>
      <c r="I57" s="48" t="inlineStr">
        <is>
          <t>(blank)</t>
        </is>
      </c>
      <c r="J57" s="41" t="inlineStr">
        <is>
          <t>Maximum 48 characters each; case insensitive</t>
        </is>
      </c>
      <c r="K57" s="49" t="inlineStr">
        <is>
          <t>N</t>
        </is>
      </c>
      <c r="L57" s="41" t="inlineStr">
        <is>
          <t>These fifteen fields are the custom fields for the Vendor Address Form. These custom fields will be validated using the custom field definitions for the Vendor Address Form.</t>
        </is>
      </c>
      <c r="M57" s="41" t="n"/>
    </row>
    <row r="58">
      <c r="A58" s="43" t="inlineStr">
        <is>
          <t>Custom_11</t>
        </is>
      </c>
      <c r="B58" s="44" t="inlineStr">
        <is>
          <t>custom_field_11</t>
        </is>
      </c>
      <c r="C58" s="38" t="n"/>
      <c r="D58" s="38" t="n"/>
      <c r="E58" s="45" t="inlineStr">
        <is>
          <t>Proc emits '' (empty string) — never populated.</t>
        </is>
      </c>
      <c r="F58" s="38" t="n"/>
      <c r="G58" s="38" t="n"/>
      <c r="H58" s="50" t="inlineStr">
        <is>
          <t>(blank)</t>
        </is>
      </c>
      <c r="I58" s="50" t="inlineStr">
        <is>
          <t>(blank)</t>
        </is>
      </c>
      <c r="J58" s="47" t="inlineStr">
        <is>
          <t>Maximum 48 characters each; case insensitive</t>
        </is>
      </c>
      <c r="K58" s="51" t="inlineStr">
        <is>
          <t>N</t>
        </is>
      </c>
      <c r="L58" s="47" t="inlineStr">
        <is>
          <t>These fifteen fields are the custom fields for the Vendor Address Form. These custom fields will be validated using the custom field definitions for the Vendor Address Form.</t>
        </is>
      </c>
      <c r="M58" s="47" t="n"/>
    </row>
    <row r="59">
      <c r="A59" s="36" t="inlineStr">
        <is>
          <t>Custom_12</t>
        </is>
      </c>
      <c r="B59" s="37" t="inlineStr">
        <is>
          <t>custom_field_12</t>
        </is>
      </c>
      <c r="C59" s="38" t="n"/>
      <c r="D59" s="38" t="n"/>
      <c r="E59" s="39" t="inlineStr">
        <is>
          <t>Proc emits '' (empty string) — never populated.</t>
        </is>
      </c>
      <c r="F59" s="38" t="n"/>
      <c r="G59" s="38" t="n"/>
      <c r="H59" s="48" t="inlineStr">
        <is>
          <t>(blank)</t>
        </is>
      </c>
      <c r="I59" s="48" t="inlineStr">
        <is>
          <t>(blank)</t>
        </is>
      </c>
      <c r="J59" s="41" t="inlineStr">
        <is>
          <t>Maximum 48 characters each; case insensitive</t>
        </is>
      </c>
      <c r="K59" s="49" t="inlineStr">
        <is>
          <t>N</t>
        </is>
      </c>
      <c r="L59" s="41" t="inlineStr">
        <is>
          <t>These fifteen fields are the custom fields for the Vendor Address Form. These custom fields will be validated using the custom field definitions for the Vendor Address Form.</t>
        </is>
      </c>
      <c r="M59" s="41" t="n"/>
    </row>
    <row r="60">
      <c r="A60" s="43" t="inlineStr">
        <is>
          <t>Custom_13</t>
        </is>
      </c>
      <c r="B60" s="44" t="inlineStr">
        <is>
          <t>custom_field_13</t>
        </is>
      </c>
      <c r="C60" s="38" t="n"/>
      <c r="D60" s="38" t="n"/>
      <c r="E60" s="45" t="inlineStr">
        <is>
          <t>Proc emits '' (empty string) — never populated.</t>
        </is>
      </c>
      <c r="F60" s="38" t="n"/>
      <c r="G60" s="38" t="n"/>
      <c r="H60" s="50" t="inlineStr">
        <is>
          <t>(blank)</t>
        </is>
      </c>
      <c r="I60" s="50" t="inlineStr">
        <is>
          <t>(blank)</t>
        </is>
      </c>
      <c r="J60" s="47" t="inlineStr">
        <is>
          <t>Maximum 48 characters each; case insensitive</t>
        </is>
      </c>
      <c r="K60" s="51" t="inlineStr">
        <is>
          <t>N</t>
        </is>
      </c>
      <c r="L60" s="47" t="inlineStr">
        <is>
          <t>These fifteen fields are the custom fields for the Vendor Address Form. These custom fields will be validated using the custom field definitions for the Vendor Address Form.</t>
        </is>
      </c>
      <c r="M60" s="47" t="n"/>
    </row>
    <row r="61">
      <c r="A61" s="36" t="inlineStr">
        <is>
          <t>Custom_14</t>
        </is>
      </c>
      <c r="B61" s="37" t="inlineStr">
        <is>
          <t>custom_field_14</t>
        </is>
      </c>
      <c r="C61" s="38" t="n"/>
      <c r="D61" s="38" t="n"/>
      <c r="E61" s="39" t="inlineStr">
        <is>
          <t>Proc emits '' (empty string) — never populated.</t>
        </is>
      </c>
      <c r="F61" s="38" t="n"/>
      <c r="G61" s="38" t="n"/>
      <c r="H61" s="48" t="inlineStr">
        <is>
          <t>(blank)</t>
        </is>
      </c>
      <c r="I61" s="48" t="inlineStr">
        <is>
          <t>(blank)</t>
        </is>
      </c>
      <c r="J61" s="41" t="inlineStr">
        <is>
          <t>Maximum 48 characters each; case insensitive</t>
        </is>
      </c>
      <c r="K61" s="49" t="inlineStr">
        <is>
          <t>N</t>
        </is>
      </c>
      <c r="L61" s="41" t="inlineStr">
        <is>
          <t>These fifteen fields are the custom fields for the Vendor Address Form. These custom fields will be validated using the custom field definitions for the Vendor Address Form.</t>
        </is>
      </c>
      <c r="M61" s="41" t="n"/>
    </row>
    <row r="62">
      <c r="A62" s="43" t="inlineStr">
        <is>
          <t>Custom_15</t>
        </is>
      </c>
      <c r="B62" s="44" t="inlineStr">
        <is>
          <t>custom_field_15</t>
        </is>
      </c>
      <c r="C62" s="38" t="n"/>
      <c r="D62" s="38" t="n"/>
      <c r="E62" s="45" t="inlineStr">
        <is>
          <t>Proc emits '' (empty string) — never populated.</t>
        </is>
      </c>
      <c r="F62" s="38" t="n"/>
      <c r="G62" s="38" t="n"/>
      <c r="H62" s="50" t="inlineStr">
        <is>
          <t>(blank)</t>
        </is>
      </c>
      <c r="I62" s="50" t="inlineStr">
        <is>
          <t>(blank)</t>
        </is>
      </c>
      <c r="J62" s="47" t="inlineStr">
        <is>
          <t>Maximum 48 characters each; case insensitive</t>
        </is>
      </c>
      <c r="K62" s="51" t="inlineStr">
        <is>
          <t>N</t>
        </is>
      </c>
      <c r="L62" s="47" t="inlineStr">
        <is>
          <t>These fifteen fields are the custom fields for the Vendor Address Form. These custom fields will be validated using the custom field definitions for the Vendor Address Form.</t>
        </is>
      </c>
      <c r="M62" s="47" t="n"/>
    </row>
    <row r="63">
      <c r="A63" s="36" t="inlineStr">
        <is>
          <t>Vendor Contact Email Address</t>
        </is>
      </c>
      <c r="B63" s="37" t="inlineStr">
        <is>
          <t>contact_email_address</t>
        </is>
      </c>
      <c r="C63" s="37" t="inlineStr">
        <is>
          <t>ven.contact_email_address</t>
        </is>
      </c>
      <c r="D63" s="58" t="inlineStr">
        <is>
          <t>⚠ none</t>
        </is>
      </c>
      <c r="E63" s="39" t="inlineStr">
        <is>
          <t>cast as varchar(255). Spec makes this required for Card Voucher / Payment Provider pay types and for Invoice Pay email notifications.  ⚠ The M3 vendor extract does not select this column at all, so it is blank for every M3 vendor.</t>
        </is>
      </c>
      <c r="F63" s="54" t="inlineStr">
        <is>
          <t>T1P1A01P.EMIL1A</t>
        </is>
      </c>
      <c r="G63" s="55" t="inlineStr">
        <is>
          <t>Email from the PL contact record. Required by the spec for Card Voucher / Payment Provider pay types.</t>
        </is>
      </c>
      <c r="H63" s="48" t="inlineStr">
        <is>
          <t>(blank)</t>
        </is>
      </c>
      <c r="I63" s="40" t="inlineStr">
        <is>
          <t>midwestcredit@ryerson.com</t>
        </is>
      </c>
      <c r="J63" s="41" t="inlineStr">
        <is>
          <t>Maximum 255 characters each; case insensitive</t>
        </is>
      </c>
      <c r="K63" s="49" t="inlineStr">
        <is>
          <t>N*</t>
        </is>
      </c>
      <c r="L63" s="41" t="inlineStr">
        <is>
          <t>The email address of the vendor.
* Required if the Payment Type value is Card Voucher (VCHER) or Payment Provider (PAYPVD), or if using Invoice Pay (CHECK or ACH) and the setting to send vendor payment email notifications for Check or ACH Concur Invoice Pay is activated.</t>
        </is>
      </c>
      <c r="M63" s="41" t="n"/>
    </row>
    <row r="64">
      <c r="A64" s="43" t="inlineStr">
        <is>
          <t>PO Vendor Contact First Name</t>
        </is>
      </c>
      <c r="B64" s="44" t="inlineStr">
        <is>
          <t>po_vendor_contact_first_name</t>
        </is>
      </c>
      <c r="C64" s="38" t="n"/>
      <c r="D64" s="38" t="n"/>
      <c r="E64" s="45" t="inlineStr">
        <is>
          <t>Proc emits '' (empty string) — never populated.</t>
        </is>
      </c>
      <c r="F64" s="38" t="n"/>
      <c r="G64" s="38" t="n"/>
      <c r="H64" s="50" t="inlineStr">
        <is>
          <t>(blank)</t>
        </is>
      </c>
      <c r="I64" s="50" t="inlineStr">
        <is>
          <t>(blank)</t>
        </is>
      </c>
      <c r="J64" s="47" t="inlineStr">
        <is>
          <t>Maximum 255 characters each; case insensitive</t>
        </is>
      </c>
      <c r="K64" s="51" t="inlineStr">
        <is>
          <t>N</t>
        </is>
      </c>
      <c r="L64" s="47" t="inlineStr">
        <is>
          <t>This is the first name of the person who is the vendor primary contact for the purchase order.</t>
        </is>
      </c>
      <c r="M64" s="47" t="n"/>
    </row>
    <row r="65">
      <c r="A65" s="36" t="inlineStr">
        <is>
          <t>PO Vendor Contact Last Name</t>
        </is>
      </c>
      <c r="B65" s="37" t="inlineStr">
        <is>
          <t>po_vendor_contact_last_name</t>
        </is>
      </c>
      <c r="C65" s="38" t="n"/>
      <c r="D65" s="38" t="n"/>
      <c r="E65" s="39" t="inlineStr">
        <is>
          <t>Proc emits '' (empty string) — never populated.</t>
        </is>
      </c>
      <c r="F65" s="38" t="n"/>
      <c r="G65" s="38" t="n"/>
      <c r="H65" s="48" t="inlineStr">
        <is>
          <t>(blank)</t>
        </is>
      </c>
      <c r="I65" s="48" t="inlineStr">
        <is>
          <t>(blank)</t>
        </is>
      </c>
      <c r="J65" s="41" t="inlineStr">
        <is>
          <t>Maximum 255 characters each; case insensitive</t>
        </is>
      </c>
      <c r="K65" s="49" t="inlineStr">
        <is>
          <t>N</t>
        </is>
      </c>
      <c r="L65" s="41" t="inlineStr">
        <is>
          <t>This is the last name of the person who is the vendor primary contact for the purchase order.</t>
        </is>
      </c>
      <c r="M65" s="41" t="n"/>
    </row>
    <row r="66">
      <c r="A66" s="43" t="inlineStr">
        <is>
          <t>PO Vendor Contact Email Address</t>
        </is>
      </c>
      <c r="B66" s="44" t="inlineStr">
        <is>
          <t>po_vendor_contact_email_address</t>
        </is>
      </c>
      <c r="C66" s="38" t="n"/>
      <c r="D66" s="38" t="n"/>
      <c r="E66" s="53" t="inlineStr">
        <is>
          <t>⚠ Proc emits '' (empty string) — never populated. Per the spec this is the address transmitted POs are sent to.</t>
        </is>
      </c>
      <c r="F66" s="38" t="n"/>
      <c r="G66" s="38" t="n"/>
      <c r="H66" s="50" t="inlineStr">
        <is>
          <t>(blank)</t>
        </is>
      </c>
      <c r="I66" s="50" t="inlineStr">
        <is>
          <t>(blank)</t>
        </is>
      </c>
      <c r="J66" s="47" t="inlineStr">
        <is>
          <t>Maximum 255 characters each; case insensitive</t>
        </is>
      </c>
      <c r="K66" s="51" t="inlineStr">
        <is>
          <t>N</t>
        </is>
      </c>
      <c r="L66" s="47" t="inlineStr">
        <is>
          <t>This is the vendor email address for the purchase order. This will be the prepopulated email for transmitted POs.</t>
        </is>
      </c>
      <c r="M66" s="47" t="n"/>
    </row>
    <row r="67">
      <c r="A67" s="36" t="inlineStr">
        <is>
          <t>PO Vendor Contact Phone Number</t>
        </is>
      </c>
      <c r="B67" s="37" t="inlineStr">
        <is>
          <t>po_vendor_contact_phone_number</t>
        </is>
      </c>
      <c r="C67" s="38" t="n"/>
      <c r="D67" s="38" t="n"/>
      <c r="E67" s="39" t="inlineStr">
        <is>
          <t>Proc emits '' (empty string) — never populated.</t>
        </is>
      </c>
      <c r="F67" s="38" t="n"/>
      <c r="G67" s="38" t="n"/>
      <c r="H67" s="48" t="inlineStr">
        <is>
          <t>(blank)</t>
        </is>
      </c>
      <c r="I67" s="48" t="inlineStr">
        <is>
          <t>(blank)</t>
        </is>
      </c>
      <c r="J67" s="41" t="inlineStr">
        <is>
          <t>Maximum 25 characters each; case insensitive</t>
        </is>
      </c>
      <c r="K67" s="49" t="inlineStr">
        <is>
          <t>N</t>
        </is>
      </c>
      <c r="L67" s="41" t="inlineStr">
        <is>
          <t>This is a representation of the phone number of the person who is the primary contact for this vendor address for purchase order.
For example:
Sally’s phone
203 655 9972
Ext 05634</t>
        </is>
      </c>
      <c r="M67" s="41" t="n"/>
    </row>
    <row r="68">
      <c r="A68" s="43" t="inlineStr">
        <is>
          <t>Custom_16</t>
        </is>
      </c>
      <c r="B68" s="44" t="inlineStr">
        <is>
          <t>custom_field_16</t>
        </is>
      </c>
      <c r="C68" s="38" t="n"/>
      <c r="D68" s="38" t="n"/>
      <c r="E68" s="45" t="inlineStr">
        <is>
          <t>Proc emits '' (empty string) — never populated.</t>
        </is>
      </c>
      <c r="F68" s="38" t="n"/>
      <c r="G68" s="38" t="n"/>
      <c r="H68" s="50" t="inlineStr">
        <is>
          <t>(blank)</t>
        </is>
      </c>
      <c r="I68" s="50" t="inlineStr">
        <is>
          <t>(blank)</t>
        </is>
      </c>
      <c r="J68" s="47" t="inlineStr">
        <is>
          <t>Maximum 48 characters each; case insensitive</t>
        </is>
      </c>
      <c r="K68" s="51" t="inlineStr">
        <is>
          <t>N</t>
        </is>
      </c>
      <c r="L68" s="47" t="inlineStr">
        <is>
          <t>These are custom fields for the Vendor Address Form. These fields will be validated by using the custom field definitions for the Vendor Address Form.</t>
        </is>
      </c>
      <c r="M68" s="47" t="n"/>
    </row>
    <row r="69">
      <c r="A69" s="36" t="inlineStr">
        <is>
          <t>Custom_17</t>
        </is>
      </c>
      <c r="B69" s="37" t="inlineStr">
        <is>
          <t>custom_field_17</t>
        </is>
      </c>
      <c r="C69" s="38" t="n"/>
      <c r="D69" s="38" t="n"/>
      <c r="E69" s="39" t="inlineStr">
        <is>
          <t>Proc emits '' (empty string) — never populated.</t>
        </is>
      </c>
      <c r="F69" s="38" t="n"/>
      <c r="G69" s="38" t="n"/>
      <c r="H69" s="48" t="inlineStr">
        <is>
          <t>(blank)</t>
        </is>
      </c>
      <c r="I69" s="48" t="inlineStr">
        <is>
          <t>(blank)</t>
        </is>
      </c>
      <c r="J69" s="41" t="inlineStr">
        <is>
          <t>Maximum 48 characters each; case insensitive</t>
        </is>
      </c>
      <c r="K69" s="49" t="inlineStr">
        <is>
          <t>N</t>
        </is>
      </c>
      <c r="L69" s="41" t="inlineStr">
        <is>
          <t>These are custom fields for the Vendor Address Form. These fields will be validated by using the custom field definitions for the Vendor Address Form.</t>
        </is>
      </c>
      <c r="M69" s="41" t="n"/>
    </row>
    <row r="70">
      <c r="A70" s="43" t="inlineStr">
        <is>
          <t>Custom_18</t>
        </is>
      </c>
      <c r="B70" s="44" t="inlineStr">
        <is>
          <t>custom_field_18</t>
        </is>
      </c>
      <c r="C70" s="38" t="n"/>
      <c r="D70" s="38" t="n"/>
      <c r="E70" s="45" t="inlineStr">
        <is>
          <t>Proc emits '' (empty string) — never populated.</t>
        </is>
      </c>
      <c r="F70" s="38" t="n"/>
      <c r="G70" s="38" t="n"/>
      <c r="H70" s="50" t="inlineStr">
        <is>
          <t>(blank)</t>
        </is>
      </c>
      <c r="I70" s="50" t="inlineStr">
        <is>
          <t>(blank)</t>
        </is>
      </c>
      <c r="J70" s="47" t="inlineStr">
        <is>
          <t>Maximum 48 characters each; case insensitive</t>
        </is>
      </c>
      <c r="K70" s="51" t="inlineStr">
        <is>
          <t>N</t>
        </is>
      </c>
      <c r="L70" s="47" t="inlineStr">
        <is>
          <t>These are custom fields for the Vendor Address Form. These fields will be validated by using the custom field definitions for the Vendor Address Form.</t>
        </is>
      </c>
      <c r="M70" s="47" t="n"/>
    </row>
    <row r="71">
      <c r="A71" s="36" t="inlineStr">
        <is>
          <t>Custom_19</t>
        </is>
      </c>
      <c r="B71" s="37" t="inlineStr">
        <is>
          <t>custom_field_19</t>
        </is>
      </c>
      <c r="C71" s="38" t="n"/>
      <c r="D71" s="38" t="n"/>
      <c r="E71" s="39" t="inlineStr">
        <is>
          <t>Proc emits '' (empty string) — never populated.</t>
        </is>
      </c>
      <c r="F71" s="38" t="n"/>
      <c r="G71" s="38" t="n"/>
      <c r="H71" s="48" t="inlineStr">
        <is>
          <t>(blank)</t>
        </is>
      </c>
      <c r="I71" s="48" t="inlineStr">
        <is>
          <t>(blank)</t>
        </is>
      </c>
      <c r="J71" s="41" t="inlineStr">
        <is>
          <t>Maximum 48 characters each; case insensitive</t>
        </is>
      </c>
      <c r="K71" s="49" t="inlineStr">
        <is>
          <t>N</t>
        </is>
      </c>
      <c r="L71" s="41" t="inlineStr">
        <is>
          <t>These are custom fields for the Vendor Address Form. These fields will be validated by using the custom field definitions for the Vendor Address Form.</t>
        </is>
      </c>
      <c r="M71" s="41" t="n"/>
    </row>
    <row r="72">
      <c r="A72" s="43" t="inlineStr">
        <is>
          <t>Custom_20</t>
        </is>
      </c>
      <c r="B72" s="44" t="inlineStr">
        <is>
          <t>custom_field_20</t>
        </is>
      </c>
      <c r="C72" s="38" t="n"/>
      <c r="D72" s="38" t="n"/>
      <c r="E72" s="45" t="inlineStr">
        <is>
          <t>Proc emits '' (empty string) — never populated.</t>
        </is>
      </c>
      <c r="F72" s="38" t="n"/>
      <c r="G72" s="38" t="n"/>
      <c r="H72" s="50" t="inlineStr">
        <is>
          <t>(blank)</t>
        </is>
      </c>
      <c r="I72" s="50" t="inlineStr">
        <is>
          <t>(blank)</t>
        </is>
      </c>
      <c r="J72" s="47" t="inlineStr">
        <is>
          <t>Maximum 48 characters each; case insensitive</t>
        </is>
      </c>
      <c r="K72" s="51" t="inlineStr">
        <is>
          <t>N</t>
        </is>
      </c>
      <c r="L72" s="47" t="inlineStr">
        <is>
          <t>These are custom fields for the Vendor Address Form. These fields will be validated by using the custom field definitions for the Vendor Address Form.</t>
        </is>
      </c>
      <c r="M72" s="47" t="n"/>
    </row>
  </sheetData>
  <autoFilter ref="A7:M72"/>
  <hyperlinks>
    <hyperlink xmlns:r="http://schemas.openxmlformats.org/officeDocument/2006/relationships" ref="A3" r:id="rId1"/>
    <hyperlink ref="A5" location="Index!A1" display="Back to Index"/>
  </hyperlinks>
  <pageMargins left="0.75" right="0.75" top="1" bottom="1" header="0.5" footer="0.5"/>
  <pageSetup orientation="landscape" fitToWidth="1"/>
</worksheet>
</file>

<file path=xl/worksheets/sheet5.xml><?xml version="1.0" encoding="utf-8"?>
<worksheet xmlns="http://schemas.openxmlformats.org/spreadsheetml/2006/main">
  <sheetPr>
    <outlinePr summaryBelow="1" summaryRight="1"/>
    <pageSetUpPr fitToPage="1"/>
  </sheetPr>
  <dimension ref="A1:L68"/>
  <sheetViews>
    <sheetView showGridLines="0" workbookViewId="0">
      <pane xSplit="1" ySplit="7" topLeftCell="B8" activePane="bottomRight" state="frozen"/>
      <selection pane="topRight" activeCell="A1" sqref="A1"/>
      <selection pane="bottomLeft" activeCell="A1" sqref="A1"/>
      <selection pane="bottomRight" activeCell="A1" sqref="A1"/>
    </sheetView>
  </sheetViews>
  <sheetFormatPr baseColWidth="8" defaultRowHeight="15"/>
  <cols>
    <col width="30" customWidth="1" min="1" max="1"/>
    <col width="24" customWidth="1" min="2" max="2"/>
    <col width="26" customWidth="1" min="3" max="3"/>
    <col width="26" customWidth="1" min="4" max="4"/>
    <col width="52" customWidth="1" min="5" max="5"/>
    <col width="24" customWidth="1" min="6" max="6"/>
    <col width="40" customWidth="1" min="7" max="7"/>
    <col width="26" customWidth="1" min="8" max="8"/>
    <col width="26" customWidth="1" min="9" max="9"/>
    <col width="30" customWidth="1" min="10" max="10"/>
    <col width="11" customWidth="1" min="11" max="11"/>
    <col width="62" customWidth="1" min="12" max="12"/>
  </cols>
  <sheetData>
    <row r="1">
      <c r="A1" s="28" t="inlineStr">
        <is>
          <t>Purchase Order Request Header (Record Type 200) Format</t>
        </is>
      </c>
    </row>
    <row r="2">
      <c r="A2" s="29" t="inlineStr">
        <is>
          <t>Section: Purchase Order Import</t>
        </is>
      </c>
    </row>
    <row r="3">
      <c r="A3" s="30" t="inlineStr">
        <is>
          <t>https://help.sap.com/docs/concur-invoice/concur-invoice-professional-edition-administration-guides/purchase-order-request-header-record-type-200-format</t>
        </is>
      </c>
    </row>
    <row r="4">
      <c r="A4" s="31" t="inlineStr">
        <is>
          <t>Source: SAP Help Portal, Concur Invoice Professional Edition Administration Guides (2026_08). Retrieved 2026-09-11. Ranged fields in the source are expanded to one row per field; each shares the range's definition and description.</t>
        </is>
      </c>
    </row>
    <row r="5" ht="18" customHeight="1">
      <c r="A5" s="12" t="inlineStr">
        <is>
          <t>◀  Back to Index</t>
        </is>
      </c>
    </row>
    <row r="6">
      <c r="A6" s="32" t="inlineStr">
        <is>
          <t>Extract chain: App_Concur.dbo.p_concurinvoicepo_get_poheader  &lt;-  App_Concur.dbo.vw_concur_extract_po_header (poh) + vw_concur_extract_po_vendor (ven); inner join to a grouped vw_concur_extract_po_line, so a PO with no lines is not extracted. Filters coalesce(poh.status_code,1) = 1 and ven.vendor_code is not null.  &lt;-  M3: MPHEAD (poh) / MPPOAD (posa, ADPOAD = 1, ADPNLI = 0) / CIDADR (addr); filter IACONO = '910', deleted = 0   |   JBA: AULT2F2PRD.PMP02 / PMP06 (buyer) / AULT1F2PRD.PLP05 (vendor, INNER) / PMP03 (ledger); filters ACRC02 &lt;&gt; 'C', DTLC02 = 9999999, CONO02 not in ('AB','G1','G7','SW','SP'), ORDT02 within 24 months, and the PO must have an uninvoiced PMP09 receipt   |   ERP SQL lives in the SSIS packages — see the Sources tab.   |   Samples: M3 = PO 2100003074 header, JBA = PO 7710284 header (from the delivered files; '(blank)' means the field was empty)</t>
        </is>
      </c>
    </row>
    <row r="7" ht="30" customHeight="1">
      <c r="A7" s="13" t="inlineStr">
        <is>
          <t>Field Name</t>
        </is>
      </c>
      <c r="B7" s="33" t="inlineStr">
        <is>
          <t>Mapped From (proc)</t>
        </is>
      </c>
      <c r="C7" s="33" t="inlineStr">
        <is>
          <t>View Column</t>
        </is>
      </c>
      <c r="D7" s="33" t="inlineStr">
        <is>
          <t>M3 Source Field</t>
        </is>
      </c>
      <c r="E7" s="33" t="inlineStr">
        <is>
          <t>M3 Derivation</t>
        </is>
      </c>
      <c r="F7" s="34" t="inlineStr">
        <is>
          <t>JBA Source Field</t>
        </is>
      </c>
      <c r="G7" s="34" t="inlineStr">
        <is>
          <t>JBA Derivation</t>
        </is>
      </c>
      <c r="H7" s="35" t="inlineStr">
        <is>
          <t>Sample - M3</t>
        </is>
      </c>
      <c r="I7" s="35" t="inlineStr">
        <is>
          <t>Sample - JBA</t>
        </is>
      </c>
      <c r="J7" s="13" t="inlineStr">
        <is>
          <t>Definition</t>
        </is>
      </c>
      <c r="K7" s="13" t="inlineStr">
        <is>
          <t>Required?</t>
        </is>
      </c>
      <c r="L7" s="13" t="inlineStr">
        <is>
          <t>Description</t>
        </is>
      </c>
    </row>
    <row r="8">
      <c r="A8" s="36" t="inlineStr">
        <is>
          <t>Record Type</t>
        </is>
      </c>
      <c r="B8" s="37" t="inlineStr">
        <is>
          <t>record_type</t>
        </is>
      </c>
      <c r="C8" s="38" t="n"/>
      <c r="D8" s="38" t="n"/>
      <c r="E8" s="39" t="inlineStr">
        <is>
          <t>Literal 200.</t>
        </is>
      </c>
      <c r="F8" s="38" t="n"/>
      <c r="G8" s="55" t="inlineStr">
        <is>
          <t>Literal 200.</t>
        </is>
      </c>
      <c r="H8" s="40" t="inlineStr">
        <is>
          <t>200</t>
        </is>
      </c>
      <c r="I8" s="40" t="inlineStr">
        <is>
          <t>200</t>
        </is>
      </c>
      <c r="J8" s="41" t="inlineStr">
        <is>
          <t>200</t>
        </is>
      </c>
      <c r="K8" s="42" t="inlineStr">
        <is>
          <t>Y</t>
        </is>
      </c>
      <c r="L8" s="41" t="inlineStr">
        <is>
          <t>This is a static value always equal to 200. It indicates the Record Type.</t>
        </is>
      </c>
    </row>
    <row r="9">
      <c r="A9" s="43" t="inlineStr">
        <is>
          <t>Purchase Order Number</t>
        </is>
      </c>
      <c r="B9" s="44" t="inlineStr">
        <is>
          <t>purchase_order_number</t>
        </is>
      </c>
      <c r="C9" s="44" t="inlineStr">
        <is>
          <t>poh.po_num</t>
        </is>
      </c>
      <c r="D9" s="44" t="inlineStr">
        <is>
          <t>MPHEAD.IAPUNO</t>
        </is>
      </c>
      <c r="E9" s="38" t="n"/>
      <c r="F9" s="56" t="inlineStr">
        <is>
          <t>PMP02.ORDN02</t>
        </is>
      </c>
      <c r="G9" s="57" t="inlineStr">
        <is>
          <t>cast(ORDN02 as nvarchar(20)). The entity_id + po_num variant is commented out in the proc.</t>
        </is>
      </c>
      <c r="H9" s="46" t="inlineStr">
        <is>
          <t>2100003074</t>
        </is>
      </c>
      <c r="I9" s="46" t="inlineStr">
        <is>
          <t>7710284</t>
        </is>
      </c>
      <c r="J9" s="47" t="inlineStr">
        <is>
          <t>Maximum 32 characters</t>
        </is>
      </c>
      <c r="K9" s="42" t="inlineStr">
        <is>
          <t>Y</t>
        </is>
      </c>
      <c r="L9" s="47" t="inlineStr">
        <is>
          <t>The unique identifier for the Purchase Order.
The field is updated if the Purchase Order Number value already exists in the system. If this value does not exist in the system, a new purchase order is created.</t>
        </is>
      </c>
    </row>
    <row r="10">
      <c r="A10" s="36" t="inlineStr">
        <is>
          <t>Policy External ID</t>
        </is>
      </c>
      <c r="B10" s="37" t="inlineStr">
        <is>
          <t>policy_external_id</t>
        </is>
      </c>
      <c r="C10" s="37" t="inlineStr">
        <is>
          <t>(hardcoded in the proc)</t>
        </is>
      </c>
      <c r="D10" s="58" t="inlineStr">
        <is>
          <t>⚠ none</t>
        </is>
      </c>
      <c r="E10" s="58" t="inlineStr">
        <is>
          <t>⚠ Proc hardcodes '98EF03C78F06440A9545' for every PO; the entity-specific CASE (entity_id = '0088' -&gt; 'AD7F7C20404B41918D05') is commented out.</t>
        </is>
      </c>
      <c r="F10" s="54" t="inlineStr">
        <is>
          <t>PolicyExternalID (unused)</t>
        </is>
      </c>
      <c r="G10" s="58" t="inlineStr">
        <is>
          <t>⚠ The JBA header query computes a PolicyExternalID (CASE CONO02 = '77'), but the proc ignores it and hardcodes instead — so JBA company 77 does NOT get its own policy.</t>
        </is>
      </c>
      <c r="H10" s="40" t="inlineStr">
        <is>
          <t>98EF03C78F06440A9545</t>
        </is>
      </c>
      <c r="I10" s="40" t="inlineStr">
        <is>
          <t>98EF03C78F06440A9545</t>
        </is>
      </c>
      <c r="J10" s="41" t="inlineStr">
        <is>
          <t>Maximum 20 characters</t>
        </is>
      </c>
      <c r="K10" s="42" t="inlineStr">
        <is>
          <t>Y</t>
        </is>
      </c>
      <c r="L10" s="41" t="inlineStr">
        <is>
          <t>This is the external identifier that associates the Policy to the purchase order.</t>
        </is>
      </c>
    </row>
    <row r="11">
      <c r="A11" s="43" t="inlineStr">
        <is>
          <t>Currency Code</t>
        </is>
      </c>
      <c r="B11" s="44" t="inlineStr">
        <is>
          <t>currency_code</t>
        </is>
      </c>
      <c r="C11" s="44" t="inlineStr">
        <is>
          <t>poh.currency_code, falling back to ven.currency_code</t>
        </is>
      </c>
      <c r="D11" s="44" t="inlineStr">
        <is>
          <t>MPHEAD.IACUCD</t>
        </is>
      </c>
      <c r="E11" s="38" t="n"/>
      <c r="F11" s="53" t="inlineStr">
        <is>
          <t>⚠ none</t>
        </is>
      </c>
      <c r="G11" s="53" t="inlineStr">
        <is>
          <t>⚠ The JBA header query returns no currency_code column. The proc's isnull(...) falls back to the vendor's currency, so JBA POs inherit the vendor currency rather than the order currency.</t>
        </is>
      </c>
      <c r="H11" s="46" t="inlineStr">
        <is>
          <t>USD</t>
        </is>
      </c>
      <c r="I11" s="46" t="inlineStr">
        <is>
          <t>USD</t>
        </is>
      </c>
      <c r="J11" s="47" t="inlineStr">
        <is>
          <t>Maximum 3 characters</t>
        </is>
      </c>
      <c r="K11" s="42" t="inlineStr">
        <is>
          <t>Y</t>
        </is>
      </c>
      <c r="L11" s="47" t="inlineStr">
        <is>
          <t>The 3-character ISO currency code associated with the currency of the purchase order.</t>
        </is>
      </c>
    </row>
    <row r="12">
      <c r="A12" s="36" t="inlineStr">
        <is>
          <t>Vendor Code</t>
        </is>
      </c>
      <c r="B12" s="37" t="inlineStr">
        <is>
          <t>vendor_code</t>
        </is>
      </c>
      <c r="C12" s="37" t="inlineStr">
        <is>
          <t>ven.vendor_code</t>
        </is>
      </c>
      <c r="D12" s="37" t="inlineStr">
        <is>
          <t>MPHEAD.IASUNO</t>
        </is>
      </c>
      <c r="E12" s="39" t="inlineStr">
        <is>
          <t>Header supplies vend_num; the vendor view resolves it to vendor_code.</t>
        </is>
      </c>
      <c r="F12" s="54" t="inlineStr">
        <is>
          <t>PMP02.VNDR02</t>
        </is>
      </c>
      <c r="G12" s="55" t="inlineStr">
        <is>
          <t>cast(rtrim(VNDR02) as nvarchar(30)), resolved through the vendor view.</t>
        </is>
      </c>
      <c r="H12" s="40" t="inlineStr">
        <is>
          <t>008820044</t>
        </is>
      </c>
      <c r="I12" s="40" t="inlineStr">
        <is>
          <t>0096102900</t>
        </is>
      </c>
      <c r="J12" s="41" t="inlineStr">
        <is>
          <t>Maximum 32 characters</t>
        </is>
      </c>
      <c r="K12" s="42" t="inlineStr">
        <is>
          <t>Y</t>
        </is>
      </c>
      <c r="L12" s="41" t="inlineStr">
        <is>
          <t>The code that identifies the vendor associated with the purchase order.</t>
        </is>
      </c>
    </row>
    <row r="13">
      <c r="A13" s="43" t="inlineStr">
        <is>
          <t>Vendor Address Code</t>
        </is>
      </c>
      <c r="B13" s="44" t="inlineStr">
        <is>
          <t>vendor_address_code</t>
        </is>
      </c>
      <c r="C13" s="44" t="inlineStr">
        <is>
          <t>ven.vendor_address_code</t>
        </is>
      </c>
      <c r="D13" s="44" t="inlineStr">
        <is>
          <t>CIDADR.SAADID</t>
        </is>
      </c>
      <c r="E13" s="45" t="inlineStr">
        <is>
          <t>CASE WHEN isnull(SAADID,'') = '' THEN '000' ELSE SAADID END via MPPOAD.ADADID. Must equal the vendor file's Address Accounting Code or the PO fails with error 2000.</t>
        </is>
      </c>
      <c r="F13" s="56" t="inlineStr">
        <is>
          <t>PMP02.SSEQ02</t>
        </is>
      </c>
      <c r="G13" s="57" t="inlineStr">
        <is>
          <t>cast(SSEQ02 as nvarchar(15)), resolved through the vendor view.</t>
        </is>
      </c>
      <c r="H13" s="46" t="inlineStr">
        <is>
          <t>008820044000</t>
        </is>
      </c>
      <c r="I13" s="46" t="inlineStr">
        <is>
          <t>0096102900000</t>
        </is>
      </c>
      <c r="J13" s="47" t="inlineStr">
        <is>
          <t>Maximum 64 characters</t>
        </is>
      </c>
      <c r="K13" s="42" t="inlineStr">
        <is>
          <t>Y</t>
        </is>
      </c>
      <c r="L13" s="47" t="inlineStr">
        <is>
          <t>The code that identifies the vendor's remittance address associated with the purchase order.</t>
        </is>
      </c>
    </row>
    <row r="14">
      <c r="A14" s="36" t="inlineStr">
        <is>
          <t>Order Date</t>
        </is>
      </c>
      <c r="B14" s="37" t="inlineStr">
        <is>
          <t>order_date</t>
        </is>
      </c>
      <c r="C14" s="37" t="inlineStr">
        <is>
          <t>poh.po_date</t>
        </is>
      </c>
      <c r="D14" s="37" t="inlineStr">
        <is>
          <t>MPHEAD.IAPUDT</t>
        </is>
      </c>
      <c r="E14" s="39" t="inlineStr">
        <is>
          <t>CONVERT(DATE, CAST(IAPUDT AS NVARCHAR(10))) — ⚠ no zero guard, unlike the receipt view.</t>
        </is>
      </c>
      <c r="F14" s="54" t="inlineStr">
        <is>
          <t>PMP02.ORDT02</t>
        </is>
      </c>
      <c r="G14" s="55" t="inlineStr">
        <is>
          <t>CYYMMDD rebuilt with SUBSTR: century digit - 1 + 20, then YY-MM-DD.</t>
        </is>
      </c>
      <c r="H14" s="40" t="inlineStr">
        <is>
          <t>2026-06-16</t>
        </is>
      </c>
      <c r="I14" s="40" t="inlineStr">
        <is>
          <t>2026-01-12</t>
        </is>
      </c>
      <c r="J14" s="41" t="inlineStr">
        <is>
          <t>Date format of YYYY-MM-DD</t>
        </is>
      </c>
      <c r="K14" s="42" t="inlineStr">
        <is>
          <t>Y</t>
        </is>
      </c>
      <c r="L14" s="41" t="inlineStr">
        <is>
          <t>The date the good or service was ordered.</t>
        </is>
      </c>
    </row>
    <row r="15">
      <c r="A15" s="43" t="inlineStr">
        <is>
          <t>Name</t>
        </is>
      </c>
      <c r="B15" s="44" t="inlineStr">
        <is>
          <t>name</t>
        </is>
      </c>
      <c r="C15" s="38" t="n"/>
      <c r="D15" s="38" t="n"/>
      <c r="E15" s="45" t="inlineStr">
        <is>
          <t>cast('' as varchar(100)) — always blank.</t>
        </is>
      </c>
      <c r="F15" s="38" t="n"/>
      <c r="G15" s="38" t="n"/>
      <c r="H15" s="50" t="inlineStr">
        <is>
          <t>(blank)</t>
        </is>
      </c>
      <c r="I15" s="50" t="inlineStr">
        <is>
          <t>(blank)</t>
        </is>
      </c>
      <c r="J15" s="47" t="inlineStr">
        <is>
          <t>Maximum 100 char</t>
        </is>
      </c>
      <c r="K15" s="51" t="inlineStr">
        <is>
          <t>N</t>
        </is>
      </c>
      <c r="L15" s="47" t="inlineStr">
        <is>
          <t>The name given to the overall purchase order.</t>
        </is>
      </c>
    </row>
    <row r="16">
      <c r="A16" s="36" t="inlineStr">
        <is>
          <t>Description</t>
        </is>
      </c>
      <c r="B16" s="37" t="inlineStr">
        <is>
          <t>description</t>
        </is>
      </c>
      <c r="C16" s="38" t="n"/>
      <c r="D16" s="38" t="n"/>
      <c r="E16" s="39" t="inlineStr">
        <is>
          <t>cast('' as varchar(255)) — always blank.</t>
        </is>
      </c>
      <c r="F16" s="38" t="n"/>
      <c r="G16" s="38" t="n"/>
      <c r="H16" s="48" t="inlineStr">
        <is>
          <t>(blank)</t>
        </is>
      </c>
      <c r="I16" s="48" t="inlineStr">
        <is>
          <t>(blank)</t>
        </is>
      </c>
      <c r="J16" s="41" t="inlineStr">
        <is>
          <t>Maximum 255 characters</t>
        </is>
      </c>
      <c r="K16" s="49" t="inlineStr">
        <is>
          <t>N</t>
        </is>
      </c>
      <c r="L16" s="41" t="inlineStr">
        <is>
          <t>The description of the overall purchase order.</t>
        </is>
      </c>
    </row>
    <row r="17">
      <c r="A17" s="43" t="inlineStr">
        <is>
          <t>Requested Delivery Date</t>
        </is>
      </c>
      <c r="B17" s="44" t="inlineStr">
        <is>
          <t>requested_delivery_date</t>
        </is>
      </c>
      <c r="C17" s="38" t="n"/>
      <c r="D17" s="38" t="n"/>
      <c r="E17" s="45" t="inlineStr">
        <is>
          <t>cast(null as date).</t>
        </is>
      </c>
      <c r="F17" s="38" t="n"/>
      <c r="G17" s="38" t="n"/>
      <c r="H17" s="50" t="inlineStr">
        <is>
          <t>(blank)</t>
        </is>
      </c>
      <c r="I17" s="50" t="inlineStr">
        <is>
          <t>(blank)</t>
        </is>
      </c>
      <c r="J17" s="47" t="inlineStr">
        <is>
          <t>Date format of YYYY-MM-DD</t>
        </is>
      </c>
      <c r="K17" s="51" t="inlineStr">
        <is>
          <t>N</t>
        </is>
      </c>
      <c r="L17" s="47" t="inlineStr">
        <is>
          <t>The date on which the goods or services are to be delivered.</t>
        </is>
      </c>
    </row>
    <row r="18">
      <c r="A18" s="36" t="inlineStr">
        <is>
          <t>Requested By</t>
        </is>
      </c>
      <c r="B18" s="37" t="inlineStr">
        <is>
          <t>requested_by</t>
        </is>
      </c>
      <c r="C18" s="38" t="n"/>
      <c r="D18" s="38" t="n"/>
      <c r="E18" s="39" t="inlineStr">
        <is>
          <t>cast(null as varchar(255)).</t>
        </is>
      </c>
      <c r="F18" s="38" t="n"/>
      <c r="G18" s="38" t="n"/>
      <c r="H18" s="48" t="inlineStr">
        <is>
          <t>(blank)</t>
        </is>
      </c>
      <c r="I18" s="48" t="inlineStr">
        <is>
          <t>(blank)</t>
        </is>
      </c>
      <c r="J18" s="41" t="inlineStr">
        <is>
          <t>Maximum 255 characters</t>
        </is>
      </c>
      <c r="K18" s="49" t="inlineStr">
        <is>
          <t>N</t>
        </is>
      </c>
      <c r="L18" s="41" t="inlineStr">
        <is>
          <t>The person that requested the goods or services associated with the purchase order.</t>
        </is>
      </c>
    </row>
    <row r="19">
      <c r="A19" s="43" t="inlineStr">
        <is>
          <t>Payment Terms</t>
        </is>
      </c>
      <c r="B19" s="44" t="inlineStr">
        <is>
          <t>payment_terms</t>
        </is>
      </c>
      <c r="C19" s="44" t="inlineStr">
        <is>
          <t>ven.payment_terms</t>
        </is>
      </c>
      <c r="D19" s="44" t="inlineStr">
        <is>
          <t>MPHEAD.IATEPY (unused)</t>
        </is>
      </c>
      <c r="E19" s="45" t="inlineStr">
        <is>
          <t>The proc takes payment terms from the VENDOR view, not the header. The header's terms_code (REPLACE(IATEPY,'N','')) is never used.</t>
        </is>
      </c>
      <c r="F19" s="56" t="inlineStr">
        <is>
          <t>PLP05.PTTD05 (unused)</t>
        </is>
      </c>
      <c r="G19" s="57" t="inlineStr">
        <is>
          <t>Same — the JBA terms_code column is not read by this proc.</t>
        </is>
      </c>
      <c r="H19" s="46" t="inlineStr">
        <is>
          <t>60</t>
        </is>
      </c>
      <c r="I19" s="46" t="inlineStr">
        <is>
          <t>45</t>
        </is>
      </c>
      <c r="J19" s="47" t="inlineStr">
        <is>
          <t>Integer</t>
        </is>
      </c>
      <c r="K19" s="51" t="inlineStr">
        <is>
          <t>N</t>
        </is>
      </c>
      <c r="L19" s="47" t="inlineStr">
        <is>
          <t>The NET payment terms with the supplier.</t>
        </is>
      </c>
    </row>
    <row r="20">
      <c r="A20" s="36" t="inlineStr">
        <is>
          <t>Discount Terms</t>
        </is>
      </c>
      <c r="B20" s="37" t="inlineStr">
        <is>
          <t>discount_terms</t>
        </is>
      </c>
      <c r="C20" s="38" t="n"/>
      <c r="D20" s="38" t="n"/>
      <c r="E20" s="39" t="inlineStr">
        <is>
          <t>cast(null as int).</t>
        </is>
      </c>
      <c r="F20" s="54" t="inlineStr">
        <is>
          <t>discountdays (unused)</t>
        </is>
      </c>
      <c r="G20" s="55" t="inlineStr">
        <is>
          <t>JBA supplies discountdays = '0'; the proc ignores it.</t>
        </is>
      </c>
      <c r="H20" s="48" t="inlineStr">
        <is>
          <t>(blank)</t>
        </is>
      </c>
      <c r="I20" s="48" t="inlineStr">
        <is>
          <t>(blank)</t>
        </is>
      </c>
      <c r="J20" s="41" t="inlineStr">
        <is>
          <t>Integer</t>
        </is>
      </c>
      <c r="K20" s="49" t="inlineStr">
        <is>
          <t>N</t>
        </is>
      </c>
      <c r="L20" s="41" t="inlineStr">
        <is>
          <t>The NET discount terms with the supplier (when discounts apply).
Note: The data in this field is for information purposes only. It is not used in any calculations.</t>
        </is>
      </c>
    </row>
    <row r="21">
      <c r="A21" s="43" t="inlineStr">
        <is>
          <t>Discount Percentage</t>
        </is>
      </c>
      <c r="B21" s="44" t="inlineStr">
        <is>
          <t>discount_percentage</t>
        </is>
      </c>
      <c r="C21" s="38" t="n"/>
      <c r="D21" s="44" t="inlineStr">
        <is>
          <t>MPHEAD.IAODAM (unused)</t>
        </is>
      </c>
      <c r="E21" s="45" t="inlineStr">
        <is>
          <t>cast(null as decimal(11,8)). The M3 discount column is never read.</t>
        </is>
      </c>
      <c r="F21" s="56" t="inlineStr">
        <is>
          <t>(literal, unused)</t>
        </is>
      </c>
      <c r="G21" s="57" t="inlineStr">
        <is>
          <t>JBA discount is a literal 0 and is never read.</t>
        </is>
      </c>
      <c r="H21" s="50" t="inlineStr">
        <is>
          <t>(blank)</t>
        </is>
      </c>
      <c r="I21" s="50" t="inlineStr">
        <is>
          <t>(blank)</t>
        </is>
      </c>
      <c r="J21" s="47" t="inlineStr">
        <is>
          <t>Number (11,8)
11 characters maximum, 8 characters maximum to the right of the decimal.</t>
        </is>
      </c>
      <c r="K21" s="51" t="inlineStr">
        <is>
          <t>N</t>
        </is>
      </c>
      <c r="L21" s="47" t="inlineStr">
        <is>
          <t>The supplier discount if the discount NET terms are met.
Note: The data in this field is for information purposes only. It is not used in any calculations.</t>
        </is>
      </c>
    </row>
    <row r="22">
      <c r="A22" s="36" t="inlineStr">
        <is>
          <t>Tax</t>
        </is>
      </c>
      <c r="B22" s="37" t="inlineStr">
        <is>
          <t>tax</t>
        </is>
      </c>
      <c r="C22" s="37" t="inlineStr">
        <is>
          <t>poh.sales_tax</t>
        </is>
      </c>
      <c r="D22" s="37" t="inlineStr">
        <is>
          <t>(literal)</t>
        </is>
      </c>
      <c r="E22" s="39" t="inlineStr">
        <is>
          <t>M3 sends cast(0.00 as decimal(18,4)), marked '[new column required]' — so M3 POs carry no tax. Proc casts to decimal(11,8) — 11 digits with 8 to the right, so any value of 1000 or more overflows. The spec allows Number(23,8).</t>
        </is>
      </c>
      <c r="F22" s="54" t="inlineStr">
        <is>
          <t>(subselect)</t>
        </is>
      </c>
      <c r="G22" s="58" t="inlineStr">
        <is>
          <t>⚠ select COUNT(*) ... prml15 = 4 — counts rows instead of summing an amount. Almost certainly should be SUM(). Same pattern on all six JBA charge columns. Proc casts to decimal(11,8) — 11 digits with 8 to the right, so any value of 1000 or more overflows. The spec allows Number(23,8).</t>
        </is>
      </c>
      <c r="H22" s="40" t="inlineStr">
        <is>
          <t>0.00000000</t>
        </is>
      </c>
      <c r="I22" s="40" t="inlineStr">
        <is>
          <t>0.00000000</t>
        </is>
      </c>
      <c r="J22" s="41" t="inlineStr">
        <is>
          <t>Number (23,8)
23 characters maximum, 8 characters maximum to the right of the decimal.</t>
        </is>
      </c>
      <c r="K22" s="49" t="inlineStr">
        <is>
          <t>N</t>
        </is>
      </c>
      <c r="L22" s="41" t="inlineStr">
        <is>
          <t>The overall tax of the purchase order.
Note: If tax is provided at the 300-level Line Item level then the Tax value at this level is ignored, and the system instead uses the total of the Line Item tax.</t>
        </is>
      </c>
    </row>
    <row r="23">
      <c r="A23" s="43" t="inlineStr">
        <is>
          <t>Shipping</t>
        </is>
      </c>
      <c r="B23" s="44" t="inlineStr">
        <is>
          <t>shipping</t>
        </is>
      </c>
      <c r="C23" s="44" t="inlineStr">
        <is>
          <t>poh.freight</t>
        </is>
      </c>
      <c r="D23" s="44" t="inlineStr">
        <is>
          <t>(literal)</t>
        </is>
      </c>
      <c r="E23" s="45" t="inlineStr">
        <is>
          <t>M3 sends cast(0.00 as decimal(18,4)), marked '[new column required]'. Proc casts to decimal(11,8) — 11 digits with 8 to the right, so any value of 1000 or more overflows. The spec allows Number(23,8).</t>
        </is>
      </c>
      <c r="F23" s="56" t="inlineStr">
        <is>
          <t>(subselect)</t>
        </is>
      </c>
      <c r="G23" s="53" t="inlineStr">
        <is>
          <t>⚠ select COUNT(*) ... prml15 = 3 — same COUNT-instead-of-SUM issue. Proc casts to decimal(11,8) — 11 digits with 8 to the right, so any value of 1000 or more overflows. The spec allows Number(23,8).</t>
        </is>
      </c>
      <c r="H23" s="46" t="inlineStr">
        <is>
          <t>0.00000000</t>
        </is>
      </c>
      <c r="I23" s="46" t="inlineStr">
        <is>
          <t>0.00000000</t>
        </is>
      </c>
      <c r="J23" s="47" t="inlineStr">
        <is>
          <t>Number (23,8)
23 characters maximum, 8 characters maximum to the right of the decimal.</t>
        </is>
      </c>
      <c r="K23" s="51" t="inlineStr">
        <is>
          <t>N</t>
        </is>
      </c>
      <c r="L23" s="47" t="inlineStr">
        <is>
          <t>The overall shipping cost associated with the purchase order.</t>
        </is>
      </c>
    </row>
    <row r="24">
      <c r="A24" s="36" t="inlineStr">
        <is>
          <t>Shipping Description</t>
        </is>
      </c>
      <c r="B24" s="37" t="inlineStr">
        <is>
          <t>shipping_description</t>
        </is>
      </c>
      <c r="C24" s="38" t="n"/>
      <c r="D24" s="38" t="n"/>
      <c r="E24" s="39" t="inlineStr">
        <is>
          <t>cast(null as varchar(255)).</t>
        </is>
      </c>
      <c r="F24" s="38" t="n"/>
      <c r="G24" s="38" t="n"/>
      <c r="H24" s="48" t="inlineStr">
        <is>
          <t>(blank)</t>
        </is>
      </c>
      <c r="I24" s="48" t="inlineStr">
        <is>
          <t>(blank)</t>
        </is>
      </c>
      <c r="J24" s="41" t="inlineStr">
        <is>
          <t>Maximum 255 characters</t>
        </is>
      </c>
      <c r="K24" s="49" t="inlineStr">
        <is>
          <t>N</t>
        </is>
      </c>
      <c r="L24" s="41" t="inlineStr">
        <is>
          <t>Describes how the goods associated with the purchase order are going to be shipped, i.e. via FedEx, Will Call, etc.</t>
        </is>
      </c>
    </row>
    <row r="25">
      <c r="A25" s="43" t="inlineStr">
        <is>
          <t>Is Test</t>
        </is>
      </c>
      <c r="B25" s="44" t="inlineStr">
        <is>
          <t>is_test</t>
        </is>
      </c>
      <c r="C25" s="38" t="n"/>
      <c r="D25" s="38" t="n"/>
      <c r="E25" s="45" t="inlineStr">
        <is>
          <t>cast(null as char(1)).</t>
        </is>
      </c>
      <c r="F25" s="38" t="n"/>
      <c r="G25" s="38" t="n"/>
      <c r="H25" s="50" t="inlineStr">
        <is>
          <t>(blank)</t>
        </is>
      </c>
      <c r="I25" s="50" t="inlineStr">
        <is>
          <t>(blank)</t>
        </is>
      </c>
      <c r="J25" s="47" t="inlineStr">
        <is>
          <t>Maximum 1 character Y or N</t>
        </is>
      </c>
      <c r="K25" s="51" t="inlineStr">
        <is>
          <t>N</t>
        </is>
      </c>
      <c r="L25" s="47" t="inlineStr">
        <is>
          <t>Denotes if this is a test PO or not.</t>
        </is>
      </c>
    </row>
    <row r="26">
      <c r="A26" s="36" t="inlineStr">
        <is>
          <t>Shipping Terms</t>
        </is>
      </c>
      <c r="B26" s="37" t="inlineStr">
        <is>
          <t>shipping_terms</t>
        </is>
      </c>
      <c r="C26" s="38" t="n"/>
      <c r="D26" s="38" t="n"/>
      <c r="E26" s="39" t="inlineStr">
        <is>
          <t>cast(null as varchar(10)).</t>
        </is>
      </c>
      <c r="F26" s="38" t="n"/>
      <c r="G26" s="38" t="n"/>
      <c r="H26" s="48" t="inlineStr">
        <is>
          <t>(blank)</t>
        </is>
      </c>
      <c r="I26" s="48" t="inlineStr">
        <is>
          <t>(blank)</t>
        </is>
      </c>
      <c r="J26" s="41" t="inlineStr">
        <is>
          <t>Maximum 10 characters</t>
        </is>
      </c>
      <c r="K26" s="49" t="inlineStr">
        <is>
          <t>N</t>
        </is>
      </c>
      <c r="L26" s="41" t="inlineStr">
        <is>
          <t>The code representing shipping terms with a supplier.</t>
        </is>
      </c>
    </row>
    <row r="27">
      <c r="A27" s="43" t="inlineStr">
        <is>
          <t>Shipping Method</t>
        </is>
      </c>
      <c r="B27" s="44" t="inlineStr">
        <is>
          <t>shipping_method</t>
        </is>
      </c>
      <c r="C27" s="38" t="n"/>
      <c r="D27" s="38" t="n"/>
      <c r="E27" s="45" t="inlineStr">
        <is>
          <t>cast(null as varchar(10)).</t>
        </is>
      </c>
      <c r="F27" s="38" t="n"/>
      <c r="G27" s="38" t="n"/>
      <c r="H27" s="50" t="inlineStr">
        <is>
          <t>(blank)</t>
        </is>
      </c>
      <c r="I27" s="50" t="inlineStr">
        <is>
          <t>(blank)</t>
        </is>
      </c>
      <c r="J27" s="47" t="inlineStr">
        <is>
          <t>Maximum 10 characters</t>
        </is>
      </c>
      <c r="K27" s="51" t="inlineStr">
        <is>
          <t>N</t>
        </is>
      </c>
      <c r="L27" s="47" t="inlineStr">
        <is>
          <t>The code representing the shipping method used by the supplier.</t>
        </is>
      </c>
    </row>
    <row r="28">
      <c r="A28" s="36" t="inlineStr">
        <is>
          <t>Needed By Date</t>
        </is>
      </c>
      <c r="B28" s="37" t="inlineStr">
        <is>
          <t>needed_by_date</t>
        </is>
      </c>
      <c r="C28" s="38" t="n"/>
      <c r="D28" s="38" t="n"/>
      <c r="E28" s="39" t="inlineStr">
        <is>
          <t>cast(null as date).</t>
        </is>
      </c>
      <c r="F28" s="38" t="n"/>
      <c r="G28" s="38" t="n"/>
      <c r="H28" s="48" t="inlineStr">
        <is>
          <t>(blank)</t>
        </is>
      </c>
      <c r="I28" s="48" t="inlineStr">
        <is>
          <t>(blank)</t>
        </is>
      </c>
      <c r="J28" s="41" t="inlineStr">
        <is>
          <t>Date format of YYYY-MM-DD</t>
        </is>
      </c>
      <c r="K28" s="49" t="inlineStr">
        <is>
          <t>N</t>
        </is>
      </c>
      <c r="L28" s="41" t="inlineStr">
        <is>
          <t>The date by which the purchase order must be fulfilled.</t>
        </is>
      </c>
    </row>
    <row r="29">
      <c r="A29" s="43" t="inlineStr">
        <is>
          <t>Vendor Account Number</t>
        </is>
      </c>
      <c r="B29" s="44" t="inlineStr">
        <is>
          <t>vendor_account_number</t>
        </is>
      </c>
      <c r="C29" s="38" t="n"/>
      <c r="D29" s="38" t="n"/>
      <c r="E29" s="45" t="inlineStr">
        <is>
          <t>cast(null as varchar(50)).</t>
        </is>
      </c>
      <c r="F29" s="38" t="n"/>
      <c r="G29" s="38" t="n"/>
      <c r="H29" s="50" t="inlineStr">
        <is>
          <t>(blank)</t>
        </is>
      </c>
      <c r="I29" s="50" t="inlineStr">
        <is>
          <t>(blank)</t>
        </is>
      </c>
      <c r="J29" s="47" t="inlineStr">
        <is>
          <t>Maximum 50 characters</t>
        </is>
      </c>
      <c r="K29" s="51" t="inlineStr">
        <is>
          <t>N</t>
        </is>
      </c>
      <c r="L29" s="47" t="inlineStr">
        <is>
          <t>The vendor account number.</t>
        </is>
      </c>
    </row>
    <row r="30">
      <c r="A30" s="36" t="inlineStr">
        <is>
          <t>Status of the Purchase Order</t>
        </is>
      </c>
      <c r="B30" s="37" t="inlineStr">
        <is>
          <t>status_of_the_purchase_order</t>
        </is>
      </c>
      <c r="C30" s="37" t="inlineStr">
        <is>
          <t>poh.status_code (filter only)</t>
        </is>
      </c>
      <c r="D30" s="37" t="inlineStr">
        <is>
          <t>MPHEAD.IAPUSL / IAPUST</t>
        </is>
      </c>
      <c r="E30" s="39" t="inlineStr">
        <is>
          <t>View: CASE WHEN (IAPUSL between 20 and 80) OR (IAPUST between 20 and 80) THEN 1 ELSE 2 END — used only as the extract filter coalesce(status_code,1) = 1. The proc emits cast('' as varchar(5)), so Concur applies its TRAN default; CLSD is never sent.</t>
        </is>
      </c>
      <c r="F30" s="58" t="inlineStr">
        <is>
          <t>⚠ none</t>
        </is>
      </c>
      <c r="G30" s="58" t="inlineStr">
        <is>
          <t>⚠ The JBA header query returns no status_code, yet the proc filters on it.</t>
        </is>
      </c>
      <c r="H30" s="48" t="inlineStr">
        <is>
          <t>(blank)</t>
        </is>
      </c>
      <c r="I30" s="48" t="inlineStr">
        <is>
          <t>(blank)</t>
        </is>
      </c>
      <c r="J30" s="41" t="inlineStr">
        <is>
          <t>String
Either:
TRAN (transmitted)
- or -
CLSD (closed)</t>
        </is>
      </c>
      <c r="K30" s="49" t="inlineStr">
        <is>
          <t>N</t>
        </is>
      </c>
      <c r="L30" s="41" t="inlineStr">
        <is>
          <t>The status of the purchase order. If no value (is blank), then default of TRAN is used.</t>
        </is>
      </c>
    </row>
    <row r="31">
      <c r="A31" s="43" t="inlineStr">
        <is>
          <t>Vendor Tax Identification Number</t>
        </is>
      </c>
      <c r="B31" s="44" t="inlineStr">
        <is>
          <t>vendor_tax_identification_number</t>
        </is>
      </c>
      <c r="C31" s="38" t="n"/>
      <c r="D31" s="38" t="n"/>
      <c r="E31" s="45" t="inlineStr">
        <is>
          <t>cast(null as varchar(50)).</t>
        </is>
      </c>
      <c r="F31" s="38" t="n"/>
      <c r="G31" s="38" t="n"/>
      <c r="H31" s="50" t="inlineStr">
        <is>
          <t>(blank)</t>
        </is>
      </c>
      <c r="I31" s="50" t="inlineStr">
        <is>
          <t>(blank)</t>
        </is>
      </c>
      <c r="J31" s="47" t="inlineStr">
        <is>
          <t>Maximum 48 characters</t>
        </is>
      </c>
      <c r="K31" s="51" t="inlineStr">
        <is>
          <t>N</t>
        </is>
      </c>
      <c r="L31" s="47" t="inlineStr">
        <is>
          <t>This is the tax identification number of the vendor.</t>
        </is>
      </c>
    </row>
    <row r="32">
      <c r="A32" s="36" t="inlineStr">
        <is>
          <t>Provincial Tax Identification Number</t>
        </is>
      </c>
      <c r="B32" s="37" t="inlineStr">
        <is>
          <t>provincial_tax_identification_number</t>
        </is>
      </c>
      <c r="C32" s="38" t="n"/>
      <c r="D32" s="38" t="n"/>
      <c r="E32" s="39" t="inlineStr">
        <is>
          <t>cast(null as varchar(15)).</t>
        </is>
      </c>
      <c r="F32" s="38" t="n"/>
      <c r="G32" s="38" t="n"/>
      <c r="H32" s="48" t="inlineStr">
        <is>
          <t>(blank)</t>
        </is>
      </c>
      <c r="I32" s="48" t="inlineStr">
        <is>
          <t>(blank)</t>
        </is>
      </c>
      <c r="J32" s="41" t="inlineStr">
        <is>
          <t>Maximum 15 alphanumeric characters</t>
        </is>
      </c>
      <c r="K32" s="49" t="inlineStr">
        <is>
          <t>N</t>
        </is>
      </c>
      <c r="L32" s="41" t="inlineStr">
        <is>
          <t>This is the unique tax identification number for a vendor based on which province the vendor is located.</t>
        </is>
      </c>
    </row>
    <row r="33">
      <c r="A33" s="43" t="inlineStr">
        <is>
          <t>VAT Amount 1</t>
        </is>
      </c>
      <c r="B33" s="44" t="inlineStr">
        <is>
          <t>vat_amount_1</t>
        </is>
      </c>
      <c r="C33" s="38" t="n"/>
      <c r="D33" s="38" t="n"/>
      <c r="E33" s="45" t="inlineStr">
        <is>
          <t>cast(null as decimal(23,8)).</t>
        </is>
      </c>
      <c r="F33" s="38" t="n"/>
      <c r="G33" s="38" t="n"/>
      <c r="H33" s="50" t="inlineStr">
        <is>
          <t>(blank)</t>
        </is>
      </c>
      <c r="I33" s="50" t="inlineStr">
        <is>
          <t>(blank)</t>
        </is>
      </c>
      <c r="J33" s="47" t="inlineStr">
        <is>
          <t>Number (23,8)</t>
        </is>
      </c>
      <c r="K33" s="51" t="inlineStr">
        <is>
          <t>N</t>
        </is>
      </c>
      <c r="L33" s="47" t="inlineStr">
        <is>
          <t>This is the amount of the VAT included in the purchase order.</t>
        </is>
      </c>
    </row>
    <row r="34">
      <c r="A34" s="36" t="inlineStr">
        <is>
          <t>VAT Amount 2</t>
        </is>
      </c>
      <c r="B34" s="37" t="inlineStr">
        <is>
          <t>vat_amount_2</t>
        </is>
      </c>
      <c r="C34" s="38" t="n"/>
      <c r="D34" s="38" t="n"/>
      <c r="E34" s="39" t="inlineStr">
        <is>
          <t>cast(null as decimal(23,8)).</t>
        </is>
      </c>
      <c r="F34" s="38" t="n"/>
      <c r="G34" s="38" t="n"/>
      <c r="H34" s="48" t="inlineStr">
        <is>
          <t>(blank)</t>
        </is>
      </c>
      <c r="I34" s="48" t="inlineStr">
        <is>
          <t>(blank)</t>
        </is>
      </c>
      <c r="J34" s="41" t="inlineStr">
        <is>
          <t>Number (23,8)</t>
        </is>
      </c>
      <c r="K34" s="49" t="inlineStr">
        <is>
          <t>N</t>
        </is>
      </c>
      <c r="L34" s="41" t="inlineStr">
        <is>
          <t>This is the amount of the VAT included in the purchase order.
Note: Some countries will have two VAT amount fields because clients have two types of tax assessed and both the VAT amounts need to be stored.</t>
        </is>
      </c>
    </row>
    <row r="35">
      <c r="A35" s="43" t="inlineStr">
        <is>
          <t>VAT Rate 1</t>
        </is>
      </c>
      <c r="B35" s="44" t="inlineStr">
        <is>
          <t>vat_rate_1</t>
        </is>
      </c>
      <c r="C35" s="38" t="n"/>
      <c r="D35" s="38" t="n"/>
      <c r="E35" s="45" t="inlineStr">
        <is>
          <t>cast(null as decimal(11,8)).</t>
        </is>
      </c>
      <c r="F35" s="38" t="n"/>
      <c r="G35" s="38" t="n"/>
      <c r="H35" s="50" t="inlineStr">
        <is>
          <t>(blank)</t>
        </is>
      </c>
      <c r="I35" s="50" t="inlineStr">
        <is>
          <t>(blank)</t>
        </is>
      </c>
      <c r="J35" s="47" t="inlineStr">
        <is>
          <t>Number (11,8)</t>
        </is>
      </c>
      <c r="K35" s="51" t="inlineStr">
        <is>
          <t>N</t>
        </is>
      </c>
      <c r="L35" s="47" t="inlineStr">
        <is>
          <t>This is the VAT rate included in the purchase order.</t>
        </is>
      </c>
    </row>
    <row r="36">
      <c r="A36" s="36" t="inlineStr">
        <is>
          <t>VAT Rate 2</t>
        </is>
      </c>
      <c r="B36" s="37" t="inlineStr">
        <is>
          <t>vat_rate_2</t>
        </is>
      </c>
      <c r="C36" s="38" t="n"/>
      <c r="D36" s="38" t="n"/>
      <c r="E36" s="39" t="inlineStr">
        <is>
          <t>cast(null as decimal(11,8)).</t>
        </is>
      </c>
      <c r="F36" s="38" t="n"/>
      <c r="G36" s="38" t="n"/>
      <c r="H36" s="48" t="inlineStr">
        <is>
          <t>(blank)</t>
        </is>
      </c>
      <c r="I36" s="48" t="inlineStr">
        <is>
          <t>(blank)</t>
        </is>
      </c>
      <c r="J36" s="41" t="inlineStr">
        <is>
          <t>Number (11,8)</t>
        </is>
      </c>
      <c r="K36" s="49" t="inlineStr">
        <is>
          <t>N</t>
        </is>
      </c>
      <c r="L36" s="41" t="inlineStr">
        <is>
          <t>This is the VAT rate included in the purchase order.</t>
        </is>
      </c>
    </row>
    <row r="37">
      <c r="A37" s="43" t="inlineStr">
        <is>
          <t>Amount without VAT</t>
        </is>
      </c>
      <c r="B37" s="44" t="inlineStr">
        <is>
          <t>amount_without_vat</t>
        </is>
      </c>
      <c r="C37" s="38" t="n"/>
      <c r="D37" s="38" t="n"/>
      <c r="E37" s="45" t="inlineStr">
        <is>
          <t>cast(null as decimal(23,8)).</t>
        </is>
      </c>
      <c r="F37" s="38" t="n"/>
      <c r="G37" s="38" t="n"/>
      <c r="H37" s="50" t="inlineStr">
        <is>
          <t>(blank)</t>
        </is>
      </c>
      <c r="I37" s="50" t="inlineStr">
        <is>
          <t>(blank)</t>
        </is>
      </c>
      <c r="J37" s="47" t="inlineStr">
        <is>
          <t>Number (23,8)</t>
        </is>
      </c>
      <c r="K37" s="51" t="inlineStr">
        <is>
          <t>N</t>
        </is>
      </c>
      <c r="L37" s="47" t="inlineStr">
        <is>
          <t>This is the net amount for the good/service without the tax applied which is applicable to clients who report amounts including Goods and Services Tax (GST).</t>
        </is>
      </c>
    </row>
    <row r="38">
      <c r="A38" s="36" t="inlineStr">
        <is>
          <t>Receipt Type</t>
        </is>
      </c>
      <c r="B38" s="37" t="inlineStr">
        <is>
          <t>receipt_type</t>
        </is>
      </c>
      <c r="C38" s="38" t="n"/>
      <c r="D38" s="38" t="n"/>
      <c r="E38" s="58" t="inlineStr">
        <is>
          <t>⚠ cast(null as varchar(4)) — never populated at header level either. Combined with the 300 record, where field 18 carries future_use_6 instead of Receipt Type, NOTHING sets a receipt type anywhere, so Concur defaults to NONE (two-way matching) while a PO Receipt file is being sent.</t>
        </is>
      </c>
      <c r="F38" s="38" t="n"/>
      <c r="G38" s="38" t="n"/>
      <c r="H38" s="48" t="inlineStr">
        <is>
          <t>(blank)</t>
        </is>
      </c>
      <c r="I38" s="48" t="inlineStr">
        <is>
          <t>(blank)</t>
        </is>
      </c>
      <c r="J38" s="41" t="inlineStr">
        <is>
          <t>Maximum 4 characters</t>
        </is>
      </c>
      <c r="K38" s="49" t="inlineStr">
        <is>
          <t>N</t>
        </is>
      </c>
      <c r="L38" s="41" t="inlineStr">
        <is>
          <t>One of the following receipt types can be specified in a purchase order:
NONE (No receipt; two-way matching)
RCON (Receipt Confirmation)
WQTY (Receipt Confirmation with Quantity; three-way matching)
Note: For Invoice Standard, the only option available is the WQTY.</t>
        </is>
      </c>
    </row>
    <row r="39">
      <c r="A39" s="43" t="inlineStr">
        <is>
          <t>Ledger Code</t>
        </is>
      </c>
      <c r="B39" s="44" t="inlineStr">
        <is>
          <t>ledger_code</t>
        </is>
      </c>
      <c r="C39" s="44" t="inlineStr">
        <is>
          <t>poh.ledger_code</t>
        </is>
      </c>
      <c r="D39" s="44" t="inlineStr">
        <is>
          <t>MPHEAD.IAPYME</t>
        </is>
      </c>
      <c r="E39" s="45" t="inlineStr">
        <is>
          <t>Marked '[new column required]'. Also drives the 300 record's account-code lookup (edac.gl_account_code = poh.ledger_code).</t>
        </is>
      </c>
      <c r="F39" s="56" t="inlineStr">
        <is>
          <t>PMP03.NOMM03</t>
        </is>
      </c>
      <c r="G39" s="57" t="inlineStr">
        <is>
          <t>Scalar subselect, first row where ACRC03 &lt;&gt; 'C' and DTLC03 = 9999999.</t>
        </is>
      </c>
      <c r="H39" s="50" t="inlineStr">
        <is>
          <t>(blank)</t>
        </is>
      </c>
      <c r="I39" s="46" t="inlineStr">
        <is>
          <t>1360003</t>
        </is>
      </c>
      <c r="J39" s="47" t="inlineStr">
        <is>
          <t>Maximum 48 characters</t>
        </is>
      </c>
      <c r="K39" s="51" t="inlineStr">
        <is>
          <t>N</t>
        </is>
      </c>
      <c r="L39" s="47" t="inlineStr">
        <is>
          <t>This is the code that identifies the ledger key that is associated with the purchase order.</t>
        </is>
      </c>
    </row>
    <row r="40">
      <c r="A40" s="36" t="inlineStr">
        <is>
          <t>Future_Use_16</t>
        </is>
      </c>
      <c r="B40" s="37" t="inlineStr">
        <is>
          <t>future_use_16</t>
        </is>
      </c>
      <c r="C40" s="38" t="n"/>
      <c r="D40" s="38" t="n"/>
      <c r="E40" s="39" t="inlineStr">
        <is>
          <t>cast(null as varchar(50)) in the proc.</t>
        </is>
      </c>
      <c r="F40" s="38" t="n"/>
      <c r="G40" s="38" t="n"/>
      <c r="H40" s="48" t="inlineStr">
        <is>
          <t>(blank)</t>
        </is>
      </c>
      <c r="I40" s="48" t="inlineStr">
        <is>
          <t>(blank)</t>
        </is>
      </c>
      <c r="J40" s="41" t="n"/>
      <c r="K40" s="49" t="inlineStr">
        <is>
          <t>N</t>
        </is>
      </c>
      <c r="L40" s="41" t="inlineStr">
        <is>
          <t>The future_use fields are currently not in use. Please account for them in your import, but do not put any data into them. All data will be ignored.</t>
        </is>
      </c>
    </row>
    <row r="41">
      <c r="A41" s="43" t="inlineStr">
        <is>
          <t>Future_Use_17</t>
        </is>
      </c>
      <c r="B41" s="44" t="inlineStr">
        <is>
          <t>future_use_17</t>
        </is>
      </c>
      <c r="C41" s="38" t="n"/>
      <c r="D41" s="38" t="n"/>
      <c r="E41" s="45" t="inlineStr">
        <is>
          <t>cast(null as varchar(50)) in the proc.</t>
        </is>
      </c>
      <c r="F41" s="38" t="n"/>
      <c r="G41" s="38" t="n"/>
      <c r="H41" s="50" t="inlineStr">
        <is>
          <t>(blank)</t>
        </is>
      </c>
      <c r="I41" s="50" t="inlineStr">
        <is>
          <t>(blank)</t>
        </is>
      </c>
      <c r="J41" s="47" t="n"/>
      <c r="K41" s="51" t="inlineStr">
        <is>
          <t>N</t>
        </is>
      </c>
      <c r="L41" s="47" t="inlineStr">
        <is>
          <t>The future_use fields are currently not in use. Please account for them in your import, but do not put any data into them. All data will be ignored.</t>
        </is>
      </c>
    </row>
    <row r="42">
      <c r="A42" s="36" t="inlineStr">
        <is>
          <t>Future_Use_18</t>
        </is>
      </c>
      <c r="B42" s="37" t="inlineStr">
        <is>
          <t>future_use_18</t>
        </is>
      </c>
      <c r="C42" s="38" t="n"/>
      <c r="D42" s="38" t="n"/>
      <c r="E42" s="39" t="inlineStr">
        <is>
          <t>cast(null as varchar(50)) in the proc.</t>
        </is>
      </c>
      <c r="F42" s="38" t="n"/>
      <c r="G42" s="38" t="n"/>
      <c r="H42" s="48" t="inlineStr">
        <is>
          <t>(blank)</t>
        </is>
      </c>
      <c r="I42" s="48" t="inlineStr">
        <is>
          <t>(blank)</t>
        </is>
      </c>
      <c r="J42" s="41" t="n"/>
      <c r="K42" s="49" t="inlineStr">
        <is>
          <t>N</t>
        </is>
      </c>
      <c r="L42" s="41" t="inlineStr">
        <is>
          <t>The future_use fields are currently not in use. Please account for them in your import, but do not put any data into them. All data will be ignored.</t>
        </is>
      </c>
    </row>
    <row r="43">
      <c r="A43" s="43" t="inlineStr">
        <is>
          <t>Future_Use_19</t>
        </is>
      </c>
      <c r="B43" s="44" t="inlineStr">
        <is>
          <t>future_use_19</t>
        </is>
      </c>
      <c r="C43" s="38" t="n"/>
      <c r="D43" s="38" t="n"/>
      <c r="E43" s="45" t="inlineStr">
        <is>
          <t>cast(null as varchar(50)) in the proc.</t>
        </is>
      </c>
      <c r="F43" s="38" t="n"/>
      <c r="G43" s="38" t="n"/>
      <c r="H43" s="50" t="inlineStr">
        <is>
          <t>(blank)</t>
        </is>
      </c>
      <c r="I43" s="50" t="inlineStr">
        <is>
          <t>(blank)</t>
        </is>
      </c>
      <c r="J43" s="47" t="n"/>
      <c r="K43" s="51" t="inlineStr">
        <is>
          <t>N</t>
        </is>
      </c>
      <c r="L43" s="47" t="inlineStr">
        <is>
          <t>The future_use fields are currently not in use. Please account for them in your import, but do not put any data into them. All data will be ignored.</t>
        </is>
      </c>
    </row>
    <row r="44">
      <c r="A44" s="36" t="inlineStr">
        <is>
          <t>Future_Use_20</t>
        </is>
      </c>
      <c r="B44" s="37" t="inlineStr">
        <is>
          <t>future_use_20</t>
        </is>
      </c>
      <c r="C44" s="38" t="n"/>
      <c r="D44" s="38" t="n"/>
      <c r="E44" s="39" t="inlineStr">
        <is>
          <t>cast(null as varchar(50)) in the proc.</t>
        </is>
      </c>
      <c r="F44" s="38" t="n"/>
      <c r="G44" s="38" t="n"/>
      <c r="H44" s="48" t="inlineStr">
        <is>
          <t>(blank)</t>
        </is>
      </c>
      <c r="I44" s="48" t="inlineStr">
        <is>
          <t>(blank)</t>
        </is>
      </c>
      <c r="J44" s="41" t="n"/>
      <c r="K44" s="49" t="inlineStr">
        <is>
          <t>N</t>
        </is>
      </c>
      <c r="L44" s="41" t="inlineStr">
        <is>
          <t>The future_use fields are currently not in use. Please account for them in your import, but do not put any data into them. All data will be ignored.</t>
        </is>
      </c>
    </row>
    <row r="45">
      <c r="A45" s="43" t="inlineStr">
        <is>
          <t>Custom_1</t>
        </is>
      </c>
      <c r="B45" s="44" t="inlineStr">
        <is>
          <t>custom_1</t>
        </is>
      </c>
      <c r="C45" s="44" t="inlineStr">
        <is>
          <t>poh.entity_id</t>
        </is>
      </c>
      <c r="D45" s="38" t="n"/>
      <c r="E45" s="45" t="inlineStr">
        <is>
          <t>cast(poh.entity_id as varchar(50)) — the only populated custom field on the header.</t>
        </is>
      </c>
      <c r="F45" s="38" t="n"/>
      <c r="G45" s="38" t="n"/>
      <c r="H45" s="46" t="inlineStr">
        <is>
          <t>0088</t>
        </is>
      </c>
      <c r="I45" s="46" t="inlineStr">
        <is>
          <t>0096</t>
        </is>
      </c>
      <c r="J45" s="47" t="inlineStr">
        <is>
          <t>Maximum 48 characters</t>
        </is>
      </c>
      <c r="K45" s="51" t="inlineStr">
        <is>
          <t>N</t>
        </is>
      </c>
      <c r="L45" s="47" t="inlineStr">
        <is>
          <t>A value that can be applied to a custom field of the same name that is part of the purchase order header form. Custom fields will be validated using the configured custom field definitions.</t>
        </is>
      </c>
    </row>
    <row r="46">
      <c r="A46" s="36" t="inlineStr">
        <is>
          <t>Custom_2</t>
        </is>
      </c>
      <c r="B46" s="37" t="inlineStr">
        <is>
          <t>custom_2</t>
        </is>
      </c>
      <c r="C46" s="38" t="n"/>
      <c r="D46" s="38" t="n"/>
      <c r="E46" s="39" t="inlineStr">
        <is>
          <t>cast(null as varchar(50)) in the proc.</t>
        </is>
      </c>
      <c r="F46" s="38" t="n"/>
      <c r="G46" s="38" t="n"/>
      <c r="H46" s="48" t="inlineStr">
        <is>
          <t>(blank)</t>
        </is>
      </c>
      <c r="I46" s="48" t="inlineStr">
        <is>
          <t>(blank)</t>
        </is>
      </c>
      <c r="J46" s="41" t="inlineStr">
        <is>
          <t>Maximum 48 characters</t>
        </is>
      </c>
      <c r="K46" s="49" t="inlineStr">
        <is>
          <t>N</t>
        </is>
      </c>
      <c r="L46" s="41" t="inlineStr">
        <is>
          <t>A value that can be applied to a custom field of the same name that is part of the purchase order header form. Custom fields will be validated using the configured custom field definitions.</t>
        </is>
      </c>
    </row>
    <row r="47">
      <c r="A47" s="43" t="inlineStr">
        <is>
          <t>Custom_3</t>
        </is>
      </c>
      <c r="B47" s="44" t="inlineStr">
        <is>
          <t>custom_3</t>
        </is>
      </c>
      <c r="C47" s="38" t="n"/>
      <c r="D47" s="38" t="n"/>
      <c r="E47" s="45" t="inlineStr">
        <is>
          <t>cast(null as varchar(50)) in the proc.</t>
        </is>
      </c>
      <c r="F47" s="38" t="n"/>
      <c r="G47" s="38" t="n"/>
      <c r="H47" s="50" t="inlineStr">
        <is>
          <t>(blank)</t>
        </is>
      </c>
      <c r="I47" s="50" t="inlineStr">
        <is>
          <t>(blank)</t>
        </is>
      </c>
      <c r="J47" s="47" t="inlineStr">
        <is>
          <t>Maximum 48 characters</t>
        </is>
      </c>
      <c r="K47" s="51" t="inlineStr">
        <is>
          <t>N</t>
        </is>
      </c>
      <c r="L47" s="47" t="inlineStr">
        <is>
          <t>A value that can be applied to a custom field of the same name that is part of the purchase order header form. Custom fields will be validated using the configured custom field definitions.</t>
        </is>
      </c>
    </row>
    <row r="48">
      <c r="A48" s="36" t="inlineStr">
        <is>
          <t>Custom_4</t>
        </is>
      </c>
      <c r="B48" s="37" t="inlineStr">
        <is>
          <t>custom_4</t>
        </is>
      </c>
      <c r="C48" s="38" t="n"/>
      <c r="D48" s="38" t="n"/>
      <c r="E48" s="39" t="inlineStr">
        <is>
          <t>cast(null as varchar(50)) in the proc.</t>
        </is>
      </c>
      <c r="F48" s="38" t="n"/>
      <c r="G48" s="38" t="n"/>
      <c r="H48" s="48" t="inlineStr">
        <is>
          <t>(blank)</t>
        </is>
      </c>
      <c r="I48" s="48" t="inlineStr">
        <is>
          <t>(blank)</t>
        </is>
      </c>
      <c r="J48" s="41" t="inlineStr">
        <is>
          <t>Maximum 48 characters</t>
        </is>
      </c>
      <c r="K48" s="49" t="inlineStr">
        <is>
          <t>N</t>
        </is>
      </c>
      <c r="L48" s="41" t="inlineStr">
        <is>
          <t>A value that can be applied to a custom field of the same name that is part of the purchase order header form. Custom fields will be validated using the configured custom field definitions.</t>
        </is>
      </c>
    </row>
    <row r="49">
      <c r="A49" s="43" t="inlineStr">
        <is>
          <t>Custom_5</t>
        </is>
      </c>
      <c r="B49" s="44" t="inlineStr">
        <is>
          <t>custom_5</t>
        </is>
      </c>
      <c r="C49" s="38" t="n"/>
      <c r="D49" s="38" t="n"/>
      <c r="E49" s="45" t="inlineStr">
        <is>
          <t>cast(null as varchar(50)) in the proc.</t>
        </is>
      </c>
      <c r="F49" s="38" t="n"/>
      <c r="G49" s="38" t="n"/>
      <c r="H49" s="50" t="inlineStr">
        <is>
          <t>(blank)</t>
        </is>
      </c>
      <c r="I49" s="50" t="inlineStr">
        <is>
          <t>(blank)</t>
        </is>
      </c>
      <c r="J49" s="47" t="inlineStr">
        <is>
          <t>Maximum 48 characters</t>
        </is>
      </c>
      <c r="K49" s="51" t="inlineStr">
        <is>
          <t>N</t>
        </is>
      </c>
      <c r="L49" s="47" t="inlineStr">
        <is>
          <t>A value that can be applied to a custom field of the same name that is part of the purchase order header form. Custom fields will be validated using the configured custom field definitions.</t>
        </is>
      </c>
    </row>
    <row r="50">
      <c r="A50" s="36" t="inlineStr">
        <is>
          <t>Custom_6</t>
        </is>
      </c>
      <c r="B50" s="37" t="inlineStr">
        <is>
          <t>custom_6</t>
        </is>
      </c>
      <c r="C50" s="38" t="n"/>
      <c r="D50" s="38" t="n"/>
      <c r="E50" s="39" t="inlineStr">
        <is>
          <t>cast(null as varchar(50)) in the proc.</t>
        </is>
      </c>
      <c r="F50" s="38" t="n"/>
      <c r="G50" s="38" t="n"/>
      <c r="H50" s="48" t="inlineStr">
        <is>
          <t>(blank)</t>
        </is>
      </c>
      <c r="I50" s="48" t="inlineStr">
        <is>
          <t>(blank)</t>
        </is>
      </c>
      <c r="J50" s="41" t="inlineStr">
        <is>
          <t>Maximum 48 characters</t>
        </is>
      </c>
      <c r="K50" s="49" t="inlineStr">
        <is>
          <t>N</t>
        </is>
      </c>
      <c r="L50" s="41" t="inlineStr">
        <is>
          <t>A value that can be applied to a custom field of the same name that is part of the purchase order header form. Custom fields will be validated using the configured custom field definitions.</t>
        </is>
      </c>
    </row>
    <row r="51">
      <c r="A51" s="43" t="inlineStr">
        <is>
          <t>Custom_7</t>
        </is>
      </c>
      <c r="B51" s="44" t="inlineStr">
        <is>
          <t>custom_7</t>
        </is>
      </c>
      <c r="C51" s="38" t="n"/>
      <c r="D51" s="38" t="n"/>
      <c r="E51" s="45" t="inlineStr">
        <is>
          <t>cast(null as varchar(50)) in the proc.</t>
        </is>
      </c>
      <c r="F51" s="38" t="n"/>
      <c r="G51" s="38" t="n"/>
      <c r="H51" s="50" t="inlineStr">
        <is>
          <t>(blank)</t>
        </is>
      </c>
      <c r="I51" s="50" t="inlineStr">
        <is>
          <t>(blank)</t>
        </is>
      </c>
      <c r="J51" s="47" t="inlineStr">
        <is>
          <t>Maximum 48 characters</t>
        </is>
      </c>
      <c r="K51" s="51" t="inlineStr">
        <is>
          <t>N</t>
        </is>
      </c>
      <c r="L51" s="47" t="inlineStr">
        <is>
          <t>A value that can be applied to a custom field of the same name that is part of the purchase order header form. Custom fields will be validated using the configured custom field definitions.</t>
        </is>
      </c>
    </row>
    <row r="52">
      <c r="A52" s="36" t="inlineStr">
        <is>
          <t>Custom_8</t>
        </is>
      </c>
      <c r="B52" s="37" t="inlineStr">
        <is>
          <t>custom_8</t>
        </is>
      </c>
      <c r="C52" s="38" t="n"/>
      <c r="D52" s="38" t="n"/>
      <c r="E52" s="39" t="inlineStr">
        <is>
          <t>cast(null as varchar(50)) in the proc.</t>
        </is>
      </c>
      <c r="F52" s="38" t="n"/>
      <c r="G52" s="38" t="n"/>
      <c r="H52" s="48" t="inlineStr">
        <is>
          <t>(blank)</t>
        </is>
      </c>
      <c r="I52" s="48" t="inlineStr">
        <is>
          <t>(blank)</t>
        </is>
      </c>
      <c r="J52" s="41" t="inlineStr">
        <is>
          <t>Maximum 48 characters</t>
        </is>
      </c>
      <c r="K52" s="49" t="inlineStr">
        <is>
          <t>N</t>
        </is>
      </c>
      <c r="L52" s="41" t="inlineStr">
        <is>
          <t>A value that can be applied to a custom field of the same name that is part of the purchase order header form. Custom fields will be validated using the configured custom field definitions.</t>
        </is>
      </c>
    </row>
    <row r="53">
      <c r="A53" s="43" t="inlineStr">
        <is>
          <t>Custom_9</t>
        </is>
      </c>
      <c r="B53" s="44" t="inlineStr">
        <is>
          <t>custom_9</t>
        </is>
      </c>
      <c r="C53" s="38" t="n"/>
      <c r="D53" s="38" t="n"/>
      <c r="E53" s="45" t="inlineStr">
        <is>
          <t>cast(null as varchar(50)) in the proc.</t>
        </is>
      </c>
      <c r="F53" s="38" t="n"/>
      <c r="G53" s="38" t="n"/>
      <c r="H53" s="50" t="inlineStr">
        <is>
          <t>(blank)</t>
        </is>
      </c>
      <c r="I53" s="50" t="inlineStr">
        <is>
          <t>(blank)</t>
        </is>
      </c>
      <c r="J53" s="47" t="inlineStr">
        <is>
          <t>Maximum 48 characters</t>
        </is>
      </c>
      <c r="K53" s="51" t="inlineStr">
        <is>
          <t>N</t>
        </is>
      </c>
      <c r="L53" s="47" t="inlineStr">
        <is>
          <t>A value that can be applied to a custom field of the same name that is part of the purchase order header form. Custom fields will be validated using the configured custom field definitions.</t>
        </is>
      </c>
    </row>
    <row r="54">
      <c r="A54" s="36" t="inlineStr">
        <is>
          <t>Custom_10</t>
        </is>
      </c>
      <c r="B54" s="37" t="inlineStr">
        <is>
          <t>custom_10</t>
        </is>
      </c>
      <c r="C54" s="38" t="n"/>
      <c r="D54" s="38" t="n"/>
      <c r="E54" s="39" t="inlineStr">
        <is>
          <t>cast(null as varchar(50)) in the proc.</t>
        </is>
      </c>
      <c r="F54" s="38" t="n"/>
      <c r="G54" s="38" t="n"/>
      <c r="H54" s="48" t="inlineStr">
        <is>
          <t>(blank)</t>
        </is>
      </c>
      <c r="I54" s="48" t="inlineStr">
        <is>
          <t>(blank)</t>
        </is>
      </c>
      <c r="J54" s="41" t="inlineStr">
        <is>
          <t>Maximum 48 characters</t>
        </is>
      </c>
      <c r="K54" s="49" t="inlineStr">
        <is>
          <t>N</t>
        </is>
      </c>
      <c r="L54" s="41" t="inlineStr">
        <is>
          <t>A value that can be applied to a custom field of the same name that is part of the purchase order header form. Custom fields will be validated using the configured custom field definitions.</t>
        </is>
      </c>
    </row>
    <row r="55">
      <c r="A55" s="43" t="inlineStr">
        <is>
          <t>Custom_11</t>
        </is>
      </c>
      <c r="B55" s="44" t="inlineStr">
        <is>
          <t>custom_11</t>
        </is>
      </c>
      <c r="C55" s="38" t="n"/>
      <c r="D55" s="38" t="n"/>
      <c r="E55" s="45" t="inlineStr">
        <is>
          <t>cast(null as varchar(50)) in the proc.</t>
        </is>
      </c>
      <c r="F55" s="38" t="n"/>
      <c r="G55" s="38" t="n"/>
      <c r="H55" s="50" t="inlineStr">
        <is>
          <t>(blank)</t>
        </is>
      </c>
      <c r="I55" s="50" t="inlineStr">
        <is>
          <t>(blank)</t>
        </is>
      </c>
      <c r="J55" s="47" t="inlineStr">
        <is>
          <t>Maximum 48 characters</t>
        </is>
      </c>
      <c r="K55" s="51" t="inlineStr">
        <is>
          <t>N</t>
        </is>
      </c>
      <c r="L55" s="47" t="inlineStr">
        <is>
          <t>A value that can be applied to a custom field of the same name that is part of the purchase order header form. Custom fields will be validated using the configured custom field definitions.</t>
        </is>
      </c>
    </row>
    <row r="56">
      <c r="A56" s="36" t="inlineStr">
        <is>
          <t>Custom_12</t>
        </is>
      </c>
      <c r="B56" s="37" t="inlineStr">
        <is>
          <t>custom_12</t>
        </is>
      </c>
      <c r="C56" s="38" t="n"/>
      <c r="D56" s="38" t="n"/>
      <c r="E56" s="39" t="inlineStr">
        <is>
          <t>cast(null as varchar(50)) in the proc.</t>
        </is>
      </c>
      <c r="F56" s="38" t="n"/>
      <c r="G56" s="38" t="n"/>
      <c r="H56" s="48" t="inlineStr">
        <is>
          <t>(blank)</t>
        </is>
      </c>
      <c r="I56" s="48" t="inlineStr">
        <is>
          <t>(blank)</t>
        </is>
      </c>
      <c r="J56" s="41" t="inlineStr">
        <is>
          <t>Maximum 48 characters</t>
        </is>
      </c>
      <c r="K56" s="49" t="inlineStr">
        <is>
          <t>N</t>
        </is>
      </c>
      <c r="L56" s="41" t="inlineStr">
        <is>
          <t>A value that can be applied to a custom field of the same name that is part of the purchase order header form. Custom fields will be validated using the configured custom field definitions.</t>
        </is>
      </c>
    </row>
    <row r="57">
      <c r="A57" s="43" t="inlineStr">
        <is>
          <t>Custom_13</t>
        </is>
      </c>
      <c r="B57" s="44" t="inlineStr">
        <is>
          <t>custom_13</t>
        </is>
      </c>
      <c r="C57" s="38" t="n"/>
      <c r="D57" s="38" t="n"/>
      <c r="E57" s="45" t="inlineStr">
        <is>
          <t>cast(null as varchar(50)) in the proc.</t>
        </is>
      </c>
      <c r="F57" s="38" t="n"/>
      <c r="G57" s="38" t="n"/>
      <c r="H57" s="50" t="inlineStr">
        <is>
          <t>(blank)</t>
        </is>
      </c>
      <c r="I57" s="50" t="inlineStr">
        <is>
          <t>(blank)</t>
        </is>
      </c>
      <c r="J57" s="47" t="inlineStr">
        <is>
          <t>Maximum 48 characters</t>
        </is>
      </c>
      <c r="K57" s="51" t="inlineStr">
        <is>
          <t>N</t>
        </is>
      </c>
      <c r="L57" s="47" t="inlineStr">
        <is>
          <t>A value that can be applied to a custom field of the same name that is part of the purchase order header form. Custom fields will be validated using the configured custom field definitions.</t>
        </is>
      </c>
    </row>
    <row r="58">
      <c r="A58" s="36" t="inlineStr">
        <is>
          <t>Custom_14</t>
        </is>
      </c>
      <c r="B58" s="37" t="inlineStr">
        <is>
          <t>custom_14</t>
        </is>
      </c>
      <c r="C58" s="38" t="n"/>
      <c r="D58" s="38" t="n"/>
      <c r="E58" s="39" t="inlineStr">
        <is>
          <t>cast(null as varchar(50)) in the proc.</t>
        </is>
      </c>
      <c r="F58" s="38" t="n"/>
      <c r="G58" s="38" t="n"/>
      <c r="H58" s="48" t="inlineStr">
        <is>
          <t>(blank)</t>
        </is>
      </c>
      <c r="I58" s="48" t="inlineStr">
        <is>
          <t>(blank)</t>
        </is>
      </c>
      <c r="J58" s="41" t="inlineStr">
        <is>
          <t>Maximum 48 characters</t>
        </is>
      </c>
      <c r="K58" s="49" t="inlineStr">
        <is>
          <t>N</t>
        </is>
      </c>
      <c r="L58" s="41" t="inlineStr">
        <is>
          <t>A value that can be applied to a custom field of the same name that is part of the purchase order header form. Custom fields will be validated using the configured custom field definitions.</t>
        </is>
      </c>
    </row>
    <row r="59">
      <c r="A59" s="43" t="inlineStr">
        <is>
          <t>Custom_15</t>
        </is>
      </c>
      <c r="B59" s="44" t="inlineStr">
        <is>
          <t>custom_15</t>
        </is>
      </c>
      <c r="C59" s="38" t="n"/>
      <c r="D59" s="38" t="n"/>
      <c r="E59" s="45" t="inlineStr">
        <is>
          <t>cast(null as varchar(50)) in the proc.</t>
        </is>
      </c>
      <c r="F59" s="38" t="n"/>
      <c r="G59" s="38" t="n"/>
      <c r="H59" s="50" t="inlineStr">
        <is>
          <t>(blank)</t>
        </is>
      </c>
      <c r="I59" s="50" t="inlineStr">
        <is>
          <t>(blank)</t>
        </is>
      </c>
      <c r="J59" s="47" t="inlineStr">
        <is>
          <t>Maximum 48 characters</t>
        </is>
      </c>
      <c r="K59" s="51" t="inlineStr">
        <is>
          <t>N</t>
        </is>
      </c>
      <c r="L59" s="47" t="inlineStr">
        <is>
          <t>A value that can be applied to a custom field of the same name that is part of the purchase order header form. Custom fields will be validated using the configured custom field definitions.</t>
        </is>
      </c>
    </row>
    <row r="60">
      <c r="A60" s="36" t="inlineStr">
        <is>
          <t>Custom_16</t>
        </is>
      </c>
      <c r="B60" s="37" t="inlineStr">
        <is>
          <t>custom_16</t>
        </is>
      </c>
      <c r="C60" s="38" t="n"/>
      <c r="D60" s="38" t="n"/>
      <c r="E60" s="39" t="inlineStr">
        <is>
          <t>cast(null as varchar(50)) in the proc.</t>
        </is>
      </c>
      <c r="F60" s="38" t="n"/>
      <c r="G60" s="38" t="n"/>
      <c r="H60" s="48" t="inlineStr">
        <is>
          <t>(blank)</t>
        </is>
      </c>
      <c r="I60" s="48" t="inlineStr">
        <is>
          <t>(blank)</t>
        </is>
      </c>
      <c r="J60" s="41" t="inlineStr">
        <is>
          <t>Maximum 48 characters</t>
        </is>
      </c>
      <c r="K60" s="49" t="inlineStr">
        <is>
          <t>N</t>
        </is>
      </c>
      <c r="L60" s="41" t="inlineStr">
        <is>
          <t>A value that can be applied to a custom field of the same name that is part of the purchase order header form. Custom fields will be validated using the configured custom field definitions.</t>
        </is>
      </c>
    </row>
    <row r="61">
      <c r="A61" s="43" t="inlineStr">
        <is>
          <t>Custom_17</t>
        </is>
      </c>
      <c r="B61" s="44" t="inlineStr">
        <is>
          <t>custom_17</t>
        </is>
      </c>
      <c r="C61" s="38" t="n"/>
      <c r="D61" s="38" t="n"/>
      <c r="E61" s="45" t="inlineStr">
        <is>
          <t>cast(null as varchar(50)) in the proc.</t>
        </is>
      </c>
      <c r="F61" s="38" t="n"/>
      <c r="G61" s="38" t="n"/>
      <c r="H61" s="50" t="inlineStr">
        <is>
          <t>(blank)</t>
        </is>
      </c>
      <c r="I61" s="50" t="inlineStr">
        <is>
          <t>(blank)</t>
        </is>
      </c>
      <c r="J61" s="47" t="inlineStr">
        <is>
          <t>Maximum 48 characters</t>
        </is>
      </c>
      <c r="K61" s="51" t="inlineStr">
        <is>
          <t>N</t>
        </is>
      </c>
      <c r="L61" s="47" t="inlineStr">
        <is>
          <t>A value that can be applied to a custom field of the same name that is part of the purchase order header form. Custom fields will be validated using the configured custom field definitions.</t>
        </is>
      </c>
    </row>
    <row r="62">
      <c r="A62" s="36" t="inlineStr">
        <is>
          <t>Custom_18</t>
        </is>
      </c>
      <c r="B62" s="37" t="inlineStr">
        <is>
          <t>custom_18</t>
        </is>
      </c>
      <c r="C62" s="38" t="n"/>
      <c r="D62" s="38" t="n"/>
      <c r="E62" s="39" t="inlineStr">
        <is>
          <t>cast(null as varchar(50)) in the proc.</t>
        </is>
      </c>
      <c r="F62" s="38" t="n"/>
      <c r="G62" s="38" t="n"/>
      <c r="H62" s="48" t="inlineStr">
        <is>
          <t>(blank)</t>
        </is>
      </c>
      <c r="I62" s="48" t="inlineStr">
        <is>
          <t>(blank)</t>
        </is>
      </c>
      <c r="J62" s="41" t="inlineStr">
        <is>
          <t>Maximum 48 characters</t>
        </is>
      </c>
      <c r="K62" s="49" t="inlineStr">
        <is>
          <t>N</t>
        </is>
      </c>
      <c r="L62" s="41" t="inlineStr">
        <is>
          <t>A value that can be applied to a custom field of the same name that is part of the purchase order header form. Custom fields will be validated using the configured custom field definitions.</t>
        </is>
      </c>
    </row>
    <row r="63">
      <c r="A63" s="43" t="inlineStr">
        <is>
          <t>Custom_19</t>
        </is>
      </c>
      <c r="B63" s="44" t="inlineStr">
        <is>
          <t>custom_19</t>
        </is>
      </c>
      <c r="C63" s="38" t="n"/>
      <c r="D63" s="38" t="n"/>
      <c r="E63" s="45" t="inlineStr">
        <is>
          <t>cast(null as varchar(50)) in the proc.</t>
        </is>
      </c>
      <c r="F63" s="38" t="n"/>
      <c r="G63" s="38" t="n"/>
      <c r="H63" s="50" t="inlineStr">
        <is>
          <t>(blank)</t>
        </is>
      </c>
      <c r="I63" s="50" t="inlineStr">
        <is>
          <t>(blank)</t>
        </is>
      </c>
      <c r="J63" s="47" t="inlineStr">
        <is>
          <t>Maximum 48 characters</t>
        </is>
      </c>
      <c r="K63" s="51" t="inlineStr">
        <is>
          <t>N</t>
        </is>
      </c>
      <c r="L63" s="47" t="inlineStr">
        <is>
          <t>A value that can be applied to a custom field of the same name that is part of the purchase order header form. Custom fields will be validated using the configured custom field definitions.</t>
        </is>
      </c>
    </row>
    <row r="64">
      <c r="A64" s="36" t="inlineStr">
        <is>
          <t>Custom_20</t>
        </is>
      </c>
      <c r="B64" s="37" t="inlineStr">
        <is>
          <t>custom_20</t>
        </is>
      </c>
      <c r="C64" s="38" t="n"/>
      <c r="D64" s="38" t="n"/>
      <c r="E64" s="39" t="inlineStr">
        <is>
          <t>cast(null as varchar(50)) in the proc.</t>
        </is>
      </c>
      <c r="F64" s="38" t="n"/>
      <c r="G64" s="38" t="n"/>
      <c r="H64" s="48" t="inlineStr">
        <is>
          <t>(blank)</t>
        </is>
      </c>
      <c r="I64" s="48" t="inlineStr">
        <is>
          <t>(blank)</t>
        </is>
      </c>
      <c r="J64" s="41" t="inlineStr">
        <is>
          <t>Maximum 48 characters</t>
        </is>
      </c>
      <c r="K64" s="49" t="inlineStr">
        <is>
          <t>N</t>
        </is>
      </c>
      <c r="L64" s="41" t="inlineStr">
        <is>
          <t>A value that can be applied to a custom field of the same name that is part of the purchase order header form. Custom fields will be validated using the configured custom field definitions.</t>
        </is>
      </c>
    </row>
    <row r="65">
      <c r="A65" s="43" t="inlineStr">
        <is>
          <t>Custom_21</t>
        </is>
      </c>
      <c r="B65" s="44" t="inlineStr">
        <is>
          <t>custom_21</t>
        </is>
      </c>
      <c r="C65" s="38" t="n"/>
      <c r="D65" s="38" t="n"/>
      <c r="E65" s="45" t="inlineStr">
        <is>
          <t>cast(null as varchar(50)) in the proc.</t>
        </is>
      </c>
      <c r="F65" s="38" t="n"/>
      <c r="G65" s="38" t="n"/>
      <c r="H65" s="50" t="inlineStr">
        <is>
          <t>(blank)</t>
        </is>
      </c>
      <c r="I65" s="50" t="inlineStr">
        <is>
          <t>(blank)</t>
        </is>
      </c>
      <c r="J65" s="47" t="inlineStr">
        <is>
          <t>Maximum 48 characters</t>
        </is>
      </c>
      <c r="K65" s="51" t="inlineStr">
        <is>
          <t>N</t>
        </is>
      </c>
      <c r="L65" s="47" t="inlineStr">
        <is>
          <t>A value that can be applied to a custom field of the same name that is part of the purchase order header form. Custom fields will be validated using the configured custom field definitions.</t>
        </is>
      </c>
    </row>
    <row r="66">
      <c r="A66" s="36" t="inlineStr">
        <is>
          <t>Custom_22</t>
        </is>
      </c>
      <c r="B66" s="37" t="inlineStr">
        <is>
          <t>custom_22</t>
        </is>
      </c>
      <c r="C66" s="38" t="n"/>
      <c r="D66" s="38" t="n"/>
      <c r="E66" s="39" t="inlineStr">
        <is>
          <t>cast(null as varchar(50)) in the proc.</t>
        </is>
      </c>
      <c r="F66" s="38" t="n"/>
      <c r="G66" s="38" t="n"/>
      <c r="H66" s="48" t="inlineStr">
        <is>
          <t>(blank)</t>
        </is>
      </c>
      <c r="I66" s="48" t="inlineStr">
        <is>
          <t>(blank)</t>
        </is>
      </c>
      <c r="J66" s="41" t="inlineStr">
        <is>
          <t>Maximum 48 characters</t>
        </is>
      </c>
      <c r="K66" s="49" t="inlineStr">
        <is>
          <t>N</t>
        </is>
      </c>
      <c r="L66" s="41" t="inlineStr">
        <is>
          <t>A value that can be applied to a custom field of the same name that is part of the purchase order header form. Custom fields will be validated using the configured custom field definitions.</t>
        </is>
      </c>
    </row>
    <row r="67">
      <c r="A67" s="43" t="inlineStr">
        <is>
          <t>Custom_23</t>
        </is>
      </c>
      <c r="B67" s="44" t="inlineStr">
        <is>
          <t>custom_23</t>
        </is>
      </c>
      <c r="C67" s="38" t="n"/>
      <c r="D67" s="38" t="n"/>
      <c r="E67" s="45" t="inlineStr">
        <is>
          <t>cast(null as varchar(50)) in the proc.</t>
        </is>
      </c>
      <c r="F67" s="38" t="n"/>
      <c r="G67" s="38" t="n"/>
      <c r="H67" s="50" t="inlineStr">
        <is>
          <t>(blank)</t>
        </is>
      </c>
      <c r="I67" s="50" t="inlineStr">
        <is>
          <t>(blank)</t>
        </is>
      </c>
      <c r="J67" s="47" t="inlineStr">
        <is>
          <t>Maximum 48 characters</t>
        </is>
      </c>
      <c r="K67" s="51" t="inlineStr">
        <is>
          <t>N</t>
        </is>
      </c>
      <c r="L67" s="47" t="inlineStr">
        <is>
          <t>A value that can be applied to a custom field of the same name that is part of the purchase order header form. Custom fields will be validated using the configured custom field definitions.</t>
        </is>
      </c>
    </row>
    <row r="68">
      <c r="A68" s="36" t="inlineStr">
        <is>
          <t>Custom_24</t>
        </is>
      </c>
      <c r="B68" s="37" t="inlineStr">
        <is>
          <t>custom_24</t>
        </is>
      </c>
      <c r="C68" s="38" t="n"/>
      <c r="D68" s="38" t="n"/>
      <c r="E68" s="39" t="inlineStr">
        <is>
          <t>cast(null as varchar(50)) in the proc.</t>
        </is>
      </c>
      <c r="F68" s="38" t="n"/>
      <c r="G68" s="38" t="n"/>
      <c r="H68" s="48" t="inlineStr">
        <is>
          <t>(blank)</t>
        </is>
      </c>
      <c r="I68" s="48" t="inlineStr">
        <is>
          <t>(blank)</t>
        </is>
      </c>
      <c r="J68" s="41" t="inlineStr">
        <is>
          <t>Maximum 48 characters</t>
        </is>
      </c>
      <c r="K68" s="49" t="inlineStr">
        <is>
          <t>N</t>
        </is>
      </c>
      <c r="L68" s="41" t="inlineStr">
        <is>
          <t>A value that can be applied to a custom field of the same name that is part of the purchase order header form. Custom fields will be validated using the configured custom field definitions.</t>
        </is>
      </c>
    </row>
  </sheetData>
  <autoFilter ref="A7:L68"/>
  <hyperlinks>
    <hyperlink xmlns:r="http://schemas.openxmlformats.org/officeDocument/2006/relationships" ref="A3" r:id="rId1"/>
    <hyperlink ref="A5" location="Index!A1" display="Back to Index"/>
  </hyperlinks>
  <pageMargins left="0.75" right="0.75" top="1" bottom="1" header="0.5" footer="0.5"/>
  <pageSetup orientation="landscape" fitToWidth="1"/>
</worksheet>
</file>

<file path=xl/worksheets/sheet6.xml><?xml version="1.0" encoding="utf-8"?>
<worksheet xmlns="http://schemas.openxmlformats.org/spreadsheetml/2006/main">
  <sheetPr>
    <outlinePr summaryBelow="1" summaryRight="1"/>
    <pageSetUpPr fitToPage="1"/>
  </sheetPr>
  <dimension ref="A1:L27"/>
  <sheetViews>
    <sheetView showGridLines="0" workbookViewId="0">
      <pane xSplit="1" ySplit="7" topLeftCell="B8" activePane="bottomRight" state="frozen"/>
      <selection pane="topRight" activeCell="A1" sqref="A1"/>
      <selection pane="bottomLeft" activeCell="A1" sqref="A1"/>
      <selection pane="bottomRight" activeCell="A1" sqref="A1"/>
    </sheetView>
  </sheetViews>
  <sheetFormatPr baseColWidth="8" defaultRowHeight="15"/>
  <cols>
    <col width="30" customWidth="1" min="1" max="1"/>
    <col width="24" customWidth="1" min="2" max="2"/>
    <col width="26" customWidth="1" min="3" max="3"/>
    <col width="26" customWidth="1" min="4" max="4"/>
    <col width="52" customWidth="1" min="5" max="5"/>
    <col width="24" customWidth="1" min="6" max="6"/>
    <col width="40" customWidth="1" min="7" max="7"/>
    <col width="26" customWidth="1" min="8" max="8"/>
    <col width="26" customWidth="1" min="9" max="9"/>
    <col width="30" customWidth="1" min="10" max="10"/>
    <col width="11" customWidth="1" min="11" max="11"/>
    <col width="62" customWidth="1" min="12" max="12"/>
  </cols>
  <sheetData>
    <row r="1">
      <c r="A1" s="28" t="inlineStr">
        <is>
          <t>Purchase Order Bill-to Address (Record Type 210) Format</t>
        </is>
      </c>
    </row>
    <row r="2">
      <c r="A2" s="29" t="inlineStr">
        <is>
          <t>Section: Purchase Order Import</t>
        </is>
      </c>
    </row>
    <row r="3">
      <c r="A3" s="30" t="inlineStr">
        <is>
          <t>https://help.sap.com/docs/concur-invoice/concur-invoice-professional-edition-administration-guides/purchase-order-bill-to-address-record-type-210-format</t>
        </is>
      </c>
    </row>
    <row r="4">
      <c r="A4" s="31" t="inlineStr">
        <is>
          <t>Source: SAP Help Portal, Concur Invoice Professional Edition Administration Guides (2026_08). Retrieved 2026-09-11. Ranged fields in the source are expanded to one row per field; each shares the range's definition and description.</t>
        </is>
      </c>
    </row>
    <row r="5" ht="18" customHeight="1">
      <c r="A5" s="12" t="inlineStr">
        <is>
          <t>◀  Back to Index</t>
        </is>
      </c>
    </row>
    <row r="6">
      <c r="A6" s="32" t="inlineStr">
        <is>
          <t>Extract chain: App_Concur.dbo.p_concurinvoicepo_get_pobillto @po_num  |  ⚠ The 210 and 220 procs are the same query: both read poh.ship_* -&gt; entity_default_bill_to_address -&gt; hardcoded literals, so bill-to and ship-to are IDENTICAL on every PO. Only the Name default differs (210 falls back to 'BARNES GROUP AP', 220 does not).  &lt;-  App_Concur.dbo.vw_concur_extract_po_header (poh, ship_* columns) + App_Concur.dbo.entity_default_bill_to_address (bta, by entity_id) + App_Concur.dbo.vw_concur_extract_po_vendor (ven, for external_id)  &lt;-  M3: MPHEAD (poh) / MPPOAD (posa, ADPOAD = 1, ADPNLI = 0); filter IACONO = '910', deleted = 0   |   JBA: AULT2F2PRD.PMP02 ... — ⚠ every ship_* column is a hardcoded empty string   |   ERP SQL lives in the SSIS packages — see the Sources tab.   |   Samples: M3 = PO 2100003074 bill-to, JBA = PO 7710284 bill-to (from the delivered files; '(blank)' means the field was empty)</t>
        </is>
      </c>
    </row>
    <row r="7" ht="30" customHeight="1">
      <c r="A7" s="13" t="inlineStr">
        <is>
          <t>Field Name</t>
        </is>
      </c>
      <c r="B7" s="33" t="inlineStr">
        <is>
          <t>Mapped From (proc)</t>
        </is>
      </c>
      <c r="C7" s="33" t="inlineStr">
        <is>
          <t>View Column</t>
        </is>
      </c>
      <c r="D7" s="33" t="inlineStr">
        <is>
          <t>M3 Source Field</t>
        </is>
      </c>
      <c r="E7" s="33" t="inlineStr">
        <is>
          <t>M3 Derivation</t>
        </is>
      </c>
      <c r="F7" s="34" t="inlineStr">
        <is>
          <t>JBA Source Field</t>
        </is>
      </c>
      <c r="G7" s="34" t="inlineStr">
        <is>
          <t>JBA Derivation</t>
        </is>
      </c>
      <c r="H7" s="35" t="inlineStr">
        <is>
          <t>Sample - M3</t>
        </is>
      </c>
      <c r="I7" s="35" t="inlineStr">
        <is>
          <t>Sample - JBA</t>
        </is>
      </c>
      <c r="J7" s="13" t="inlineStr">
        <is>
          <t>Definition</t>
        </is>
      </c>
      <c r="K7" s="13" t="inlineStr">
        <is>
          <t>Required?</t>
        </is>
      </c>
      <c r="L7" s="13" t="inlineStr">
        <is>
          <t>Description</t>
        </is>
      </c>
    </row>
    <row r="8">
      <c r="A8" s="36" t="inlineStr">
        <is>
          <t>Record Type</t>
        </is>
      </c>
      <c r="B8" s="37" t="inlineStr">
        <is>
          <t>record_type</t>
        </is>
      </c>
      <c r="C8" s="38" t="n"/>
      <c r="D8" s="38" t="n"/>
      <c r="E8" s="39" t="inlineStr">
        <is>
          <t>Literal 210.</t>
        </is>
      </c>
      <c r="F8" s="38" t="n"/>
      <c r="G8" s="55" t="inlineStr">
        <is>
          <t>Literal 210.</t>
        </is>
      </c>
      <c r="H8" s="40" t="inlineStr">
        <is>
          <t>210</t>
        </is>
      </c>
      <c r="I8" s="40" t="inlineStr">
        <is>
          <t>210</t>
        </is>
      </c>
      <c r="J8" s="41" t="inlineStr">
        <is>
          <t>210</t>
        </is>
      </c>
      <c r="K8" s="42" t="inlineStr">
        <is>
          <t>Y</t>
        </is>
      </c>
      <c r="L8" s="41" t="inlineStr">
        <is>
          <t>This is a static value always equal to 210. It indicates the Record Type.</t>
        </is>
      </c>
    </row>
    <row r="9">
      <c r="A9" s="43" t="inlineStr">
        <is>
          <t>External ID</t>
        </is>
      </c>
      <c r="B9" s="44" t="inlineStr">
        <is>
          <t>external_id</t>
        </is>
      </c>
      <c r="C9" s="44" t="inlineStr">
        <is>
          <t>ven.vendor_code</t>
        </is>
      </c>
      <c r="D9" s="53" t="inlineStr">
        <is>
          <t>⚠ none</t>
        </is>
      </c>
      <c r="E9" s="53" t="inlineStr">
        <is>
          <t>⚠ External ID is the VENDOR CODE, not an address key — so every PO for a vendor reuses one address record and the last file written wins, even though the address content varies by PO. The join to ven is a LEFT JOIN with no 'vendor_code is not null' guard (unlike the 200 proc), so a missing vendor row emits a blank required External ID.</t>
        </is>
      </c>
      <c r="F9" s="53" t="inlineStr">
        <is>
          <t>⚠ none</t>
        </is>
      </c>
      <c r="G9" s="57" t="inlineStr">
        <is>
          <t>Same expression — vendor code, not an address key.</t>
        </is>
      </c>
      <c r="H9" s="46" t="inlineStr">
        <is>
          <t>008820044</t>
        </is>
      </c>
      <c r="I9" s="46" t="inlineStr">
        <is>
          <t>0096102900</t>
        </is>
      </c>
      <c r="J9" s="47" t="inlineStr">
        <is>
          <t>Maximum 32 characters</t>
        </is>
      </c>
      <c r="K9" s="42" t="inlineStr">
        <is>
          <t>Y</t>
        </is>
      </c>
      <c r="L9" s="47" t="inlineStr">
        <is>
          <t>This is the external identifier used by the customer to identify a particular address.</t>
        </is>
      </c>
    </row>
    <row r="10">
      <c r="A10" s="36" t="inlineStr">
        <is>
          <t>Name</t>
        </is>
      </c>
      <c r="B10" s="37" t="inlineStr">
        <is>
          <t>name</t>
        </is>
      </c>
      <c r="C10" s="37" t="inlineStr">
        <is>
          <t>poh.ship_name -&gt; bta.company_name -&gt; 'BARNES GROUP AP'</t>
        </is>
      </c>
      <c r="D10" s="37" t="inlineStr">
        <is>
          <t>MPPOAD.ADCONM</t>
        </is>
      </c>
      <c r="E10" s="58" t="inlineStr">
        <is>
          <t>⚠ Reads the SHIP name, then the bill-to default, then hardcodes 'BARNES GROUP AP'.</t>
        </is>
      </c>
      <c r="F10" s="54" t="inlineStr">
        <is>
          <t>(literal '')</t>
        </is>
      </c>
      <c r="G10" s="58" t="inlineStr">
        <is>
          <t>⚠ The JBA header query hardcodes this ship_* column to cast('' as nvarchar(...)), so every JBA PO falls through to the entity_default_bill_to_address row — or, with no such row, to the proc's hardcoded literal.</t>
        </is>
      </c>
      <c r="H10" s="40" t="inlineStr">
        <is>
          <t>ASRaymond</t>
        </is>
      </c>
      <c r="I10" s="40" t="inlineStr">
        <is>
          <t>BARNES GROUP AP</t>
        </is>
      </c>
      <c r="J10" s="41" t="inlineStr">
        <is>
          <t>Maximum 100 characters</t>
        </is>
      </c>
      <c r="K10" s="49" t="inlineStr">
        <is>
          <t>N</t>
        </is>
      </c>
      <c r="L10" s="41" t="inlineStr">
        <is>
          <t>An optional name that can be used to identify a particular address.</t>
        </is>
      </c>
    </row>
    <row r="11">
      <c r="A11" s="43" t="inlineStr">
        <is>
          <t>Address 1</t>
        </is>
      </c>
      <c r="B11" s="44" t="inlineStr">
        <is>
          <t>address_1</t>
        </is>
      </c>
      <c r="C11" s="44" t="inlineStr">
        <is>
          <t>poh.ship_address_1 -&gt; bta.address_1 -&gt; '123 Main'</t>
        </is>
      </c>
      <c r="D11" s="44" t="inlineStr">
        <is>
          <t>MPPOAD.ADADR1</t>
        </is>
      </c>
      <c r="E11" s="53" t="inlineStr">
        <is>
          <t>⚠ COALESCE(..., '123 Main') — a hardcoded placeholder street address is sent to Concur whenever the header and the entity default are both empty. Required field, so it always carries something.</t>
        </is>
      </c>
      <c r="F11" s="56" t="inlineStr">
        <is>
          <t>(literal '')</t>
        </is>
      </c>
      <c r="G11" s="53" t="inlineStr">
        <is>
          <t>⚠ The JBA header query hardcodes this ship_* column to cast('' as nvarchar(...)), so every JBA PO falls through to the entity_default_bill_to_address row — or, with no such row, to the proc's hardcoded literal.</t>
        </is>
      </c>
      <c r="H11" s="46" t="inlineStr">
        <is>
          <t>370 W Dussel Drive</t>
        </is>
      </c>
      <c r="I11" s="46" t="inlineStr">
        <is>
          <t>HYSON PRODUCTS</t>
        </is>
      </c>
      <c r="J11" s="47" t="inlineStr">
        <is>
          <t>Maximum 255 characters</t>
        </is>
      </c>
      <c r="K11" s="42" t="inlineStr">
        <is>
          <t>Y</t>
        </is>
      </c>
      <c r="L11" s="47" t="inlineStr">
        <is>
          <t>Address 1 of the complete address.</t>
        </is>
      </c>
    </row>
    <row r="12">
      <c r="A12" s="36" t="inlineStr">
        <is>
          <t>Address 2</t>
        </is>
      </c>
      <c r="B12" s="37" t="inlineStr">
        <is>
          <t>address_2</t>
        </is>
      </c>
      <c r="C12" s="37" t="inlineStr">
        <is>
          <t>poh.ship_address_2 -&gt; bta.address_2</t>
        </is>
      </c>
      <c r="D12" s="37" t="inlineStr">
        <is>
          <t>MPPOAD.ADADR2</t>
        </is>
      </c>
      <c r="E12" s="39" t="inlineStr">
        <is>
          <t>case when isnull(ship_address_2,'') = '' then bta.address_2 else ship_address_2 end — no final default.</t>
        </is>
      </c>
      <c r="F12" s="54" t="inlineStr">
        <is>
          <t>(literal '')</t>
        </is>
      </c>
      <c r="G12" s="58" t="inlineStr">
        <is>
          <t>⚠ The JBA header query hardcodes this ship_* column to cast('' as nvarchar(...)), so every JBA PO falls through to the entity_default_bill_to_address row — or, with no such row, to the proc's hardcoded literal.</t>
        </is>
      </c>
      <c r="H12" s="40" t="inlineStr">
        <is>
          <t>Suite A</t>
        </is>
      </c>
      <c r="I12" s="40" t="inlineStr">
        <is>
          <t>10367 BRECKSVILLE RD.</t>
        </is>
      </c>
      <c r="J12" s="41" t="inlineStr">
        <is>
          <t>Maximum 255 characters</t>
        </is>
      </c>
      <c r="K12" s="49" t="inlineStr">
        <is>
          <t>N</t>
        </is>
      </c>
      <c r="L12" s="41" t="inlineStr">
        <is>
          <t>Address 2 of the complete address.</t>
        </is>
      </c>
    </row>
    <row r="13">
      <c r="A13" s="43" t="inlineStr">
        <is>
          <t>Address 3</t>
        </is>
      </c>
      <c r="B13" s="44" t="inlineStr">
        <is>
          <t>address_3</t>
        </is>
      </c>
      <c r="C13" s="44" t="inlineStr">
        <is>
          <t>poh.ship_address_3 -&gt; bta.address_3</t>
        </is>
      </c>
      <c r="D13" s="44" t="inlineStr">
        <is>
          <t>MPPOAD.ADADR3</t>
        </is>
      </c>
      <c r="E13" s="45" t="inlineStr">
        <is>
          <t>case when isnull(ship_address_3,'') = '' then bta.address_3 else ship_address_3 end — no final default.</t>
        </is>
      </c>
      <c r="F13" s="56" t="inlineStr">
        <is>
          <t>(literal '')</t>
        </is>
      </c>
      <c r="G13" s="53" t="inlineStr">
        <is>
          <t>⚠ The JBA header query hardcodes this ship_* column to cast('' as nvarchar(...)), so every JBA PO falls through to the entity_default_bill_to_address row — or, with no such row, to the proc's hardcoded literal.</t>
        </is>
      </c>
      <c r="H13" s="46" t="inlineStr">
        <is>
          <t>SUITE A</t>
        </is>
      </c>
      <c r="I13" s="50" t="inlineStr">
        <is>
          <t>(blank)</t>
        </is>
      </c>
      <c r="J13" s="47" t="inlineStr">
        <is>
          <t>Maximum 255 characters</t>
        </is>
      </c>
      <c r="K13" s="51" t="inlineStr">
        <is>
          <t>N</t>
        </is>
      </c>
      <c r="L13" s="47" t="inlineStr">
        <is>
          <t>Address 3 of the complete address.</t>
        </is>
      </c>
    </row>
    <row r="14">
      <c r="A14" s="36" t="inlineStr">
        <is>
          <t>City</t>
        </is>
      </c>
      <c r="B14" s="37" t="inlineStr">
        <is>
          <t>city</t>
        </is>
      </c>
      <c r="C14" s="37" t="inlineStr">
        <is>
          <t>poh.ship_city -&gt; bta.city -&gt; 'Bristol'</t>
        </is>
      </c>
      <c r="D14" s="37" t="inlineStr">
        <is>
          <t>MPPOAD.ADTOWN</t>
        </is>
      </c>
      <c r="E14" s="58" t="inlineStr">
        <is>
          <t>⚠ COALESCE(..., 'Bristol') — a hardcoded placeholder city is sent when both sources are empty.</t>
        </is>
      </c>
      <c r="F14" s="54" t="inlineStr">
        <is>
          <t>(literal '')</t>
        </is>
      </c>
      <c r="G14" s="58" t="inlineStr">
        <is>
          <t>⚠ The JBA header query hardcodes this ship_* column to cast('' as nvarchar(...)), so every JBA PO falls through to the entity_default_bill_to_address row — or, with no such row, to the proc's hardcoded literal.</t>
        </is>
      </c>
      <c r="H14" s="40" t="inlineStr">
        <is>
          <t>Maumee</t>
        </is>
      </c>
      <c r="I14" s="40" t="inlineStr">
        <is>
          <t>BRECKSVILLE</t>
        </is>
      </c>
      <c r="J14" s="41" t="inlineStr">
        <is>
          <t>Maximum 255 characters</t>
        </is>
      </c>
      <c r="K14" s="42" t="inlineStr">
        <is>
          <t>Y</t>
        </is>
      </c>
      <c r="L14" s="41" t="inlineStr">
        <is>
          <t>The city within which the address resides.</t>
        </is>
      </c>
    </row>
    <row r="15">
      <c r="A15" s="43" t="inlineStr">
        <is>
          <t>State/Province</t>
        </is>
      </c>
      <c r="B15" s="44" t="inlineStr">
        <is>
          <t>state</t>
        </is>
      </c>
      <c r="C15" s="44" t="inlineStr">
        <is>
          <t>poh.ship_state -&gt; bta.state -&gt; 'CT'</t>
        </is>
      </c>
      <c r="D15" s="44" t="inlineStr">
        <is>
          <t>MPPOAD.ADECAR</t>
        </is>
      </c>
      <c r="E15" s="53" t="inlineStr">
        <is>
          <t>⚠ COALESCE(..., 'CT') — hardcoded placeholder state.</t>
        </is>
      </c>
      <c r="F15" s="56" t="inlineStr">
        <is>
          <t>(literal '')</t>
        </is>
      </c>
      <c r="G15" s="53" t="inlineStr">
        <is>
          <t>⚠ The JBA header query hardcodes this ship_* column to cast('' as nvarchar(...)), so every JBA PO falls through to the entity_default_bill_to_address row — or, with no such row, to the proc's hardcoded literal.</t>
        </is>
      </c>
      <c r="H15" s="46" t="inlineStr">
        <is>
          <t>OH</t>
        </is>
      </c>
      <c r="I15" s="46" t="inlineStr">
        <is>
          <t>OH</t>
        </is>
      </c>
      <c r="J15" s="47" t="inlineStr">
        <is>
          <t>Maximum 255 characters</t>
        </is>
      </c>
      <c r="K15" s="42" t="inlineStr">
        <is>
          <t>Y</t>
        </is>
      </c>
      <c r="L15" s="47" t="inlineStr">
        <is>
          <t>The state or province within which the address resides.</t>
        </is>
      </c>
    </row>
    <row r="16">
      <c r="A16" s="36" t="inlineStr">
        <is>
          <t>Postal Code</t>
        </is>
      </c>
      <c r="B16" s="37" t="inlineStr">
        <is>
          <t>postal_code</t>
        </is>
      </c>
      <c r="C16" s="37" t="inlineStr">
        <is>
          <t>poh.ship_zip_code -&gt; bta.zip_code -&gt; '06010'</t>
        </is>
      </c>
      <c r="D16" s="37" t="inlineStr">
        <is>
          <t>MPPOAD.ADPONO</t>
        </is>
      </c>
      <c r="E16" s="58" t="inlineStr">
        <is>
          <t>⚠ COALESCE(..., '06010') — hardcoded placeholder postal code.</t>
        </is>
      </c>
      <c r="F16" s="54" t="inlineStr">
        <is>
          <t>(literal '')</t>
        </is>
      </c>
      <c r="G16" s="58" t="inlineStr">
        <is>
          <t>⚠ The JBA header query hardcodes this ship_* column to cast('' as nvarchar(...)), so every JBA PO falls through to the entity_default_bill_to_address row — or, with no such row, to the proc's hardcoded literal.</t>
        </is>
      </c>
      <c r="H16" s="40" t="inlineStr">
        <is>
          <t>43537</t>
        </is>
      </c>
      <c r="I16" s="40" t="inlineStr">
        <is>
          <t>44141</t>
        </is>
      </c>
      <c r="J16" s="41" t="inlineStr">
        <is>
          <t>Maximum 20 characters</t>
        </is>
      </c>
      <c r="K16" s="42" t="inlineStr">
        <is>
          <t>Y</t>
        </is>
      </c>
      <c r="L16" s="41" t="inlineStr">
        <is>
          <t>The postal code of the address.</t>
        </is>
      </c>
    </row>
    <row r="17">
      <c r="A17" s="43" t="inlineStr">
        <is>
          <t>Country Code</t>
        </is>
      </c>
      <c r="B17" s="44" t="inlineStr">
        <is>
          <t>country_code</t>
        </is>
      </c>
      <c r="C17" s="44" t="inlineStr">
        <is>
          <t>poh.ship_country_code -&gt; bta.country -&gt; 'US'</t>
        </is>
      </c>
      <c r="D17" s="44" t="inlineStr">
        <is>
          <t>MPPOAD.ADCSCD</t>
        </is>
      </c>
      <c r="E17" s="53" t="inlineStr">
        <is>
          <t>⚠ COALESCE(..., 'US') — hardcoded placeholder country.</t>
        </is>
      </c>
      <c r="F17" s="56" t="inlineStr">
        <is>
          <t>(literal '')</t>
        </is>
      </c>
      <c r="G17" s="53" t="inlineStr">
        <is>
          <t>⚠ The JBA header query hardcodes this ship_* column to cast('' as nvarchar(...)), so every JBA PO falls through to the entity_default_bill_to_address row — or, with no such row, to the proc's hardcoded literal.</t>
        </is>
      </c>
      <c r="H17" s="46" t="inlineStr">
        <is>
          <t>US</t>
        </is>
      </c>
      <c r="I17" s="46" t="inlineStr">
        <is>
          <t>US</t>
        </is>
      </c>
      <c r="J17" s="47" t="inlineStr">
        <is>
          <t>2 characters</t>
        </is>
      </c>
      <c r="K17" s="42" t="inlineStr">
        <is>
          <t>Y</t>
        </is>
      </c>
      <c r="L17" s="47" t="inlineStr">
        <is>
          <t>The code of the country associated with the address.</t>
        </is>
      </c>
    </row>
    <row r="18">
      <c r="A18" s="36" t="inlineStr">
        <is>
          <t>Future_Use_1</t>
        </is>
      </c>
      <c r="B18" s="37" t="inlineStr">
        <is>
          <t>future_use_1</t>
        </is>
      </c>
      <c r="C18" s="38" t="n"/>
      <c r="D18" s="38" t="n"/>
      <c r="E18" s="39" t="inlineStr">
        <is>
          <t>cast(null as varchar(50)) in the proc.</t>
        </is>
      </c>
      <c r="F18" s="38" t="n"/>
      <c r="G18" s="38" t="n"/>
      <c r="H18" s="48" t="inlineStr">
        <is>
          <t>(blank)</t>
        </is>
      </c>
      <c r="I18" s="48" t="inlineStr">
        <is>
          <t>(blank)</t>
        </is>
      </c>
      <c r="J18" s="41" t="n"/>
      <c r="K18" s="49" t="inlineStr">
        <is>
          <t>N</t>
        </is>
      </c>
      <c r="L18" s="41" t="inlineStr">
        <is>
          <t>The future_use fields are currently not in use. Please account for them in your import, but do not put any data into them. All data will be ignored.</t>
        </is>
      </c>
    </row>
    <row r="19">
      <c r="A19" s="43" t="inlineStr">
        <is>
          <t>Future_Use_2</t>
        </is>
      </c>
      <c r="B19" s="44" t="inlineStr">
        <is>
          <t>future_use_2</t>
        </is>
      </c>
      <c r="C19" s="38" t="n"/>
      <c r="D19" s="38" t="n"/>
      <c r="E19" s="45" t="inlineStr">
        <is>
          <t>cast(null as varchar(50)) in the proc.</t>
        </is>
      </c>
      <c r="F19" s="38" t="n"/>
      <c r="G19" s="38" t="n"/>
      <c r="H19" s="50" t="inlineStr">
        <is>
          <t>(blank)</t>
        </is>
      </c>
      <c r="I19" s="50" t="inlineStr">
        <is>
          <t>(blank)</t>
        </is>
      </c>
      <c r="J19" s="47" t="n"/>
      <c r="K19" s="51" t="inlineStr">
        <is>
          <t>N</t>
        </is>
      </c>
      <c r="L19" s="47" t="inlineStr">
        <is>
          <t>The future_use fields are currently not in use. Please account for them in your import, but do not put any data into them. All data will be ignored.</t>
        </is>
      </c>
    </row>
    <row r="20">
      <c r="A20" s="36" t="inlineStr">
        <is>
          <t>Future_Use_3</t>
        </is>
      </c>
      <c r="B20" s="37" t="inlineStr">
        <is>
          <t>future_use_3</t>
        </is>
      </c>
      <c r="C20" s="38" t="n"/>
      <c r="D20" s="38" t="n"/>
      <c r="E20" s="39" t="inlineStr">
        <is>
          <t>cast(null as varchar(50)) in the proc.</t>
        </is>
      </c>
      <c r="F20" s="38" t="n"/>
      <c r="G20" s="38" t="n"/>
      <c r="H20" s="48" t="inlineStr">
        <is>
          <t>(blank)</t>
        </is>
      </c>
      <c r="I20" s="48" t="inlineStr">
        <is>
          <t>(blank)</t>
        </is>
      </c>
      <c r="J20" s="41" t="n"/>
      <c r="K20" s="49" t="inlineStr">
        <is>
          <t>N</t>
        </is>
      </c>
      <c r="L20" s="41" t="inlineStr">
        <is>
          <t>The future_use fields are currently not in use. Please account for them in your import, but do not put any data into them. All data will be ignored.</t>
        </is>
      </c>
    </row>
    <row r="21">
      <c r="A21" s="43" t="inlineStr">
        <is>
          <t>Future_Use_4</t>
        </is>
      </c>
      <c r="B21" s="44" t="inlineStr">
        <is>
          <t>future_use_4</t>
        </is>
      </c>
      <c r="C21" s="38" t="n"/>
      <c r="D21" s="38" t="n"/>
      <c r="E21" s="45" t="inlineStr">
        <is>
          <t>cast(null as varchar(50)) in the proc.</t>
        </is>
      </c>
      <c r="F21" s="38" t="n"/>
      <c r="G21" s="38" t="n"/>
      <c r="H21" s="50" t="inlineStr">
        <is>
          <t>(blank)</t>
        </is>
      </c>
      <c r="I21" s="50" t="inlineStr">
        <is>
          <t>(blank)</t>
        </is>
      </c>
      <c r="J21" s="47" t="n"/>
      <c r="K21" s="51" t="inlineStr">
        <is>
          <t>N</t>
        </is>
      </c>
      <c r="L21" s="47" t="inlineStr">
        <is>
          <t>The future_use fields are currently not in use. Please account for them in your import, but do not put any data into them. All data will be ignored.</t>
        </is>
      </c>
    </row>
    <row r="22">
      <c r="A22" s="36" t="inlineStr">
        <is>
          <t>Future_Use_5</t>
        </is>
      </c>
      <c r="B22" s="37" t="inlineStr">
        <is>
          <t>future_use_5</t>
        </is>
      </c>
      <c r="C22" s="38" t="n"/>
      <c r="D22" s="38" t="n"/>
      <c r="E22" s="39" t="inlineStr">
        <is>
          <t>cast(null as varchar(50)) in the proc.</t>
        </is>
      </c>
      <c r="F22" s="38" t="n"/>
      <c r="G22" s="38" t="n"/>
      <c r="H22" s="48" t="inlineStr">
        <is>
          <t>(blank)</t>
        </is>
      </c>
      <c r="I22" s="48" t="inlineStr">
        <is>
          <t>(blank)</t>
        </is>
      </c>
      <c r="J22" s="41" t="n"/>
      <c r="K22" s="49" t="inlineStr">
        <is>
          <t>N</t>
        </is>
      </c>
      <c r="L22" s="41" t="inlineStr">
        <is>
          <t>The future_use fields are currently not in use. Please account for them in your import, but do not put any data into them. All data will be ignored.</t>
        </is>
      </c>
    </row>
    <row r="23">
      <c r="A23" s="43" t="inlineStr">
        <is>
          <t>Future_Use_6</t>
        </is>
      </c>
      <c r="B23" s="44" t="inlineStr">
        <is>
          <t>future_use_6</t>
        </is>
      </c>
      <c r="C23" s="38" t="n"/>
      <c r="D23" s="38" t="n"/>
      <c r="E23" s="45" t="inlineStr">
        <is>
          <t>cast(null as varchar(50)) in the proc.</t>
        </is>
      </c>
      <c r="F23" s="38" t="n"/>
      <c r="G23" s="38" t="n"/>
      <c r="H23" s="50" t="inlineStr">
        <is>
          <t>(blank)</t>
        </is>
      </c>
      <c r="I23" s="50" t="inlineStr">
        <is>
          <t>(blank)</t>
        </is>
      </c>
      <c r="J23" s="47" t="n"/>
      <c r="K23" s="51" t="inlineStr">
        <is>
          <t>N</t>
        </is>
      </c>
      <c r="L23" s="47" t="inlineStr">
        <is>
          <t>The future_use fields are currently not in use. Please account for them in your import, but do not put any data into them. All data will be ignored.</t>
        </is>
      </c>
    </row>
    <row r="24">
      <c r="A24" s="36" t="inlineStr">
        <is>
          <t>Future_Use_7</t>
        </is>
      </c>
      <c r="B24" s="37" t="inlineStr">
        <is>
          <t>future_use_7</t>
        </is>
      </c>
      <c r="C24" s="38" t="n"/>
      <c r="D24" s="38" t="n"/>
      <c r="E24" s="39" t="inlineStr">
        <is>
          <t>cast(null as varchar(50)) in the proc.</t>
        </is>
      </c>
      <c r="F24" s="38" t="n"/>
      <c r="G24" s="38" t="n"/>
      <c r="H24" s="48" t="inlineStr">
        <is>
          <t>(blank)</t>
        </is>
      </c>
      <c r="I24" s="48" t="inlineStr">
        <is>
          <t>(blank)</t>
        </is>
      </c>
      <c r="J24" s="41" t="n"/>
      <c r="K24" s="49" t="inlineStr">
        <is>
          <t>N</t>
        </is>
      </c>
      <c r="L24" s="41" t="inlineStr">
        <is>
          <t>The future_use fields are currently not in use. Please account for them in your import, but do not put any data into them. All data will be ignored.</t>
        </is>
      </c>
    </row>
    <row r="25">
      <c r="A25" s="43" t="inlineStr">
        <is>
          <t>Future_Use_8</t>
        </is>
      </c>
      <c r="B25" s="44" t="inlineStr">
        <is>
          <t>future_use_8</t>
        </is>
      </c>
      <c r="C25" s="38" t="n"/>
      <c r="D25" s="38" t="n"/>
      <c r="E25" s="45" t="inlineStr">
        <is>
          <t>cast(null as varchar(50)) in the proc.</t>
        </is>
      </c>
      <c r="F25" s="38" t="n"/>
      <c r="G25" s="38" t="n"/>
      <c r="H25" s="50" t="inlineStr">
        <is>
          <t>(blank)</t>
        </is>
      </c>
      <c r="I25" s="50" t="inlineStr">
        <is>
          <t>(blank)</t>
        </is>
      </c>
      <c r="J25" s="47" t="n"/>
      <c r="K25" s="51" t="inlineStr">
        <is>
          <t>N</t>
        </is>
      </c>
      <c r="L25" s="47" t="inlineStr">
        <is>
          <t>The future_use fields are currently not in use. Please account for them in your import, but do not put any data into them. All data will be ignored.</t>
        </is>
      </c>
    </row>
    <row r="26">
      <c r="A26" s="36" t="inlineStr">
        <is>
          <t>Future_Use_9</t>
        </is>
      </c>
      <c r="B26" s="37" t="inlineStr">
        <is>
          <t>future_use_9</t>
        </is>
      </c>
      <c r="C26" s="38" t="n"/>
      <c r="D26" s="38" t="n"/>
      <c r="E26" s="39" t="inlineStr">
        <is>
          <t>cast(null as varchar(50)) in the proc.</t>
        </is>
      </c>
      <c r="F26" s="38" t="n"/>
      <c r="G26" s="38" t="n"/>
      <c r="H26" s="48" t="inlineStr">
        <is>
          <t>(blank)</t>
        </is>
      </c>
      <c r="I26" s="48" t="inlineStr">
        <is>
          <t>(blank)</t>
        </is>
      </c>
      <c r="J26" s="41" t="n"/>
      <c r="K26" s="49" t="inlineStr">
        <is>
          <t>N</t>
        </is>
      </c>
      <c r="L26" s="41" t="inlineStr">
        <is>
          <t>The future_use fields are currently not in use. Please account for them in your import, but do not put any data into them. All data will be ignored.</t>
        </is>
      </c>
    </row>
    <row r="27">
      <c r="A27" s="43" t="inlineStr">
        <is>
          <t>Future_Use_10</t>
        </is>
      </c>
      <c r="B27" s="44" t="inlineStr">
        <is>
          <t>future_use_10</t>
        </is>
      </c>
      <c r="C27" s="38" t="n"/>
      <c r="D27" s="38" t="n"/>
      <c r="E27" s="45" t="inlineStr">
        <is>
          <t>cast(null as varchar(50)) in the proc.</t>
        </is>
      </c>
      <c r="F27" s="38" t="n"/>
      <c r="G27" s="38" t="n"/>
      <c r="H27" s="50" t="inlineStr">
        <is>
          <t>(blank)</t>
        </is>
      </c>
      <c r="I27" s="50" t="inlineStr">
        <is>
          <t>(blank)</t>
        </is>
      </c>
      <c r="J27" s="47" t="n"/>
      <c r="K27" s="51" t="inlineStr">
        <is>
          <t>N</t>
        </is>
      </c>
      <c r="L27" s="47" t="inlineStr">
        <is>
          <t>The future_use fields are currently not in use. Please account for them in your import, but do not put any data into them. All data will be ignored.</t>
        </is>
      </c>
    </row>
  </sheetData>
  <autoFilter ref="A7:L27"/>
  <hyperlinks>
    <hyperlink xmlns:r="http://schemas.openxmlformats.org/officeDocument/2006/relationships" ref="A3" r:id="rId1"/>
    <hyperlink ref="A5" location="Index!A1" display="Back to Index"/>
  </hyperlinks>
  <pageMargins left="0.75" right="0.75" top="1" bottom="1" header="0.5" footer="0.5"/>
  <pageSetup orientation="landscape" fitToWidth="1"/>
</worksheet>
</file>

<file path=xl/worksheets/sheet7.xml><?xml version="1.0" encoding="utf-8"?>
<worksheet xmlns="http://schemas.openxmlformats.org/spreadsheetml/2006/main">
  <sheetPr>
    <outlinePr summaryBelow="1" summaryRight="1"/>
    <pageSetUpPr fitToPage="1"/>
  </sheetPr>
  <dimension ref="A1:L27"/>
  <sheetViews>
    <sheetView showGridLines="0" workbookViewId="0">
      <pane xSplit="1" ySplit="7" topLeftCell="B8" activePane="bottomRight" state="frozen"/>
      <selection pane="topRight" activeCell="A1" sqref="A1"/>
      <selection pane="bottomLeft" activeCell="A1" sqref="A1"/>
      <selection pane="bottomRight" activeCell="A1" sqref="A1"/>
    </sheetView>
  </sheetViews>
  <sheetFormatPr baseColWidth="8" defaultRowHeight="15"/>
  <cols>
    <col width="30" customWidth="1" min="1" max="1"/>
    <col width="24" customWidth="1" min="2" max="2"/>
    <col width="26" customWidth="1" min="3" max="3"/>
    <col width="26" customWidth="1" min="4" max="4"/>
    <col width="52" customWidth="1" min="5" max="5"/>
    <col width="24" customWidth="1" min="6" max="6"/>
    <col width="40" customWidth="1" min="7" max="7"/>
    <col width="26" customWidth="1" min="8" max="8"/>
    <col width="26" customWidth="1" min="9" max="9"/>
    <col width="30" customWidth="1" min="10" max="10"/>
    <col width="11" customWidth="1" min="11" max="11"/>
    <col width="62" customWidth="1" min="12" max="12"/>
  </cols>
  <sheetData>
    <row r="1">
      <c r="A1" s="28" t="inlineStr">
        <is>
          <t>Purchase Order Ship-to Address (Record Type 220) Format</t>
        </is>
      </c>
    </row>
    <row r="2">
      <c r="A2" s="29" t="inlineStr">
        <is>
          <t>Section: Purchase Order Import</t>
        </is>
      </c>
    </row>
    <row r="3">
      <c r="A3" s="30" t="inlineStr">
        <is>
          <t>https://help.sap.com/docs/concur-invoice/concur-invoice-professional-edition-administration-guides/purchase-order-ship-to-address-record-type-220-format</t>
        </is>
      </c>
    </row>
    <row r="4">
      <c r="A4" s="31" t="inlineStr">
        <is>
          <t>Source: SAP Help Portal, Concur Invoice Professional Edition Administration Guides (2026_08). Retrieved 2026-09-11. Ranged fields in the source are expanded to one row per field; each shares the range's definition and description.</t>
        </is>
      </c>
    </row>
    <row r="5" ht="18" customHeight="1">
      <c r="A5" s="12" t="inlineStr">
        <is>
          <t>◀  Back to Index</t>
        </is>
      </c>
    </row>
    <row r="6">
      <c r="A6" s="32" t="inlineStr">
        <is>
          <t>Extract chain: App_Concur.dbo.p_concurinvoicepo_get_poshipto @po_num  |  ⚠ The 210 and 220 procs are the same query: both read poh.ship_* -&gt; entity_default_bill_to_address -&gt; hardcoded literals, so bill-to and ship-to are IDENTICAL on every PO. Only the Name default differs (210 falls back to 'BARNES GROUP AP', 220 does not).  &lt;-  App_Concur.dbo.vw_concur_extract_po_header (poh, ship_* columns) + App_Concur.dbo.entity_default_bill_to_address (bta, by entity_id) + App_Concur.dbo.vw_concur_extract_po_vendor (ven, for external_id)  &lt;-  M3: MPHEAD (poh) / MPPOAD (posa, ADPOAD = 1, ADPNLI = 0); filter IACONO = '910', deleted = 0   |   JBA: AULT2F2PRD.PMP02 ... — ⚠ every ship_* column is a hardcoded empty string   |   ERP SQL lives in the SSIS packages — see the Sources tab.   |   Samples: M3 = PO 2100003074 ship-to, JBA = PO 7710284 ship-to (from the delivered files; '(blank)' means the field was empty)</t>
        </is>
      </c>
    </row>
    <row r="7" ht="30" customHeight="1">
      <c r="A7" s="13" t="inlineStr">
        <is>
          <t>Field Name</t>
        </is>
      </c>
      <c r="B7" s="33" t="inlineStr">
        <is>
          <t>Mapped From (proc)</t>
        </is>
      </c>
      <c r="C7" s="33" t="inlineStr">
        <is>
          <t>View Column</t>
        </is>
      </c>
      <c r="D7" s="33" t="inlineStr">
        <is>
          <t>M3 Source Field</t>
        </is>
      </c>
      <c r="E7" s="33" t="inlineStr">
        <is>
          <t>M3 Derivation</t>
        </is>
      </c>
      <c r="F7" s="34" t="inlineStr">
        <is>
          <t>JBA Source Field</t>
        </is>
      </c>
      <c r="G7" s="34" t="inlineStr">
        <is>
          <t>JBA Derivation</t>
        </is>
      </c>
      <c r="H7" s="35" t="inlineStr">
        <is>
          <t>Sample - M3</t>
        </is>
      </c>
      <c r="I7" s="35" t="inlineStr">
        <is>
          <t>Sample - JBA</t>
        </is>
      </c>
      <c r="J7" s="13" t="inlineStr">
        <is>
          <t>Definition</t>
        </is>
      </c>
      <c r="K7" s="13" t="inlineStr">
        <is>
          <t>Required?</t>
        </is>
      </c>
      <c r="L7" s="13" t="inlineStr">
        <is>
          <t>Description</t>
        </is>
      </c>
    </row>
    <row r="8">
      <c r="A8" s="36" t="inlineStr">
        <is>
          <t>Record Type</t>
        </is>
      </c>
      <c r="B8" s="37" t="inlineStr">
        <is>
          <t>record_type</t>
        </is>
      </c>
      <c r="C8" s="38" t="n"/>
      <c r="D8" s="38" t="n"/>
      <c r="E8" s="39" t="inlineStr">
        <is>
          <t>Literal 220.</t>
        </is>
      </c>
      <c r="F8" s="38" t="n"/>
      <c r="G8" s="55" t="inlineStr">
        <is>
          <t>Literal 220.</t>
        </is>
      </c>
      <c r="H8" s="40" t="inlineStr">
        <is>
          <t>220</t>
        </is>
      </c>
      <c r="I8" s="40" t="inlineStr">
        <is>
          <t>220</t>
        </is>
      </c>
      <c r="J8" s="41" t="inlineStr">
        <is>
          <t>220</t>
        </is>
      </c>
      <c r="K8" s="42" t="inlineStr">
        <is>
          <t>Y</t>
        </is>
      </c>
      <c r="L8" s="41" t="inlineStr">
        <is>
          <t>This is a static value always equal to 220. It indicates the Record Type.</t>
        </is>
      </c>
    </row>
    <row r="9">
      <c r="A9" s="43" t="inlineStr">
        <is>
          <t>External ID</t>
        </is>
      </c>
      <c r="B9" s="44" t="inlineStr">
        <is>
          <t>external_id</t>
        </is>
      </c>
      <c r="C9" s="44" t="inlineStr">
        <is>
          <t>ven.vendor_code</t>
        </is>
      </c>
      <c r="D9" s="53" t="inlineStr">
        <is>
          <t>⚠ none</t>
        </is>
      </c>
      <c r="E9" s="53" t="inlineStr">
        <is>
          <t>⚠ External ID is the VENDOR CODE, not an address key — so every PO for a vendor reuses one address record and the last file written wins, even though the address content varies by PO. The join to ven is a LEFT JOIN with no 'vendor_code is not null' guard (unlike the 200 proc), so a missing vendor row emits a blank required External ID.</t>
        </is>
      </c>
      <c r="F9" s="53" t="inlineStr">
        <is>
          <t>⚠ none</t>
        </is>
      </c>
      <c r="G9" s="57" t="inlineStr">
        <is>
          <t>Same expression — vendor code, not an address key.</t>
        </is>
      </c>
      <c r="H9" s="46" t="inlineStr">
        <is>
          <t>008820044</t>
        </is>
      </c>
      <c r="I9" s="46" t="inlineStr">
        <is>
          <t>0096102900</t>
        </is>
      </c>
      <c r="J9" s="47" t="inlineStr">
        <is>
          <t>Maximum 32 characters</t>
        </is>
      </c>
      <c r="K9" s="42" t="inlineStr">
        <is>
          <t>Y</t>
        </is>
      </c>
      <c r="L9" s="47" t="inlineStr">
        <is>
          <t>A unique value supplied by the customer to identify a particular address.</t>
        </is>
      </c>
    </row>
    <row r="10">
      <c r="A10" s="36" t="inlineStr">
        <is>
          <t>Name</t>
        </is>
      </c>
      <c r="B10" s="37" t="inlineStr">
        <is>
          <t>name</t>
        </is>
      </c>
      <c r="C10" s="37" t="inlineStr">
        <is>
          <t>poh.ship_name -&gt; bta.company_name</t>
        </is>
      </c>
      <c r="D10" s="37" t="inlineStr">
        <is>
          <t>MPPOAD.ADCONM</t>
        </is>
      </c>
      <c r="E10" s="39" t="inlineStr">
        <is>
          <t>case when isnull(ship_name,'') = '' then bta.company_name else ship_name end — unlike the 210 proc there is no final COALESCE, so this can be null (the field is optional).</t>
        </is>
      </c>
      <c r="F10" s="54" t="inlineStr">
        <is>
          <t>(literal '')</t>
        </is>
      </c>
      <c r="G10" s="58" t="inlineStr">
        <is>
          <t>⚠ The JBA header query hardcodes this ship_* column to cast('' as nvarchar(...)), so every JBA PO falls through to the entity_default_bill_to_address row — or, with no such row, to the proc's hardcoded literal.</t>
        </is>
      </c>
      <c r="H10" s="40" t="inlineStr">
        <is>
          <t>ASRaymond</t>
        </is>
      </c>
      <c r="I10" s="40" t="inlineStr">
        <is>
          <t>BARNES GROUP AP</t>
        </is>
      </c>
      <c r="J10" s="41" t="inlineStr">
        <is>
          <t>Maximum 100 characters</t>
        </is>
      </c>
      <c r="K10" s="49" t="inlineStr">
        <is>
          <t>N</t>
        </is>
      </c>
      <c r="L10" s="41" t="inlineStr">
        <is>
          <t>An optional name that can be given to the address.</t>
        </is>
      </c>
    </row>
    <row r="11">
      <c r="A11" s="43" t="inlineStr">
        <is>
          <t>Address 1</t>
        </is>
      </c>
      <c r="B11" s="44" t="inlineStr">
        <is>
          <t>address_1</t>
        </is>
      </c>
      <c r="C11" s="44" t="inlineStr">
        <is>
          <t>poh.ship_address_1 -&gt; bta.address_1 -&gt; '123 Main'</t>
        </is>
      </c>
      <c r="D11" s="44" t="inlineStr">
        <is>
          <t>MPPOAD.ADADR1</t>
        </is>
      </c>
      <c r="E11" s="53" t="inlineStr">
        <is>
          <t>⚠ COALESCE(..., '123 Main') — a hardcoded placeholder street address is sent to Concur whenever the header and the entity default are both empty. Required field, so it always carries something.</t>
        </is>
      </c>
      <c r="F11" s="56" t="inlineStr">
        <is>
          <t>(literal '')</t>
        </is>
      </c>
      <c r="G11" s="53" t="inlineStr">
        <is>
          <t>⚠ The JBA header query hardcodes this ship_* column to cast('' as nvarchar(...)), so every JBA PO falls through to the entity_default_bill_to_address row — or, with no such row, to the proc's hardcoded literal.</t>
        </is>
      </c>
      <c r="H11" s="46" t="inlineStr">
        <is>
          <t>370 W Dussel Drive</t>
        </is>
      </c>
      <c r="I11" s="46" t="inlineStr">
        <is>
          <t>HYSON PRODUCTS</t>
        </is>
      </c>
      <c r="J11" s="47" t="inlineStr">
        <is>
          <t>Maximum 255 characters</t>
        </is>
      </c>
      <c r="K11" s="42" t="inlineStr">
        <is>
          <t>Y</t>
        </is>
      </c>
      <c r="L11" s="47" t="inlineStr">
        <is>
          <t>Address 1 of the complete address.</t>
        </is>
      </c>
    </row>
    <row r="12">
      <c r="A12" s="36" t="inlineStr">
        <is>
          <t>Address 2</t>
        </is>
      </c>
      <c r="B12" s="37" t="inlineStr">
        <is>
          <t>address_2</t>
        </is>
      </c>
      <c r="C12" s="37" t="inlineStr">
        <is>
          <t>poh.ship_address_2 -&gt; bta.address_2</t>
        </is>
      </c>
      <c r="D12" s="37" t="inlineStr">
        <is>
          <t>MPPOAD.ADADR2</t>
        </is>
      </c>
      <c r="E12" s="39" t="inlineStr">
        <is>
          <t>case when isnull(ship_address_2,'') = '' then bta.address_2 else ship_address_2 end — no final default.</t>
        </is>
      </c>
      <c r="F12" s="54" t="inlineStr">
        <is>
          <t>(literal '')</t>
        </is>
      </c>
      <c r="G12" s="58" t="inlineStr">
        <is>
          <t>⚠ The JBA header query hardcodes this ship_* column to cast('' as nvarchar(...)), so every JBA PO falls through to the entity_default_bill_to_address row — or, with no such row, to the proc's hardcoded literal.</t>
        </is>
      </c>
      <c r="H12" s="40" t="inlineStr">
        <is>
          <t>Suite A</t>
        </is>
      </c>
      <c r="I12" s="40" t="inlineStr">
        <is>
          <t>10367 BRECKSVILLE RD.</t>
        </is>
      </c>
      <c r="J12" s="41" t="inlineStr">
        <is>
          <t>Maximum 255 characters</t>
        </is>
      </c>
      <c r="K12" s="49" t="inlineStr">
        <is>
          <t>N</t>
        </is>
      </c>
      <c r="L12" s="41" t="inlineStr">
        <is>
          <t>Address 2 of the complete address.</t>
        </is>
      </c>
    </row>
    <row r="13">
      <c r="A13" s="43" t="inlineStr">
        <is>
          <t>Address 3</t>
        </is>
      </c>
      <c r="B13" s="44" t="inlineStr">
        <is>
          <t>address_3</t>
        </is>
      </c>
      <c r="C13" s="44" t="inlineStr">
        <is>
          <t>poh.ship_address_3 -&gt; bta.address_3</t>
        </is>
      </c>
      <c r="D13" s="44" t="inlineStr">
        <is>
          <t>MPPOAD.ADADR3</t>
        </is>
      </c>
      <c r="E13" s="45" t="inlineStr">
        <is>
          <t>case when isnull(ship_address_3,'') = '' then bta.address_3 else ship_address_3 end — no final default.</t>
        </is>
      </c>
      <c r="F13" s="56" t="inlineStr">
        <is>
          <t>(literal '')</t>
        </is>
      </c>
      <c r="G13" s="53" t="inlineStr">
        <is>
          <t>⚠ The JBA header query hardcodes this ship_* column to cast('' as nvarchar(...)), so every JBA PO falls through to the entity_default_bill_to_address row — or, with no such row, to the proc's hardcoded literal.</t>
        </is>
      </c>
      <c r="H13" s="46" t="inlineStr">
        <is>
          <t>SUITE A</t>
        </is>
      </c>
      <c r="I13" s="50" t="inlineStr">
        <is>
          <t>(blank)</t>
        </is>
      </c>
      <c r="J13" s="47" t="inlineStr">
        <is>
          <t>Maximum 255 characters</t>
        </is>
      </c>
      <c r="K13" s="51" t="inlineStr">
        <is>
          <t>N</t>
        </is>
      </c>
      <c r="L13" s="47" t="inlineStr">
        <is>
          <t>Address 3 of the complete address.</t>
        </is>
      </c>
    </row>
    <row r="14">
      <c r="A14" s="36" t="inlineStr">
        <is>
          <t>City</t>
        </is>
      </c>
      <c r="B14" s="37" t="inlineStr">
        <is>
          <t>city</t>
        </is>
      </c>
      <c r="C14" s="37" t="inlineStr">
        <is>
          <t>poh.ship_city -&gt; bta.city -&gt; 'Bristol'</t>
        </is>
      </c>
      <c r="D14" s="37" t="inlineStr">
        <is>
          <t>MPPOAD.ADTOWN</t>
        </is>
      </c>
      <c r="E14" s="58" t="inlineStr">
        <is>
          <t>⚠ COALESCE(..., 'Bristol') — a hardcoded placeholder city is sent when both sources are empty.</t>
        </is>
      </c>
      <c r="F14" s="54" t="inlineStr">
        <is>
          <t>(literal '')</t>
        </is>
      </c>
      <c r="G14" s="58" t="inlineStr">
        <is>
          <t>⚠ The JBA header query hardcodes this ship_* column to cast('' as nvarchar(...)), so every JBA PO falls through to the entity_default_bill_to_address row — or, with no such row, to the proc's hardcoded literal.</t>
        </is>
      </c>
      <c r="H14" s="40" t="inlineStr">
        <is>
          <t>Maumee</t>
        </is>
      </c>
      <c r="I14" s="40" t="inlineStr">
        <is>
          <t>BRECKSVILLE</t>
        </is>
      </c>
      <c r="J14" s="41" t="inlineStr">
        <is>
          <t>Maximum 255 characters</t>
        </is>
      </c>
      <c r="K14" s="42" t="inlineStr">
        <is>
          <t>Y</t>
        </is>
      </c>
      <c r="L14" s="41" t="inlineStr">
        <is>
          <t>The city within which the address resides.</t>
        </is>
      </c>
    </row>
    <row r="15">
      <c r="A15" s="43" t="inlineStr">
        <is>
          <t>State/Province</t>
        </is>
      </c>
      <c r="B15" s="44" t="inlineStr">
        <is>
          <t>state</t>
        </is>
      </c>
      <c r="C15" s="44" t="inlineStr">
        <is>
          <t>poh.ship_state -&gt; bta.state -&gt; 'CT'</t>
        </is>
      </c>
      <c r="D15" s="44" t="inlineStr">
        <is>
          <t>MPPOAD.ADECAR</t>
        </is>
      </c>
      <c r="E15" s="53" t="inlineStr">
        <is>
          <t>⚠ COALESCE(..., 'CT') — hardcoded placeholder state.</t>
        </is>
      </c>
      <c r="F15" s="56" t="inlineStr">
        <is>
          <t>(literal '')</t>
        </is>
      </c>
      <c r="G15" s="53" t="inlineStr">
        <is>
          <t>⚠ The JBA header query hardcodes this ship_* column to cast('' as nvarchar(...)), so every JBA PO falls through to the entity_default_bill_to_address row — or, with no such row, to the proc's hardcoded literal.</t>
        </is>
      </c>
      <c r="H15" s="46" t="inlineStr">
        <is>
          <t>OH</t>
        </is>
      </c>
      <c r="I15" s="46" t="inlineStr">
        <is>
          <t>OH</t>
        </is>
      </c>
      <c r="J15" s="47" t="inlineStr">
        <is>
          <t>Maximum 255 characters</t>
        </is>
      </c>
      <c r="K15" s="42" t="inlineStr">
        <is>
          <t>Y</t>
        </is>
      </c>
      <c r="L15" s="47" t="inlineStr">
        <is>
          <t>The state or province within which the address resides.</t>
        </is>
      </c>
    </row>
    <row r="16">
      <c r="A16" s="36" t="inlineStr">
        <is>
          <t>Postal Code</t>
        </is>
      </c>
      <c r="B16" s="37" t="inlineStr">
        <is>
          <t>postal_code</t>
        </is>
      </c>
      <c r="C16" s="37" t="inlineStr">
        <is>
          <t>poh.ship_zip_code -&gt; bta.zip_code -&gt; '06010'</t>
        </is>
      </c>
      <c r="D16" s="37" t="inlineStr">
        <is>
          <t>MPPOAD.ADPONO</t>
        </is>
      </c>
      <c r="E16" s="58" t="inlineStr">
        <is>
          <t>⚠ COALESCE(..., '06010') — hardcoded placeholder postal code.</t>
        </is>
      </c>
      <c r="F16" s="54" t="inlineStr">
        <is>
          <t>(literal '')</t>
        </is>
      </c>
      <c r="G16" s="58" t="inlineStr">
        <is>
          <t>⚠ The JBA header query hardcodes this ship_* column to cast('' as nvarchar(...)), so every JBA PO falls through to the entity_default_bill_to_address row — or, with no such row, to the proc's hardcoded literal.</t>
        </is>
      </c>
      <c r="H16" s="40" t="inlineStr">
        <is>
          <t>43537</t>
        </is>
      </c>
      <c r="I16" s="40" t="inlineStr">
        <is>
          <t>44141</t>
        </is>
      </c>
      <c r="J16" s="41" t="inlineStr">
        <is>
          <t>Maximum 20 characters</t>
        </is>
      </c>
      <c r="K16" s="42" t="inlineStr">
        <is>
          <t>Y</t>
        </is>
      </c>
      <c r="L16" s="41" t="inlineStr">
        <is>
          <t>The postal code of the address.</t>
        </is>
      </c>
    </row>
    <row r="17">
      <c r="A17" s="43" t="inlineStr">
        <is>
          <t>Country Code</t>
        </is>
      </c>
      <c r="B17" s="44" t="inlineStr">
        <is>
          <t>country_code</t>
        </is>
      </c>
      <c r="C17" s="44" t="inlineStr">
        <is>
          <t>poh.ship_country_code -&gt; bta.country -&gt; 'US'</t>
        </is>
      </c>
      <c r="D17" s="44" t="inlineStr">
        <is>
          <t>MPPOAD.ADCSCD</t>
        </is>
      </c>
      <c r="E17" s="53" t="inlineStr">
        <is>
          <t>⚠ COALESCE(..., 'US') — hardcoded placeholder country.</t>
        </is>
      </c>
      <c r="F17" s="56" t="inlineStr">
        <is>
          <t>(literal '')</t>
        </is>
      </c>
      <c r="G17" s="53" t="inlineStr">
        <is>
          <t>⚠ The JBA header query hardcodes this ship_* column to cast('' as nvarchar(...)), so every JBA PO falls through to the entity_default_bill_to_address row — or, with no such row, to the proc's hardcoded literal.</t>
        </is>
      </c>
      <c r="H17" s="46" t="inlineStr">
        <is>
          <t>US</t>
        </is>
      </c>
      <c r="I17" s="46" t="inlineStr">
        <is>
          <t>US</t>
        </is>
      </c>
      <c r="J17" s="47" t="inlineStr">
        <is>
          <t>Maximum 2 characters</t>
        </is>
      </c>
      <c r="K17" s="42" t="inlineStr">
        <is>
          <t>Y</t>
        </is>
      </c>
      <c r="L17" s="47" t="inlineStr">
        <is>
          <t>The code of the country associated with the address.</t>
        </is>
      </c>
    </row>
    <row r="18">
      <c r="A18" s="36" t="inlineStr">
        <is>
          <t>Future_Use_1</t>
        </is>
      </c>
      <c r="B18" s="37" t="inlineStr">
        <is>
          <t>future_use_1</t>
        </is>
      </c>
      <c r="C18" s="38" t="n"/>
      <c r="D18" s="38" t="n"/>
      <c r="E18" s="39" t="inlineStr">
        <is>
          <t>cast(null as varchar(50)) in the proc.</t>
        </is>
      </c>
      <c r="F18" s="38" t="n"/>
      <c r="G18" s="38" t="n"/>
      <c r="H18" s="48" t="inlineStr">
        <is>
          <t>(blank)</t>
        </is>
      </c>
      <c r="I18" s="48" t="inlineStr">
        <is>
          <t>(blank)</t>
        </is>
      </c>
      <c r="J18" s="41" t="n"/>
      <c r="K18" s="49" t="inlineStr">
        <is>
          <t>N</t>
        </is>
      </c>
      <c r="L18" s="41" t="inlineStr">
        <is>
          <t>The future_use fields are currently not in use. Please account for them in your import, but do not put any data into them. All data will be ignored.</t>
        </is>
      </c>
    </row>
    <row r="19">
      <c r="A19" s="43" t="inlineStr">
        <is>
          <t>Future_Use_2</t>
        </is>
      </c>
      <c r="B19" s="44" t="inlineStr">
        <is>
          <t>future_use_2</t>
        </is>
      </c>
      <c r="C19" s="38" t="n"/>
      <c r="D19" s="38" t="n"/>
      <c r="E19" s="45" t="inlineStr">
        <is>
          <t>cast(null as varchar(50)) in the proc.</t>
        </is>
      </c>
      <c r="F19" s="38" t="n"/>
      <c r="G19" s="38" t="n"/>
      <c r="H19" s="50" t="inlineStr">
        <is>
          <t>(blank)</t>
        </is>
      </c>
      <c r="I19" s="50" t="inlineStr">
        <is>
          <t>(blank)</t>
        </is>
      </c>
      <c r="J19" s="47" t="n"/>
      <c r="K19" s="51" t="inlineStr">
        <is>
          <t>N</t>
        </is>
      </c>
      <c r="L19" s="47" t="inlineStr">
        <is>
          <t>The future_use fields are currently not in use. Please account for them in your import, but do not put any data into them. All data will be ignored.</t>
        </is>
      </c>
    </row>
    <row r="20">
      <c r="A20" s="36" t="inlineStr">
        <is>
          <t>Future_Use_3</t>
        </is>
      </c>
      <c r="B20" s="37" t="inlineStr">
        <is>
          <t>future_use_3</t>
        </is>
      </c>
      <c r="C20" s="38" t="n"/>
      <c r="D20" s="38" t="n"/>
      <c r="E20" s="39" t="inlineStr">
        <is>
          <t>cast(null as varchar(50)) in the proc.</t>
        </is>
      </c>
      <c r="F20" s="38" t="n"/>
      <c r="G20" s="38" t="n"/>
      <c r="H20" s="48" t="inlineStr">
        <is>
          <t>(blank)</t>
        </is>
      </c>
      <c r="I20" s="48" t="inlineStr">
        <is>
          <t>(blank)</t>
        </is>
      </c>
      <c r="J20" s="41" t="n"/>
      <c r="K20" s="49" t="inlineStr">
        <is>
          <t>N</t>
        </is>
      </c>
      <c r="L20" s="41" t="inlineStr">
        <is>
          <t>The future_use fields are currently not in use. Please account for them in your import, but do not put any data into them. All data will be ignored.</t>
        </is>
      </c>
    </row>
    <row r="21">
      <c r="A21" s="43" t="inlineStr">
        <is>
          <t>Future_Use_4</t>
        </is>
      </c>
      <c r="B21" s="44" t="inlineStr">
        <is>
          <t>future_use_4</t>
        </is>
      </c>
      <c r="C21" s="38" t="n"/>
      <c r="D21" s="38" t="n"/>
      <c r="E21" s="45" t="inlineStr">
        <is>
          <t>cast(null as varchar(50)) in the proc.</t>
        </is>
      </c>
      <c r="F21" s="38" t="n"/>
      <c r="G21" s="38" t="n"/>
      <c r="H21" s="50" t="inlineStr">
        <is>
          <t>(blank)</t>
        </is>
      </c>
      <c r="I21" s="50" t="inlineStr">
        <is>
          <t>(blank)</t>
        </is>
      </c>
      <c r="J21" s="47" t="n"/>
      <c r="K21" s="51" t="inlineStr">
        <is>
          <t>N</t>
        </is>
      </c>
      <c r="L21" s="47" t="inlineStr">
        <is>
          <t>The future_use fields are currently not in use. Please account for them in your import, but do not put any data into them. All data will be ignored.</t>
        </is>
      </c>
    </row>
    <row r="22">
      <c r="A22" s="36" t="inlineStr">
        <is>
          <t>Future_Use_5</t>
        </is>
      </c>
      <c r="B22" s="37" t="inlineStr">
        <is>
          <t>future_use_5</t>
        </is>
      </c>
      <c r="C22" s="38" t="n"/>
      <c r="D22" s="38" t="n"/>
      <c r="E22" s="39" t="inlineStr">
        <is>
          <t>cast(null as varchar(50)) in the proc.</t>
        </is>
      </c>
      <c r="F22" s="38" t="n"/>
      <c r="G22" s="38" t="n"/>
      <c r="H22" s="48" t="inlineStr">
        <is>
          <t>(blank)</t>
        </is>
      </c>
      <c r="I22" s="48" t="inlineStr">
        <is>
          <t>(blank)</t>
        </is>
      </c>
      <c r="J22" s="41" t="n"/>
      <c r="K22" s="49" t="inlineStr">
        <is>
          <t>N</t>
        </is>
      </c>
      <c r="L22" s="41" t="inlineStr">
        <is>
          <t>The future_use fields are currently not in use. Please account for them in your import, but do not put any data into them. All data will be ignored.</t>
        </is>
      </c>
    </row>
    <row r="23">
      <c r="A23" s="43" t="inlineStr">
        <is>
          <t>Future_Use_6</t>
        </is>
      </c>
      <c r="B23" s="44" t="inlineStr">
        <is>
          <t>future_use_6</t>
        </is>
      </c>
      <c r="C23" s="38" t="n"/>
      <c r="D23" s="38" t="n"/>
      <c r="E23" s="45" t="inlineStr">
        <is>
          <t>cast(null as varchar(50)) in the proc.</t>
        </is>
      </c>
      <c r="F23" s="38" t="n"/>
      <c r="G23" s="38" t="n"/>
      <c r="H23" s="50" t="inlineStr">
        <is>
          <t>(blank)</t>
        </is>
      </c>
      <c r="I23" s="50" t="inlineStr">
        <is>
          <t>(blank)</t>
        </is>
      </c>
      <c r="J23" s="47" t="n"/>
      <c r="K23" s="51" t="inlineStr">
        <is>
          <t>N</t>
        </is>
      </c>
      <c r="L23" s="47" t="inlineStr">
        <is>
          <t>The future_use fields are currently not in use. Please account for them in your import, but do not put any data into them. All data will be ignored.</t>
        </is>
      </c>
    </row>
    <row r="24">
      <c r="A24" s="36" t="inlineStr">
        <is>
          <t>Future_Use_7</t>
        </is>
      </c>
      <c r="B24" s="37" t="inlineStr">
        <is>
          <t>future_use_7</t>
        </is>
      </c>
      <c r="C24" s="38" t="n"/>
      <c r="D24" s="38" t="n"/>
      <c r="E24" s="39" t="inlineStr">
        <is>
          <t>cast(null as varchar(50)) in the proc.</t>
        </is>
      </c>
      <c r="F24" s="38" t="n"/>
      <c r="G24" s="38" t="n"/>
      <c r="H24" s="48" t="inlineStr">
        <is>
          <t>(blank)</t>
        </is>
      </c>
      <c r="I24" s="48" t="inlineStr">
        <is>
          <t>(blank)</t>
        </is>
      </c>
      <c r="J24" s="41" t="n"/>
      <c r="K24" s="49" t="inlineStr">
        <is>
          <t>N</t>
        </is>
      </c>
      <c r="L24" s="41" t="inlineStr">
        <is>
          <t>The future_use fields are currently not in use. Please account for them in your import, but do not put any data into them. All data will be ignored.</t>
        </is>
      </c>
    </row>
    <row r="25">
      <c r="A25" s="43" t="inlineStr">
        <is>
          <t>Future_Use_8</t>
        </is>
      </c>
      <c r="B25" s="44" t="inlineStr">
        <is>
          <t>future_use_8</t>
        </is>
      </c>
      <c r="C25" s="38" t="n"/>
      <c r="D25" s="38" t="n"/>
      <c r="E25" s="45" t="inlineStr">
        <is>
          <t>cast(null as varchar(50)) in the proc.</t>
        </is>
      </c>
      <c r="F25" s="38" t="n"/>
      <c r="G25" s="38" t="n"/>
      <c r="H25" s="50" t="inlineStr">
        <is>
          <t>(blank)</t>
        </is>
      </c>
      <c r="I25" s="50" t="inlineStr">
        <is>
          <t>(blank)</t>
        </is>
      </c>
      <c r="J25" s="47" t="n"/>
      <c r="K25" s="51" t="inlineStr">
        <is>
          <t>N</t>
        </is>
      </c>
      <c r="L25" s="47" t="inlineStr">
        <is>
          <t>The future_use fields are currently not in use. Please account for them in your import, but do not put any data into them. All data will be ignored.</t>
        </is>
      </c>
    </row>
    <row r="26">
      <c r="A26" s="36" t="inlineStr">
        <is>
          <t>Future_Use_9</t>
        </is>
      </c>
      <c r="B26" s="37" t="inlineStr">
        <is>
          <t>future_use_9</t>
        </is>
      </c>
      <c r="C26" s="38" t="n"/>
      <c r="D26" s="38" t="n"/>
      <c r="E26" s="39" t="inlineStr">
        <is>
          <t>cast(null as varchar(50)) in the proc.</t>
        </is>
      </c>
      <c r="F26" s="38" t="n"/>
      <c r="G26" s="38" t="n"/>
      <c r="H26" s="48" t="inlineStr">
        <is>
          <t>(blank)</t>
        </is>
      </c>
      <c r="I26" s="48" t="inlineStr">
        <is>
          <t>(blank)</t>
        </is>
      </c>
      <c r="J26" s="41" t="n"/>
      <c r="K26" s="49" t="inlineStr">
        <is>
          <t>N</t>
        </is>
      </c>
      <c r="L26" s="41" t="inlineStr">
        <is>
          <t>The future_use fields are currently not in use. Please account for them in your import, but do not put any data into them. All data will be ignored.</t>
        </is>
      </c>
    </row>
    <row r="27">
      <c r="A27" s="43" t="inlineStr">
        <is>
          <t>Future_Use_10</t>
        </is>
      </c>
      <c r="B27" s="44" t="inlineStr">
        <is>
          <t>future_use_10</t>
        </is>
      </c>
      <c r="C27" s="38" t="n"/>
      <c r="D27" s="38" t="n"/>
      <c r="E27" s="45" t="inlineStr">
        <is>
          <t>cast(null as varchar(50)) in the proc.</t>
        </is>
      </c>
      <c r="F27" s="38" t="n"/>
      <c r="G27" s="38" t="n"/>
      <c r="H27" s="50" t="inlineStr">
        <is>
          <t>(blank)</t>
        </is>
      </c>
      <c r="I27" s="50" t="inlineStr">
        <is>
          <t>(blank)</t>
        </is>
      </c>
      <c r="J27" s="47" t="n"/>
      <c r="K27" s="51" t="inlineStr">
        <is>
          <t>N</t>
        </is>
      </c>
      <c r="L27" s="47" t="inlineStr">
        <is>
          <t>The future_use fields are currently not in use. Please account for them in your import, but do not put any data into them. All data will be ignored.</t>
        </is>
      </c>
    </row>
  </sheetData>
  <autoFilter ref="A7:L27"/>
  <hyperlinks>
    <hyperlink xmlns:r="http://schemas.openxmlformats.org/officeDocument/2006/relationships" ref="A3" r:id="rId1"/>
    <hyperlink ref="A5" location="Index!A1" display="Back to Index"/>
  </hyperlinks>
  <pageMargins left="0.75" right="0.75" top="1" bottom="1" header="0.5" footer="0.5"/>
  <pageSetup orientation="landscape" fitToWidth="1"/>
</worksheet>
</file>

<file path=xl/worksheets/sheet8.xml><?xml version="1.0" encoding="utf-8"?>
<worksheet xmlns="http://schemas.openxmlformats.org/spreadsheetml/2006/main">
  <sheetPr>
    <outlinePr summaryBelow="1" summaryRight="1"/>
    <pageSetUpPr fitToPage="1"/>
  </sheetPr>
  <dimension ref="A1:L59"/>
  <sheetViews>
    <sheetView showGridLines="0" workbookViewId="0">
      <pane xSplit="1" ySplit="7" topLeftCell="B8" activePane="bottomRight" state="frozen"/>
      <selection pane="topRight" activeCell="A1" sqref="A1"/>
      <selection pane="bottomLeft" activeCell="A1" sqref="A1"/>
      <selection pane="bottomRight" activeCell="A1" sqref="A1"/>
    </sheetView>
  </sheetViews>
  <sheetFormatPr baseColWidth="8" defaultRowHeight="15"/>
  <cols>
    <col width="30" customWidth="1" min="1" max="1"/>
    <col width="24" customWidth="1" min="2" max="2"/>
    <col width="26" customWidth="1" min="3" max="3"/>
    <col width="26" customWidth="1" min="4" max="4"/>
    <col width="52" customWidth="1" min="5" max="5"/>
    <col width="24" customWidth="1" min="6" max="6"/>
    <col width="40" customWidth="1" min="7" max="7"/>
    <col width="26" customWidth="1" min="8" max="8"/>
    <col width="26" customWidth="1" min="9" max="9"/>
    <col width="30" customWidth="1" min="10" max="10"/>
    <col width="11" customWidth="1" min="11" max="11"/>
    <col width="62" customWidth="1" min="12" max="12"/>
  </cols>
  <sheetData>
    <row r="1">
      <c r="A1" s="28" t="inlineStr">
        <is>
          <t>Purchase Order Line Item (Record Type 300) Format</t>
        </is>
      </c>
    </row>
    <row r="2">
      <c r="A2" s="29" t="inlineStr">
        <is>
          <t>Section: Purchase Order Import</t>
        </is>
      </c>
    </row>
    <row r="3">
      <c r="A3" s="30" t="inlineStr">
        <is>
          <t>https://help.sap.com/docs/concur-invoice/concur-invoice-professional-edition-administration-guides/purchase-order-line-item-record-type-300-format</t>
        </is>
      </c>
    </row>
    <row r="4">
      <c r="A4" s="31" t="inlineStr">
        <is>
          <t>Source: SAP Help Portal, Concur Invoice Professional Edition Administration Guides (2026_08). Retrieved 2026-09-11. Ranged fields in the source are expanded to one row per field; each shares the range's definition and description.</t>
        </is>
      </c>
    </row>
    <row r="5" ht="18" customHeight="1">
      <c r="A5" s="12" t="inlineStr">
        <is>
          <t>◀  Back to Index</t>
        </is>
      </c>
    </row>
    <row r="6">
      <c r="A6" s="32" t="inlineStr">
        <is>
          <t>Extract chain: App_Concur.dbo.p_concurinvoicepo_get_poline @po_num  &lt;-  App_Concur.dbo.vw_concur_extract_po_line (pol) UNION App_Concur.dbo.vw_concur_extract_po_line_charges (polc)  &lt;-  M3: MPLINE (a) / MPHEAD (b) / MPPOAD (posa, ADPOAD = 3); filters IBCONO = '910', deleted = 0, IBPUSL &lt;&gt; 99   |   JBA: AULT2F2PRD.PMP02 / PMP03 / INP35 / PMP11; filters ACRC03 &lt;&gt; 'C', DLTF03 = ' ', DTLC03 = 9999999, PRIC03 &lt;&gt; 0.0, CONO02 not in ('AB','G1','G7','SW','SP'), ORDT02 within 24 months, and the line must have an uninvoiced PMP09 receipt   |   ERP SQL lives in the SSIS packages — see the Sources tab.   |   Samples: M3 = PO 2100003074 line 1, JBA = PO 7710284 line 1 (from the delivered files; '(blank)' means the field was empty)</t>
        </is>
      </c>
    </row>
    <row r="7" ht="30" customHeight="1">
      <c r="A7" s="13" t="inlineStr">
        <is>
          <t>Field Name</t>
        </is>
      </c>
      <c r="B7" s="33" t="inlineStr">
        <is>
          <t>Mapped From (proc)</t>
        </is>
      </c>
      <c r="C7" s="33" t="inlineStr">
        <is>
          <t>View Column</t>
        </is>
      </c>
      <c r="D7" s="33" t="inlineStr">
        <is>
          <t>M3 Source Field</t>
        </is>
      </c>
      <c r="E7" s="33" t="inlineStr">
        <is>
          <t>M3 Derivation</t>
        </is>
      </c>
      <c r="F7" s="34" t="inlineStr">
        <is>
          <t>JBA Source Field</t>
        </is>
      </c>
      <c r="G7" s="34" t="inlineStr">
        <is>
          <t>JBA Derivation</t>
        </is>
      </c>
      <c r="H7" s="35" t="inlineStr">
        <is>
          <t>Sample - M3</t>
        </is>
      </c>
      <c r="I7" s="35" t="inlineStr">
        <is>
          <t>Sample - JBA</t>
        </is>
      </c>
      <c r="J7" s="13" t="inlineStr">
        <is>
          <t>Definition</t>
        </is>
      </c>
      <c r="K7" s="13" t="inlineStr">
        <is>
          <t>Required?</t>
        </is>
      </c>
      <c r="L7" s="13" t="inlineStr">
        <is>
          <t>Description</t>
        </is>
      </c>
    </row>
    <row r="8">
      <c r="A8" s="36" t="inlineStr">
        <is>
          <t>Record Type</t>
        </is>
      </c>
      <c r="B8" s="37" t="inlineStr">
        <is>
          <t>record_type</t>
        </is>
      </c>
      <c r="C8" s="38" t="n"/>
      <c r="D8" s="38" t="n"/>
      <c r="E8" s="39" t="inlineStr">
        <is>
          <t>Literal 300 in both UNION branches.</t>
        </is>
      </c>
      <c r="F8" s="38" t="n"/>
      <c r="G8" s="55" t="inlineStr">
        <is>
          <t>Literal 300.</t>
        </is>
      </c>
      <c r="H8" s="40" t="inlineStr">
        <is>
          <t>300</t>
        </is>
      </c>
      <c r="I8" s="40" t="inlineStr">
        <is>
          <t>300</t>
        </is>
      </c>
      <c r="J8" s="41" t="inlineStr">
        <is>
          <t>300</t>
        </is>
      </c>
      <c r="K8" s="42" t="inlineStr">
        <is>
          <t>Y</t>
        </is>
      </c>
      <c r="L8" s="41" t="inlineStr">
        <is>
          <t>This is a static value always equal to 300. It indicates the Record Type.</t>
        </is>
      </c>
    </row>
    <row r="9">
      <c r="A9" s="43" t="inlineStr">
        <is>
          <t>External ID</t>
        </is>
      </c>
      <c r="B9" s="44" t="inlineStr">
        <is>
          <t>external_id</t>
        </is>
      </c>
      <c r="C9" s="44" t="inlineStr">
        <is>
          <t>entity_id + po_num + po_line + po_seq</t>
        </is>
      </c>
      <c r="D9" s="44" t="inlineStr">
        <is>
          <t>MPLINE.IBPUNO + IBPNLI + IBPNLS</t>
        </is>
      </c>
      <c r="E9" s="45" t="inlineStr">
        <is>
          <t>cast(pol.entity_id + po_num + po_line + po_seq as varchar(100)). Must equal the receipt record's Line Item External ID byte for byte — confirmed matching in the 2100003074 sample.  CHARGE BRANCH: same expression from polc — ⚠ CONFIRMED DUPLICATE in the sample file: both charge rows (TOTAL TAX line 3 and TOTAL FREIGHT line 4) carry the SAME External ID 0088210000307400, because po_line/po_seq resolve to 0/0 for charges and charge_sequence never reaches the key.</t>
        </is>
      </c>
      <c r="F9" s="56" t="inlineStr">
        <is>
          <t>PMP03.ORDN03 + LINE03 + BOSN03</t>
        </is>
      </c>
      <c r="G9" s="57" t="inlineStr">
        <is>
          <t>Built from entity_id + po_num + po_line + po_seq. In the delivered PO 7710284 files the line and receipt records AGREE (both 0096771028450), so the padding difference between the two JBA source queries — the line query zero-pads po_line to 3 and po_seq to 5, the receipt query does not — is being reconciled somewhere downstream. ⚠ Worth resolving which load the view actually reads (dbo.po_line vs dbo.po_line_jba) before relying on it, since only one of the two shapes can be right.</t>
        </is>
      </c>
      <c r="H9" s="46" t="inlineStr">
        <is>
          <t>0088210000307410</t>
        </is>
      </c>
      <c r="I9" s="46" t="inlineStr">
        <is>
          <t>0096771028450</t>
        </is>
      </c>
      <c r="J9" s="47" t="inlineStr">
        <is>
          <t>Maximum 100 characters</t>
        </is>
      </c>
      <c r="K9" s="42" t="inlineStr">
        <is>
          <t>Y</t>
        </is>
      </c>
      <c r="L9" s="47" t="inlineStr">
        <is>
          <t>A unique, customer-supplied value that identifies a line item of a purchase order. If PO receipts are also imported, the External ID must match the Line Item External ID of the corresponding purchase order request line item.</t>
        </is>
      </c>
    </row>
    <row r="10">
      <c r="A10" s="36" t="inlineStr">
        <is>
          <t>Line Number</t>
        </is>
      </c>
      <c r="B10" s="37" t="inlineStr">
        <is>
          <t>line_number</t>
        </is>
      </c>
      <c r="C10" s="37" t="inlineStr">
        <is>
          <t>(derived from po_line + po_seq)</t>
        </is>
      </c>
      <c r="D10" s="37" t="inlineStr">
        <is>
          <t>MPLINE.IBPNLI / IBPNLS</t>
        </is>
      </c>
      <c r="E10" s="39" t="inlineStr">
        <is>
          <t>row_number() over (order by line_sort); line_sort = cast(po_line + po_seq as int).  CHARGE BRANCH: line_sort = cast('99' + po_line + '99' + charge_sequence as int), so charges sort after real lines.</t>
        </is>
      </c>
      <c r="F10" s="54" t="inlineStr">
        <is>
          <t>PMP03.LINE03 / BOSN03</t>
        </is>
      </c>
      <c r="G10" s="55" t="inlineStr">
        <is>
          <t>Zero-padded in the view; cast back to int for the sort, so padding does not affect line_number itself — only the External ID.</t>
        </is>
      </c>
      <c r="H10" s="40" t="inlineStr">
        <is>
          <t>1</t>
        </is>
      </c>
      <c r="I10" s="40" t="inlineStr">
        <is>
          <t>1</t>
        </is>
      </c>
      <c r="J10" s="41" t="inlineStr">
        <is>
          <t>Integer</t>
        </is>
      </c>
      <c r="K10" s="42" t="inlineStr">
        <is>
          <t>Y</t>
        </is>
      </c>
      <c r="L10" s="41" t="inlineStr">
        <is>
          <t>The number of the line item within the purchase order.</t>
        </is>
      </c>
    </row>
    <row r="11">
      <c r="A11" s="43" t="inlineStr">
        <is>
          <t>Supplier Part ID</t>
        </is>
      </c>
      <c r="B11" s="44" t="inlineStr">
        <is>
          <t>supplier_part_id</t>
        </is>
      </c>
      <c r="C11" s="44" t="inlineStr">
        <is>
          <t>item_num_vendor, else item_num_internal</t>
        </is>
      </c>
      <c r="D11" s="44" t="inlineStr">
        <is>
          <t>MPLINE.IBSITE, else IBITNO</t>
        </is>
      </c>
      <c r="E11" s="45" t="inlineStr">
        <is>
          <t>item_num_vendor = IBSITE (supplier item), item_num_internal = IBITNO.</t>
        </is>
      </c>
      <c r="F11" s="56" t="inlineStr">
        <is>
          <t>PMP03.VCAT03, else ITEM03</t>
        </is>
      </c>
      <c r="G11" s="57" t="inlineStr">
        <is>
          <t>item_num_vendor = CASE WHEN ORDC02 &lt; 5 THEN ITEM03 ELSE VCAT03 END — for PO classes under 5 the 'vendor' item is actually the internal item, so Supplier Part ID repeats the internal number.</t>
        </is>
      </c>
      <c r="H11" s="46" t="inlineStr">
        <is>
          <t>S-14356</t>
        </is>
      </c>
      <c r="I11" s="46" t="inlineStr">
        <is>
          <t>RBH-2625X</t>
        </is>
      </c>
      <c r="J11" s="47" t="inlineStr">
        <is>
          <t>Maximum 255 characters</t>
        </is>
      </c>
      <c r="K11" s="51" t="inlineStr">
        <is>
          <t>N</t>
        </is>
      </c>
      <c r="L11" s="47" t="inlineStr">
        <is>
          <t>Any number that might help to identify the line item. For example, a supplier part number value or even the manufacturer number.</t>
        </is>
      </c>
    </row>
    <row r="12">
      <c r="A12" s="36" t="inlineStr">
        <is>
          <t>Requested Delivery Date</t>
        </is>
      </c>
      <c r="B12" s="37" t="inlineStr">
        <is>
          <t>requested_delivery_date</t>
        </is>
      </c>
      <c r="C12" s="38" t="n"/>
      <c r="D12" s="37" t="inlineStr">
        <is>
          <t>MPLINE.IBVDDT (unused)</t>
        </is>
      </c>
      <c r="E12" s="39" t="inlineStr">
        <is>
          <t>cast(null as date) — never populated, though the M3 line view does supply due_date.</t>
        </is>
      </c>
      <c r="F12" s="54" t="inlineStr">
        <is>
          <t>PMP03.DUED03 (unused)</t>
        </is>
      </c>
      <c r="G12" s="55" t="inlineStr">
        <is>
          <t>JBA also supplies due_date; the proc ignores it.</t>
        </is>
      </c>
      <c r="H12" s="48" t="inlineStr">
        <is>
          <t>(blank)</t>
        </is>
      </c>
      <c r="I12" s="48" t="inlineStr">
        <is>
          <t>(blank)</t>
        </is>
      </c>
      <c r="J12" s="41" t="inlineStr">
        <is>
          <t>Date format of YYYY-MM-DD</t>
        </is>
      </c>
      <c r="K12" s="49" t="inlineStr">
        <is>
          <t>N</t>
        </is>
      </c>
      <c r="L12" s="41" t="inlineStr">
        <is>
          <t>The line item date on which the goods or services are to be delivered.</t>
        </is>
      </c>
    </row>
    <row r="13">
      <c r="A13" s="43" t="inlineStr">
        <is>
          <t>Requested By</t>
        </is>
      </c>
      <c r="B13" s="44" t="inlineStr">
        <is>
          <t>requested_by</t>
        </is>
      </c>
      <c r="C13" s="38" t="n"/>
      <c r="D13" s="38" t="n"/>
      <c r="E13" s="45" t="inlineStr">
        <is>
          <t>cast(null as varchar(255)) — never populated.</t>
        </is>
      </c>
      <c r="F13" s="38" t="n"/>
      <c r="G13" s="38" t="n"/>
      <c r="H13" s="50" t="inlineStr">
        <is>
          <t>(blank)</t>
        </is>
      </c>
      <c r="I13" s="50" t="inlineStr">
        <is>
          <t>(blank)</t>
        </is>
      </c>
      <c r="J13" s="47" t="inlineStr">
        <is>
          <t>Maximum 255 characters</t>
        </is>
      </c>
      <c r="K13" s="51" t="inlineStr">
        <is>
          <t>N</t>
        </is>
      </c>
      <c r="L13" s="47" t="inlineStr">
        <is>
          <t>The person who requested the goods or services associated with the line item of the purchase order.</t>
        </is>
      </c>
    </row>
    <row r="14">
      <c r="A14" s="36" t="inlineStr">
        <is>
          <t>Expense Type</t>
        </is>
      </c>
      <c r="B14" s="37" t="inlineStr">
        <is>
          <t>expense_type</t>
        </is>
      </c>
      <c r="C14" s="38" t="n"/>
      <c r="D14" s="38" t="n"/>
      <c r="E14" s="39" t="inlineStr">
        <is>
          <t>cast('' as varchar(64)) — always blank, so Account Code is the half of the either/or pair that must carry a value.</t>
        </is>
      </c>
      <c r="F14" s="38" t="n"/>
      <c r="G14" s="38" t="n"/>
      <c r="H14" s="48" t="inlineStr">
        <is>
          <t>(blank)</t>
        </is>
      </c>
      <c r="I14" s="48" t="inlineStr">
        <is>
          <t>(blank)</t>
        </is>
      </c>
      <c r="J14" s="41" t="inlineStr">
        <is>
          <t>Maximum 64 characters</t>
        </is>
      </c>
      <c r="K14" s="42" t="inlineStr">
        <is>
          <t>Y*
* Supply either Expense Type or Account Code, never both.</t>
        </is>
      </c>
      <c r="L14" s="41" t="inlineStr">
        <is>
          <t>The Expense Type of the line item.</t>
        </is>
      </c>
    </row>
    <row r="15">
      <c r="A15" s="43" t="inlineStr">
        <is>
          <t>Account Code</t>
        </is>
      </c>
      <c r="B15" s="44" t="inlineStr">
        <is>
          <t>account_code</t>
        </is>
      </c>
      <c r="C15" s="44" t="inlineStr">
        <is>
          <t>entity_department_account_code.account_code</t>
        </is>
      </c>
      <c r="D15" s="44" t="inlineStr">
        <is>
          <t>(not from the ERP)</t>
        </is>
      </c>
      <c r="E15" s="45" t="inlineStr">
        <is>
          <t>isnull(edac.account_code, '3122000') — joined on entity_id + gl_account_code = poh.ledger_code, with a hardcoded 3122000 default.  CHARGE BRANCH: ⚠ hardcoded CASE on short_description ('%TAX%' -&gt; 5555, '%OTHER%' -&gt; 4444, '%FREIGHT%' -&gt; 9999, else '') — an empty account code with a blank expense type is the 5001 error.</t>
        </is>
      </c>
      <c r="F15" s="56" t="inlineStr">
        <is>
          <t>PMP03.NOMM03 (unused at line level)</t>
        </is>
      </c>
      <c r="G15" s="57" t="inlineStr">
        <is>
          <t>JBA supplies ledger_code on the line, but the account-code lookup keys off the HEADER's ledger_code.</t>
        </is>
      </c>
      <c r="H15" s="46" t="inlineStr">
        <is>
          <t>3122000</t>
        </is>
      </c>
      <c r="I15" s="46" t="inlineStr">
        <is>
          <t>1360003</t>
        </is>
      </c>
      <c r="J15" s="47" t="inlineStr">
        <is>
          <t>Maximum 48 characters</t>
        </is>
      </c>
      <c r="K15" s="51" t="n"/>
      <c r="L15" s="47" t="inlineStr">
        <is>
          <t>The Account Code of the line item.</t>
        </is>
      </c>
    </row>
    <row r="16">
      <c r="A16" s="36" t="inlineStr">
        <is>
          <t>Description</t>
        </is>
      </c>
      <c r="B16" s="37" t="inlineStr">
        <is>
          <t>description</t>
        </is>
      </c>
      <c r="C16" s="37" t="inlineStr">
        <is>
          <t>po_line_desc</t>
        </is>
      </c>
      <c r="D16" s="37" t="inlineStr">
        <is>
          <t>MPLINE.IBPITD + IBPITT</t>
        </is>
      </c>
      <c r="E16" s="39" t="inlineStr">
        <is>
          <t>View: the two description fields joined and truncated to 80 chars, de-duplicated when identical. Proc: replace(po_line_desc, '"', '""').  CHARGE BRANCH: ⚠ reads pol.po_line_desc from the LEFT JOINed line, not polc — null when no parent line matches.</t>
        </is>
      </c>
      <c r="F16" s="54" t="inlineStr">
        <is>
          <t>INP35.PDES35 / PMP11.TLIN11</t>
        </is>
      </c>
      <c r="G16" s="58" t="inlineStr">
        <is>
          <t>⚠ CASE on ORDC02 covering only classes 1, 7, 5 and 6, with NO ELSE — every other PO class yields a NULL description. Classes 1/7 read INP35.PDES35; 5/6 read PMP11.TLIN11 via a constructed XREF11 key.</t>
        </is>
      </c>
      <c r="H16" s="40" t="inlineStr">
        <is>
          <t>ULINE SUPPLIES-ASSEMBLY</t>
        </is>
      </c>
      <c r="I16" s="40" t="inlineStr">
        <is>
          <t>2-5/8"" RD 4140 PRE HEAT</t>
        </is>
      </c>
      <c r="J16" s="41" t="inlineStr">
        <is>
          <t>Maximum 255 characters</t>
        </is>
      </c>
      <c r="K16" s="49" t="inlineStr">
        <is>
          <t>N</t>
        </is>
      </c>
      <c r="L16" s="41" t="inlineStr">
        <is>
          <t>The description of the line item.</t>
        </is>
      </c>
    </row>
    <row r="17">
      <c r="A17" s="43" t="inlineStr">
        <is>
          <t>Quantity</t>
        </is>
      </c>
      <c r="B17" s="44" t="inlineStr">
        <is>
          <t>quantity</t>
        </is>
      </c>
      <c r="C17" s="44" t="inlineStr">
        <is>
          <t>qty_ordered</t>
        </is>
      </c>
      <c r="D17" s="44" t="inlineStr">
        <is>
          <t>MPLINE.IBORQA</t>
        </is>
      </c>
      <c r="E17" s="45" t="inlineStr">
        <is>
          <t>cast(qty_ordered as decimal(12,2)).  CHARGE BRANCH: literal 1.</t>
        </is>
      </c>
      <c r="F17" s="56" t="inlineStr">
        <is>
          <t>PMP03.OQTY03</t>
        </is>
      </c>
      <c r="G17" s="57" t="inlineStr">
        <is>
          <t>Ordered qty. Note the view's extended_price uses QTOS03 (outstanding), not OQTY03.</t>
        </is>
      </c>
      <c r="H17" s="46" t="inlineStr">
        <is>
          <t>36.00</t>
        </is>
      </c>
      <c r="I17" s="46" t="inlineStr">
        <is>
          <t>300.00</t>
        </is>
      </c>
      <c r="J17" s="47" t="inlineStr">
        <is>
          <t>Number (12,2)
12 characters maximum, 2 characters maximum to the right of the decimal.</t>
        </is>
      </c>
      <c r="K17" s="51" t="inlineStr">
        <is>
          <t>N</t>
        </is>
      </c>
      <c r="L17" s="47" t="inlineStr">
        <is>
          <t>The quantity of units (or equiv.) specified for the line item.
Note: A default value of “1” is used if no value is specified for this field.</t>
        </is>
      </c>
    </row>
    <row r="18">
      <c r="A18" s="36" t="inlineStr">
        <is>
          <t>Unit Price</t>
        </is>
      </c>
      <c r="B18" s="37" t="inlineStr">
        <is>
          <t>unit_price</t>
        </is>
      </c>
      <c r="C18" s="37" t="inlineStr">
        <is>
          <t>unit_price / charge_amount</t>
        </is>
      </c>
      <c r="D18" s="37" t="inlineStr">
        <is>
          <t>MPLINE.IBPUPR</t>
        </is>
      </c>
      <c r="E18" s="39" t="inlineStr">
        <is>
          <t>cast(unit_price as decimal(23,8)).  CHARGE BRANCH: cast(polc.charge_amount as decimal(23,8)).</t>
        </is>
      </c>
      <c r="F18" s="54" t="inlineStr">
        <is>
          <t>PMP03.PRIC03</t>
        </is>
      </c>
      <c r="G18" s="55" t="inlineStr">
        <is>
          <t>cast as decimal(18,5). Lines with PRIC03 = 0 are filtered out of the JBA view entirely — M3 has no such filter, so a zero-price line exists in one extract and not the other.</t>
        </is>
      </c>
      <c r="H18" s="40" t="inlineStr">
        <is>
          <t>2.20000000</t>
        </is>
      </c>
      <c r="I18" s="40" t="inlineStr">
        <is>
          <t>2.56000000</t>
        </is>
      </c>
      <c r="J18" s="41" t="inlineStr">
        <is>
          <t>Number (23,8)
23 characters maximum, 8 characters maximum to the right of the decimal.</t>
        </is>
      </c>
      <c r="K18" s="42" t="inlineStr">
        <is>
          <t>Y</t>
        </is>
      </c>
      <c r="L18" s="41" t="inlineStr">
        <is>
          <t>The price of the line item's goods or services.</t>
        </is>
      </c>
    </row>
    <row r="19">
      <c r="A19" s="43" t="inlineStr">
        <is>
          <t>Tax</t>
        </is>
      </c>
      <c r="B19" s="44" t="inlineStr">
        <is>
          <t>tax</t>
        </is>
      </c>
      <c r="C19" s="38" t="n"/>
      <c r="D19" s="38" t="n"/>
      <c r="E19" s="45" t="inlineStr">
        <is>
          <t>cast(null as decimal(23,8)) — never populated.</t>
        </is>
      </c>
      <c r="F19" s="38" t="n"/>
      <c r="G19" s="38" t="n"/>
      <c r="H19" s="50" t="inlineStr">
        <is>
          <t>(blank)</t>
        </is>
      </c>
      <c r="I19" s="50" t="inlineStr">
        <is>
          <t>(blank)</t>
        </is>
      </c>
      <c r="J19" s="47" t="inlineStr">
        <is>
          <t>Number (23,8)
23 characters maximum, 8 characters maximum to the right of the decimal.</t>
        </is>
      </c>
      <c r="K19" s="51" t="inlineStr">
        <is>
          <t>N</t>
        </is>
      </c>
      <c r="L19" s="47" t="inlineStr">
        <is>
          <t>The tax that is associated with the line item.
Note: If tax is provided at the Line Item level then the Tax value provided in the 200-level record is ignored, and the system instead uses the total of the Line Item tax.</t>
        </is>
      </c>
    </row>
    <row r="20">
      <c r="A20" s="36" t="inlineStr">
        <is>
          <t>Unit Of Measure Code (UOM Code)</t>
        </is>
      </c>
      <c r="B20" s="37" t="inlineStr">
        <is>
          <t>unit_of_measure_code</t>
        </is>
      </c>
      <c r="C20" s="37" t="inlineStr">
        <is>
          <t>unit_of_measure_stock</t>
        </is>
      </c>
      <c r="D20" s="37" t="inlineStr">
        <is>
          <t>MPLINE.IBPUUN</t>
        </is>
      </c>
      <c r="E20" s="39" t="inlineStr">
        <is>
          <t>The proc takes the STOCK UOM. ⚠ The two M3 views disagree on what order-UOM means: the line view sets unit_of_measure_order = IBPPUN, the receipt view sets it = IBPUUN. Both files happen to agree today only because the line proc uses stock UOM and the receipt proc uses order UOM, and both resolve to IBPUUN.  CHARGE BRANCH: literal 'EA'.</t>
        </is>
      </c>
      <c r="F20" s="54" t="inlineStr">
        <is>
          <t>PMP03.SUOM03</t>
        </is>
      </c>
      <c r="G20" s="55" t="inlineStr">
        <is>
          <t>Stock UOM. JBA supplies all three UOMs (OUOM03 order, PUOM03 purchase, SUOM03 stock); the M3 line view supplies only order and stock.</t>
        </is>
      </c>
      <c r="H20" s="40" t="inlineStr">
        <is>
          <t>EA</t>
        </is>
      </c>
      <c r="I20" s="40" t="inlineStr">
        <is>
          <t>IN</t>
        </is>
      </c>
      <c r="J20" s="41" t="inlineStr">
        <is>
          <t>Maximum 10 characters</t>
        </is>
      </c>
      <c r="K20" s="49" t="inlineStr">
        <is>
          <t>N</t>
        </is>
      </c>
      <c r="L20" s="41" t="inlineStr">
        <is>
          <t>The UOM Code of each item of the line item</t>
        </is>
      </c>
    </row>
    <row r="21">
      <c r="A21" s="43" t="inlineStr">
        <is>
          <t>Is Receipt Required</t>
        </is>
      </c>
      <c r="B21" s="44" t="inlineStr">
        <is>
          <t>is_receipt_required</t>
        </is>
      </c>
      <c r="C21" s="38" t="n"/>
      <c r="D21" s="38" t="n"/>
      <c r="E21" s="53" t="inlineStr">
        <is>
          <t>⚠ cast('1' as char(1)) — the spec calls for Y or N, not 1.  CHARGE BRANCH: cast(null as char(1)).</t>
        </is>
      </c>
      <c r="F21" s="38" t="n"/>
      <c r="G21" s="38" t="n"/>
      <c r="H21" s="46" t="inlineStr">
        <is>
          <t>1</t>
        </is>
      </c>
      <c r="I21" s="46" t="inlineStr">
        <is>
          <t>1</t>
        </is>
      </c>
      <c r="J21" s="47" t="inlineStr">
        <is>
          <t>Y (Yes) or N (No)</t>
        </is>
      </c>
      <c r="K21" s="51" t="n"/>
      <c r="L21" s="47" t="inlineStr">
        <is>
          <t>An indicator of whether or not the line item requires a receipt confirmation.</t>
        </is>
      </c>
    </row>
    <row r="22">
      <c r="A22" s="36" t="inlineStr">
        <is>
          <t>VAT Amount</t>
        </is>
      </c>
      <c r="B22" s="37" t="inlineStr">
        <is>
          <t>vat_amount</t>
        </is>
      </c>
      <c r="C22" s="38" t="n"/>
      <c r="D22" s="38" t="n"/>
      <c r="E22" s="39" t="inlineStr">
        <is>
          <t>cast(null as decimal(23,8)) — never populated.</t>
        </is>
      </c>
      <c r="F22" s="38" t="n"/>
      <c r="G22" s="38" t="n"/>
      <c r="H22" s="48" t="inlineStr">
        <is>
          <t>(blank)</t>
        </is>
      </c>
      <c r="I22" s="48" t="inlineStr">
        <is>
          <t>(blank)</t>
        </is>
      </c>
      <c r="J22" s="41" t="inlineStr">
        <is>
          <t>Number (23, 8)</t>
        </is>
      </c>
      <c r="K22" s="49" t="inlineStr">
        <is>
          <t>N</t>
        </is>
      </c>
      <c r="L22" s="41" t="inlineStr">
        <is>
          <t>This is the VAT amount.
For clients who work with purchase orders, this field will provide them with the ability to forecast tax amounts prior to it showing up on the invoice.</t>
        </is>
      </c>
    </row>
    <row r="23">
      <c r="A23" s="43" t="inlineStr">
        <is>
          <t>VAT Rate</t>
        </is>
      </c>
      <c r="B23" s="44" t="inlineStr">
        <is>
          <t>vat_rate</t>
        </is>
      </c>
      <c r="C23" s="38" t="n"/>
      <c r="D23" s="38" t="n"/>
      <c r="E23" s="45" t="inlineStr">
        <is>
          <t>cast(null as decimal(11,8)) — never populated.</t>
        </is>
      </c>
      <c r="F23" s="38" t="n"/>
      <c r="G23" s="38" t="n"/>
      <c r="H23" s="50" t="inlineStr">
        <is>
          <t>(blank)</t>
        </is>
      </c>
      <c r="I23" s="50" t="inlineStr">
        <is>
          <t>(blank)</t>
        </is>
      </c>
      <c r="J23" s="47" t="inlineStr">
        <is>
          <t>Number (11, 8)</t>
        </is>
      </c>
      <c r="K23" s="51" t="inlineStr">
        <is>
          <t>N</t>
        </is>
      </c>
      <c r="L23" s="47" t="inlineStr">
        <is>
          <t>This is the tax rate associated with the tax amount field.
This field will display a numeric percentage.</t>
        </is>
      </c>
    </row>
    <row r="24">
      <c r="A24" s="36" t="inlineStr">
        <is>
          <t>Amount without VAT</t>
        </is>
      </c>
      <c r="B24" s="37" t="inlineStr">
        <is>
          <t>amount_without_vat</t>
        </is>
      </c>
      <c r="C24" s="38" t="n"/>
      <c r="D24" s="38" t="n"/>
      <c r="E24" s="39" t="inlineStr">
        <is>
          <t>cast(null as decimal(23,8)) — never populated.</t>
        </is>
      </c>
      <c r="F24" s="38" t="n"/>
      <c r="G24" s="38" t="n"/>
      <c r="H24" s="48" t="inlineStr">
        <is>
          <t>(blank)</t>
        </is>
      </c>
      <c r="I24" s="48" t="inlineStr">
        <is>
          <t>(blank)</t>
        </is>
      </c>
      <c r="J24" s="41" t="inlineStr">
        <is>
          <t>Number (23, 8)</t>
        </is>
      </c>
      <c r="K24" s="49" t="inlineStr">
        <is>
          <t>N</t>
        </is>
      </c>
      <c r="L24" s="41" t="inlineStr">
        <is>
          <t>This is the net amount of the good/service without the tax applied which is applicable to clients who report amounts including Goods and Services Tax (GST).</t>
        </is>
      </c>
    </row>
    <row r="25">
      <c r="A25" s="43" t="inlineStr">
        <is>
          <t>Receipt Type</t>
        </is>
      </c>
      <c r="B25" s="53" t="inlineStr">
        <is>
          <t>⚠ future_use_6</t>
        </is>
      </c>
      <c r="C25" s="38" t="n"/>
      <c r="D25" s="38" t="n"/>
      <c r="E25" s="53" t="inlineStr">
        <is>
          <t>⚠ POSITION CLASH. The spec puts Receipt Type in field 18; the proc emits future_use_6 (null) there, and the file is written in proc column order. Receipt Type is never populated at line level, so it defaults to NONE — two-way matching — even though a PO Receipt file is being sent.</t>
        </is>
      </c>
      <c r="F25" s="38" t="n"/>
      <c r="G25" s="38" t="n"/>
      <c r="H25" s="50" t="inlineStr">
        <is>
          <t>(blank)</t>
        </is>
      </c>
      <c r="I25" s="50" t="inlineStr">
        <is>
          <t>(blank)</t>
        </is>
      </c>
      <c r="J25" s="47" t="inlineStr">
        <is>
          <t>Maximum 4 characters</t>
        </is>
      </c>
      <c r="K25" s="51" t="inlineStr">
        <is>
          <t>N</t>
        </is>
      </c>
      <c r="L25" s="47" t="inlineStr">
        <is>
          <t>One of the following receipt types can be specified in a purchase order:
NONE (No receipt; two-way matching)
WQTY (Receipt Confirmation with Quantity; three-way matching)
If left empty, the default value will be NONE.</t>
        </is>
      </c>
    </row>
    <row r="26">
      <c r="A26" s="36" t="inlineStr">
        <is>
          <t>Future_Use_7</t>
        </is>
      </c>
      <c r="B26" s="37" t="inlineStr">
        <is>
          <t>future_use_7</t>
        </is>
      </c>
      <c r="C26" s="38" t="n"/>
      <c r="D26" s="38" t="n"/>
      <c r="E26" s="39" t="inlineStr">
        <is>
          <t>cast(null as varchar(50)) in the proc.</t>
        </is>
      </c>
      <c r="F26" s="38" t="n"/>
      <c r="G26" s="38" t="n"/>
      <c r="H26" s="48" t="inlineStr">
        <is>
          <t>(blank)</t>
        </is>
      </c>
      <c r="I26" s="48" t="inlineStr">
        <is>
          <t>(blank)</t>
        </is>
      </c>
      <c r="J26" s="41" t="n"/>
      <c r="K26" s="49" t="inlineStr">
        <is>
          <t>N</t>
        </is>
      </c>
      <c r="L26" s="41" t="inlineStr">
        <is>
          <t>The future_use fields are currently not in use. Please account for them in your import, but do not put any data into them. All data will be ignored.</t>
        </is>
      </c>
    </row>
    <row r="27">
      <c r="A27" s="43" t="inlineStr">
        <is>
          <t>Future_Use_8</t>
        </is>
      </c>
      <c r="B27" s="44" t="inlineStr">
        <is>
          <t>future_use_8</t>
        </is>
      </c>
      <c r="C27" s="38" t="n"/>
      <c r="D27" s="38" t="n"/>
      <c r="E27" s="45" t="inlineStr">
        <is>
          <t>cast(null as varchar(50)) in the proc.</t>
        </is>
      </c>
      <c r="F27" s="38" t="n"/>
      <c r="G27" s="38" t="n"/>
      <c r="H27" s="50" t="inlineStr">
        <is>
          <t>(blank)</t>
        </is>
      </c>
      <c r="I27" s="50" t="inlineStr">
        <is>
          <t>(blank)</t>
        </is>
      </c>
      <c r="J27" s="47" t="n"/>
      <c r="K27" s="51" t="inlineStr">
        <is>
          <t>N</t>
        </is>
      </c>
      <c r="L27" s="47" t="inlineStr">
        <is>
          <t>The future_use fields are currently not in use. Please account for them in your import, but do not put any data into them. All data will be ignored.</t>
        </is>
      </c>
    </row>
    <row r="28">
      <c r="A28" s="36" t="inlineStr">
        <is>
          <t>Future_Use_9</t>
        </is>
      </c>
      <c r="B28" s="37" t="inlineStr">
        <is>
          <t>future_use_9</t>
        </is>
      </c>
      <c r="C28" s="38" t="n"/>
      <c r="D28" s="38" t="n"/>
      <c r="E28" s="39" t="inlineStr">
        <is>
          <t>cast(null as varchar(50)) in the proc.</t>
        </is>
      </c>
      <c r="F28" s="38" t="n"/>
      <c r="G28" s="38" t="n"/>
      <c r="H28" s="48" t="inlineStr">
        <is>
          <t>(blank)</t>
        </is>
      </c>
      <c r="I28" s="48" t="inlineStr">
        <is>
          <t>(blank)</t>
        </is>
      </c>
      <c r="J28" s="41" t="n"/>
      <c r="K28" s="49" t="inlineStr">
        <is>
          <t>N</t>
        </is>
      </c>
      <c r="L28" s="41" t="inlineStr">
        <is>
          <t>The future_use fields are currently not in use. Please account for them in your import, but do not put any data into them. All data will be ignored.</t>
        </is>
      </c>
    </row>
    <row r="29">
      <c r="A29" s="43" t="inlineStr">
        <is>
          <t>Future_Use_10</t>
        </is>
      </c>
      <c r="B29" s="44" t="inlineStr">
        <is>
          <t>future_use_10</t>
        </is>
      </c>
      <c r="C29" s="38" t="n"/>
      <c r="D29" s="38" t="n"/>
      <c r="E29" s="45" t="inlineStr">
        <is>
          <t>cast(null as varchar(50)) in the proc.</t>
        </is>
      </c>
      <c r="F29" s="38" t="n"/>
      <c r="G29" s="38" t="n"/>
      <c r="H29" s="50" t="inlineStr">
        <is>
          <t>(blank)</t>
        </is>
      </c>
      <c r="I29" s="50" t="inlineStr">
        <is>
          <t>(blank)</t>
        </is>
      </c>
      <c r="J29" s="47" t="n"/>
      <c r="K29" s="51" t="inlineStr">
        <is>
          <t>N</t>
        </is>
      </c>
      <c r="L29" s="47" t="inlineStr">
        <is>
          <t>The future_use fields are currently not in use. Please account for them in your import, but do not put any data into them. All data will be ignored.</t>
        </is>
      </c>
    </row>
    <row r="30">
      <c r="A30" s="36" t="inlineStr">
        <is>
          <t>Future_Use_11</t>
        </is>
      </c>
      <c r="B30" s="37" t="inlineStr">
        <is>
          <t>future_use_11</t>
        </is>
      </c>
      <c r="C30" s="38" t="n"/>
      <c r="D30" s="38" t="n"/>
      <c r="E30" s="39" t="inlineStr">
        <is>
          <t>cast(null as varchar(50)) in the proc.</t>
        </is>
      </c>
      <c r="F30" s="38" t="n"/>
      <c r="G30" s="38" t="n"/>
      <c r="H30" s="48" t="inlineStr">
        <is>
          <t>(blank)</t>
        </is>
      </c>
      <c r="I30" s="48" t="inlineStr">
        <is>
          <t>(blank)</t>
        </is>
      </c>
      <c r="J30" s="41" t="n"/>
      <c r="K30" s="49" t="inlineStr">
        <is>
          <t>N</t>
        </is>
      </c>
      <c r="L30" s="41" t="inlineStr">
        <is>
          <t>The future_use fields are currently not in use. Please account for them in your import, but do not put any data into them. All data will be ignored.</t>
        </is>
      </c>
    </row>
    <row r="31">
      <c r="A31" s="43" t="inlineStr">
        <is>
          <t>Future_Use_12</t>
        </is>
      </c>
      <c r="B31" s="44" t="inlineStr">
        <is>
          <t>future_use_12</t>
        </is>
      </c>
      <c r="C31" s="38" t="n"/>
      <c r="D31" s="38" t="n"/>
      <c r="E31" s="45" t="inlineStr">
        <is>
          <t>cast(null as varchar(50)) in the proc.</t>
        </is>
      </c>
      <c r="F31" s="38" t="n"/>
      <c r="G31" s="38" t="n"/>
      <c r="H31" s="50" t="inlineStr">
        <is>
          <t>(blank)</t>
        </is>
      </c>
      <c r="I31" s="50" t="inlineStr">
        <is>
          <t>(blank)</t>
        </is>
      </c>
      <c r="J31" s="47" t="n"/>
      <c r="K31" s="51" t="inlineStr">
        <is>
          <t>N</t>
        </is>
      </c>
      <c r="L31" s="47" t="inlineStr">
        <is>
          <t>The future_use fields are currently not in use. Please account for them in your import, but do not put any data into them. All data will be ignored.</t>
        </is>
      </c>
    </row>
    <row r="32">
      <c r="A32" s="36" t="inlineStr">
        <is>
          <t>Future_Use_13</t>
        </is>
      </c>
      <c r="B32" s="37" t="inlineStr">
        <is>
          <t>future_use_13</t>
        </is>
      </c>
      <c r="C32" s="38" t="n"/>
      <c r="D32" s="38" t="n"/>
      <c r="E32" s="39" t="inlineStr">
        <is>
          <t>cast(null as varchar(50)) in the proc.</t>
        </is>
      </c>
      <c r="F32" s="38" t="n"/>
      <c r="G32" s="38" t="n"/>
      <c r="H32" s="48" t="inlineStr">
        <is>
          <t>(blank)</t>
        </is>
      </c>
      <c r="I32" s="48" t="inlineStr">
        <is>
          <t>(blank)</t>
        </is>
      </c>
      <c r="J32" s="41" t="n"/>
      <c r="K32" s="49" t="inlineStr">
        <is>
          <t>N</t>
        </is>
      </c>
      <c r="L32" s="41" t="inlineStr">
        <is>
          <t>The future_use fields are currently not in use. Please account for them in your import, but do not put any data into them. All data will be ignored.</t>
        </is>
      </c>
    </row>
    <row r="33">
      <c r="A33" s="43" t="inlineStr">
        <is>
          <t>Future_Use_14</t>
        </is>
      </c>
      <c r="B33" s="44" t="inlineStr">
        <is>
          <t>future_use_14</t>
        </is>
      </c>
      <c r="C33" s="38" t="n"/>
      <c r="D33" s="38" t="n"/>
      <c r="E33" s="45" t="inlineStr">
        <is>
          <t>cast(null as varchar(50)) in the proc.</t>
        </is>
      </c>
      <c r="F33" s="38" t="n"/>
      <c r="G33" s="38" t="n"/>
      <c r="H33" s="50" t="inlineStr">
        <is>
          <t>(blank)</t>
        </is>
      </c>
      <c r="I33" s="50" t="inlineStr">
        <is>
          <t>(blank)</t>
        </is>
      </c>
      <c r="J33" s="47" t="n"/>
      <c r="K33" s="51" t="inlineStr">
        <is>
          <t>N</t>
        </is>
      </c>
      <c r="L33" s="47" t="inlineStr">
        <is>
          <t>The future_use fields are currently not in use. Please account for them in your import, but do not put any data into them. All data will be ignored.</t>
        </is>
      </c>
    </row>
    <row r="34">
      <c r="A34" s="36" t="inlineStr">
        <is>
          <t>Future_Use_15</t>
        </is>
      </c>
      <c r="B34" s="37" t="inlineStr">
        <is>
          <t>future_use_15</t>
        </is>
      </c>
      <c r="C34" s="38" t="n"/>
      <c r="D34" s="38" t="n"/>
      <c r="E34" s="39" t="inlineStr">
        <is>
          <t>cast(null as varchar(50)) in the proc.</t>
        </is>
      </c>
      <c r="F34" s="38" t="n"/>
      <c r="G34" s="38" t="n"/>
      <c r="H34" s="48" t="inlineStr">
        <is>
          <t>(blank)</t>
        </is>
      </c>
      <c r="I34" s="48" t="inlineStr">
        <is>
          <t>(blank)</t>
        </is>
      </c>
      <c r="J34" s="41" t="n"/>
      <c r="K34" s="49" t="inlineStr">
        <is>
          <t>N</t>
        </is>
      </c>
      <c r="L34" s="41" t="inlineStr">
        <is>
          <t>The future_use fields are currently not in use. Please account for them in your import, but do not put any data into them. All data will be ignored.</t>
        </is>
      </c>
    </row>
    <row r="35">
      <c r="A35" s="43" t="inlineStr">
        <is>
          <t>Future_Use_16</t>
        </is>
      </c>
      <c r="B35" s="44" t="inlineStr">
        <is>
          <t>future_use_16</t>
        </is>
      </c>
      <c r="C35" s="38" t="n"/>
      <c r="D35" s="38" t="n"/>
      <c r="E35" s="45" t="inlineStr">
        <is>
          <t>cast(null as varchar(50)) in the proc.</t>
        </is>
      </c>
      <c r="F35" s="38" t="n"/>
      <c r="G35" s="38" t="n"/>
      <c r="H35" s="50" t="inlineStr">
        <is>
          <t>(blank)</t>
        </is>
      </c>
      <c r="I35" s="50" t="inlineStr">
        <is>
          <t>(blank)</t>
        </is>
      </c>
      <c r="J35" s="47" t="n"/>
      <c r="K35" s="51" t="inlineStr">
        <is>
          <t>N</t>
        </is>
      </c>
      <c r="L35" s="47" t="inlineStr">
        <is>
          <t>The future_use fields are currently not in use. Please account for them in your import, but do not put any data into them. All data will be ignored.</t>
        </is>
      </c>
    </row>
    <row r="36">
      <c r="A36" s="36" t="inlineStr">
        <is>
          <t>Future_Use_17</t>
        </is>
      </c>
      <c r="B36" s="37" t="inlineStr">
        <is>
          <t>future_use_17</t>
        </is>
      </c>
      <c r="C36" s="38" t="n"/>
      <c r="D36" s="38" t="n"/>
      <c r="E36" s="39" t="inlineStr">
        <is>
          <t>cast(null as varchar(50)) in the proc.</t>
        </is>
      </c>
      <c r="F36" s="38" t="n"/>
      <c r="G36" s="38" t="n"/>
      <c r="H36" s="48" t="inlineStr">
        <is>
          <t>(blank)</t>
        </is>
      </c>
      <c r="I36" s="48" t="inlineStr">
        <is>
          <t>(blank)</t>
        </is>
      </c>
      <c r="J36" s="41" t="n"/>
      <c r="K36" s="49" t="inlineStr">
        <is>
          <t>N</t>
        </is>
      </c>
      <c r="L36" s="41" t="inlineStr">
        <is>
          <t>The future_use fields are currently not in use. Please account for them in your import, but do not put any data into them. All data will be ignored.</t>
        </is>
      </c>
    </row>
    <row r="37">
      <c r="A37" s="43" t="inlineStr">
        <is>
          <t>Future_Use_18</t>
        </is>
      </c>
      <c r="B37" s="44" t="inlineStr">
        <is>
          <t>future_use_18</t>
        </is>
      </c>
      <c r="C37" s="38" t="n"/>
      <c r="D37" s="38" t="n"/>
      <c r="E37" s="45" t="inlineStr">
        <is>
          <t>cast(null as varchar(50)) in the proc.</t>
        </is>
      </c>
      <c r="F37" s="38" t="n"/>
      <c r="G37" s="38" t="n"/>
      <c r="H37" s="50" t="inlineStr">
        <is>
          <t>(blank)</t>
        </is>
      </c>
      <c r="I37" s="50" t="inlineStr">
        <is>
          <t>(blank)</t>
        </is>
      </c>
      <c r="J37" s="47" t="n"/>
      <c r="K37" s="51" t="inlineStr">
        <is>
          <t>N</t>
        </is>
      </c>
      <c r="L37" s="47" t="inlineStr">
        <is>
          <t>The future_use fields are currently not in use. Please account for them in your import, but do not put any data into them. All data will be ignored.</t>
        </is>
      </c>
    </row>
    <row r="38">
      <c r="A38" s="36" t="inlineStr">
        <is>
          <t>Future_Use_19</t>
        </is>
      </c>
      <c r="B38" s="37" t="inlineStr">
        <is>
          <t>future_use_19</t>
        </is>
      </c>
      <c r="C38" s="38" t="n"/>
      <c r="D38" s="38" t="n"/>
      <c r="E38" s="39" t="inlineStr">
        <is>
          <t>cast(null as varchar(50)) in the proc.</t>
        </is>
      </c>
      <c r="F38" s="38" t="n"/>
      <c r="G38" s="38" t="n"/>
      <c r="H38" s="48" t="inlineStr">
        <is>
          <t>(blank)</t>
        </is>
      </c>
      <c r="I38" s="48" t="inlineStr">
        <is>
          <t>(blank)</t>
        </is>
      </c>
      <c r="J38" s="41" t="n"/>
      <c r="K38" s="49" t="inlineStr">
        <is>
          <t>N</t>
        </is>
      </c>
      <c r="L38" s="41" t="inlineStr">
        <is>
          <t>The future_use fields are currently not in use. Please account for them in your import, but do not put any data into them. All data will be ignored.</t>
        </is>
      </c>
    </row>
    <row r="39">
      <c r="A39" s="43" t="inlineStr">
        <is>
          <t>Future_Use_20</t>
        </is>
      </c>
      <c r="B39" s="44" t="inlineStr">
        <is>
          <t>future_use_20</t>
        </is>
      </c>
      <c r="C39" s="38" t="n"/>
      <c r="D39" s="38" t="n"/>
      <c r="E39" s="45" t="inlineStr">
        <is>
          <t>cast(null as varchar(50)) in the proc.</t>
        </is>
      </c>
      <c r="F39" s="38" t="n"/>
      <c r="G39" s="38" t="n"/>
      <c r="H39" s="50" t="inlineStr">
        <is>
          <t>(blank)</t>
        </is>
      </c>
      <c r="I39" s="50" t="inlineStr">
        <is>
          <t>(blank)</t>
        </is>
      </c>
      <c r="J39" s="47" t="n"/>
      <c r="K39" s="51" t="inlineStr">
        <is>
          <t>N</t>
        </is>
      </c>
      <c r="L39" s="47" t="inlineStr">
        <is>
          <t>The future_use fields are currently not in use. Please account for them in your import, but do not put any data into them. All data will be ignored.</t>
        </is>
      </c>
    </row>
    <row r="40">
      <c r="A40" s="36" t="inlineStr">
        <is>
          <t>Custom_1</t>
        </is>
      </c>
      <c r="B40" s="37" t="inlineStr">
        <is>
          <t>custom_1</t>
        </is>
      </c>
      <c r="C40" s="37" t="inlineStr">
        <is>
          <t>entity_id</t>
        </is>
      </c>
      <c r="D40" s="58" t="inlineStr">
        <is>
          <t>⚠ none</t>
        </is>
      </c>
      <c r="E40" s="39" t="inlineStr">
        <is>
          <t>cast(pol.entity_id as varchar(48)) — the only populated custom field. ⚠ entity_id is not produced by either ERP select; both return system_entity_id only, so entity_id is added elsewhere in the view stack. Every External ID key depends on it.</t>
        </is>
      </c>
      <c r="F40" s="58" t="inlineStr">
        <is>
          <t>⚠ none</t>
        </is>
      </c>
      <c r="G40" s="55" t="inlineStr">
        <is>
          <t>Same — the JBA line view returns system_entity_id (CONO03), not entity_id.</t>
        </is>
      </c>
      <c r="H40" s="40" t="inlineStr">
        <is>
          <t>0088</t>
        </is>
      </c>
      <c r="I40" s="40" t="inlineStr">
        <is>
          <t>0096</t>
        </is>
      </c>
      <c r="J40" s="41" t="inlineStr">
        <is>
          <t>Maximum 48 characters</t>
        </is>
      </c>
      <c r="K40" s="49" t="inlineStr">
        <is>
          <t>N</t>
        </is>
      </c>
      <c r="L40" s="41" t="inlineStr">
        <is>
          <t>A value that can be applied to a custom field at the line item level of a purchase order. Custom fields will be validated using the configured custom field definitions.</t>
        </is>
      </c>
    </row>
    <row r="41">
      <c r="A41" s="43" t="inlineStr">
        <is>
          <t>Custom_2</t>
        </is>
      </c>
      <c r="B41" s="44" t="inlineStr">
        <is>
          <t>custom_2</t>
        </is>
      </c>
      <c r="C41" s="38" t="n"/>
      <c r="D41" s="38" t="n"/>
      <c r="E41" s="45" t="inlineStr">
        <is>
          <t>cast(null as varchar(48)) in the proc.</t>
        </is>
      </c>
      <c r="F41" s="38" t="n"/>
      <c r="G41" s="38" t="n"/>
      <c r="H41" s="50" t="inlineStr">
        <is>
          <t>(blank)</t>
        </is>
      </c>
      <c r="I41" s="50" t="inlineStr">
        <is>
          <t>(blank)</t>
        </is>
      </c>
      <c r="J41" s="47" t="inlineStr">
        <is>
          <t>Maximum 48 characters</t>
        </is>
      </c>
      <c r="K41" s="51" t="inlineStr">
        <is>
          <t>N</t>
        </is>
      </c>
      <c r="L41" s="47" t="inlineStr">
        <is>
          <t>A value that can be applied to a custom field at the line item level of a purchase order. Custom fields will be validated using the configured custom field definitions.</t>
        </is>
      </c>
    </row>
    <row r="42">
      <c r="A42" s="36" t="inlineStr">
        <is>
          <t>Custom_3</t>
        </is>
      </c>
      <c r="B42" s="37" t="inlineStr">
        <is>
          <t>custom_3</t>
        </is>
      </c>
      <c r="C42" s="38" t="n"/>
      <c r="D42" s="38" t="n"/>
      <c r="E42" s="39" t="inlineStr">
        <is>
          <t>cast(null as varchar(48)) in the proc.</t>
        </is>
      </c>
      <c r="F42" s="38" t="n"/>
      <c r="G42" s="38" t="n"/>
      <c r="H42" s="48" t="inlineStr">
        <is>
          <t>(blank)</t>
        </is>
      </c>
      <c r="I42" s="48" t="inlineStr">
        <is>
          <t>(blank)</t>
        </is>
      </c>
      <c r="J42" s="41" t="inlineStr">
        <is>
          <t>Maximum 48 characters</t>
        </is>
      </c>
      <c r="K42" s="49" t="inlineStr">
        <is>
          <t>N</t>
        </is>
      </c>
      <c r="L42" s="41" t="inlineStr">
        <is>
          <t>A value that can be applied to a custom field at the line item level of a purchase order. Custom fields will be validated using the configured custom field definitions.</t>
        </is>
      </c>
    </row>
    <row r="43">
      <c r="A43" s="43" t="inlineStr">
        <is>
          <t>Custom_4</t>
        </is>
      </c>
      <c r="B43" s="44" t="inlineStr">
        <is>
          <t>custom_4</t>
        </is>
      </c>
      <c r="C43" s="38" t="n"/>
      <c r="D43" s="38" t="n"/>
      <c r="E43" s="45" t="inlineStr">
        <is>
          <t>cast(null as varchar(48)) in the proc.</t>
        </is>
      </c>
      <c r="F43" s="38" t="n"/>
      <c r="G43" s="38" t="n"/>
      <c r="H43" s="50" t="inlineStr">
        <is>
          <t>(blank)</t>
        </is>
      </c>
      <c r="I43" s="50" t="inlineStr">
        <is>
          <t>(blank)</t>
        </is>
      </c>
      <c r="J43" s="47" t="inlineStr">
        <is>
          <t>Maximum 48 characters</t>
        </is>
      </c>
      <c r="K43" s="51" t="inlineStr">
        <is>
          <t>N</t>
        </is>
      </c>
      <c r="L43" s="47" t="inlineStr">
        <is>
          <t>A value that can be applied to a custom field at the line item level of a purchase order. Custom fields will be validated using the configured custom field definitions.</t>
        </is>
      </c>
    </row>
    <row r="44">
      <c r="A44" s="36" t="inlineStr">
        <is>
          <t>Custom_5</t>
        </is>
      </c>
      <c r="B44" s="37" t="inlineStr">
        <is>
          <t>custom_5</t>
        </is>
      </c>
      <c r="C44" s="38" t="n"/>
      <c r="D44" s="38" t="n"/>
      <c r="E44" s="39" t="inlineStr">
        <is>
          <t>cast(null as varchar(48)) in the proc.</t>
        </is>
      </c>
      <c r="F44" s="38" t="n"/>
      <c r="G44" s="38" t="n"/>
      <c r="H44" s="48" t="inlineStr">
        <is>
          <t>(blank)</t>
        </is>
      </c>
      <c r="I44" s="48" t="inlineStr">
        <is>
          <t>(blank)</t>
        </is>
      </c>
      <c r="J44" s="41" t="inlineStr">
        <is>
          <t>Maximum 48 characters</t>
        </is>
      </c>
      <c r="K44" s="49" t="inlineStr">
        <is>
          <t>N</t>
        </is>
      </c>
      <c r="L44" s="41" t="inlineStr">
        <is>
          <t>A value that can be applied to a custom field at the line item level of a purchase order. Custom fields will be validated using the configured custom field definitions.</t>
        </is>
      </c>
    </row>
    <row r="45">
      <c r="A45" s="43" t="inlineStr">
        <is>
          <t>Custom_6</t>
        </is>
      </c>
      <c r="B45" s="44" t="inlineStr">
        <is>
          <t>custom_6</t>
        </is>
      </c>
      <c r="C45" s="38" t="n"/>
      <c r="D45" s="38" t="n"/>
      <c r="E45" s="45" t="inlineStr">
        <is>
          <t>cast(null as varchar(48)) in the proc.</t>
        </is>
      </c>
      <c r="F45" s="38" t="n"/>
      <c r="G45" s="38" t="n"/>
      <c r="H45" s="50" t="inlineStr">
        <is>
          <t>(blank)</t>
        </is>
      </c>
      <c r="I45" s="50" t="inlineStr">
        <is>
          <t>(blank)</t>
        </is>
      </c>
      <c r="J45" s="47" t="inlineStr">
        <is>
          <t>Maximum 48 characters</t>
        </is>
      </c>
      <c r="K45" s="51" t="inlineStr">
        <is>
          <t>N</t>
        </is>
      </c>
      <c r="L45" s="47" t="inlineStr">
        <is>
          <t>A value that can be applied to a custom field at the line item level of a purchase order. Custom fields will be validated using the configured custom field definitions.</t>
        </is>
      </c>
    </row>
    <row r="46">
      <c r="A46" s="36" t="inlineStr">
        <is>
          <t>Custom_7</t>
        </is>
      </c>
      <c r="B46" s="37" t="inlineStr">
        <is>
          <t>custom_7</t>
        </is>
      </c>
      <c r="C46" s="38" t="n"/>
      <c r="D46" s="38" t="n"/>
      <c r="E46" s="39" t="inlineStr">
        <is>
          <t>cast(null as varchar(48)) in the proc.</t>
        </is>
      </c>
      <c r="F46" s="38" t="n"/>
      <c r="G46" s="38" t="n"/>
      <c r="H46" s="48" t="inlineStr">
        <is>
          <t>(blank)</t>
        </is>
      </c>
      <c r="I46" s="48" t="inlineStr">
        <is>
          <t>(blank)</t>
        </is>
      </c>
      <c r="J46" s="41" t="inlineStr">
        <is>
          <t>Maximum 48 characters</t>
        </is>
      </c>
      <c r="K46" s="49" t="inlineStr">
        <is>
          <t>N</t>
        </is>
      </c>
      <c r="L46" s="41" t="inlineStr">
        <is>
          <t>A value that can be applied to a custom field at the line item level of a purchase order. Custom fields will be validated using the configured custom field definitions.</t>
        </is>
      </c>
    </row>
    <row r="47">
      <c r="A47" s="43" t="inlineStr">
        <is>
          <t>Custom_8</t>
        </is>
      </c>
      <c r="B47" s="44" t="inlineStr">
        <is>
          <t>custom_8</t>
        </is>
      </c>
      <c r="C47" s="38" t="n"/>
      <c r="D47" s="38" t="n"/>
      <c r="E47" s="45" t="inlineStr">
        <is>
          <t>cast(null as varchar(48)) in the proc.</t>
        </is>
      </c>
      <c r="F47" s="38" t="n"/>
      <c r="G47" s="38" t="n"/>
      <c r="H47" s="50" t="inlineStr">
        <is>
          <t>(blank)</t>
        </is>
      </c>
      <c r="I47" s="50" t="inlineStr">
        <is>
          <t>(blank)</t>
        </is>
      </c>
      <c r="J47" s="47" t="inlineStr">
        <is>
          <t>Maximum 48 characters</t>
        </is>
      </c>
      <c r="K47" s="51" t="inlineStr">
        <is>
          <t>N</t>
        </is>
      </c>
      <c r="L47" s="47" t="inlineStr">
        <is>
          <t>A value that can be applied to a custom field at the line item level of a purchase order. Custom fields will be validated using the configured custom field definitions.</t>
        </is>
      </c>
    </row>
    <row r="48">
      <c r="A48" s="36" t="inlineStr">
        <is>
          <t>Custom_9</t>
        </is>
      </c>
      <c r="B48" s="37" t="inlineStr">
        <is>
          <t>custom_9</t>
        </is>
      </c>
      <c r="C48" s="38" t="n"/>
      <c r="D48" s="38" t="n"/>
      <c r="E48" s="39" t="inlineStr">
        <is>
          <t>cast(null as varchar(48)) in the proc.</t>
        </is>
      </c>
      <c r="F48" s="38" t="n"/>
      <c r="G48" s="38" t="n"/>
      <c r="H48" s="48" t="inlineStr">
        <is>
          <t>(blank)</t>
        </is>
      </c>
      <c r="I48" s="48" t="inlineStr">
        <is>
          <t>(blank)</t>
        </is>
      </c>
      <c r="J48" s="41" t="inlineStr">
        <is>
          <t>Maximum 48 characters</t>
        </is>
      </c>
      <c r="K48" s="49" t="inlineStr">
        <is>
          <t>N</t>
        </is>
      </c>
      <c r="L48" s="41" t="inlineStr">
        <is>
          <t>A value that can be applied to a custom field at the line item level of a purchase order. Custom fields will be validated using the configured custom field definitions.</t>
        </is>
      </c>
    </row>
    <row r="49">
      <c r="A49" s="43" t="inlineStr">
        <is>
          <t>Custom_10</t>
        </is>
      </c>
      <c r="B49" s="44" t="inlineStr">
        <is>
          <t>custom_10</t>
        </is>
      </c>
      <c r="C49" s="38" t="n"/>
      <c r="D49" s="38" t="n"/>
      <c r="E49" s="45" t="inlineStr">
        <is>
          <t>cast(null as varchar(48)) in the proc.</t>
        </is>
      </c>
      <c r="F49" s="38" t="n"/>
      <c r="G49" s="38" t="n"/>
      <c r="H49" s="50" t="inlineStr">
        <is>
          <t>(blank)</t>
        </is>
      </c>
      <c r="I49" s="50" t="inlineStr">
        <is>
          <t>(blank)</t>
        </is>
      </c>
      <c r="J49" s="47" t="inlineStr">
        <is>
          <t>Maximum 48 characters</t>
        </is>
      </c>
      <c r="K49" s="51" t="inlineStr">
        <is>
          <t>N</t>
        </is>
      </c>
      <c r="L49" s="47" t="inlineStr">
        <is>
          <t>A value that can be applied to a custom field at the line item level of a purchase order. Custom fields will be validated using the configured custom field definitions.</t>
        </is>
      </c>
    </row>
    <row r="50">
      <c r="A50" s="36" t="inlineStr">
        <is>
          <t>Custom_11</t>
        </is>
      </c>
      <c r="B50" s="37" t="inlineStr">
        <is>
          <t>custom_11</t>
        </is>
      </c>
      <c r="C50" s="38" t="n"/>
      <c r="D50" s="38" t="n"/>
      <c r="E50" s="39" t="inlineStr">
        <is>
          <t>cast(null as varchar(48)) in the proc.</t>
        </is>
      </c>
      <c r="F50" s="38" t="n"/>
      <c r="G50" s="38" t="n"/>
      <c r="H50" s="48" t="inlineStr">
        <is>
          <t>(blank)</t>
        </is>
      </c>
      <c r="I50" s="48" t="inlineStr">
        <is>
          <t>(blank)</t>
        </is>
      </c>
      <c r="J50" s="41" t="inlineStr">
        <is>
          <t>Maximum 48 characters</t>
        </is>
      </c>
      <c r="K50" s="49" t="inlineStr">
        <is>
          <t>N</t>
        </is>
      </c>
      <c r="L50" s="41" t="inlineStr">
        <is>
          <t>A value that can be applied to a custom field at the line item level of a purchase order. Custom fields will be validated using the configured custom field definitions.</t>
        </is>
      </c>
    </row>
    <row r="51">
      <c r="A51" s="43" t="inlineStr">
        <is>
          <t>Custom_12</t>
        </is>
      </c>
      <c r="B51" s="44" t="inlineStr">
        <is>
          <t>custom_12</t>
        </is>
      </c>
      <c r="C51" s="38" t="n"/>
      <c r="D51" s="38" t="n"/>
      <c r="E51" s="45" t="inlineStr">
        <is>
          <t>cast(null as varchar(48)) in the proc.</t>
        </is>
      </c>
      <c r="F51" s="38" t="n"/>
      <c r="G51" s="38" t="n"/>
      <c r="H51" s="50" t="inlineStr">
        <is>
          <t>(blank)</t>
        </is>
      </c>
      <c r="I51" s="50" t="inlineStr">
        <is>
          <t>(blank)</t>
        </is>
      </c>
      <c r="J51" s="47" t="inlineStr">
        <is>
          <t>Maximum 48 characters</t>
        </is>
      </c>
      <c r="K51" s="51" t="inlineStr">
        <is>
          <t>N</t>
        </is>
      </c>
      <c r="L51" s="47" t="inlineStr">
        <is>
          <t>A value that can be applied to a custom field at the line item level of a purchase order. Custom fields will be validated using the configured custom field definitions.</t>
        </is>
      </c>
    </row>
    <row r="52">
      <c r="A52" s="36" t="inlineStr">
        <is>
          <t>Custom_13</t>
        </is>
      </c>
      <c r="B52" s="37" t="inlineStr">
        <is>
          <t>custom_13</t>
        </is>
      </c>
      <c r="C52" s="38" t="n"/>
      <c r="D52" s="38" t="n"/>
      <c r="E52" s="39" t="inlineStr">
        <is>
          <t>cast(null as varchar(48)) in the proc.</t>
        </is>
      </c>
      <c r="F52" s="38" t="n"/>
      <c r="G52" s="38" t="n"/>
      <c r="H52" s="48" t="inlineStr">
        <is>
          <t>(blank)</t>
        </is>
      </c>
      <c r="I52" s="48" t="inlineStr">
        <is>
          <t>(blank)</t>
        </is>
      </c>
      <c r="J52" s="41" t="inlineStr">
        <is>
          <t>Maximum 48 characters</t>
        </is>
      </c>
      <c r="K52" s="49" t="inlineStr">
        <is>
          <t>N</t>
        </is>
      </c>
      <c r="L52" s="41" t="inlineStr">
        <is>
          <t>A value that can be applied to a custom field at the line item level of a purchase order. Custom fields will be validated using the configured custom field definitions.</t>
        </is>
      </c>
    </row>
    <row r="53">
      <c r="A53" s="43" t="inlineStr">
        <is>
          <t>Custom_14</t>
        </is>
      </c>
      <c r="B53" s="44" t="inlineStr">
        <is>
          <t>custom_14</t>
        </is>
      </c>
      <c r="C53" s="38" t="n"/>
      <c r="D53" s="38" t="n"/>
      <c r="E53" s="45" t="inlineStr">
        <is>
          <t>cast(null as varchar(48)) in the proc.</t>
        </is>
      </c>
      <c r="F53" s="38" t="n"/>
      <c r="G53" s="38" t="n"/>
      <c r="H53" s="50" t="inlineStr">
        <is>
          <t>(blank)</t>
        </is>
      </c>
      <c r="I53" s="50" t="inlineStr">
        <is>
          <t>(blank)</t>
        </is>
      </c>
      <c r="J53" s="47" t="inlineStr">
        <is>
          <t>Maximum 48 characters</t>
        </is>
      </c>
      <c r="K53" s="51" t="inlineStr">
        <is>
          <t>N</t>
        </is>
      </c>
      <c r="L53" s="47" t="inlineStr">
        <is>
          <t>A value that can be applied to a custom field at the line item level of a purchase order. Custom fields will be validated using the configured custom field definitions.</t>
        </is>
      </c>
    </row>
    <row r="54">
      <c r="A54" s="36" t="inlineStr">
        <is>
          <t>Custom_15</t>
        </is>
      </c>
      <c r="B54" s="37" t="inlineStr">
        <is>
          <t>custom_15</t>
        </is>
      </c>
      <c r="C54" s="38" t="n"/>
      <c r="D54" s="38" t="n"/>
      <c r="E54" s="39" t="inlineStr">
        <is>
          <t>cast(null as varchar(48)) in the proc.</t>
        </is>
      </c>
      <c r="F54" s="38" t="n"/>
      <c r="G54" s="38" t="n"/>
      <c r="H54" s="48" t="inlineStr">
        <is>
          <t>(blank)</t>
        </is>
      </c>
      <c r="I54" s="48" t="inlineStr">
        <is>
          <t>(blank)</t>
        </is>
      </c>
      <c r="J54" s="41" t="inlineStr">
        <is>
          <t>Maximum 48 characters</t>
        </is>
      </c>
      <c r="K54" s="49" t="inlineStr">
        <is>
          <t>N</t>
        </is>
      </c>
      <c r="L54" s="41" t="inlineStr">
        <is>
          <t>A value that can be applied to a custom field at the line item level of a purchase order. Custom fields will be validated using the configured custom field definitions.</t>
        </is>
      </c>
    </row>
    <row r="55">
      <c r="A55" s="43" t="inlineStr">
        <is>
          <t>Custom_16</t>
        </is>
      </c>
      <c r="B55" s="44" t="inlineStr">
        <is>
          <t>custom_16</t>
        </is>
      </c>
      <c r="C55" s="38" t="n"/>
      <c r="D55" s="38" t="n"/>
      <c r="E55" s="45" t="inlineStr">
        <is>
          <t>cast(null as varchar(48)) in the proc.</t>
        </is>
      </c>
      <c r="F55" s="38" t="n"/>
      <c r="G55" s="38" t="n"/>
      <c r="H55" s="50" t="inlineStr">
        <is>
          <t>(blank)</t>
        </is>
      </c>
      <c r="I55" s="50" t="inlineStr">
        <is>
          <t>(blank)</t>
        </is>
      </c>
      <c r="J55" s="47" t="inlineStr">
        <is>
          <t>Maximum 48 characters</t>
        </is>
      </c>
      <c r="K55" s="51" t="inlineStr">
        <is>
          <t>N</t>
        </is>
      </c>
      <c r="L55" s="47" t="inlineStr">
        <is>
          <t>A value that can be applied to a custom field at the line item level of a purchase order. Custom fields will be validated using the configured custom field definitions.</t>
        </is>
      </c>
    </row>
    <row r="56">
      <c r="A56" s="36" t="inlineStr">
        <is>
          <t>Custom_17</t>
        </is>
      </c>
      <c r="B56" s="37" t="inlineStr">
        <is>
          <t>custom_17</t>
        </is>
      </c>
      <c r="C56" s="38" t="n"/>
      <c r="D56" s="38" t="n"/>
      <c r="E56" s="39" t="inlineStr">
        <is>
          <t>cast(null as varchar(48)) in the proc.</t>
        </is>
      </c>
      <c r="F56" s="38" t="n"/>
      <c r="G56" s="38" t="n"/>
      <c r="H56" s="48" t="inlineStr">
        <is>
          <t>(blank)</t>
        </is>
      </c>
      <c r="I56" s="48" t="inlineStr">
        <is>
          <t>(blank)</t>
        </is>
      </c>
      <c r="J56" s="41" t="inlineStr">
        <is>
          <t>Maximum 48 characters</t>
        </is>
      </c>
      <c r="K56" s="49" t="inlineStr">
        <is>
          <t>N</t>
        </is>
      </c>
      <c r="L56" s="41" t="inlineStr">
        <is>
          <t>A value that can be applied to a custom field at the line item level of a purchase order. Custom fields will be validated using the configured custom field definitions.</t>
        </is>
      </c>
    </row>
    <row r="57">
      <c r="A57" s="43" t="inlineStr">
        <is>
          <t>Custom_18</t>
        </is>
      </c>
      <c r="B57" s="44" t="inlineStr">
        <is>
          <t>custom_18</t>
        </is>
      </c>
      <c r="C57" s="38" t="n"/>
      <c r="D57" s="38" t="n"/>
      <c r="E57" s="45" t="inlineStr">
        <is>
          <t>cast(null as varchar(48)) in the proc.</t>
        </is>
      </c>
      <c r="F57" s="38" t="n"/>
      <c r="G57" s="38" t="n"/>
      <c r="H57" s="50" t="inlineStr">
        <is>
          <t>(blank)</t>
        </is>
      </c>
      <c r="I57" s="50" t="inlineStr">
        <is>
          <t>(blank)</t>
        </is>
      </c>
      <c r="J57" s="47" t="inlineStr">
        <is>
          <t>Maximum 48 characters</t>
        </is>
      </c>
      <c r="K57" s="51" t="inlineStr">
        <is>
          <t>N</t>
        </is>
      </c>
      <c r="L57" s="47" t="inlineStr">
        <is>
          <t>A value that can be applied to a custom field at the line item level of a purchase order. Custom fields will be validated using the configured custom field definitions.</t>
        </is>
      </c>
    </row>
    <row r="58">
      <c r="A58" s="36" t="inlineStr">
        <is>
          <t>Custom_19</t>
        </is>
      </c>
      <c r="B58" s="37" t="inlineStr">
        <is>
          <t>custom_19</t>
        </is>
      </c>
      <c r="C58" s="38" t="n"/>
      <c r="D58" s="38" t="n"/>
      <c r="E58" s="39" t="inlineStr">
        <is>
          <t>cast(null as varchar(48)) in the proc.</t>
        </is>
      </c>
      <c r="F58" s="38" t="n"/>
      <c r="G58" s="38" t="n"/>
      <c r="H58" s="48" t="inlineStr">
        <is>
          <t>(blank)</t>
        </is>
      </c>
      <c r="I58" s="48" t="inlineStr">
        <is>
          <t>(blank)</t>
        </is>
      </c>
      <c r="J58" s="41" t="inlineStr">
        <is>
          <t>Maximum 48 characters</t>
        </is>
      </c>
      <c r="K58" s="49" t="inlineStr">
        <is>
          <t>N</t>
        </is>
      </c>
      <c r="L58" s="41" t="inlineStr">
        <is>
          <t>A value that can be applied to a custom field at the line item level of a purchase order. Custom fields will be validated using the configured custom field definitions.</t>
        </is>
      </c>
    </row>
    <row r="59">
      <c r="A59" s="43" t="inlineStr">
        <is>
          <t>Custom_20</t>
        </is>
      </c>
      <c r="B59" s="44" t="inlineStr">
        <is>
          <t>custom_20</t>
        </is>
      </c>
      <c r="C59" s="38" t="n"/>
      <c r="D59" s="38" t="n"/>
      <c r="E59" s="45" t="inlineStr">
        <is>
          <t>cast(null as varchar(48)) in the proc.</t>
        </is>
      </c>
      <c r="F59" s="38" t="n"/>
      <c r="G59" s="38" t="n"/>
      <c r="H59" s="50" t="inlineStr">
        <is>
          <t>(blank)</t>
        </is>
      </c>
      <c r="I59" s="50" t="inlineStr">
        <is>
          <t>(blank)</t>
        </is>
      </c>
      <c r="J59" s="47" t="inlineStr">
        <is>
          <t>Maximum 48 characters</t>
        </is>
      </c>
      <c r="K59" s="51" t="inlineStr">
        <is>
          <t>N</t>
        </is>
      </c>
      <c r="L59" s="47" t="inlineStr">
        <is>
          <t>A value that can be applied to a custom field at the line item level of a purchase order. Custom fields will be validated using the configured custom field definitions.</t>
        </is>
      </c>
    </row>
  </sheetData>
  <autoFilter ref="A7:L59"/>
  <hyperlinks>
    <hyperlink xmlns:r="http://schemas.openxmlformats.org/officeDocument/2006/relationships" ref="A3" r:id="rId1"/>
    <hyperlink ref="A5" location="Index!A1" display="Back to Index"/>
  </hyperlinks>
  <pageMargins left="0.75" right="0.75" top="1" bottom="1" header="0.5" footer="0.5"/>
  <pageSetup orientation="landscape" fitToWidth="1"/>
</worksheet>
</file>

<file path=xl/worksheets/sheet9.xml><?xml version="1.0" encoding="utf-8"?>
<worksheet xmlns="http://schemas.openxmlformats.org/spreadsheetml/2006/main">
  <sheetPr>
    <outlinePr summaryBelow="1" summaryRight="1"/>
    <pageSetUpPr fitToPage="1"/>
  </sheetPr>
  <dimension ref="A1:L49"/>
  <sheetViews>
    <sheetView showGridLines="0" workbookViewId="0">
      <pane xSplit="1" ySplit="7" topLeftCell="B8" activePane="bottomRight" state="frozen"/>
      <selection pane="topRight" activeCell="A1" sqref="A1"/>
      <selection pane="bottomLeft" activeCell="A1" sqref="A1"/>
      <selection pane="bottomRight" activeCell="A1" sqref="A1"/>
    </sheetView>
  </sheetViews>
  <sheetFormatPr baseColWidth="8" defaultRowHeight="15"/>
  <cols>
    <col width="30" customWidth="1" min="1" max="1"/>
    <col width="24" customWidth="1" min="2" max="2"/>
    <col width="26" customWidth="1" min="3" max="3"/>
    <col width="26" customWidth="1" min="4" max="4"/>
    <col width="52" customWidth="1" min="5" max="5"/>
    <col width="24" customWidth="1" min="6" max="6"/>
    <col width="40" customWidth="1" min="7" max="7"/>
    <col width="26" customWidth="1" min="8" max="8"/>
    <col width="26" customWidth="1" min="9" max="9"/>
    <col width="30" customWidth="1" min="10" max="10"/>
    <col width="11" customWidth="1" min="11" max="11"/>
    <col width="62" customWidth="1" min="12" max="12"/>
  </cols>
  <sheetData>
    <row r="1">
      <c r="A1" s="28" t="inlineStr">
        <is>
          <t>Purchase Order Line Item Allocation (Record Type 400) Format</t>
        </is>
      </c>
    </row>
    <row r="2">
      <c r="A2" s="29" t="inlineStr">
        <is>
          <t>Section: Purchase Order Import</t>
        </is>
      </c>
    </row>
    <row r="3">
      <c r="A3" s="30" t="inlineStr">
        <is>
          <t>https://help.sap.com/docs/concur-invoice/concur-invoice-professional-edition-administration-guides/purchase-order-line-item-allocation-record-type-400-format</t>
        </is>
      </c>
    </row>
    <row r="4">
      <c r="A4" s="31" t="inlineStr">
        <is>
          <t>Source: SAP Help Portal, Concur Invoice Professional Edition Administration Guides (2026_08). Retrieved 2026-09-11. Ranged fields in the source are expanded to one row per field; each shares the range's definition and description.</t>
        </is>
      </c>
    </row>
    <row r="5" ht="18" customHeight="1">
      <c r="A5" s="12" t="inlineStr">
        <is>
          <t>◀  Back to Index</t>
        </is>
      </c>
    </row>
    <row r="6">
      <c r="A6" s="32" t="inlineStr">
        <is>
          <t>Extract chain: ⚠ No extract proc emits a 400 record. The deployed script holds only _get_poheader, _pobillto, _poshipto, _poline, _poreceipt and _get_vendor (plus the two charge helpers), and PurchaseOrder.dtsx writes 300 -&gt; 210 -&gt; 220 -&gt; 200 per PO with no allocation step. Re-enabling this record type means a new proc AND a new writer block in the dtsx.  &lt;-  ⚠ No staging view carries PO line allocations. dbo.po_line has no allocation columns and there is no dbo.po_line_allocation table in either SSIS package.  &lt;-  M3: ⚠ Not extracted from either ERP today. M3 holds PO line accounting distribution in MPLINE / the MPAGRP-MPAGRP accounting lines; JBA in PMP03's NOMM03 ledger code. Neither is loaded.   |   JBA: ⚠ Not extracted from either ERP today. M3 holds PO line accounting distribution in MPLINE / the MPAGRP-MPAGRP accounting lines; JBA in PMP03's NOMM03 ledger code. Neither is loaded.   |   ERP SQL lives in the SSIS packages — see the Sources tab.</t>
        </is>
      </c>
    </row>
    <row r="7" ht="30" customHeight="1">
      <c r="A7" s="13" t="inlineStr">
        <is>
          <t>Field Name</t>
        </is>
      </c>
      <c r="B7" s="33" t="inlineStr">
        <is>
          <t>Mapped From (proc)</t>
        </is>
      </c>
      <c r="C7" s="33" t="inlineStr">
        <is>
          <t>View Column</t>
        </is>
      </c>
      <c r="D7" s="33" t="inlineStr">
        <is>
          <t>M3 Source Field</t>
        </is>
      </c>
      <c r="E7" s="33" t="inlineStr">
        <is>
          <t>M3 Derivation</t>
        </is>
      </c>
      <c r="F7" s="34" t="inlineStr">
        <is>
          <t>JBA Source Field</t>
        </is>
      </c>
      <c r="G7" s="34" t="inlineStr">
        <is>
          <t>JBA Derivation</t>
        </is>
      </c>
      <c r="H7" s="35" t="inlineStr">
        <is>
          <t>Sample - M3</t>
        </is>
      </c>
      <c r="I7" s="35" t="inlineStr">
        <is>
          <t>Sample - JBA</t>
        </is>
      </c>
      <c r="J7" s="13" t="inlineStr">
        <is>
          <t>Definition</t>
        </is>
      </c>
      <c r="K7" s="13" t="inlineStr">
        <is>
          <t>Required?</t>
        </is>
      </c>
      <c r="L7" s="13" t="inlineStr">
        <is>
          <t>Description</t>
        </is>
      </c>
    </row>
    <row r="8">
      <c r="A8" s="36" t="inlineStr">
        <is>
          <t>Record Type</t>
        </is>
      </c>
      <c r="B8" s="38" t="n"/>
      <c r="C8" s="38" t="n"/>
      <c r="D8" s="38" t="n"/>
      <c r="E8" s="39" t="inlineStr">
        <is>
          <t>Literal 400 once a proc exists.</t>
        </is>
      </c>
      <c r="F8" s="38" t="n"/>
      <c r="G8" s="38" t="n"/>
      <c r="H8" s="41" t="n"/>
      <c r="I8" s="41" t="n"/>
      <c r="J8" s="41" t="inlineStr">
        <is>
          <t>400</t>
        </is>
      </c>
      <c r="K8" s="42" t="inlineStr">
        <is>
          <t>Y</t>
        </is>
      </c>
      <c r="L8" s="41" t="inlineStr">
        <is>
          <t>This is a static value always equal to 400. It indicates the Record Type.</t>
        </is>
      </c>
    </row>
    <row r="9">
      <c r="A9" s="43" t="inlineStr">
        <is>
          <t>Amount</t>
        </is>
      </c>
      <c r="B9" s="38" t="n"/>
      <c r="C9" s="38" t="n"/>
      <c r="D9" s="38" t="n"/>
      <c r="E9" s="53" t="inlineStr">
        <is>
          <t>⚠ The allocation amount. Concur expects the 400 rows under a 300 line to total that line's extended amount; nothing in the current pipeline computes a split, so whatever produces this record has to reconcile against Quantity x Unit Price on the parent 300.</t>
        </is>
      </c>
      <c r="F9" s="38" t="n"/>
      <c r="G9" s="38" t="n"/>
      <c r="H9" s="47" t="n"/>
      <c r="I9" s="47" t="n"/>
      <c r="J9" s="47" t="inlineStr">
        <is>
          <t>Number (23,8)
23 characters maximum, 8 characters maximum to the right of the decimal.</t>
        </is>
      </c>
      <c r="K9" s="42" t="inlineStr">
        <is>
          <t>Y</t>
        </is>
      </c>
      <c r="L9" s="47" t="inlineStr">
        <is>
          <t>The total amount of the allocation.</t>
        </is>
      </c>
    </row>
    <row r="10">
      <c r="A10" s="36" t="inlineStr">
        <is>
          <t>Future_Use_1</t>
        </is>
      </c>
      <c r="B10" s="38" t="n"/>
      <c r="C10" s="38" t="n"/>
      <c r="D10" s="38" t="n"/>
      <c r="E10" s="38" t="n"/>
      <c r="F10" s="38" t="n"/>
      <c r="G10" s="38" t="n"/>
      <c r="H10" s="41" t="n"/>
      <c r="I10" s="41" t="n"/>
      <c r="J10" s="41" t="n"/>
      <c r="K10" s="49" t="inlineStr">
        <is>
          <t>N</t>
        </is>
      </c>
      <c r="L10" s="41" t="inlineStr">
        <is>
          <t>The future_use fields are currently not in use. Please account for them in your import, but do not put any data into them. All data will be ignored.</t>
        </is>
      </c>
    </row>
    <row r="11">
      <c r="A11" s="43" t="inlineStr">
        <is>
          <t>Future_Use_2</t>
        </is>
      </c>
      <c r="B11" s="38" t="n"/>
      <c r="C11" s="38" t="n"/>
      <c r="D11" s="38" t="n"/>
      <c r="E11" s="38" t="n"/>
      <c r="F11" s="38" t="n"/>
      <c r="G11" s="38" t="n"/>
      <c r="H11" s="47" t="n"/>
      <c r="I11" s="47" t="n"/>
      <c r="J11" s="47" t="n"/>
      <c r="K11" s="51" t="inlineStr">
        <is>
          <t>N</t>
        </is>
      </c>
      <c r="L11" s="47" t="inlineStr">
        <is>
          <t>The future_use fields are currently not in use. Please account for them in your import, but do not put any data into them. All data will be ignored.</t>
        </is>
      </c>
    </row>
    <row r="12">
      <c r="A12" s="36" t="inlineStr">
        <is>
          <t>Future_Use_3</t>
        </is>
      </c>
      <c r="B12" s="38" t="n"/>
      <c r="C12" s="38" t="n"/>
      <c r="D12" s="38" t="n"/>
      <c r="E12" s="38" t="n"/>
      <c r="F12" s="38" t="n"/>
      <c r="G12" s="38" t="n"/>
      <c r="H12" s="41" t="n"/>
      <c r="I12" s="41" t="n"/>
      <c r="J12" s="41" t="n"/>
      <c r="K12" s="49" t="inlineStr">
        <is>
          <t>N</t>
        </is>
      </c>
      <c r="L12" s="41" t="inlineStr">
        <is>
          <t>The future_use fields are currently not in use. Please account for them in your import, but do not put any data into them. All data will be ignored.</t>
        </is>
      </c>
    </row>
    <row r="13">
      <c r="A13" s="43" t="inlineStr">
        <is>
          <t>Future_Use_4</t>
        </is>
      </c>
      <c r="B13" s="38" t="n"/>
      <c r="C13" s="38" t="n"/>
      <c r="D13" s="38" t="n"/>
      <c r="E13" s="38" t="n"/>
      <c r="F13" s="38" t="n"/>
      <c r="G13" s="38" t="n"/>
      <c r="H13" s="47" t="n"/>
      <c r="I13" s="47" t="n"/>
      <c r="J13" s="47" t="n"/>
      <c r="K13" s="51" t="inlineStr">
        <is>
          <t>N</t>
        </is>
      </c>
      <c r="L13" s="47" t="inlineStr">
        <is>
          <t>The future_use fields are currently not in use. Please account for them in your import, but do not put any data into them. All data will be ignored.</t>
        </is>
      </c>
    </row>
    <row r="14">
      <c r="A14" s="36" t="inlineStr">
        <is>
          <t>Future_Use_5</t>
        </is>
      </c>
      <c r="B14" s="38" t="n"/>
      <c r="C14" s="38" t="n"/>
      <c r="D14" s="38" t="n"/>
      <c r="E14" s="38" t="n"/>
      <c r="F14" s="38" t="n"/>
      <c r="G14" s="38" t="n"/>
      <c r="H14" s="41" t="n"/>
      <c r="I14" s="41" t="n"/>
      <c r="J14" s="41" t="n"/>
      <c r="K14" s="49" t="inlineStr">
        <is>
          <t>N</t>
        </is>
      </c>
      <c r="L14" s="41" t="inlineStr">
        <is>
          <t>The future_use fields are currently not in use. Please account for them in your import, but do not put any data into them. All data will be ignored.</t>
        </is>
      </c>
    </row>
    <row r="15">
      <c r="A15" s="43" t="inlineStr">
        <is>
          <t>Future_Use_6</t>
        </is>
      </c>
      <c r="B15" s="38" t="n"/>
      <c r="C15" s="38" t="n"/>
      <c r="D15" s="38" t="n"/>
      <c r="E15" s="38" t="n"/>
      <c r="F15" s="38" t="n"/>
      <c r="G15" s="38" t="n"/>
      <c r="H15" s="47" t="n"/>
      <c r="I15" s="47" t="n"/>
      <c r="J15" s="47" t="n"/>
      <c r="K15" s="51" t="inlineStr">
        <is>
          <t>N</t>
        </is>
      </c>
      <c r="L15" s="47" t="inlineStr">
        <is>
          <t>The future_use fields are currently not in use. Please account for them in your import, but do not put any data into them. All data will be ignored.</t>
        </is>
      </c>
    </row>
    <row r="16">
      <c r="A16" s="36" t="inlineStr">
        <is>
          <t>Future_Use_7</t>
        </is>
      </c>
      <c r="B16" s="38" t="n"/>
      <c r="C16" s="38" t="n"/>
      <c r="D16" s="38" t="n"/>
      <c r="E16" s="38" t="n"/>
      <c r="F16" s="38" t="n"/>
      <c r="G16" s="38" t="n"/>
      <c r="H16" s="41" t="n"/>
      <c r="I16" s="41" t="n"/>
      <c r="J16" s="41" t="n"/>
      <c r="K16" s="49" t="inlineStr">
        <is>
          <t>N</t>
        </is>
      </c>
      <c r="L16" s="41" t="inlineStr">
        <is>
          <t>The future_use fields are currently not in use. Please account for them in your import, but do not put any data into them. All data will be ignored.</t>
        </is>
      </c>
    </row>
    <row r="17">
      <c r="A17" s="43" t="inlineStr">
        <is>
          <t>Future_Use_8</t>
        </is>
      </c>
      <c r="B17" s="38" t="n"/>
      <c r="C17" s="38" t="n"/>
      <c r="D17" s="38" t="n"/>
      <c r="E17" s="38" t="n"/>
      <c r="F17" s="38" t="n"/>
      <c r="G17" s="38" t="n"/>
      <c r="H17" s="47" t="n"/>
      <c r="I17" s="47" t="n"/>
      <c r="J17" s="47" t="n"/>
      <c r="K17" s="51" t="inlineStr">
        <is>
          <t>N</t>
        </is>
      </c>
      <c r="L17" s="47" t="inlineStr">
        <is>
          <t>The future_use fields are currently not in use. Please account for them in your import, but do not put any data into them. All data will be ignored.</t>
        </is>
      </c>
    </row>
    <row r="18">
      <c r="A18" s="36" t="inlineStr">
        <is>
          <t>Future_Use_9</t>
        </is>
      </c>
      <c r="B18" s="38" t="n"/>
      <c r="C18" s="38" t="n"/>
      <c r="D18" s="38" t="n"/>
      <c r="E18" s="38" t="n"/>
      <c r="F18" s="38" t="n"/>
      <c r="G18" s="38" t="n"/>
      <c r="H18" s="41" t="n"/>
      <c r="I18" s="41" t="n"/>
      <c r="J18" s="41" t="n"/>
      <c r="K18" s="49" t="inlineStr">
        <is>
          <t>N</t>
        </is>
      </c>
      <c r="L18" s="41" t="inlineStr">
        <is>
          <t>The future_use fields are currently not in use. Please account for them in your import, but do not put any data into them. All data will be ignored.</t>
        </is>
      </c>
    </row>
    <row r="19">
      <c r="A19" s="43" t="inlineStr">
        <is>
          <t>Future_Use_10</t>
        </is>
      </c>
      <c r="B19" s="38" t="n"/>
      <c r="C19" s="38" t="n"/>
      <c r="D19" s="38" t="n"/>
      <c r="E19" s="38" t="n"/>
      <c r="F19" s="38" t="n"/>
      <c r="G19" s="38" t="n"/>
      <c r="H19" s="47" t="n"/>
      <c r="I19" s="47" t="n"/>
      <c r="J19" s="47" t="n"/>
      <c r="K19" s="51" t="inlineStr">
        <is>
          <t>N</t>
        </is>
      </c>
      <c r="L19" s="47" t="inlineStr">
        <is>
          <t>The future_use fields are currently not in use. Please account for them in your import, but do not put any data into them. All data will be ignored.</t>
        </is>
      </c>
    </row>
    <row r="20">
      <c r="A20" s="36" t="inlineStr">
        <is>
          <t>Future_Use_11</t>
        </is>
      </c>
      <c r="B20" s="38" t="n"/>
      <c r="C20" s="38" t="n"/>
      <c r="D20" s="38" t="n"/>
      <c r="E20" s="38" t="n"/>
      <c r="F20" s="38" t="n"/>
      <c r="G20" s="38" t="n"/>
      <c r="H20" s="41" t="n"/>
      <c r="I20" s="41" t="n"/>
      <c r="J20" s="41" t="n"/>
      <c r="K20" s="49" t="inlineStr">
        <is>
          <t>N</t>
        </is>
      </c>
      <c r="L20" s="41" t="inlineStr">
        <is>
          <t>The future_use fields are currently not in use. Please account for them in your import, but do not put any data into them. All data will be ignored.</t>
        </is>
      </c>
    </row>
    <row r="21">
      <c r="A21" s="43" t="inlineStr">
        <is>
          <t>Future_Use_12</t>
        </is>
      </c>
      <c r="B21" s="38" t="n"/>
      <c r="C21" s="38" t="n"/>
      <c r="D21" s="38" t="n"/>
      <c r="E21" s="38" t="n"/>
      <c r="F21" s="38" t="n"/>
      <c r="G21" s="38" t="n"/>
      <c r="H21" s="47" t="n"/>
      <c r="I21" s="47" t="n"/>
      <c r="J21" s="47" t="n"/>
      <c r="K21" s="51" t="inlineStr">
        <is>
          <t>N</t>
        </is>
      </c>
      <c r="L21" s="47" t="inlineStr">
        <is>
          <t>The future_use fields are currently not in use. Please account for them in your import, but do not put any data into them. All data will be ignored.</t>
        </is>
      </c>
    </row>
    <row r="22">
      <c r="A22" s="36" t="inlineStr">
        <is>
          <t>Future_Use_13</t>
        </is>
      </c>
      <c r="B22" s="38" t="n"/>
      <c r="C22" s="38" t="n"/>
      <c r="D22" s="38" t="n"/>
      <c r="E22" s="38" t="n"/>
      <c r="F22" s="38" t="n"/>
      <c r="G22" s="38" t="n"/>
      <c r="H22" s="41" t="n"/>
      <c r="I22" s="41" t="n"/>
      <c r="J22" s="41" t="n"/>
      <c r="K22" s="49" t="inlineStr">
        <is>
          <t>N</t>
        </is>
      </c>
      <c r="L22" s="41" t="inlineStr">
        <is>
          <t>The future_use fields are currently not in use. Please account for them in your import, but do not put any data into them. All data will be ignored.</t>
        </is>
      </c>
    </row>
    <row r="23">
      <c r="A23" s="43" t="inlineStr">
        <is>
          <t>Future_Use_14</t>
        </is>
      </c>
      <c r="B23" s="38" t="n"/>
      <c r="C23" s="38" t="n"/>
      <c r="D23" s="38" t="n"/>
      <c r="E23" s="38" t="n"/>
      <c r="F23" s="38" t="n"/>
      <c r="G23" s="38" t="n"/>
      <c r="H23" s="47" t="n"/>
      <c r="I23" s="47" t="n"/>
      <c r="J23" s="47" t="n"/>
      <c r="K23" s="51" t="inlineStr">
        <is>
          <t>N</t>
        </is>
      </c>
      <c r="L23" s="47" t="inlineStr">
        <is>
          <t>The future_use fields are currently not in use. Please account for them in your import, but do not put any data into them. All data will be ignored.</t>
        </is>
      </c>
    </row>
    <row r="24">
      <c r="A24" s="36" t="inlineStr">
        <is>
          <t>Future_Use_15</t>
        </is>
      </c>
      <c r="B24" s="38" t="n"/>
      <c r="C24" s="38" t="n"/>
      <c r="D24" s="38" t="n"/>
      <c r="E24" s="38" t="n"/>
      <c r="F24" s="38" t="n"/>
      <c r="G24" s="38" t="n"/>
      <c r="H24" s="41" t="n"/>
      <c r="I24" s="41" t="n"/>
      <c r="J24" s="41" t="n"/>
      <c r="K24" s="49" t="inlineStr">
        <is>
          <t>N</t>
        </is>
      </c>
      <c r="L24" s="41" t="inlineStr">
        <is>
          <t>The future_use fields are currently not in use. Please account for them in your import, but do not put any data into them. All data will be ignored.</t>
        </is>
      </c>
    </row>
    <row r="25">
      <c r="A25" s="43" t="inlineStr">
        <is>
          <t>Future_Use_16</t>
        </is>
      </c>
      <c r="B25" s="38" t="n"/>
      <c r="C25" s="38" t="n"/>
      <c r="D25" s="38" t="n"/>
      <c r="E25" s="38" t="n"/>
      <c r="F25" s="38" t="n"/>
      <c r="G25" s="38" t="n"/>
      <c r="H25" s="47" t="n"/>
      <c r="I25" s="47" t="n"/>
      <c r="J25" s="47" t="n"/>
      <c r="K25" s="51" t="inlineStr">
        <is>
          <t>N</t>
        </is>
      </c>
      <c r="L25" s="47" t="inlineStr">
        <is>
          <t>The future_use fields are currently not in use. Please account for them in your import, but do not put any data into them. All data will be ignored.</t>
        </is>
      </c>
    </row>
    <row r="26">
      <c r="A26" s="36" t="inlineStr">
        <is>
          <t>Future_Use_17</t>
        </is>
      </c>
      <c r="B26" s="38" t="n"/>
      <c r="C26" s="38" t="n"/>
      <c r="D26" s="38" t="n"/>
      <c r="E26" s="38" t="n"/>
      <c r="F26" s="38" t="n"/>
      <c r="G26" s="38" t="n"/>
      <c r="H26" s="41" t="n"/>
      <c r="I26" s="41" t="n"/>
      <c r="J26" s="41" t="n"/>
      <c r="K26" s="49" t="inlineStr">
        <is>
          <t>N</t>
        </is>
      </c>
      <c r="L26" s="41" t="inlineStr">
        <is>
          <t>The future_use fields are currently not in use. Please account for them in your import, but do not put any data into them. All data will be ignored.</t>
        </is>
      </c>
    </row>
    <row r="27">
      <c r="A27" s="43" t="inlineStr">
        <is>
          <t>Future_Use_18</t>
        </is>
      </c>
      <c r="B27" s="38" t="n"/>
      <c r="C27" s="38" t="n"/>
      <c r="D27" s="38" t="n"/>
      <c r="E27" s="38" t="n"/>
      <c r="F27" s="38" t="n"/>
      <c r="G27" s="38" t="n"/>
      <c r="H27" s="47" t="n"/>
      <c r="I27" s="47" t="n"/>
      <c r="J27" s="47" t="n"/>
      <c r="K27" s="51" t="inlineStr">
        <is>
          <t>N</t>
        </is>
      </c>
      <c r="L27" s="47" t="inlineStr">
        <is>
          <t>The future_use fields are currently not in use. Please account for them in your import, but do not put any data into them. All data will be ignored.</t>
        </is>
      </c>
    </row>
    <row r="28">
      <c r="A28" s="36" t="inlineStr">
        <is>
          <t>Future_Use_19</t>
        </is>
      </c>
      <c r="B28" s="38" t="n"/>
      <c r="C28" s="38" t="n"/>
      <c r="D28" s="38" t="n"/>
      <c r="E28" s="38" t="n"/>
      <c r="F28" s="38" t="n"/>
      <c r="G28" s="38" t="n"/>
      <c r="H28" s="41" t="n"/>
      <c r="I28" s="41" t="n"/>
      <c r="J28" s="41" t="n"/>
      <c r="K28" s="49" t="inlineStr">
        <is>
          <t>N</t>
        </is>
      </c>
      <c r="L28" s="41" t="inlineStr">
        <is>
          <t>The future_use fields are currently not in use. Please account for them in your import, but do not put any data into them. All data will be ignored.</t>
        </is>
      </c>
    </row>
    <row r="29">
      <c r="A29" s="43" t="inlineStr">
        <is>
          <t>Future_Use_20</t>
        </is>
      </c>
      <c r="B29" s="38" t="n"/>
      <c r="C29" s="38" t="n"/>
      <c r="D29" s="38" t="n"/>
      <c r="E29" s="38" t="n"/>
      <c r="F29" s="38" t="n"/>
      <c r="G29" s="38" t="n"/>
      <c r="H29" s="47" t="n"/>
      <c r="I29" s="47" t="n"/>
      <c r="J29" s="47" t="n"/>
      <c r="K29" s="51" t="inlineStr">
        <is>
          <t>N</t>
        </is>
      </c>
      <c r="L29" s="47" t="inlineStr">
        <is>
          <t>The future_use fields are currently not in use. Please account for them in your import, but do not put any data into them. All data will be ignored.</t>
        </is>
      </c>
    </row>
    <row r="30">
      <c r="A30" s="36" t="inlineStr">
        <is>
          <t>Custom_1</t>
        </is>
      </c>
      <c r="B30" s="38" t="n"/>
      <c r="C30" s="38" t="n"/>
      <c r="D30" s="38" t="n"/>
      <c r="E30" s="38" t="n"/>
      <c r="F30" s="38" t="n"/>
      <c r="G30" s="38" t="n"/>
      <c r="H30" s="41" t="n"/>
      <c r="I30" s="41" t="n"/>
      <c r="J30" s="41" t="inlineStr">
        <is>
          <t>Maximum 48 characters</t>
        </is>
      </c>
      <c r="K30" s="49" t="inlineStr">
        <is>
          <t>N</t>
        </is>
      </c>
      <c r="L30" s="41" t="inlineStr">
        <is>
          <t>A value that can be applied to a custom field at the allocation level of a purchase order. Custom fields will be validated using the configured custom field definitions.</t>
        </is>
      </c>
    </row>
    <row r="31">
      <c r="A31" s="43" t="inlineStr">
        <is>
          <t>Custom_2</t>
        </is>
      </c>
      <c r="B31" s="38" t="n"/>
      <c r="C31" s="38" t="n"/>
      <c r="D31" s="38" t="n"/>
      <c r="E31" s="38" t="n"/>
      <c r="F31" s="38" t="n"/>
      <c r="G31" s="38" t="n"/>
      <c r="H31" s="47" t="n"/>
      <c r="I31" s="47" t="n"/>
      <c r="J31" s="47" t="inlineStr">
        <is>
          <t>Maximum 48 characters</t>
        </is>
      </c>
      <c r="K31" s="51" t="inlineStr">
        <is>
          <t>N</t>
        </is>
      </c>
      <c r="L31" s="47" t="inlineStr">
        <is>
          <t>A value that can be applied to a custom field at the allocation level of a purchase order. Custom fields will be validated using the configured custom field definitions.</t>
        </is>
      </c>
    </row>
    <row r="32">
      <c r="A32" s="36" t="inlineStr">
        <is>
          <t>Custom_3</t>
        </is>
      </c>
      <c r="B32" s="38" t="n"/>
      <c r="C32" s="38" t="n"/>
      <c r="D32" s="38" t="n"/>
      <c r="E32" s="38" t="n"/>
      <c r="F32" s="38" t="n"/>
      <c r="G32" s="38" t="n"/>
      <c r="H32" s="41" t="n"/>
      <c r="I32" s="41" t="n"/>
      <c r="J32" s="41" t="inlineStr">
        <is>
          <t>Maximum 48 characters</t>
        </is>
      </c>
      <c r="K32" s="49" t="inlineStr">
        <is>
          <t>N</t>
        </is>
      </c>
      <c r="L32" s="41" t="inlineStr">
        <is>
          <t>A value that can be applied to a custom field at the allocation level of a purchase order. Custom fields will be validated using the configured custom field definitions.</t>
        </is>
      </c>
    </row>
    <row r="33">
      <c r="A33" s="43" t="inlineStr">
        <is>
          <t>Custom_4</t>
        </is>
      </c>
      <c r="B33" s="38" t="n"/>
      <c r="C33" s="38" t="n"/>
      <c r="D33" s="38" t="n"/>
      <c r="E33" s="38" t="n"/>
      <c r="F33" s="38" t="n"/>
      <c r="G33" s="38" t="n"/>
      <c r="H33" s="47" t="n"/>
      <c r="I33" s="47" t="n"/>
      <c r="J33" s="47" t="inlineStr">
        <is>
          <t>Maximum 48 characters</t>
        </is>
      </c>
      <c r="K33" s="51" t="inlineStr">
        <is>
          <t>N</t>
        </is>
      </c>
      <c r="L33" s="47" t="inlineStr">
        <is>
          <t>A value that can be applied to a custom field at the allocation level of a purchase order. Custom fields will be validated using the configured custom field definitions.</t>
        </is>
      </c>
    </row>
    <row r="34">
      <c r="A34" s="36" t="inlineStr">
        <is>
          <t>Custom_5</t>
        </is>
      </c>
      <c r="B34" s="38" t="n"/>
      <c r="C34" s="38" t="n"/>
      <c r="D34" s="38" t="n"/>
      <c r="E34" s="38" t="n"/>
      <c r="F34" s="38" t="n"/>
      <c r="G34" s="38" t="n"/>
      <c r="H34" s="41" t="n"/>
      <c r="I34" s="41" t="n"/>
      <c r="J34" s="41" t="inlineStr">
        <is>
          <t>Maximum 48 characters</t>
        </is>
      </c>
      <c r="K34" s="49" t="inlineStr">
        <is>
          <t>N</t>
        </is>
      </c>
      <c r="L34" s="41" t="inlineStr">
        <is>
          <t>A value that can be applied to a custom field at the allocation level of a purchase order. Custom fields will be validated using the configured custom field definitions.</t>
        </is>
      </c>
    </row>
    <row r="35">
      <c r="A35" s="43" t="inlineStr">
        <is>
          <t>Custom_6</t>
        </is>
      </c>
      <c r="B35" s="38" t="n"/>
      <c r="C35" s="38" t="n"/>
      <c r="D35" s="38" t="n"/>
      <c r="E35" s="38" t="n"/>
      <c r="F35" s="38" t="n"/>
      <c r="G35" s="38" t="n"/>
      <c r="H35" s="47" t="n"/>
      <c r="I35" s="47" t="n"/>
      <c r="J35" s="47" t="inlineStr">
        <is>
          <t>Maximum 48 characters</t>
        </is>
      </c>
      <c r="K35" s="51" t="inlineStr">
        <is>
          <t>N</t>
        </is>
      </c>
      <c r="L35" s="47" t="inlineStr">
        <is>
          <t>A value that can be applied to a custom field at the allocation level of a purchase order. Custom fields will be validated using the configured custom field definitions.</t>
        </is>
      </c>
    </row>
    <row r="36">
      <c r="A36" s="36" t="inlineStr">
        <is>
          <t>Custom_7</t>
        </is>
      </c>
      <c r="B36" s="38" t="n"/>
      <c r="C36" s="38" t="n"/>
      <c r="D36" s="38" t="n"/>
      <c r="E36" s="38" t="n"/>
      <c r="F36" s="38" t="n"/>
      <c r="G36" s="38" t="n"/>
      <c r="H36" s="41" t="n"/>
      <c r="I36" s="41" t="n"/>
      <c r="J36" s="41" t="inlineStr">
        <is>
          <t>Maximum 48 characters</t>
        </is>
      </c>
      <c r="K36" s="49" t="inlineStr">
        <is>
          <t>N</t>
        </is>
      </c>
      <c r="L36" s="41" t="inlineStr">
        <is>
          <t>A value that can be applied to a custom field at the allocation level of a purchase order. Custom fields will be validated using the configured custom field definitions.</t>
        </is>
      </c>
    </row>
    <row r="37">
      <c r="A37" s="43" t="inlineStr">
        <is>
          <t>Custom_8</t>
        </is>
      </c>
      <c r="B37" s="38" t="n"/>
      <c r="C37" s="38" t="n"/>
      <c r="D37" s="38" t="n"/>
      <c r="E37" s="38" t="n"/>
      <c r="F37" s="38" t="n"/>
      <c r="G37" s="38" t="n"/>
      <c r="H37" s="47" t="n"/>
      <c r="I37" s="47" t="n"/>
      <c r="J37" s="47" t="inlineStr">
        <is>
          <t>Maximum 48 characters</t>
        </is>
      </c>
      <c r="K37" s="51" t="inlineStr">
        <is>
          <t>N</t>
        </is>
      </c>
      <c r="L37" s="47" t="inlineStr">
        <is>
          <t>A value that can be applied to a custom field at the allocation level of a purchase order. Custom fields will be validated using the configured custom field definitions.</t>
        </is>
      </c>
    </row>
    <row r="38">
      <c r="A38" s="36" t="inlineStr">
        <is>
          <t>Custom_9</t>
        </is>
      </c>
      <c r="B38" s="38" t="n"/>
      <c r="C38" s="38" t="n"/>
      <c r="D38" s="38" t="n"/>
      <c r="E38" s="38" t="n"/>
      <c r="F38" s="38" t="n"/>
      <c r="G38" s="38" t="n"/>
      <c r="H38" s="41" t="n"/>
      <c r="I38" s="41" t="n"/>
      <c r="J38" s="41" t="inlineStr">
        <is>
          <t>Maximum 48 characters</t>
        </is>
      </c>
      <c r="K38" s="49" t="inlineStr">
        <is>
          <t>N</t>
        </is>
      </c>
      <c r="L38" s="41" t="inlineStr">
        <is>
          <t>A value that can be applied to a custom field at the allocation level of a purchase order. Custom fields will be validated using the configured custom field definitions.</t>
        </is>
      </c>
    </row>
    <row r="39">
      <c r="A39" s="43" t="inlineStr">
        <is>
          <t>Custom_10</t>
        </is>
      </c>
      <c r="B39" s="38" t="n"/>
      <c r="C39" s="38" t="n"/>
      <c r="D39" s="38" t="n"/>
      <c r="E39" s="38" t="n"/>
      <c r="F39" s="38" t="n"/>
      <c r="G39" s="38" t="n"/>
      <c r="H39" s="47" t="n"/>
      <c r="I39" s="47" t="n"/>
      <c r="J39" s="47" t="inlineStr">
        <is>
          <t>Maximum 48 characters</t>
        </is>
      </c>
      <c r="K39" s="51" t="inlineStr">
        <is>
          <t>N</t>
        </is>
      </c>
      <c r="L39" s="47" t="inlineStr">
        <is>
          <t>A value that can be applied to a custom field at the allocation level of a purchase order. Custom fields will be validated using the configured custom field definitions.</t>
        </is>
      </c>
    </row>
    <row r="40">
      <c r="A40" s="36" t="inlineStr">
        <is>
          <t>Custom_11</t>
        </is>
      </c>
      <c r="B40" s="38" t="n"/>
      <c r="C40" s="38" t="n"/>
      <c r="D40" s="38" t="n"/>
      <c r="E40" s="38" t="n"/>
      <c r="F40" s="38" t="n"/>
      <c r="G40" s="38" t="n"/>
      <c r="H40" s="41" t="n"/>
      <c r="I40" s="41" t="n"/>
      <c r="J40" s="41" t="inlineStr">
        <is>
          <t>Maximum 48 characters</t>
        </is>
      </c>
      <c r="K40" s="49" t="inlineStr">
        <is>
          <t>N</t>
        </is>
      </c>
      <c r="L40" s="41" t="inlineStr">
        <is>
          <t>A value that can be applied to a custom field at the allocation level of a purchase order. Custom fields will be validated using the configured custom field definitions.</t>
        </is>
      </c>
    </row>
    <row r="41">
      <c r="A41" s="43" t="inlineStr">
        <is>
          <t>Custom_12</t>
        </is>
      </c>
      <c r="B41" s="38" t="n"/>
      <c r="C41" s="38" t="n"/>
      <c r="D41" s="38" t="n"/>
      <c r="E41" s="38" t="n"/>
      <c r="F41" s="38" t="n"/>
      <c r="G41" s="38" t="n"/>
      <c r="H41" s="47" t="n"/>
      <c r="I41" s="47" t="n"/>
      <c r="J41" s="47" t="inlineStr">
        <is>
          <t>Maximum 48 characters</t>
        </is>
      </c>
      <c r="K41" s="51" t="inlineStr">
        <is>
          <t>N</t>
        </is>
      </c>
      <c r="L41" s="47" t="inlineStr">
        <is>
          <t>A value that can be applied to a custom field at the allocation level of a purchase order. Custom fields will be validated using the configured custom field definitions.</t>
        </is>
      </c>
    </row>
    <row r="42">
      <c r="A42" s="36" t="inlineStr">
        <is>
          <t>Custom_13</t>
        </is>
      </c>
      <c r="B42" s="38" t="n"/>
      <c r="C42" s="38" t="n"/>
      <c r="D42" s="38" t="n"/>
      <c r="E42" s="38" t="n"/>
      <c r="F42" s="38" t="n"/>
      <c r="G42" s="38" t="n"/>
      <c r="H42" s="41" t="n"/>
      <c r="I42" s="41" t="n"/>
      <c r="J42" s="41" t="inlineStr">
        <is>
          <t>Maximum 48 characters</t>
        </is>
      </c>
      <c r="K42" s="49" t="inlineStr">
        <is>
          <t>N</t>
        </is>
      </c>
      <c r="L42" s="41" t="inlineStr">
        <is>
          <t>A value that can be applied to a custom field at the allocation level of a purchase order. Custom fields will be validated using the configured custom field definitions.</t>
        </is>
      </c>
    </row>
    <row r="43">
      <c r="A43" s="43" t="inlineStr">
        <is>
          <t>Custom_14</t>
        </is>
      </c>
      <c r="B43" s="38" t="n"/>
      <c r="C43" s="38" t="n"/>
      <c r="D43" s="38" t="n"/>
      <c r="E43" s="38" t="n"/>
      <c r="F43" s="38" t="n"/>
      <c r="G43" s="38" t="n"/>
      <c r="H43" s="47" t="n"/>
      <c r="I43" s="47" t="n"/>
      <c r="J43" s="47" t="inlineStr">
        <is>
          <t>Maximum 48 characters</t>
        </is>
      </c>
      <c r="K43" s="51" t="inlineStr">
        <is>
          <t>N</t>
        </is>
      </c>
      <c r="L43" s="47" t="inlineStr">
        <is>
          <t>A value that can be applied to a custom field at the allocation level of a purchase order. Custom fields will be validated using the configured custom field definitions.</t>
        </is>
      </c>
    </row>
    <row r="44">
      <c r="A44" s="36" t="inlineStr">
        <is>
          <t>Custom_15</t>
        </is>
      </c>
      <c r="B44" s="38" t="n"/>
      <c r="C44" s="38" t="n"/>
      <c r="D44" s="38" t="n"/>
      <c r="E44" s="38" t="n"/>
      <c r="F44" s="38" t="n"/>
      <c r="G44" s="38" t="n"/>
      <c r="H44" s="41" t="n"/>
      <c r="I44" s="41" t="n"/>
      <c r="J44" s="41" t="inlineStr">
        <is>
          <t>Maximum 48 characters</t>
        </is>
      </c>
      <c r="K44" s="49" t="inlineStr">
        <is>
          <t>N</t>
        </is>
      </c>
      <c r="L44" s="41" t="inlineStr">
        <is>
          <t>A value that can be applied to a custom field at the allocation level of a purchase order. Custom fields will be validated using the configured custom field definitions.</t>
        </is>
      </c>
    </row>
    <row r="45">
      <c r="A45" s="43" t="inlineStr">
        <is>
          <t>Custom_16</t>
        </is>
      </c>
      <c r="B45" s="38" t="n"/>
      <c r="C45" s="38" t="n"/>
      <c r="D45" s="38" t="n"/>
      <c r="E45" s="38" t="n"/>
      <c r="F45" s="38" t="n"/>
      <c r="G45" s="38" t="n"/>
      <c r="H45" s="47" t="n"/>
      <c r="I45" s="47" t="n"/>
      <c r="J45" s="47" t="inlineStr">
        <is>
          <t>Maximum 48 characters</t>
        </is>
      </c>
      <c r="K45" s="51" t="inlineStr">
        <is>
          <t>N</t>
        </is>
      </c>
      <c r="L45" s="47" t="inlineStr">
        <is>
          <t>A value that can be applied to a custom field at the allocation level of a purchase order. Custom fields will be validated using the configured custom field definitions.</t>
        </is>
      </c>
    </row>
    <row r="46">
      <c r="A46" s="36" t="inlineStr">
        <is>
          <t>Custom_17</t>
        </is>
      </c>
      <c r="B46" s="38" t="n"/>
      <c r="C46" s="38" t="n"/>
      <c r="D46" s="38" t="n"/>
      <c r="E46" s="38" t="n"/>
      <c r="F46" s="38" t="n"/>
      <c r="G46" s="38" t="n"/>
      <c r="H46" s="41" t="n"/>
      <c r="I46" s="41" t="n"/>
      <c r="J46" s="41" t="inlineStr">
        <is>
          <t>Maximum 48 characters</t>
        </is>
      </c>
      <c r="K46" s="49" t="inlineStr">
        <is>
          <t>N</t>
        </is>
      </c>
      <c r="L46" s="41" t="inlineStr">
        <is>
          <t>A value that can be applied to a custom field at the allocation level of a purchase order. Custom fields will be validated using the configured custom field definitions.</t>
        </is>
      </c>
    </row>
    <row r="47">
      <c r="A47" s="43" t="inlineStr">
        <is>
          <t>Custom_18</t>
        </is>
      </c>
      <c r="B47" s="38" t="n"/>
      <c r="C47" s="38" t="n"/>
      <c r="D47" s="38" t="n"/>
      <c r="E47" s="38" t="n"/>
      <c r="F47" s="38" t="n"/>
      <c r="G47" s="38" t="n"/>
      <c r="H47" s="47" t="n"/>
      <c r="I47" s="47" t="n"/>
      <c r="J47" s="47" t="inlineStr">
        <is>
          <t>Maximum 48 characters</t>
        </is>
      </c>
      <c r="K47" s="51" t="inlineStr">
        <is>
          <t>N</t>
        </is>
      </c>
      <c r="L47" s="47" t="inlineStr">
        <is>
          <t>A value that can be applied to a custom field at the allocation level of a purchase order. Custom fields will be validated using the configured custom field definitions.</t>
        </is>
      </c>
    </row>
    <row r="48">
      <c r="A48" s="36" t="inlineStr">
        <is>
          <t>Custom_19</t>
        </is>
      </c>
      <c r="B48" s="38" t="n"/>
      <c r="C48" s="38" t="n"/>
      <c r="D48" s="38" t="n"/>
      <c r="E48" s="38" t="n"/>
      <c r="F48" s="38" t="n"/>
      <c r="G48" s="38" t="n"/>
      <c r="H48" s="41" t="n"/>
      <c r="I48" s="41" t="n"/>
      <c r="J48" s="41" t="inlineStr">
        <is>
          <t>Maximum 48 characters</t>
        </is>
      </c>
      <c r="K48" s="49" t="inlineStr">
        <is>
          <t>N</t>
        </is>
      </c>
      <c r="L48" s="41" t="inlineStr">
        <is>
          <t>A value that can be applied to a custom field at the allocation level of a purchase order. Custom fields will be validated using the configured custom field definitions.</t>
        </is>
      </c>
    </row>
    <row r="49">
      <c r="A49" s="43" t="inlineStr">
        <is>
          <t>Custom_20</t>
        </is>
      </c>
      <c r="B49" s="38" t="n"/>
      <c r="C49" s="38" t="n"/>
      <c r="D49" s="38" t="n"/>
      <c r="E49" s="38" t="n"/>
      <c r="F49" s="38" t="n"/>
      <c r="G49" s="38" t="n"/>
      <c r="H49" s="47" t="n"/>
      <c r="I49" s="47" t="n"/>
      <c r="J49" s="47" t="inlineStr">
        <is>
          <t>Maximum 48 characters</t>
        </is>
      </c>
      <c r="K49" s="51" t="inlineStr">
        <is>
          <t>N</t>
        </is>
      </c>
      <c r="L49" s="47" t="inlineStr">
        <is>
          <t>A value that can be applied to a custom field at the allocation level of a purchase order. Custom fields will be validated using the configured custom field definitions.</t>
        </is>
      </c>
    </row>
  </sheetData>
  <autoFilter ref="A7:L49"/>
  <hyperlinks>
    <hyperlink xmlns:r="http://schemas.openxmlformats.org/officeDocument/2006/relationships" ref="A3" r:id="rId1"/>
    <hyperlink ref="A5" location="Index!A1" display="Back to Index"/>
  </hyperlinks>
  <pageMargins left="0.75" right="0.75" top="1" bottom="1" header="0.5" footer="0.5"/>
  <pageSetup orientation="landscape" fitToWidth="1"/>
</worksheet>
</file>

<file path=xl/worksheets/sheet10.xml><?xml version="1.0" encoding="utf-8"?>
<worksheet xmlns="http://schemas.openxmlformats.org/spreadsheetml/2006/main">
  <sheetPr>
    <outlinePr summaryBelow="1" summaryRight="1"/>
    <pageSetUpPr fitToPage="1"/>
  </sheetPr>
  <dimension ref="A1:L36"/>
  <sheetViews>
    <sheetView showGridLines="0" workbookViewId="0">
      <pane xSplit="1" ySplit="7" topLeftCell="B8" activePane="bottomRight" state="frozen"/>
      <selection pane="topRight" activeCell="A1" sqref="A1"/>
      <selection pane="bottomLeft" activeCell="A1" sqref="A1"/>
      <selection pane="bottomRight" activeCell="A1" sqref="A1"/>
    </sheetView>
  </sheetViews>
  <sheetFormatPr baseColWidth="8" defaultRowHeight="15"/>
  <cols>
    <col width="30" customWidth="1" min="1" max="1"/>
    <col width="24" customWidth="1" min="2" max="2"/>
    <col width="26" customWidth="1" min="3" max="3"/>
    <col width="26" customWidth="1" min="4" max="4"/>
    <col width="52" customWidth="1" min="5" max="5"/>
    <col width="24" customWidth="1" min="6" max="6"/>
    <col width="40" customWidth="1" min="7" max="7"/>
    <col width="26" customWidth="1" min="8" max="8"/>
    <col width="26" customWidth="1" min="9" max="9"/>
    <col width="30" customWidth="1" min="10" max="10"/>
    <col width="11" customWidth="1" min="11" max="11"/>
    <col width="62" customWidth="1" min="12" max="12"/>
  </cols>
  <sheetData>
    <row r="1">
      <c r="A1" s="28" t="inlineStr">
        <is>
          <t>Purchase Order Receipt Header (Record Type 200) Format</t>
        </is>
      </c>
    </row>
    <row r="2">
      <c r="A2" s="29" t="inlineStr">
        <is>
          <t>Section: Purchase Order Receipt v2</t>
        </is>
      </c>
    </row>
    <row r="3">
      <c r="A3" s="30" t="inlineStr">
        <is>
          <t>https://help.sap.com/docs/concur-invoice/concur-invoice-professional-edition-administration-guides/purchase-order-receipt-header-record-type-200-format</t>
        </is>
      </c>
    </row>
    <row r="4">
      <c r="A4" s="31" t="inlineStr">
        <is>
          <t>Source: SAP Help Portal, Concur Invoice Professional Edition Administration Guides (2026_08). Retrieved 2026-09-11. Ranged fields in the source are expanded to one row per field; each shares the range's definition and description.</t>
        </is>
      </c>
    </row>
    <row r="5" ht="18" customHeight="1">
      <c r="A5" s="12" t="inlineStr">
        <is>
          <t>◀  Back to Index</t>
        </is>
      </c>
    </row>
    <row r="6">
      <c r="A6" s="32" t="inlineStr">
        <is>
          <t>Extract chain: App_Concur.dbo.p_concurinvoicepo_get_poreceipt  &lt;-  App_Concur.dbo.vw_concur_extract_po_line_receipt  &lt;-  M3: MPLIND (polr) / MPLINE (pol) / MPHEAD (poh) / CIDADR (addr), FGRECL anti-join; filters ICCONO = '910', ICPUOS in (75), F2IMST &lt;&gt; '9'   |   JBA: AULT2F2PRD.PMP09 (a) LEFT JOIN AULT2F2PRD.PMP02 (b, DTLC02 = 9999999); filters ORDT02 &gt;= 1130101, ACRC09 &lt;&gt; 'C'   |   ERP SQL lives in the SSIS packages — see the Sources tab.   |   Samples: M3 = PO 2100003074 receipt 1, JBA = PO 7710284 receipt (line 5) (from the delivered files; '(blank)' means the field was empty)</t>
        </is>
      </c>
    </row>
    <row r="7" ht="30" customHeight="1">
      <c r="A7" s="13" t="inlineStr">
        <is>
          <t>Field Name</t>
        </is>
      </c>
      <c r="B7" s="33" t="inlineStr">
        <is>
          <t>Mapped From (proc)</t>
        </is>
      </c>
      <c r="C7" s="33" t="inlineStr">
        <is>
          <t>View Column</t>
        </is>
      </c>
      <c r="D7" s="33" t="inlineStr">
        <is>
          <t>M3 Source Field</t>
        </is>
      </c>
      <c r="E7" s="33" t="inlineStr">
        <is>
          <t>M3 Derivation</t>
        </is>
      </c>
      <c r="F7" s="34" t="inlineStr">
        <is>
          <t>JBA Source Field</t>
        </is>
      </c>
      <c r="G7" s="34" t="inlineStr">
        <is>
          <t>JBA Derivation</t>
        </is>
      </c>
      <c r="H7" s="35" t="inlineStr">
        <is>
          <t>Sample - M3</t>
        </is>
      </c>
      <c r="I7" s="35" t="inlineStr">
        <is>
          <t>Sample - JBA</t>
        </is>
      </c>
      <c r="J7" s="13" t="inlineStr">
        <is>
          <t>Definition</t>
        </is>
      </c>
      <c r="K7" s="13" t="inlineStr">
        <is>
          <t>Required?</t>
        </is>
      </c>
      <c r="L7" s="13" t="inlineStr">
        <is>
          <t>Description</t>
        </is>
      </c>
    </row>
    <row r="8">
      <c r="A8" s="36" t="inlineStr">
        <is>
          <t>Record Type</t>
        </is>
      </c>
      <c r="B8" s="37" t="inlineStr">
        <is>
          <t>record_type</t>
        </is>
      </c>
      <c r="C8" s="38" t="n"/>
      <c r="D8" s="38" t="n"/>
      <c r="E8" s="39" t="inlineStr">
        <is>
          <t>Literal 200 in the proc.</t>
        </is>
      </c>
      <c r="F8" s="38" t="n"/>
      <c r="G8" s="55" t="inlineStr">
        <is>
          <t>Literal 200 in the proc.</t>
        </is>
      </c>
      <c r="H8" s="40" t="inlineStr">
        <is>
          <t>200</t>
        </is>
      </c>
      <c r="I8" s="40" t="inlineStr">
        <is>
          <t>200</t>
        </is>
      </c>
      <c r="J8" s="41" t="inlineStr">
        <is>
          <t>200</t>
        </is>
      </c>
      <c r="K8" s="42" t="inlineStr">
        <is>
          <t>Y</t>
        </is>
      </c>
      <c r="L8" s="41" t="inlineStr">
        <is>
          <t>This is a static value always equal to 200. It indicates the Record Type.</t>
        </is>
      </c>
    </row>
    <row r="9">
      <c r="A9" s="43" t="inlineStr">
        <is>
          <t>Purchase Order Number</t>
        </is>
      </c>
      <c r="B9" s="44" t="inlineStr">
        <is>
          <t>purchase_order_number</t>
        </is>
      </c>
      <c r="C9" s="44" t="inlineStr">
        <is>
          <t>po_num</t>
        </is>
      </c>
      <c r="D9" s="44" t="inlineStr">
        <is>
          <t>MPLIND.ICPUNO</t>
        </is>
      </c>
      <c r="E9" s="45" t="inlineStr">
        <is>
          <t>cast(ICPUNO as nvarchar(15))</t>
        </is>
      </c>
      <c r="F9" s="56" t="inlineStr">
        <is>
          <t>PMP09.ORDN09</t>
        </is>
      </c>
      <c r="G9" s="57" t="inlineStr">
        <is>
          <t>Selected as po_num.</t>
        </is>
      </c>
      <c r="H9" s="46" t="inlineStr">
        <is>
          <t>2100003074</t>
        </is>
      </c>
      <c r="I9" s="46" t="inlineStr">
        <is>
          <t>7710284</t>
        </is>
      </c>
      <c r="J9" s="47" t="inlineStr">
        <is>
          <t>Maximum 32 characters</t>
        </is>
      </c>
      <c r="K9" s="42" t="inlineStr">
        <is>
          <t>Y</t>
        </is>
      </c>
      <c r="L9" s="47" t="inlineStr">
        <is>
          <t>The unique identifier for the Purchase Order.</t>
        </is>
      </c>
    </row>
    <row r="10">
      <c r="A10" s="36" t="inlineStr">
        <is>
          <t>Line Item External ID</t>
        </is>
      </c>
      <c r="B10" s="37" t="inlineStr">
        <is>
          <t>line_item_external_id</t>
        </is>
      </c>
      <c r="C10" s="37" t="inlineStr">
        <is>
          <t>entity_id + po_num + po_line + po_seq</t>
        </is>
      </c>
      <c r="D10" s="37" t="inlineStr">
        <is>
          <t>MPLIND.ICPUNO + MPLIND.ICPNLI + MPLINE.IBPNLS</t>
        </is>
      </c>
      <c r="E10" s="39" t="inlineStr">
        <is>
          <t>Proc concatenates entity_id + po_num + po_line + po_seq, cast to varchar(100). NOTE: neither ERP select supplied produces entity_id — both return system_entity_id only. The staging views clearly expose entity_id (every proc uses it), so it is added elsewhere in the view stack; confirm what it holds, because all the External ID keys depend on it.</t>
        </is>
      </c>
      <c r="F10" s="54" t="inlineStr">
        <is>
          <t>PMP09.ORDN09 + PMP09.LINE09 + PMP09.BRS#09</t>
        </is>
      </c>
      <c r="G10" s="58" t="inlineStr">
        <is>
          <t>⚠ Same entity_id question as M3: JBA supplies system_entity_id (PMP09.CONO09) and no entity_id. Must equal the 300 line record's External ID byte for byte.</t>
        </is>
      </c>
      <c r="H10" s="40" t="inlineStr">
        <is>
          <t>0088210000307410</t>
        </is>
      </c>
      <c r="I10" s="40" t="inlineStr">
        <is>
          <t>0096771028450</t>
        </is>
      </c>
      <c r="J10" s="41" t="inlineStr">
        <is>
          <t>Maximum 100 characters</t>
        </is>
      </c>
      <c r="K10" s="42" t="inlineStr">
        <is>
          <t>Y</t>
        </is>
      </c>
      <c r="L10" s="41" t="inlineStr">
        <is>
          <t>A customer-supplied value that identifies a specific line item of a Purchase Order Request and links the line item to a goods receipt. This value must match the External ID of the corresponding PO line item.</t>
        </is>
      </c>
    </row>
    <row r="11">
      <c r="A11" s="43" t="inlineStr">
        <is>
          <t>Goods Receipt Number</t>
        </is>
      </c>
      <c r="B11" s="44" t="inlineStr">
        <is>
          <t>goods_receipt_number</t>
        </is>
      </c>
      <c r="C11" s="44" t="inlineStr">
        <is>
          <t>external_id (fallback: system_entity_id + po_num + po_seq + ROW_NUMBER)</t>
        </is>
      </c>
      <c r="D11" s="44" t="inlineStr">
        <is>
          <t>MPLIND.ICCONO + ICPUNO + ICPNLI + ICPNLS + ICPNLX</t>
        </is>
      </c>
      <c r="E11" s="45" t="inlineStr">
        <is>
          <t>View: cast(CONCAT(ICCONO, ICPUNO, ICPNLI, ICPNLS, ICPNLX) as varchar(50)).</t>
        </is>
      </c>
      <c r="F11" s="53" t="inlineStr">
        <is>
          <t>⚠ none</t>
        </is>
      </c>
      <c r="G11" s="53" t="inlineStr">
        <is>
          <t>⚠ The JBA select returns no external_id, so every JBA row falls through to the proc's ROW_NUMBER fallback key, which renumbers as data changes and is not stable across runs.</t>
        </is>
      </c>
      <c r="H11" s="46" t="inlineStr">
        <is>
          <t>9102100003074101</t>
        </is>
      </c>
      <c r="I11" s="46" t="inlineStr">
        <is>
          <t>76771028401</t>
        </is>
      </c>
      <c r="J11" s="47" t="inlineStr">
        <is>
          <t>Maximum 255 characters</t>
        </is>
      </c>
      <c r="K11" s="51" t="inlineStr">
        <is>
          <t>N</t>
        </is>
      </c>
      <c r="L11" s="47" t="inlineStr">
        <is>
          <t>A customer-supplied value that uniquely identifies the receipt with in a purchase order line item.</t>
        </is>
      </c>
    </row>
    <row r="12">
      <c r="A12" s="36" t="inlineStr">
        <is>
          <t>Delivery Slip Number</t>
        </is>
      </c>
      <c r="B12" s="37" t="inlineStr">
        <is>
          <t>delivery_slip_number</t>
        </is>
      </c>
      <c r="C12" s="37" t="inlineStr">
        <is>
          <t>packing_slip</t>
        </is>
      </c>
      <c r="D12" s="37" t="inlineStr">
        <is>
          <t>MPLIND.ICSUDO</t>
        </is>
      </c>
      <c r="E12" s="39" t="inlineStr">
        <is>
          <t>cast(ICSUDO as nvarchar(20)); proc casts to varchar(255)</t>
        </is>
      </c>
      <c r="F12" s="58" t="inlineStr">
        <is>
          <t>⚠ none</t>
        </is>
      </c>
      <c r="G12" s="58" t="inlineStr">
        <is>
          <t>⚠ No packing_slip column in the JBA select — this field will be empty for JBA.</t>
        </is>
      </c>
      <c r="H12" s="40" t="inlineStr">
        <is>
          <t>54305329</t>
        </is>
      </c>
      <c r="I12" s="48" t="inlineStr">
        <is>
          <t>(blank)</t>
        </is>
      </c>
      <c r="J12" s="41" t="inlineStr">
        <is>
          <t>Maximum 255 characters</t>
        </is>
      </c>
      <c r="K12" s="49" t="inlineStr">
        <is>
          <t>N</t>
        </is>
      </c>
      <c r="L12" s="41" t="inlineStr">
        <is>
          <t>A customer-supplied value that will capture the receipt number for a receipt within a purchase order line item.</t>
        </is>
      </c>
    </row>
    <row r="13">
      <c r="A13" s="43" t="inlineStr">
        <is>
          <t>UOM Code</t>
        </is>
      </c>
      <c r="B13" s="44" t="inlineStr">
        <is>
          <t>uom_code</t>
        </is>
      </c>
      <c r="C13" s="44" t="inlineStr">
        <is>
          <t>unit_of_measure_order</t>
        </is>
      </c>
      <c r="D13" s="44" t="inlineStr">
        <is>
          <t>MPLINE.IBPUUN</t>
        </is>
      </c>
      <c r="E13" s="45" t="inlineStr">
        <is>
          <t>cast(IBPUUN as nvarchar(10))</t>
        </is>
      </c>
      <c r="F13" s="56" t="inlineStr">
        <is>
          <t>PMP09.OUOM09</t>
        </is>
      </c>
      <c r="G13" s="57" t="inlineStr">
        <is>
          <t>Order UOM. Stock UOM is IUOM09, purchase UOM is RUOM09.</t>
        </is>
      </c>
      <c r="H13" s="46" t="inlineStr">
        <is>
          <t>EA</t>
        </is>
      </c>
      <c r="I13" s="46" t="inlineStr">
        <is>
          <t>IN</t>
        </is>
      </c>
      <c r="J13" s="47" t="inlineStr">
        <is>
          <t>Maximum 10 characters</t>
        </is>
      </c>
      <c r="K13" s="51" t="inlineStr">
        <is>
          <t>N</t>
        </is>
      </c>
      <c r="L13" s="47" t="inlineStr">
        <is>
          <t>The Unit of Measure code of each item of the receipt within a purchase order line item.</t>
        </is>
      </c>
    </row>
    <row r="14">
      <c r="A14" s="36" t="inlineStr">
        <is>
          <t>Received Quantity</t>
        </is>
      </c>
      <c r="B14" s="37" t="inlineStr">
        <is>
          <t>received_quantity</t>
        </is>
      </c>
      <c r="C14" s="37" t="inlineStr">
        <is>
          <t>qty_received</t>
        </is>
      </c>
      <c r="D14" s="37" t="inlineStr">
        <is>
          <t>MPLIND.ICRPQT</t>
        </is>
      </c>
      <c r="E14" s="39" t="inlineStr">
        <is>
          <t>Received qty. Ordered qty is ICRPQA (view column qty_ordered), not sent.</t>
        </is>
      </c>
      <c r="F14" s="54" t="inlineStr">
        <is>
          <t>PMP09.TQTY09</t>
        </is>
      </c>
      <c r="G14" s="55" t="inlineStr">
        <is>
          <t>Received qty. Ordered qty is OQTY09.</t>
        </is>
      </c>
      <c r="H14" s="40" t="inlineStr">
        <is>
          <t>36</t>
        </is>
      </c>
      <c r="I14" s="40" t="inlineStr">
        <is>
          <t>290</t>
        </is>
      </c>
      <c r="J14" s="41" t="inlineStr">
        <is>
          <t>Number</t>
        </is>
      </c>
      <c r="K14" s="49" t="inlineStr">
        <is>
          <t>N</t>
        </is>
      </c>
      <c r="L14" s="41" t="inlineStr">
        <is>
          <t>The quantity received for this line item.</t>
        </is>
      </c>
    </row>
    <row r="15">
      <c r="A15" s="43" t="inlineStr">
        <is>
          <t>Received Date</t>
        </is>
      </c>
      <c r="B15" s="44" t="inlineStr">
        <is>
          <t>received_date</t>
        </is>
      </c>
      <c r="C15" s="44" t="inlineStr">
        <is>
          <t>date_received</t>
        </is>
      </c>
      <c r="D15" s="44" t="inlineStr">
        <is>
          <t>MPLIND.ICPLDT</t>
        </is>
      </c>
      <c r="E15" s="45" t="inlineStr">
        <is>
          <t>case when ICPLDT = 0 then null else convert(date, cast(ICPLDT as nvarchar(10))) end. NOTE: ICPLDT is the planned delivery date and also feeds due_date.</t>
        </is>
      </c>
      <c r="F15" s="56" t="inlineStr">
        <is>
          <t>PMP09.RECD09</t>
        </is>
      </c>
      <c r="G15" s="53" t="inlineStr">
        <is>
          <t>⚠ DATE(TIMESTAMP_FORMAT(CAST(RECD09 + 19000000 AS VARCHAR(20)), 'YYYYMMDD')) — no guard for RECD09 = 0 (unreceived), which yields '19000000' and an invalid date. JBA holds a true receipt date here, separate from due date DUED09.</t>
        </is>
      </c>
      <c r="H15" s="46" t="inlineStr">
        <is>
          <t>2026-06-20</t>
        </is>
      </c>
      <c r="I15" s="46" t="inlineStr">
        <is>
          <t>2026-01-20</t>
        </is>
      </c>
      <c r="J15" s="47" t="inlineStr">
        <is>
          <t>Date format of YYYY-MM-DD</t>
        </is>
      </c>
      <c r="K15" s="51" t="inlineStr">
        <is>
          <t>N</t>
        </is>
      </c>
      <c r="L15" s="47" t="inlineStr">
        <is>
          <t>The date on which the line items were received.</t>
        </is>
      </c>
    </row>
    <row r="16">
      <c r="A16" s="36" t="inlineStr">
        <is>
          <t>Is Deleted</t>
        </is>
      </c>
      <c r="B16" s="37" t="inlineStr">
        <is>
          <t>is_deleted</t>
        </is>
      </c>
      <c r="C16" s="38" t="n"/>
      <c r="D16" s="38" t="n"/>
      <c r="E16" s="39" t="inlineStr">
        <is>
          <t>Literal '' (empty string). Spec defaults blank to N.</t>
        </is>
      </c>
      <c r="F16" s="38" t="n"/>
      <c r="G16" s="55" t="inlineStr">
        <is>
          <t>Literal '' (empty string). Spec defaults blank to N.</t>
        </is>
      </c>
      <c r="H16" s="48" t="inlineStr">
        <is>
          <t>(blank)</t>
        </is>
      </c>
      <c r="I16" s="48" t="inlineStr">
        <is>
          <t>(blank)</t>
        </is>
      </c>
      <c r="J16" s="41" t="inlineStr">
        <is>
          <t>Boolean Y/N</t>
        </is>
      </c>
      <c r="K16" s="49" t="inlineStr">
        <is>
          <t>N</t>
        </is>
      </c>
      <c r="L16" s="41" t="inlineStr">
        <is>
          <t>An indicator of whether a receipt that is getting imported is deleted or not. Default is N.
Note: If a Purchase Order Receipt is matched to an invoice, the receipt cannot be deleted using the import file.</t>
        </is>
      </c>
    </row>
    <row r="17">
      <c r="A17" s="43" t="inlineStr">
        <is>
          <t>Future_Use_1</t>
        </is>
      </c>
      <c r="B17" s="44" t="inlineStr">
        <is>
          <t>future_use_1</t>
        </is>
      </c>
      <c r="C17" s="38" t="n"/>
      <c r="D17" s="38" t="n"/>
      <c r="E17" s="45" t="inlineStr">
        <is>
          <t>cast(null as varchar(50)) in the proc.</t>
        </is>
      </c>
      <c r="F17" s="38" t="n"/>
      <c r="G17" s="57" t="inlineStr">
        <is>
          <t>cast(null as varchar(50)) in the proc.</t>
        </is>
      </c>
      <c r="H17" s="50" t="inlineStr">
        <is>
          <t>(blank)</t>
        </is>
      </c>
      <c r="I17" s="50" t="inlineStr">
        <is>
          <t>(blank)</t>
        </is>
      </c>
      <c r="J17" s="47" t="n"/>
      <c r="K17" s="51" t="inlineStr">
        <is>
          <t>N</t>
        </is>
      </c>
      <c r="L17" s="47" t="inlineStr">
        <is>
          <t>The future_use fields are currently not in use. You can account for them in your import, but do not put any data into them. All data will be ignored.</t>
        </is>
      </c>
    </row>
    <row r="18">
      <c r="A18" s="36" t="inlineStr">
        <is>
          <t>Future_Use_2</t>
        </is>
      </c>
      <c r="B18" s="37" t="inlineStr">
        <is>
          <t>future_use_2</t>
        </is>
      </c>
      <c r="C18" s="38" t="n"/>
      <c r="D18" s="38" t="n"/>
      <c r="E18" s="39" t="inlineStr">
        <is>
          <t>cast(null as varchar(50)) in the proc.</t>
        </is>
      </c>
      <c r="F18" s="38" t="n"/>
      <c r="G18" s="55" t="inlineStr">
        <is>
          <t>cast(null as varchar(50)) in the proc.</t>
        </is>
      </c>
      <c r="H18" s="48" t="inlineStr">
        <is>
          <t>(blank)</t>
        </is>
      </c>
      <c r="I18" s="48" t="inlineStr">
        <is>
          <t>(blank)</t>
        </is>
      </c>
      <c r="J18" s="41" t="n"/>
      <c r="K18" s="49" t="inlineStr">
        <is>
          <t>N</t>
        </is>
      </c>
      <c r="L18" s="41" t="inlineStr">
        <is>
          <t>The future_use fields are currently not in use. You can account for them in your import, but do not put any data into them. All data will be ignored.</t>
        </is>
      </c>
    </row>
    <row r="19">
      <c r="A19" s="43" t="inlineStr">
        <is>
          <t>Future_Use_3</t>
        </is>
      </c>
      <c r="B19" s="44" t="inlineStr">
        <is>
          <t>future_use_3</t>
        </is>
      </c>
      <c r="C19" s="38" t="n"/>
      <c r="D19" s="38" t="n"/>
      <c r="E19" s="45" t="inlineStr">
        <is>
          <t>cast(null as varchar(50)) in the proc.</t>
        </is>
      </c>
      <c r="F19" s="38" t="n"/>
      <c r="G19" s="57" t="inlineStr">
        <is>
          <t>cast(null as varchar(50)) in the proc.</t>
        </is>
      </c>
      <c r="H19" s="50" t="inlineStr">
        <is>
          <t>(blank)</t>
        </is>
      </c>
      <c r="I19" s="50" t="inlineStr">
        <is>
          <t>(blank)</t>
        </is>
      </c>
      <c r="J19" s="47" t="n"/>
      <c r="K19" s="51" t="inlineStr">
        <is>
          <t>N</t>
        </is>
      </c>
      <c r="L19" s="47" t="inlineStr">
        <is>
          <t>The future_use fields are currently not in use. You can account for them in your import, but do not put any data into them. All data will be ignored.</t>
        </is>
      </c>
    </row>
    <row r="20">
      <c r="A20" s="36" t="inlineStr">
        <is>
          <t>Future_Use_4</t>
        </is>
      </c>
      <c r="B20" s="37" t="inlineStr">
        <is>
          <t>future_use_4</t>
        </is>
      </c>
      <c r="C20" s="38" t="n"/>
      <c r="D20" s="38" t="n"/>
      <c r="E20" s="39" t="inlineStr">
        <is>
          <t>cast(null as varchar(50)) in the proc.</t>
        </is>
      </c>
      <c r="F20" s="38" t="n"/>
      <c r="G20" s="55" t="inlineStr">
        <is>
          <t>cast(null as varchar(50)) in the proc.</t>
        </is>
      </c>
      <c r="H20" s="48" t="inlineStr">
        <is>
          <t>(blank)</t>
        </is>
      </c>
      <c r="I20" s="48" t="inlineStr">
        <is>
          <t>(blank)</t>
        </is>
      </c>
      <c r="J20" s="41" t="n"/>
      <c r="K20" s="49" t="inlineStr">
        <is>
          <t>N</t>
        </is>
      </c>
      <c r="L20" s="41" t="inlineStr">
        <is>
          <t>The future_use fields are currently not in use. You can account for them in your import, but do not put any data into them. All data will be ignored.</t>
        </is>
      </c>
    </row>
    <row r="21">
      <c r="A21" s="43" t="inlineStr">
        <is>
          <t>Future_Use_5</t>
        </is>
      </c>
      <c r="B21" s="44" t="inlineStr">
        <is>
          <t>future_use_5</t>
        </is>
      </c>
      <c r="C21" s="38" t="n"/>
      <c r="D21" s="38" t="n"/>
      <c r="E21" s="45" t="inlineStr">
        <is>
          <t>cast(null as varchar(50)) in the proc.</t>
        </is>
      </c>
      <c r="F21" s="38" t="n"/>
      <c r="G21" s="57" t="inlineStr">
        <is>
          <t>cast(null as varchar(50)) in the proc.</t>
        </is>
      </c>
      <c r="H21" s="50" t="inlineStr">
        <is>
          <t>(blank)</t>
        </is>
      </c>
      <c r="I21" s="50" t="inlineStr">
        <is>
          <t>(blank)</t>
        </is>
      </c>
      <c r="J21" s="47" t="n"/>
      <c r="K21" s="51" t="inlineStr">
        <is>
          <t>N</t>
        </is>
      </c>
      <c r="L21" s="47" t="inlineStr">
        <is>
          <t>The future_use fields are currently not in use. You can account for them in your import, but do not put any data into them. All data will be ignored.</t>
        </is>
      </c>
    </row>
    <row r="22">
      <c r="A22" s="36" t="inlineStr">
        <is>
          <t>Future_Use_6</t>
        </is>
      </c>
      <c r="B22" s="37" t="inlineStr">
        <is>
          <t>future_use_6</t>
        </is>
      </c>
      <c r="C22" s="38" t="n"/>
      <c r="D22" s="38" t="n"/>
      <c r="E22" s="39" t="inlineStr">
        <is>
          <t>cast(null as varchar(50)) in the proc.</t>
        </is>
      </c>
      <c r="F22" s="38" t="n"/>
      <c r="G22" s="55" t="inlineStr">
        <is>
          <t>cast(null as varchar(50)) in the proc.</t>
        </is>
      </c>
      <c r="H22" s="48" t="inlineStr">
        <is>
          <t>(blank)</t>
        </is>
      </c>
      <c r="I22" s="48" t="inlineStr">
        <is>
          <t>(blank)</t>
        </is>
      </c>
      <c r="J22" s="41" t="n"/>
      <c r="K22" s="49" t="inlineStr">
        <is>
          <t>N</t>
        </is>
      </c>
      <c r="L22" s="41" t="inlineStr">
        <is>
          <t>The future_use fields are currently not in use. You can account for them in your import, but do not put any data into them. All data will be ignored.</t>
        </is>
      </c>
    </row>
    <row r="23">
      <c r="A23" s="43" t="inlineStr">
        <is>
          <t>Future_Use_7</t>
        </is>
      </c>
      <c r="B23" s="44" t="inlineStr">
        <is>
          <t>future_use_7</t>
        </is>
      </c>
      <c r="C23" s="38" t="n"/>
      <c r="D23" s="38" t="n"/>
      <c r="E23" s="45" t="inlineStr">
        <is>
          <t>cast(null as varchar(50)) in the proc.</t>
        </is>
      </c>
      <c r="F23" s="38" t="n"/>
      <c r="G23" s="57" t="inlineStr">
        <is>
          <t>cast(null as varchar(50)) in the proc.</t>
        </is>
      </c>
      <c r="H23" s="50" t="inlineStr">
        <is>
          <t>(blank)</t>
        </is>
      </c>
      <c r="I23" s="50" t="inlineStr">
        <is>
          <t>(blank)</t>
        </is>
      </c>
      <c r="J23" s="47" t="n"/>
      <c r="K23" s="51" t="inlineStr">
        <is>
          <t>N</t>
        </is>
      </c>
      <c r="L23" s="47" t="inlineStr">
        <is>
          <t>The future_use fields are currently not in use. You can account for them in your import, but do not put any data into them. All data will be ignored.</t>
        </is>
      </c>
    </row>
    <row r="24">
      <c r="A24" s="36" t="inlineStr">
        <is>
          <t>Future_Use_8</t>
        </is>
      </c>
      <c r="B24" s="37" t="inlineStr">
        <is>
          <t>future_use_8</t>
        </is>
      </c>
      <c r="C24" s="38" t="n"/>
      <c r="D24" s="38" t="n"/>
      <c r="E24" s="39" t="inlineStr">
        <is>
          <t>cast(null as varchar(50)) in the proc.</t>
        </is>
      </c>
      <c r="F24" s="38" t="n"/>
      <c r="G24" s="55" t="inlineStr">
        <is>
          <t>cast(null as varchar(50)) in the proc.</t>
        </is>
      </c>
      <c r="H24" s="48" t="inlineStr">
        <is>
          <t>(blank)</t>
        </is>
      </c>
      <c r="I24" s="48" t="inlineStr">
        <is>
          <t>(blank)</t>
        </is>
      </c>
      <c r="J24" s="41" t="n"/>
      <c r="K24" s="49" t="inlineStr">
        <is>
          <t>N</t>
        </is>
      </c>
      <c r="L24" s="41" t="inlineStr">
        <is>
          <t>The future_use fields are currently not in use. You can account for them in your import, but do not put any data into them. All data will be ignored.</t>
        </is>
      </c>
    </row>
    <row r="25">
      <c r="A25" s="43" t="inlineStr">
        <is>
          <t>Future_Use_9</t>
        </is>
      </c>
      <c r="B25" s="44" t="inlineStr">
        <is>
          <t>future_use_9</t>
        </is>
      </c>
      <c r="C25" s="38" t="n"/>
      <c r="D25" s="38" t="n"/>
      <c r="E25" s="45" t="inlineStr">
        <is>
          <t>cast(null as varchar(50)) in the proc.</t>
        </is>
      </c>
      <c r="F25" s="38" t="n"/>
      <c r="G25" s="57" t="inlineStr">
        <is>
          <t>cast(null as varchar(50)) in the proc.</t>
        </is>
      </c>
      <c r="H25" s="50" t="inlineStr">
        <is>
          <t>(blank)</t>
        </is>
      </c>
      <c r="I25" s="50" t="inlineStr">
        <is>
          <t>(blank)</t>
        </is>
      </c>
      <c r="J25" s="47" t="n"/>
      <c r="K25" s="51" t="inlineStr">
        <is>
          <t>N</t>
        </is>
      </c>
      <c r="L25" s="47" t="inlineStr">
        <is>
          <t>The future_use fields are currently not in use. You can account for them in your import, but do not put any data into them. All data will be ignored.</t>
        </is>
      </c>
    </row>
    <row r="26">
      <c r="A26" s="36" t="inlineStr">
        <is>
          <t>Future_Use_10</t>
        </is>
      </c>
      <c r="B26" s="37" t="inlineStr">
        <is>
          <t>future_use_10</t>
        </is>
      </c>
      <c r="C26" s="38" t="n"/>
      <c r="D26" s="38" t="n"/>
      <c r="E26" s="39" t="inlineStr">
        <is>
          <t>cast(null as varchar(50)) in the proc.</t>
        </is>
      </c>
      <c r="F26" s="38" t="n"/>
      <c r="G26" s="55" t="inlineStr">
        <is>
          <t>cast(null as varchar(50)) in the proc.</t>
        </is>
      </c>
      <c r="H26" s="48" t="inlineStr">
        <is>
          <t>(blank)</t>
        </is>
      </c>
      <c r="I26" s="48" t="inlineStr">
        <is>
          <t>(blank)</t>
        </is>
      </c>
      <c r="J26" s="41" t="n"/>
      <c r="K26" s="49" t="inlineStr">
        <is>
          <t>N</t>
        </is>
      </c>
      <c r="L26" s="41" t="inlineStr">
        <is>
          <t>The future_use fields are currently not in use. You can account for them in your import, but do not put any data into them. All data will be ignored.</t>
        </is>
      </c>
    </row>
    <row r="27">
      <c r="A27" s="43" t="inlineStr">
        <is>
          <t>Custom_1</t>
        </is>
      </c>
      <c r="B27" s="44" t="inlineStr">
        <is>
          <t>custom_1</t>
        </is>
      </c>
      <c r="C27" s="38" t="n"/>
      <c r="D27" s="38" t="n"/>
      <c r="E27" s="45" t="inlineStr">
        <is>
          <t>cast(null as varchar(50)) in the proc.</t>
        </is>
      </c>
      <c r="F27" s="38" t="n"/>
      <c r="G27" s="57" t="inlineStr">
        <is>
          <t>cast(null as varchar(50)) in the proc.</t>
        </is>
      </c>
      <c r="H27" s="50" t="inlineStr">
        <is>
          <t>(blank)</t>
        </is>
      </c>
      <c r="I27" s="50" t="inlineStr">
        <is>
          <t>(blank)</t>
        </is>
      </c>
      <c r="J27" s="47" t="inlineStr">
        <is>
          <t>Maximum 48 characters</t>
        </is>
      </c>
      <c r="K27" s="51" t="inlineStr">
        <is>
          <t>N</t>
        </is>
      </c>
      <c r="L27" s="47" t="inlineStr">
        <is>
          <t>A value that can be applied to a custom field of the same name that is part of the receipt information under a purchase order line item form.
Custom fields will be validated using the configured custom field definitions.</t>
        </is>
      </c>
    </row>
    <row r="28">
      <c r="A28" s="36" t="inlineStr">
        <is>
          <t>Custom_2</t>
        </is>
      </c>
      <c r="B28" s="37" t="inlineStr">
        <is>
          <t>custom_2</t>
        </is>
      </c>
      <c r="C28" s="38" t="n"/>
      <c r="D28" s="38" t="n"/>
      <c r="E28" s="39" t="inlineStr">
        <is>
          <t>cast(null as varchar(50)) in the proc.</t>
        </is>
      </c>
      <c r="F28" s="38" t="n"/>
      <c r="G28" s="55" t="inlineStr">
        <is>
          <t>cast(null as varchar(50)) in the proc.</t>
        </is>
      </c>
      <c r="H28" s="48" t="inlineStr">
        <is>
          <t>(blank)</t>
        </is>
      </c>
      <c r="I28" s="48" t="inlineStr">
        <is>
          <t>(blank)</t>
        </is>
      </c>
      <c r="J28" s="41" t="inlineStr">
        <is>
          <t>Maximum 48 characters</t>
        </is>
      </c>
      <c r="K28" s="49" t="inlineStr">
        <is>
          <t>N</t>
        </is>
      </c>
      <c r="L28" s="41" t="inlineStr">
        <is>
          <t>A value that can be applied to a custom field of the same name that is part of the receipt information under a purchase order line item form.
Custom fields will be validated using the configured custom field definitions.</t>
        </is>
      </c>
    </row>
    <row r="29">
      <c r="A29" s="43" t="inlineStr">
        <is>
          <t>Custom_3</t>
        </is>
      </c>
      <c r="B29" s="44" t="inlineStr">
        <is>
          <t>custom_3</t>
        </is>
      </c>
      <c r="C29" s="38" t="n"/>
      <c r="D29" s="38" t="n"/>
      <c r="E29" s="45" t="inlineStr">
        <is>
          <t>cast(null as varchar(50)) in the proc.</t>
        </is>
      </c>
      <c r="F29" s="38" t="n"/>
      <c r="G29" s="57" t="inlineStr">
        <is>
          <t>cast(null as varchar(50)) in the proc.</t>
        </is>
      </c>
      <c r="H29" s="50" t="inlineStr">
        <is>
          <t>(blank)</t>
        </is>
      </c>
      <c r="I29" s="50" t="inlineStr">
        <is>
          <t>(blank)</t>
        </is>
      </c>
      <c r="J29" s="47" t="inlineStr">
        <is>
          <t>Maximum 48 characters</t>
        </is>
      </c>
      <c r="K29" s="51" t="inlineStr">
        <is>
          <t>N</t>
        </is>
      </c>
      <c r="L29" s="47" t="inlineStr">
        <is>
          <t>A value that can be applied to a custom field of the same name that is part of the receipt information under a purchase order line item form.
Custom fields will be validated using the configured custom field definitions.</t>
        </is>
      </c>
    </row>
    <row r="30">
      <c r="A30" s="36" t="inlineStr">
        <is>
          <t>Custom_4</t>
        </is>
      </c>
      <c r="B30" s="37" t="inlineStr">
        <is>
          <t>custom_4</t>
        </is>
      </c>
      <c r="C30" s="38" t="n"/>
      <c r="D30" s="38" t="n"/>
      <c r="E30" s="39" t="inlineStr">
        <is>
          <t>cast(null as varchar(50)) in the proc.</t>
        </is>
      </c>
      <c r="F30" s="38" t="n"/>
      <c r="G30" s="55" t="inlineStr">
        <is>
          <t>cast(null as varchar(50)) in the proc.</t>
        </is>
      </c>
      <c r="H30" s="48" t="inlineStr">
        <is>
          <t>(blank)</t>
        </is>
      </c>
      <c r="I30" s="48" t="inlineStr">
        <is>
          <t>(blank)</t>
        </is>
      </c>
      <c r="J30" s="41" t="inlineStr">
        <is>
          <t>Maximum 48 characters</t>
        </is>
      </c>
      <c r="K30" s="49" t="inlineStr">
        <is>
          <t>N</t>
        </is>
      </c>
      <c r="L30" s="41" t="inlineStr">
        <is>
          <t>A value that can be applied to a custom field of the same name that is part of the receipt information under a purchase order line item form.
Custom fields will be validated using the configured custom field definitions.</t>
        </is>
      </c>
    </row>
    <row r="31">
      <c r="A31" s="43" t="inlineStr">
        <is>
          <t>Custom_5</t>
        </is>
      </c>
      <c r="B31" s="44" t="inlineStr">
        <is>
          <t>custom_5</t>
        </is>
      </c>
      <c r="C31" s="38" t="n"/>
      <c r="D31" s="38" t="n"/>
      <c r="E31" s="45" t="inlineStr">
        <is>
          <t>cast(null as varchar(50)) in the proc.</t>
        </is>
      </c>
      <c r="F31" s="38" t="n"/>
      <c r="G31" s="57" t="inlineStr">
        <is>
          <t>cast(null as varchar(50)) in the proc.</t>
        </is>
      </c>
      <c r="H31" s="50" t="inlineStr">
        <is>
          <t>(blank)</t>
        </is>
      </c>
      <c r="I31" s="50" t="inlineStr">
        <is>
          <t>(blank)</t>
        </is>
      </c>
      <c r="J31" s="47" t="inlineStr">
        <is>
          <t>Maximum 48 characters</t>
        </is>
      </c>
      <c r="K31" s="51" t="inlineStr">
        <is>
          <t>N</t>
        </is>
      </c>
      <c r="L31" s="47" t="inlineStr">
        <is>
          <t>A value that can be applied to a custom field of the same name that is part of the receipt information under a purchase order line item form.
Custom fields will be validated using the configured custom field definitions.</t>
        </is>
      </c>
    </row>
    <row r="32">
      <c r="A32" s="36" t="inlineStr">
        <is>
          <t>Custom_6</t>
        </is>
      </c>
      <c r="B32" s="37" t="inlineStr">
        <is>
          <t>custom_6</t>
        </is>
      </c>
      <c r="C32" s="38" t="n"/>
      <c r="D32" s="38" t="n"/>
      <c r="E32" s="39" t="inlineStr">
        <is>
          <t>cast(null as varchar(50)) in the proc.</t>
        </is>
      </c>
      <c r="F32" s="38" t="n"/>
      <c r="G32" s="55" t="inlineStr">
        <is>
          <t>cast(null as varchar(50)) in the proc.</t>
        </is>
      </c>
      <c r="H32" s="48" t="inlineStr">
        <is>
          <t>(blank)</t>
        </is>
      </c>
      <c r="I32" s="48" t="inlineStr">
        <is>
          <t>(blank)</t>
        </is>
      </c>
      <c r="J32" s="41" t="inlineStr">
        <is>
          <t>Maximum 48 characters</t>
        </is>
      </c>
      <c r="K32" s="49" t="inlineStr">
        <is>
          <t>N</t>
        </is>
      </c>
      <c r="L32" s="41" t="inlineStr">
        <is>
          <t>A value that can be applied to a custom field of the same name that is part of the receipt information under a purchase order line item form.
Custom fields will be validated using the configured custom field definitions.</t>
        </is>
      </c>
    </row>
    <row r="33">
      <c r="A33" s="43" t="inlineStr">
        <is>
          <t>Custom_7</t>
        </is>
      </c>
      <c r="B33" s="44" t="inlineStr">
        <is>
          <t>custom_7</t>
        </is>
      </c>
      <c r="C33" s="38" t="n"/>
      <c r="D33" s="38" t="n"/>
      <c r="E33" s="45" t="inlineStr">
        <is>
          <t>cast(null as varchar(50)) in the proc.</t>
        </is>
      </c>
      <c r="F33" s="38" t="n"/>
      <c r="G33" s="57" t="inlineStr">
        <is>
          <t>cast(null as varchar(50)) in the proc.</t>
        </is>
      </c>
      <c r="H33" s="50" t="inlineStr">
        <is>
          <t>(blank)</t>
        </is>
      </c>
      <c r="I33" s="50" t="inlineStr">
        <is>
          <t>(blank)</t>
        </is>
      </c>
      <c r="J33" s="47" t="inlineStr">
        <is>
          <t>Maximum 48 characters</t>
        </is>
      </c>
      <c r="K33" s="51" t="inlineStr">
        <is>
          <t>N</t>
        </is>
      </c>
      <c r="L33" s="47" t="inlineStr">
        <is>
          <t>A value that can be applied to a custom field of the same name that is part of the receipt information under a purchase order line item form.
Custom fields will be validated using the configured custom field definitions.</t>
        </is>
      </c>
    </row>
    <row r="34">
      <c r="A34" s="36" t="inlineStr">
        <is>
          <t>Custom_8</t>
        </is>
      </c>
      <c r="B34" s="37" t="inlineStr">
        <is>
          <t>custom_8</t>
        </is>
      </c>
      <c r="C34" s="38" t="n"/>
      <c r="D34" s="38" t="n"/>
      <c r="E34" s="39" t="inlineStr">
        <is>
          <t>cast(null as varchar(50)) in the proc.</t>
        </is>
      </c>
      <c r="F34" s="38" t="n"/>
      <c r="G34" s="55" t="inlineStr">
        <is>
          <t>cast(null as varchar(50)) in the proc.</t>
        </is>
      </c>
      <c r="H34" s="48" t="inlineStr">
        <is>
          <t>(blank)</t>
        </is>
      </c>
      <c r="I34" s="48" t="inlineStr">
        <is>
          <t>(blank)</t>
        </is>
      </c>
      <c r="J34" s="41" t="inlineStr">
        <is>
          <t>Maximum 48 characters</t>
        </is>
      </c>
      <c r="K34" s="49" t="inlineStr">
        <is>
          <t>N</t>
        </is>
      </c>
      <c r="L34" s="41" t="inlineStr">
        <is>
          <t>A value that can be applied to a custom field of the same name that is part of the receipt information under a purchase order line item form.
Custom fields will be validated using the configured custom field definitions.</t>
        </is>
      </c>
    </row>
    <row r="35">
      <c r="A35" s="43" t="inlineStr">
        <is>
          <t>Custom_9</t>
        </is>
      </c>
      <c r="B35" s="44" t="inlineStr">
        <is>
          <t>custom_9</t>
        </is>
      </c>
      <c r="C35" s="38" t="n"/>
      <c r="D35" s="38" t="n"/>
      <c r="E35" s="45" t="inlineStr">
        <is>
          <t>cast(null as varchar(50)) in the proc.</t>
        </is>
      </c>
      <c r="F35" s="38" t="n"/>
      <c r="G35" s="57" t="inlineStr">
        <is>
          <t>cast(null as varchar(50)) in the proc.</t>
        </is>
      </c>
      <c r="H35" s="50" t="inlineStr">
        <is>
          <t>(blank)</t>
        </is>
      </c>
      <c r="I35" s="50" t="inlineStr">
        <is>
          <t>(blank)</t>
        </is>
      </c>
      <c r="J35" s="47" t="inlineStr">
        <is>
          <t>Maximum 48 characters</t>
        </is>
      </c>
      <c r="K35" s="51" t="inlineStr">
        <is>
          <t>N</t>
        </is>
      </c>
      <c r="L35" s="47" t="inlineStr">
        <is>
          <t>A value that can be applied to a custom field of the same name that is part of the receipt information under a purchase order line item form.
Custom fields will be validated using the configured custom field definitions.</t>
        </is>
      </c>
    </row>
    <row r="36">
      <c r="A36" s="36" t="inlineStr">
        <is>
          <t>Custom_10</t>
        </is>
      </c>
      <c r="B36" s="37" t="inlineStr">
        <is>
          <t>custom_10</t>
        </is>
      </c>
      <c r="C36" s="38" t="n"/>
      <c r="D36" s="38" t="n"/>
      <c r="E36" s="39" t="inlineStr">
        <is>
          <t>cast(null as varchar(50)) in the proc.</t>
        </is>
      </c>
      <c r="F36" s="38" t="n"/>
      <c r="G36" s="55" t="inlineStr">
        <is>
          <t>cast(null as varchar(50)) in the proc.</t>
        </is>
      </c>
      <c r="H36" s="48" t="inlineStr">
        <is>
          <t>(blank)</t>
        </is>
      </c>
      <c r="I36" s="48" t="inlineStr">
        <is>
          <t>(blank)</t>
        </is>
      </c>
      <c r="J36" s="41" t="inlineStr">
        <is>
          <t>Maximum 48 characters</t>
        </is>
      </c>
      <c r="K36" s="49" t="inlineStr">
        <is>
          <t>N</t>
        </is>
      </c>
      <c r="L36" s="41" t="inlineStr">
        <is>
          <t>A value that can be applied to a custom field of the same name that is part of the receipt information under a purchase order line item form.
Custom fields will be validated using the configured custom field definitions.</t>
        </is>
      </c>
    </row>
  </sheetData>
  <autoFilter ref="A7:L36"/>
  <hyperlinks>
    <hyperlink xmlns:r="http://schemas.openxmlformats.org/officeDocument/2006/relationships" ref="A3" r:id="rId1"/>
    <hyperlink ref="A5" location="Index!A1" display="Back to Index"/>
  </hyperlinks>
  <pageMargins left="0.75" right="0.75" top="1" bottom="1" header="0.5" footer="0.5"/>
  <pageSetup orientation="landscape" fitToWidth="1"/>
</worksheet>
</file>

<file path=xl/worksheets/sheet11.xml><?xml version="1.0" encoding="utf-8"?>
<worksheet xmlns="http://schemas.openxmlformats.org/spreadsheetml/2006/main">
  <sheetPr>
    <outlinePr summaryBelow="1" summaryRight="1"/>
    <pageSetUpPr fitToPage="1"/>
  </sheetPr>
  <dimension ref="A1:K15"/>
  <sheetViews>
    <sheetView showGridLines="0" workbookViewId="0">
      <pane xSplit="1" ySplit="7" topLeftCell="B8" activePane="bottomRight" state="frozen"/>
      <selection pane="topRight" activeCell="A1" sqref="A1"/>
      <selection pane="bottomLeft" activeCell="A1" sqref="A1"/>
      <selection pane="bottomRight" activeCell="A1" sqref="A1"/>
    </sheetView>
  </sheetViews>
  <sheetFormatPr baseColWidth="8" defaultRowHeight="15"/>
  <cols>
    <col width="34" customWidth="1" min="1" max="1"/>
    <col width="8" customWidth="1" min="2" max="2"/>
    <col width="38" customWidth="1" min="3" max="3"/>
    <col width="24" customWidth="1" min="4" max="4"/>
    <col width="24" customWidth="1" min="5" max="5"/>
    <col width="38" customWidth="1" min="6" max="6"/>
    <col width="24" customWidth="1" min="7" max="7"/>
    <col width="24" customWidth="1" min="8" max="8"/>
    <col width="30" customWidth="1" min="9" max="9"/>
    <col width="13" customWidth="1" min="10" max="10"/>
    <col width="66" customWidth="1" min="11" max="11"/>
  </cols>
  <sheetData>
    <row r="1">
      <c r="A1" s="28" t="inlineStr">
        <is>
          <t>Import Settings (Record Type 100)</t>
        </is>
      </c>
    </row>
    <row r="2">
      <c r="A2" s="29" t="inlineStr">
        <is>
          <t>Section: Employee Import  —  source systems: ADP and UKG</t>
        </is>
      </c>
    </row>
    <row r="3">
      <c r="A3" s="30" t="inlineStr">
        <is>
          <t>https://help.sap.com/docs/sap-concur/employee-import-specification/reviewing-import-definition-file-feed-id-standardemployeeimport</t>
        </is>
      </c>
    </row>
    <row r="4">
      <c r="A4" s="31" t="inlineStr">
        <is>
          <t>Source: SAP Help Portal, Concur Employee Import Specification. Retrieved 2026-09-11. Ranged fields are expanded to one row per field.</t>
        </is>
      </c>
    </row>
    <row r="5" ht="18" customHeight="1">
      <c r="A5" s="12" t="inlineStr">
        <is>
          <t>◀  Back to Index</t>
        </is>
      </c>
    </row>
    <row r="6">
      <c r="A6" s="32" t="inlineStr">
        <is>
          <t>Record type 100 has no tab in 'Concur Employee Load Format 2026-09-15  Data-vUKG.xlsx' for either source; this record is built by build_import_settings() in ADP_Concur_Map.py, so the ADP columns repeat that code-derived mapping and the UKG columns are marked —.</t>
        </is>
      </c>
    </row>
    <row r="7" ht="30" customHeight="1">
      <c r="A7" s="13" t="inlineStr">
        <is>
          <t>Field Name</t>
        </is>
      </c>
      <c r="B7" s="33" t="inlineStr">
        <is>
          <t>Spec #</t>
        </is>
      </c>
      <c r="C7" s="33" t="inlineStr">
        <is>
          <t>ADP Source Column</t>
        </is>
      </c>
      <c r="D7" s="33" t="inlineStr">
        <is>
          <t>ADP Formula</t>
        </is>
      </c>
      <c r="E7" s="33" t="inlineStr">
        <is>
          <t>ADP Sample</t>
        </is>
      </c>
      <c r="F7" s="35" t="inlineStr">
        <is>
          <t>UKG Source Column</t>
        </is>
      </c>
      <c r="G7" s="35" t="inlineStr">
        <is>
          <t>UKG Formula</t>
        </is>
      </c>
      <c r="H7" s="35" t="inlineStr">
        <is>
          <t>UKG Sample</t>
        </is>
      </c>
      <c r="I7" s="13" t="inlineStr">
        <is>
          <t>Definition</t>
        </is>
      </c>
      <c r="J7" s="13" t="inlineStr">
        <is>
          <t>Required?</t>
        </is>
      </c>
      <c r="K7" s="13" t="inlineStr">
        <is>
          <t>Description</t>
        </is>
      </c>
    </row>
    <row r="8">
      <c r="A8" s="36" t="inlineStr">
        <is>
          <t>Transaction Type</t>
        </is>
      </c>
      <c r="B8" s="49" t="inlineStr">
        <is>
          <t>1</t>
        </is>
      </c>
      <c r="C8" s="59" t="inlineStr">
        <is>
          <t>build_import_settings() in ADP_Concur_Map.py</t>
        </is>
      </c>
      <c r="D8" s="59" t="inlineStr">
        <is>
          <t>100</t>
        </is>
      </c>
      <c r="E8" s="59" t="inlineStr">
        <is>
          <t>100</t>
        </is>
      </c>
      <c r="F8" s="48" t="inlineStr">
        <is>
          <t>—</t>
        </is>
      </c>
      <c r="G8" s="48" t="inlineStr">
        <is>
          <t>—</t>
        </is>
      </c>
      <c r="H8" s="48" t="inlineStr">
        <is>
          <t>—</t>
        </is>
      </c>
      <c r="I8" s="41" t="inlineStr">
        <is>
          <t>100</t>
        </is>
      </c>
      <c r="J8" s="42" t="inlineStr">
        <is>
          <t>Y</t>
        </is>
      </c>
      <c r="K8" s="41" t="inlineStr">
        <is>
          <t>This is a static numeric value always equal to 100. It indicates the Record Type.</t>
        </is>
      </c>
    </row>
    <row r="9">
      <c r="A9" s="43" t="inlineStr">
        <is>
          <t>Error Threshold</t>
        </is>
      </c>
      <c r="B9" s="51" t="inlineStr">
        <is>
          <t>2</t>
        </is>
      </c>
      <c r="C9" s="60" t="inlineStr">
        <is>
          <t>build_import_settings()</t>
        </is>
      </c>
      <c r="D9" s="60" t="inlineStr">
        <is>
          <t>0</t>
        </is>
      </c>
      <c r="E9" s="60" t="inlineStr">
        <is>
          <t>0</t>
        </is>
      </c>
      <c r="F9" s="50" t="inlineStr">
        <is>
          <t>—</t>
        </is>
      </c>
      <c r="G9" s="50" t="inlineStr">
        <is>
          <t>—</t>
        </is>
      </c>
      <c r="H9" s="50" t="inlineStr">
        <is>
          <t>—</t>
        </is>
      </c>
      <c r="I9" s="47" t="inlineStr">
        <is>
          <t>integer greater than or equal to 0</t>
        </is>
      </c>
      <c r="J9" s="42" t="inlineStr">
        <is>
          <t>Y</t>
        </is>
      </c>
      <c r="K9" s="47" t="inlineStr">
        <is>
          <t>This field is no longer used but it cannot be omitted or left blank. Provide an integer greater than or equal to 0.</t>
        </is>
      </c>
    </row>
    <row r="10">
      <c r="A10" s="52" t="inlineStr">
        <is>
          <t>Note — provisioned passwords</t>
        </is>
      </c>
      <c r="B10" s="52" t="n"/>
      <c r="C10" s="52" t="n"/>
      <c r="D10" s="52" t="n"/>
      <c r="E10" s="52" t="n"/>
      <c r="F10" s="52" t="n"/>
      <c r="G10" s="52" t="n"/>
      <c r="H10" s="52" t="n"/>
      <c r="I10" s="52" t="n"/>
      <c r="J10" s="52" t="n"/>
      <c r="K10" s="52" t="inlineStr">
        <is>
          <t>IMPORTANT! Provisioned passwords are validated on import. To pass validation, they must meet the minimum requirements defined on the SAP Concur solutions Sign-In Settings page. NOTE: for information about your company's password policy, contact your company administrator.</t>
        </is>
      </c>
    </row>
    <row r="11">
      <c r="A11" s="36" t="inlineStr">
        <is>
          <t>Password Generation</t>
        </is>
      </c>
      <c r="B11" s="49" t="inlineStr">
        <is>
          <t>3</t>
        </is>
      </c>
      <c r="C11" s="59" t="inlineStr">
        <is>
          <t>build_import_settings()</t>
        </is>
      </c>
      <c r="D11" s="59" t="inlineStr">
        <is>
          <t>TEXT</t>
        </is>
      </c>
      <c r="E11" s="59" t="inlineStr">
        <is>
          <t>TEXT</t>
        </is>
      </c>
      <c r="F11" s="48" t="inlineStr">
        <is>
          <t>—</t>
        </is>
      </c>
      <c r="G11" s="48" t="inlineStr">
        <is>
          <t>—</t>
        </is>
      </c>
      <c r="H11" s="48" t="inlineStr">
        <is>
          <t>—</t>
        </is>
      </c>
      <c r="I11" s="41" t="inlineStr">
        <is>
          <t>EMPID: Set password to Employee ID
LOGINID: Set password to Login ID
TEXT: Use the text provided in the employee 305- or 310-level records.
SSO: The user is signed in through SSO.</t>
        </is>
      </c>
      <c r="J11" s="42" t="inlineStr">
        <is>
          <t>Y</t>
        </is>
      </c>
      <c r="K11" s="41" t="inlineStr">
        <is>
          <t>The 305-level password record is required for Travel &amp; Expense. If a blank password is provisioned, the user must follow the “Forgot Password” process on first sign in. If a password already exists, the data in this field is ignored. Passwords must meet the minimum requirements set on the Sign-In Settings page.</t>
        </is>
      </c>
    </row>
    <row r="12">
      <c r="A12" s="43" t="inlineStr">
        <is>
          <t>Existing Record Handling</t>
        </is>
      </c>
      <c r="B12" s="51" t="inlineStr">
        <is>
          <t>4</t>
        </is>
      </c>
      <c r="C12" s="60" t="inlineStr">
        <is>
          <t>build_import_settings()</t>
        </is>
      </c>
      <c r="D12" s="60" t="inlineStr">
        <is>
          <t>UPDATE</t>
        </is>
      </c>
      <c r="E12" s="60" t="inlineStr">
        <is>
          <t>UPDATE</t>
        </is>
      </c>
      <c r="F12" s="50" t="inlineStr">
        <is>
          <t>—</t>
        </is>
      </c>
      <c r="G12" s="50" t="inlineStr">
        <is>
          <t>—</t>
        </is>
      </c>
      <c r="H12" s="50" t="inlineStr">
        <is>
          <t>—</t>
        </is>
      </c>
      <c r="I12" s="47" t="inlineStr">
        <is>
          <t>REPLACE: Replace the existing record completely with the one in the feed.
UPDATE: Update the existing record with only those fields that are non-blank in the import file. Existing passwords for employees are never overwritten. Note: to clear a field of its current value, use the $BLANK$ operator in combination with the UPDATE option.
WARN: Ignore and log a warning that the record was not processed
IGNORE: Ignore and log nothing</t>
        </is>
      </c>
      <c r="J12" s="42" t="inlineStr">
        <is>
          <t>Y</t>
        </is>
      </c>
      <c r="K12" s="47" t="inlineStr">
        <is>
          <t>Specifies how to process when a matching record already exists in the database.</t>
        </is>
      </c>
    </row>
    <row r="13">
      <c r="A13" s="36" t="inlineStr">
        <is>
          <t>Language Code</t>
        </is>
      </c>
      <c r="B13" s="49" t="inlineStr">
        <is>
          <t>5</t>
        </is>
      </c>
      <c r="C13" s="59" t="inlineStr">
        <is>
          <t>build_import_settings()</t>
        </is>
      </c>
      <c r="D13" s="59" t="inlineStr">
        <is>
          <t>en</t>
        </is>
      </c>
      <c r="E13" s="59" t="inlineStr">
        <is>
          <t>en</t>
        </is>
      </c>
      <c r="F13" s="48" t="inlineStr">
        <is>
          <t>—</t>
        </is>
      </c>
      <c r="G13" s="48" t="inlineStr">
        <is>
          <t>—</t>
        </is>
      </c>
      <c r="H13" s="48" t="inlineStr">
        <is>
          <t>—</t>
        </is>
      </c>
      <c r="I13" s="41" t="n"/>
      <c r="J13" s="42" t="inlineStr">
        <is>
          <t>Y</t>
        </is>
      </c>
      <c r="K13" s="41" t="inlineStr">
        <is>
          <t>Specifies the language code of any localized text in the import file; this is used when performing lookups in the database and must match one of the languages supported by the database.</t>
        </is>
      </c>
    </row>
    <row r="14">
      <c r="A14" s="43" t="inlineStr">
        <is>
          <t>Validate Expense Group</t>
        </is>
      </c>
      <c r="B14" s="51" t="inlineStr">
        <is>
          <t>6</t>
        </is>
      </c>
      <c r="C14" s="60" t="inlineStr">
        <is>
          <t>build_import_settings()</t>
        </is>
      </c>
      <c r="D14" s="60" t="inlineStr">
        <is>
          <t>Y</t>
        </is>
      </c>
      <c r="E14" s="60" t="inlineStr">
        <is>
          <t>Y</t>
        </is>
      </c>
      <c r="F14" s="50" t="inlineStr">
        <is>
          <t>—</t>
        </is>
      </c>
      <c r="G14" s="50" t="inlineStr">
        <is>
          <t>—</t>
        </is>
      </c>
      <c r="H14" s="50" t="inlineStr">
        <is>
          <t>—</t>
        </is>
      </c>
      <c r="I14" s="47" t="inlineStr">
        <is>
          <t>Y or N
Default = Y</t>
        </is>
      </c>
      <c r="J14" s="42" t="inlineStr">
        <is>
          <t>Y</t>
        </is>
      </c>
      <c r="K14" s="47" t="inlineStr">
        <is>
          <t>Specifies whether the Expense group fields in the employee records need to be validated against their Expense group.</t>
        </is>
      </c>
    </row>
    <row r="15">
      <c r="A15" s="36" t="inlineStr">
        <is>
          <t>Validate Payment Group</t>
        </is>
      </c>
      <c r="B15" s="49" t="inlineStr">
        <is>
          <t>7</t>
        </is>
      </c>
      <c r="C15" s="59" t="inlineStr">
        <is>
          <t>build_import_settings()</t>
        </is>
      </c>
      <c r="D15" s="59" t="inlineStr">
        <is>
          <t>Y</t>
        </is>
      </c>
      <c r="E15" s="59" t="inlineStr">
        <is>
          <t>Y</t>
        </is>
      </c>
      <c r="F15" s="48" t="inlineStr">
        <is>
          <t>—</t>
        </is>
      </c>
      <c r="G15" s="48" t="inlineStr">
        <is>
          <t>—</t>
        </is>
      </c>
      <c r="H15" s="48" t="inlineStr">
        <is>
          <t>—</t>
        </is>
      </c>
      <c r="I15" s="41" t="inlineStr">
        <is>
          <t>Y or N
Default = Y</t>
        </is>
      </c>
      <c r="J15" s="42" t="inlineStr">
        <is>
          <t>Y</t>
        </is>
      </c>
      <c r="K15" s="41" t="inlineStr">
        <is>
          <t>Specifies whether the Payment group fields in the employee records need to be validated against their Payment group.</t>
        </is>
      </c>
    </row>
  </sheetData>
  <autoFilter ref="A7:K15"/>
  <hyperlinks>
    <hyperlink xmlns:r="http://schemas.openxmlformats.org/officeDocument/2006/relationships" ref="A3" r:id="rId1"/>
    <hyperlink ref="A5" location="Index!A1" display="Back to Index"/>
  </hyperlinks>
  <pageMargins left="0.75" right="0.75" top="1" bottom="1" header="0.5" footer="0.5"/>
  <pageSetup orientation="landscape" fitToWidth="1"/>
</worksheet>
</file>

<file path=xl/worksheets/sheet12.xml><?xml version="1.0" encoding="utf-8"?>
<worksheet xmlns="http://schemas.openxmlformats.org/spreadsheetml/2006/main">
  <sheetPr>
    <outlinePr summaryBelow="1" summaryRight="1"/>
    <pageSetUpPr fitToPage="1"/>
  </sheetPr>
  <dimension ref="A1:K151"/>
  <sheetViews>
    <sheetView showGridLines="0" workbookViewId="0">
      <pane xSplit="1" ySplit="7" topLeftCell="B8" activePane="bottomRight" state="frozen"/>
      <selection pane="topRight" activeCell="A1" sqref="A1"/>
      <selection pane="bottomLeft" activeCell="A1" sqref="A1"/>
      <selection pane="bottomRight" activeCell="A1" sqref="A1"/>
    </sheetView>
  </sheetViews>
  <sheetFormatPr baseColWidth="8" defaultRowHeight="15"/>
  <cols>
    <col width="34" customWidth="1" min="1" max="1"/>
    <col width="8" customWidth="1" min="2" max="2"/>
    <col width="38" customWidth="1" min="3" max="3"/>
    <col width="24" customWidth="1" min="4" max="4"/>
    <col width="24" customWidth="1" min="5" max="5"/>
    <col width="38" customWidth="1" min="6" max="6"/>
    <col width="24" customWidth="1" min="7" max="7"/>
    <col width="24" customWidth="1" min="8" max="8"/>
    <col width="30" customWidth="1" min="9" max="9"/>
    <col width="13" customWidth="1" min="10" max="10"/>
    <col width="66" customWidth="1" min="11" max="11"/>
  </cols>
  <sheetData>
    <row r="1">
      <c r="A1" s="28" t="inlineStr">
        <is>
          <t>305 (Enhanced Employee Importer)</t>
        </is>
      </c>
    </row>
    <row r="2">
      <c r="A2" s="29" t="inlineStr">
        <is>
          <t>Section: Employee Import  —  source systems: ADP and UKG</t>
        </is>
      </c>
    </row>
    <row r="3">
      <c r="A3" s="30" t="inlineStr">
        <is>
          <t>https://help.sap.com/docs/sap-concur/employee-import-specification/305-enhanced-employee-importer-identical-to-300-and-recommended-for-new-clients-or-existing-clients-who-need-additional-fields-for-emerging-features-they-will-use</t>
        </is>
      </c>
    </row>
    <row r="4">
      <c r="A4" s="31" t="inlineStr">
        <is>
          <t>Source: SAP Help Portal, Concur Employee Import Specification. Retrieved 2026-09-11. Ranged fields are expanded to one row per field.</t>
        </is>
      </c>
    </row>
    <row r="5" ht="18" customHeight="1">
      <c r="A5" s="12" t="inlineStr">
        <is>
          <t>◀  Back to Index</t>
        </is>
      </c>
    </row>
    <row r="6">
      <c r="A6" s="32" t="inlineStr">
        <is>
          <t>Mapping read from 'Concur Employee Load Format 2026-09-15  Data-vUKG.xlsx', tabs '305 ADP Employee (All)' and '305 UKG Employees All'.</t>
        </is>
      </c>
    </row>
    <row r="7" ht="30" customHeight="1">
      <c r="A7" s="13" t="inlineStr">
        <is>
          <t>Field Name</t>
        </is>
      </c>
      <c r="B7" s="33" t="inlineStr">
        <is>
          <t>Spec #</t>
        </is>
      </c>
      <c r="C7" s="33" t="inlineStr">
        <is>
          <t>ADP Source Column</t>
        </is>
      </c>
      <c r="D7" s="33" t="inlineStr">
        <is>
          <t>ADP Formula</t>
        </is>
      </c>
      <c r="E7" s="33" t="inlineStr">
        <is>
          <t>ADP Sample</t>
        </is>
      </c>
      <c r="F7" s="35" t="inlineStr">
        <is>
          <t>UKG Source Column</t>
        </is>
      </c>
      <c r="G7" s="35" t="inlineStr">
        <is>
          <t>UKG Formula</t>
        </is>
      </c>
      <c r="H7" s="35" t="inlineStr">
        <is>
          <t>UKG Sample</t>
        </is>
      </c>
      <c r="I7" s="13" t="inlineStr">
        <is>
          <t>Definition</t>
        </is>
      </c>
      <c r="J7" s="13" t="inlineStr">
        <is>
          <t>Required?</t>
        </is>
      </c>
      <c r="K7" s="13" t="inlineStr">
        <is>
          <t>Description</t>
        </is>
      </c>
    </row>
    <row r="8">
      <c r="A8" s="36" t="inlineStr">
        <is>
          <t>Transaction Type</t>
        </is>
      </c>
      <c r="B8" s="49" t="inlineStr">
        <is>
          <t>1</t>
        </is>
      </c>
      <c r="C8" s="59" t="inlineStr">
        <is>
          <t>(literal)</t>
        </is>
      </c>
      <c r="D8" s="59" t="inlineStr">
        <is>
          <t>305</t>
        </is>
      </c>
      <c r="E8" s="59" t="inlineStr">
        <is>
          <t>305</t>
        </is>
      </c>
      <c r="F8" s="40" t="inlineStr">
        <is>
          <t>(literal)</t>
        </is>
      </c>
      <c r="G8" s="40" t="inlineStr">
        <is>
          <t>305</t>
        </is>
      </c>
      <c r="H8" s="40" t="inlineStr">
        <is>
          <t>305</t>
        </is>
      </c>
      <c r="I8" s="41" t="inlineStr">
        <is>
          <t>305</t>
        </is>
      </c>
      <c r="J8" s="42" t="inlineStr">
        <is>
          <t>Y</t>
        </is>
      </c>
      <c r="K8" s="41" t="inlineStr">
        <is>
          <t>This is a static numeric value always equal to 305. It indicates the Record Type.</t>
        </is>
      </c>
    </row>
    <row r="9">
      <c r="A9" s="43" t="inlineStr">
        <is>
          <t>First Name</t>
        </is>
      </c>
      <c r="B9" s="51" t="inlineStr">
        <is>
          <t>2</t>
        </is>
      </c>
      <c r="C9" s="60" t="inlineStr">
        <is>
          <t>ADP.B = Legal First Name</t>
        </is>
      </c>
      <c r="D9" s="60">
        <f>ADP!B5</f>
        <v/>
      </c>
      <c r="E9" s="60" t="inlineStr">
        <is>
          <t>Tammie</t>
        </is>
      </c>
      <c r="F9" s="46" t="inlineStr">
        <is>
          <t>UKG.BO = First Name (derived)</t>
        </is>
      </c>
      <c r="G9" s="46">
        <f>UKG!BO2</f>
        <v/>
      </c>
      <c r="H9" s="46" t="inlineStr">
        <is>
          <t>HanBing</t>
        </is>
      </c>
      <c r="I9" s="47" t="inlineStr">
        <is>
          <t>32 characters maximum</t>
        </is>
      </c>
      <c r="J9" s="42" t="inlineStr">
        <is>
          <t>Y</t>
        </is>
      </c>
      <c r="K9" s="47" t="n"/>
    </row>
    <row r="10">
      <c r="A10" s="36" t="inlineStr">
        <is>
          <t>Middle Name</t>
        </is>
      </c>
      <c r="B10" s="49" t="inlineStr">
        <is>
          <t>3</t>
        </is>
      </c>
      <c r="C10" s="59" t="inlineStr">
        <is>
          <t>ADP.C = Middle Initial</t>
        </is>
      </c>
      <c r="D10" s="59">
        <f>ADP!C5</f>
        <v/>
      </c>
      <c r="E10" s="48" t="inlineStr">
        <is>
          <t>(blank)</t>
        </is>
      </c>
      <c r="F10" s="73" t="n"/>
      <c r="G10" s="73" t="n"/>
      <c r="H10" s="48" t="n"/>
      <c r="I10" s="41" t="inlineStr">
        <is>
          <t>32 characters maximum</t>
        </is>
      </c>
      <c r="J10" s="49" t="inlineStr">
        <is>
          <t>N</t>
        </is>
      </c>
      <c r="K10" s="41" t="n"/>
    </row>
    <row r="11">
      <c r="A11" s="43" t="inlineStr">
        <is>
          <t>Last Name</t>
        </is>
      </c>
      <c r="B11" s="51" t="inlineStr">
        <is>
          <t>4</t>
        </is>
      </c>
      <c r="C11" s="60" t="inlineStr">
        <is>
          <t>ADP.D = Legal Last Name</t>
        </is>
      </c>
      <c r="D11" s="60">
        <f>ADP!D5</f>
        <v/>
      </c>
      <c r="E11" s="60" t="inlineStr">
        <is>
          <t>Abitua</t>
        </is>
      </c>
      <c r="F11" s="46" t="inlineStr">
        <is>
          <t>UKG.BN = Last Name (derived)</t>
        </is>
      </c>
      <c r="G11" s="46">
        <f>UKG!BN2</f>
        <v/>
      </c>
      <c r="H11" s="46" t="inlineStr">
        <is>
          <t>Shi</t>
        </is>
      </c>
      <c r="I11" s="47" t="inlineStr">
        <is>
          <t>32 characters maximum</t>
        </is>
      </c>
      <c r="J11" s="42" t="inlineStr">
        <is>
          <t>Y</t>
        </is>
      </c>
      <c r="K11" s="47" t="n"/>
    </row>
    <row r="12">
      <c r="A12" s="36" t="inlineStr">
        <is>
          <t>Employee ID</t>
        </is>
      </c>
      <c r="B12" s="49" t="inlineStr">
        <is>
          <t>5</t>
        </is>
      </c>
      <c r="C12" s="59" t="inlineStr">
        <is>
          <t>ADP.P = File Number</t>
        </is>
      </c>
      <c r="D12" s="59">
        <f>ADP!P5</f>
        <v/>
      </c>
      <c r="E12" s="59" t="inlineStr">
        <is>
          <t>211837</t>
        </is>
      </c>
      <c r="F12" s="40" t="inlineStr">
        <is>
          <t>UKG.D = Employee Number</t>
        </is>
      </c>
      <c r="G12" s="40">
        <f>UKG!D2</f>
        <v/>
      </c>
      <c r="H12" s="40" t="inlineStr">
        <is>
          <t>206238</t>
        </is>
      </c>
      <c r="I12" s="41" t="inlineStr">
        <is>
          <t>48 characters maximum and must be a unique identification for each employee.</t>
        </is>
      </c>
      <c r="J12" s="42" t="inlineStr">
        <is>
          <t>Y</t>
        </is>
      </c>
      <c r="K12" s="41" t="inlineStr">
        <is>
          <t>Note: may only be updated manually or by using the 320-level record.</t>
        </is>
      </c>
    </row>
    <row r="13">
      <c r="A13" s="43" t="inlineStr">
        <is>
          <t>Login ID</t>
        </is>
      </c>
      <c r="B13" s="51" t="inlineStr">
        <is>
          <t>6</t>
        </is>
      </c>
      <c r="C13" s="60" t="inlineStr">
        <is>
          <t>ADP.I = Work Contact: Work Email</t>
        </is>
      </c>
      <c r="D13" s="60">
        <f>ADP!I5&amp;".new.uat"</f>
        <v/>
      </c>
      <c r="E13" s="60" t="inlineStr">
        <is>
          <t>tabitua1@onebarnes.com.new.uat</t>
        </is>
      </c>
      <c r="F13" s="46" t="inlineStr">
        <is>
          <t>UKG.AQ = E-mail Address</t>
        </is>
      </c>
      <c r="G13" s="46">
        <f>H2&amp;".new.uat"</f>
        <v/>
      </c>
      <c r="H13" s="46" t="inlineStr">
        <is>
          <t>SShi@onebarnes.com.new.uat</t>
        </is>
      </c>
      <c r="I13" s="47" t="inlineStr">
        <is>
          <t>64 characters maximum (see Description for restricted characters)</t>
        </is>
      </c>
      <c r="J13" s="42" t="inlineStr">
        <is>
          <t>Y</t>
        </is>
      </c>
      <c r="K13" s="47" t="inlineStr">
        <is>
          <t>Format of user@domain required. The following characters cannot be used as a value for this record: % [ # ! * &amp; ( ) ~ ` ' { ^ } \ | / ? &gt; &lt; , ; : " + = ]  Note: may only be updated manually or by using the 320-level record.  Note: the LoginID must be unique across all Concur products. If a LoginID is currently in use in any Concur product, it cannot be assigned again unless the original occurrence is changed.</t>
        </is>
      </c>
    </row>
    <row r="14">
      <c r="A14" s="36" t="inlineStr">
        <is>
          <t>Password</t>
        </is>
      </c>
      <c r="B14" s="49" t="inlineStr">
        <is>
          <t>7</t>
        </is>
      </c>
      <c r="C14" s="59" t="inlineStr">
        <is>
          <t>(literal)</t>
        </is>
      </c>
      <c r="D14" s="59" t="inlineStr">
        <is>
          <t>Welcome01</t>
        </is>
      </c>
      <c r="E14" s="59" t="inlineStr">
        <is>
          <t>Welcome01</t>
        </is>
      </c>
      <c r="F14" s="40" t="inlineStr">
        <is>
          <t>(literal)</t>
        </is>
      </c>
      <c r="G14" s="40" t="inlineStr">
        <is>
          <t>Welcome01</t>
        </is>
      </c>
      <c r="H14" s="40" t="inlineStr">
        <is>
          <t>Welcome01</t>
        </is>
      </c>
      <c r="I14" s="41" t="inlineStr">
        <is>
          <t>Passwords must meet the minimum requirements set on the Sign-In Settings page.</t>
        </is>
      </c>
      <c r="J14" s="49" t="inlineStr">
        <is>
          <t>Required for Travel &amp; Expense</t>
        </is>
      </c>
      <c r="K14" s="41" t="inlineStr">
        <is>
          <t>Passwords are encrypted on import. Blank passwords are not supported; if a blank password is provisioned, the user must follow the “Forgot Password” process on first sign in. Existing passwords are not overwritten — if a password already exists, the data in this field is ignored.</t>
        </is>
      </c>
    </row>
    <row r="15">
      <c r="A15" s="43" t="inlineStr">
        <is>
          <t>Email Address</t>
        </is>
      </c>
      <c r="B15" s="51" t="inlineStr">
        <is>
          <t>8</t>
        </is>
      </c>
      <c r="C15" s="60" t="inlineStr">
        <is>
          <t>ADP.I = Work Contact: Work Email</t>
        </is>
      </c>
      <c r="D15" s="60">
        <f>ADP!I5</f>
        <v/>
      </c>
      <c r="E15" s="60" t="inlineStr">
        <is>
          <t>tabitua1@onebarnes.com</t>
        </is>
      </c>
      <c r="F15" s="46" t="inlineStr">
        <is>
          <t>UKG.AQ = E-mail Address</t>
        </is>
      </c>
      <c r="G15" s="46">
        <f>UKG!AQ2</f>
        <v/>
      </c>
      <c r="H15" s="46" t="inlineStr">
        <is>
          <t>SShi@onebarnes.com</t>
        </is>
      </c>
      <c r="I15" s="47" t="inlineStr">
        <is>
          <t>255 characters maximum</t>
        </is>
      </c>
      <c r="J15" s="51" t="inlineStr">
        <is>
          <t>N (see Notes)</t>
        </is>
      </c>
      <c r="K15" s="47" t="inlineStr">
        <is>
          <t>Should be all lowercase, as johndoe@domain.com. The following characters cannot be used as a value for this record: [ ( ) \ &gt; &lt; ; : " ] ,  NOTES: the "." character may be used, but not as the first or last character, and never in a sequence of two or more. This field is required if the Email Address field is required on the employee form.</t>
        </is>
      </c>
    </row>
    <row r="16">
      <c r="A16" s="36" t="inlineStr">
        <is>
          <t>Locale Code</t>
        </is>
      </c>
      <c r="B16" s="49" t="inlineStr">
        <is>
          <t>9</t>
        </is>
      </c>
      <c r="C16" s="59" t="inlineStr">
        <is>
          <t>ADP.AJ = Local Code (derived)</t>
        </is>
      </c>
      <c r="D16" s="59">
        <f>ADP!AJ5</f>
        <v/>
      </c>
      <c r="E16" s="59" t="inlineStr">
        <is>
          <t>en_US</t>
        </is>
      </c>
      <c r="F16" s="40" t="inlineStr">
        <is>
          <t>UKG.BF = Legal Country (derived) + 'Language Map'!M:O (lookup)</t>
        </is>
      </c>
      <c r="G16" s="40">
        <f>IFERROR(VLOOKUP(J2,'Language Map'!M:O,3,FALSE),"en_"&amp;J2)</f>
        <v/>
      </c>
      <c r="H16" s="40" t="inlineStr">
        <is>
          <t>zh_CN</t>
        </is>
      </c>
      <c r="I16" s="41" t="inlineStr">
        <is>
          <t>5 characters maximum</t>
        </is>
      </c>
      <c r="J16" s="42" t="inlineStr">
        <is>
          <t>Y</t>
        </is>
      </c>
      <c r="K16" s="41" t="inlineStr">
        <is>
          <t>Value is as stored in the database. The value is based on Java locale standards. For example, "en" is used for English, "de" for German, "ar" for Arabic. More Information: refer to the Appendix in the guide.</t>
        </is>
      </c>
    </row>
    <row r="17">
      <c r="A17" s="43" t="inlineStr">
        <is>
          <t>Country Code</t>
        </is>
      </c>
      <c r="B17" s="51" t="inlineStr">
        <is>
          <t>10</t>
        </is>
      </c>
      <c r="C17" s="60" t="inlineStr">
        <is>
          <t>ADP.AI = Legal Country (derived)</t>
        </is>
      </c>
      <c r="D17" s="60">
        <f>ADP!AI5</f>
        <v/>
      </c>
      <c r="E17" s="60" t="inlineStr">
        <is>
          <t>US</t>
        </is>
      </c>
      <c r="F17" s="46" t="inlineStr">
        <is>
          <t>UKG.BF = Legal Country (derived)</t>
        </is>
      </c>
      <c r="G17" s="46">
        <f>UKG!BF2</f>
        <v/>
      </c>
      <c r="H17" s="46" t="inlineStr">
        <is>
          <t>CN</t>
        </is>
      </c>
      <c r="I17" s="47" t="inlineStr">
        <is>
          <t>3 characters maximum</t>
        </is>
      </c>
      <c r="J17" s="42" t="inlineStr">
        <is>
          <t>Y</t>
        </is>
      </c>
      <c r="K17" s="47" t="inlineStr">
        <is>
          <t>Valid ISO country code for the country the user resides in. This field assigns the country from which the user is administered. If country is defined as a connected list field, the country code must be in the connected list data and in the country list in the application. Example: CA, IE, UK, US.</t>
        </is>
      </c>
    </row>
    <row r="18">
      <c r="A18" s="36" t="inlineStr">
        <is>
          <t>Country Sub Code</t>
        </is>
      </c>
      <c r="B18" s="49" t="inlineStr">
        <is>
          <t>11</t>
        </is>
      </c>
      <c r="C18" s="73" t="n"/>
      <c r="D18" s="73" t="n"/>
      <c r="E18" s="48" t="n"/>
      <c r="F18" s="73" t="n"/>
      <c r="G18" s="73" t="n"/>
      <c r="H18" s="48" t="n"/>
      <c r="I18" s="41" t="inlineStr">
        <is>
          <t>6 characters maximum</t>
        </is>
      </c>
      <c r="J18" s="49" t="n"/>
      <c r="K18" s="41" t="inlineStr">
        <is>
          <t>Must be a valid country sub-code. Note: this field is primarily used for value added tax (VAT).</t>
        </is>
      </c>
    </row>
    <row r="19">
      <c r="A19" s="43" t="inlineStr">
        <is>
          <t>Ledger Code</t>
        </is>
      </c>
      <c r="B19" s="51" t="inlineStr">
        <is>
          <t>12</t>
        </is>
      </c>
      <c r="C19" s="60" t="inlineStr">
        <is>
          <t>ADP.AD = Org Unit 1 (derived)</t>
        </is>
      </c>
      <c r="D19" s="60">
        <f>ADP!AD5</f>
        <v/>
      </c>
      <c r="E19" s="60" t="inlineStr">
        <is>
          <t>0088</t>
        </is>
      </c>
      <c r="F19" s="46" t="inlineStr">
        <is>
          <t>UKG.BA = Org Unit 1 (derived)</t>
        </is>
      </c>
      <c r="G19" s="46">
        <f>UKG!BA2</f>
        <v/>
      </c>
      <c r="H19" s="46" t="inlineStr">
        <is>
          <t>0083</t>
        </is>
      </c>
      <c r="I19" s="47" t="inlineStr">
        <is>
          <t>20 characters maximum</t>
        </is>
      </c>
      <c r="J19" s="42" t="inlineStr">
        <is>
          <t>Y</t>
        </is>
      </c>
      <c r="K19" s="47" t="inlineStr">
        <is>
          <t>Must be a valid ledger. If ledger is defined as a connected list field, the ledger must be in the connected list data and in the ledger list in the application.</t>
        </is>
      </c>
    </row>
    <row r="20">
      <c r="A20" s="36" t="inlineStr">
        <is>
          <t>Reimbursement Currency Code</t>
        </is>
      </c>
      <c r="B20" s="49" t="inlineStr">
        <is>
          <t>13</t>
        </is>
      </c>
      <c r="C20" s="59" t="inlineStr">
        <is>
          <t>ADP.AK = Reumbursement Currency (derived)</t>
        </is>
      </c>
      <c r="D20" s="59">
        <f>ADP!AK5</f>
        <v/>
      </c>
      <c r="E20" s="59" t="inlineStr">
        <is>
          <t>USD</t>
        </is>
      </c>
      <c r="F20" s="40" t="inlineStr">
        <is>
          <t>UKG.BH = Reumbursement Currency (derived)</t>
        </is>
      </c>
      <c r="G20" s="40">
        <f>UKG!BH2</f>
        <v/>
      </c>
      <c r="H20" s="40" t="inlineStr">
        <is>
          <t>CNY</t>
        </is>
      </c>
      <c r="I20" s="41" t="inlineStr">
        <is>
          <t>3 characters</t>
        </is>
      </c>
      <c r="J20" s="42" t="inlineStr">
        <is>
          <t>Y</t>
        </is>
      </c>
      <c r="K20" s="41" t="inlineStr">
        <is>
          <t>Can be either three-digit or three-letter currency code; must be a valid currency in the list of system (reimbursement) currencies. If currency is defined as a connected list field, the currency must be in the connected list data and in the currency list in the application.</t>
        </is>
      </c>
    </row>
    <row r="21">
      <c r="A21" s="43" t="inlineStr">
        <is>
          <t>Cash Advance Account Code</t>
        </is>
      </c>
      <c r="B21" s="51" t="inlineStr">
        <is>
          <t>14</t>
        </is>
      </c>
      <c r="C21" s="73" t="n"/>
      <c r="D21" s="73" t="n"/>
      <c r="E21" s="50" t="n"/>
      <c r="F21" s="73" t="n"/>
      <c r="G21" s="73" t="n"/>
      <c r="H21" s="50" t="n"/>
      <c r="I21" s="47" t="inlineStr">
        <is>
          <t>20 characters maximum</t>
        </is>
      </c>
      <c r="J21" s="51" t="inlineStr">
        <is>
          <t>N</t>
        </is>
      </c>
      <c r="K21" s="47" t="n"/>
    </row>
    <row r="22">
      <c r="A22" s="36" t="inlineStr">
        <is>
          <t>Active</t>
        </is>
      </c>
      <c r="B22" s="49" t="inlineStr">
        <is>
          <t>15</t>
        </is>
      </c>
      <c r="C22" s="59" t="inlineStr">
        <is>
          <t>ADP.AM = Status (derived)</t>
        </is>
      </c>
      <c r="D22" s="59">
        <f>ADP!AM5</f>
        <v/>
      </c>
      <c r="E22" s="59" t="inlineStr">
        <is>
          <t>Y</t>
        </is>
      </c>
      <c r="F22" s="40" t="inlineStr">
        <is>
          <t>UKG.BJ = Status (derived)</t>
        </is>
      </c>
      <c r="G22" s="40">
        <f>UKG!BJ2</f>
        <v/>
      </c>
      <c r="H22" s="40" t="inlineStr">
        <is>
          <t>A</t>
        </is>
      </c>
      <c r="I22" s="41" t="inlineStr">
        <is>
          <t>Y or N</t>
        </is>
      </c>
      <c r="J22" s="42" t="inlineStr">
        <is>
          <t>Y</t>
        </is>
      </c>
      <c r="K22" s="41" t="n"/>
    </row>
    <row r="23">
      <c r="A23" s="43" t="inlineStr">
        <is>
          <t>Organizational_Unit_1</t>
        </is>
      </c>
      <c r="B23" s="51" t="inlineStr">
        <is>
          <t>16</t>
        </is>
      </c>
      <c r="C23" s="60" t="inlineStr">
        <is>
          <t>ADP.AD = Org Unit 1 (derived)</t>
        </is>
      </c>
      <c r="D23" s="60">
        <f>ADP!AD5</f>
        <v/>
      </c>
      <c r="E23" s="60" t="inlineStr">
        <is>
          <t>0088</t>
        </is>
      </c>
      <c r="F23" s="46" t="inlineStr">
        <is>
          <t>UKG.BA = Org Unit 1 (derived)</t>
        </is>
      </c>
      <c r="G23" s="46">
        <f>L2</f>
        <v/>
      </c>
      <c r="H23" s="46" t="inlineStr">
        <is>
          <t>0083</t>
        </is>
      </c>
      <c r="I23" s="47" t="inlineStr">
        <is>
          <t>48 characters maximum</t>
        </is>
      </c>
      <c r="J23" s="51" t="n"/>
      <c r="K23" s="47" t="inlineStr">
        <is>
          <t>48 characters maximum for each field. Note: the connected list field in the import must be the code value, not the long name.</t>
        </is>
      </c>
    </row>
    <row r="24">
      <c r="A24" s="36" t="inlineStr">
        <is>
          <t>Organizational_Unit_2</t>
        </is>
      </c>
      <c r="B24" s="49" t="inlineStr">
        <is>
          <t>17</t>
        </is>
      </c>
      <c r="C24" s="59" t="inlineStr">
        <is>
          <t>ADP.AE = Org Unit 2 (derived)</t>
        </is>
      </c>
      <c r="D24" s="59">
        <f>ADP!AE5</f>
        <v/>
      </c>
      <c r="E24" s="59" t="inlineStr">
        <is>
          <t>5100</t>
        </is>
      </c>
      <c r="F24" s="40" t="inlineStr">
        <is>
          <t>UKG.BB = Org Unit 2 (derived)</t>
        </is>
      </c>
      <c r="G24" s="40">
        <f>UKG!BB2</f>
        <v/>
      </c>
      <c r="H24" s="40" t="inlineStr">
        <is>
          <t>0012</t>
        </is>
      </c>
      <c r="I24" s="41" t="inlineStr">
        <is>
          <t>48 characters maximum</t>
        </is>
      </c>
      <c r="J24" s="49" t="n"/>
      <c r="K24" s="41" t="inlineStr">
        <is>
          <t>48 characters maximum for each field. Note: the connected list field in the import must be the code value, not the long name.</t>
        </is>
      </c>
    </row>
    <row r="25">
      <c r="A25" s="43" t="inlineStr">
        <is>
          <t>Organizational_Unit_3</t>
        </is>
      </c>
      <c r="B25" s="51" t="inlineStr">
        <is>
          <t>18</t>
        </is>
      </c>
      <c r="C25" s="73" t="n"/>
      <c r="D25" s="73" t="n"/>
      <c r="E25" s="50" t="n"/>
      <c r="F25" s="73" t="n"/>
      <c r="G25" s="73" t="n"/>
      <c r="H25" s="50" t="n"/>
      <c r="I25" s="47" t="inlineStr">
        <is>
          <t>48 characters maximum</t>
        </is>
      </c>
      <c r="J25" s="51" t="n"/>
      <c r="K25" s="47" t="inlineStr">
        <is>
          <t>48 characters maximum for each field. Note: the connected list field in the import must be the code value, not the long name.</t>
        </is>
      </c>
    </row>
    <row r="26">
      <c r="A26" s="36" t="inlineStr">
        <is>
          <t>Organizational_Unit_4</t>
        </is>
      </c>
      <c r="B26" s="49" t="inlineStr">
        <is>
          <t>19</t>
        </is>
      </c>
      <c r="C26" s="73" t="n"/>
      <c r="D26" s="73" t="n"/>
      <c r="E26" s="48" t="n"/>
      <c r="F26" s="73" t="n"/>
      <c r="G26" s="73" t="n"/>
      <c r="H26" s="48" t="n"/>
      <c r="I26" s="41" t="inlineStr">
        <is>
          <t>48 characters maximum</t>
        </is>
      </c>
      <c r="J26" s="49" t="n"/>
      <c r="K26" s="41" t="inlineStr">
        <is>
          <t>48 characters maximum for each field. Note: the connected list field in the import must be the code value, not the long name.</t>
        </is>
      </c>
    </row>
    <row r="27">
      <c r="A27" s="43" t="inlineStr">
        <is>
          <t>Organizational_Unit_5</t>
        </is>
      </c>
      <c r="B27" s="51" t="inlineStr">
        <is>
          <t>20</t>
        </is>
      </c>
      <c r="C27" s="73" t="n"/>
      <c r="D27" s="73" t="n"/>
      <c r="E27" s="50" t="n"/>
      <c r="F27" s="73" t="n"/>
      <c r="G27" s="73" t="n"/>
      <c r="H27" s="50" t="n"/>
      <c r="I27" s="47" t="inlineStr">
        <is>
          <t>48 characters maximum</t>
        </is>
      </c>
      <c r="J27" s="51" t="n"/>
      <c r="K27" s="47" t="inlineStr">
        <is>
          <t>48 characters maximum for each field. Note: the connected list field in the import must be the code value, not the long name.</t>
        </is>
      </c>
    </row>
    <row r="28">
      <c r="A28" s="36" t="inlineStr">
        <is>
          <t>Organizational_Unit_6</t>
        </is>
      </c>
      <c r="B28" s="49" t="inlineStr">
        <is>
          <t>21</t>
        </is>
      </c>
      <c r="C28" s="73" t="n"/>
      <c r="D28" s="73" t="n"/>
      <c r="E28" s="48" t="n"/>
      <c r="F28" s="73" t="n"/>
      <c r="G28" s="73" t="n"/>
      <c r="H28" s="48" t="n"/>
      <c r="I28" s="41" t="inlineStr">
        <is>
          <t>48 characters maximum</t>
        </is>
      </c>
      <c r="J28" s="49" t="n"/>
      <c r="K28" s="41" t="inlineStr">
        <is>
          <t>48 characters maximum for each field. Note: the connected list field in the import must be the code value, not the long name.</t>
        </is>
      </c>
    </row>
    <row r="29">
      <c r="A29" s="43" t="inlineStr">
        <is>
          <t>Custom_1</t>
        </is>
      </c>
      <c r="B29" s="51" t="inlineStr">
        <is>
          <t>22</t>
        </is>
      </c>
      <c r="C29" s="73" t="n"/>
      <c r="D29" s="73" t="n"/>
      <c r="E29" s="50" t="n"/>
      <c r="F29" s="73" t="n"/>
      <c r="G29" s="73" t="n"/>
      <c r="H29" s="50" t="n"/>
      <c r="I29" s="47" t="inlineStr">
        <is>
          <t>48 characters maximum</t>
        </is>
      </c>
      <c r="J29" s="51" t="inlineStr">
        <is>
          <t>N</t>
        </is>
      </c>
      <c r="K29" s="47" t="inlineStr">
        <is>
          <t>48 characters maximum for each field; custom field data is validated: First, check the employee form for any custom fields that are required. If the form specifies custom fields and the feed does not provide them, this is treated as an error and the record is not processed. If a custom field is required and the value does not pass a validation, this is treated as an error. If a custom field is not required and the value does not pass a validation, a warning is logged. For each custom field defined in the form, an appropriate validation is performed based on the data type specified: List (custom and connected): validated against the code value, not the long name. Date: must be a valid date, format YYYYMMDD. Boolean: value must be Y or N. Numeric: value must be a number. Text: value must be &lt;= max_length and pass whatever validation is specified for the field. Note: best practice is to not allow personal, sensitive or uniquely identifying information in custom fields.</t>
        </is>
      </c>
    </row>
    <row r="30">
      <c r="A30" s="36" t="inlineStr">
        <is>
          <t>Custom_2</t>
        </is>
      </c>
      <c r="B30" s="49" t="inlineStr">
        <is>
          <t>23</t>
        </is>
      </c>
      <c r="C30" s="59" t="inlineStr">
        <is>
          <t>ADP.AA = Pay Grade Code</t>
        </is>
      </c>
      <c r="D30" s="59">
        <f>ADP!AA5</f>
        <v/>
      </c>
      <c r="E30" s="59" t="inlineStr">
        <is>
          <t>S05</t>
        </is>
      </c>
      <c r="F30" s="40" t="inlineStr">
        <is>
          <t>UKG.Q = Salary Grade</t>
        </is>
      </c>
      <c r="G30" s="40">
        <f>UKG!Q2</f>
        <v/>
      </c>
      <c r="H30" s="40" t="inlineStr">
        <is>
          <t>S14</t>
        </is>
      </c>
      <c r="I30" s="41" t="inlineStr">
        <is>
          <t>48 characters maximum</t>
        </is>
      </c>
      <c r="J30" s="49" t="inlineStr">
        <is>
          <t>N</t>
        </is>
      </c>
      <c r="K30" s="41" t="inlineStr">
        <is>
          <t>48 characters maximum for each field; custom field data is validated: First, check the employee form for any custom fields that are required. If the form specifies custom fields and the feed does not provide them, this is treated as an error and the record is not processed. If a custom field is required and the value does not pass a validation, this is treated as an error. If a custom field is not required and the value does not pass a validation, a warning is logged. For each custom field defined in the form, an appropriate validation is performed based on the data type specified: List (custom and connected): validated against the code value, not the long name. Date: must be a valid date, format YYYYMMDD. Boolean: value must be Y or N. Numeric: value must be a number. Text: value must be &lt;= max_length and pass whatever validation is specified for the field. Note: best practice is to not allow personal, sensitive or uniquely identifying information in custom fields.</t>
        </is>
      </c>
    </row>
    <row r="31">
      <c r="A31" s="43" t="inlineStr">
        <is>
          <t>Custom_3</t>
        </is>
      </c>
      <c r="B31" s="51" t="inlineStr">
        <is>
          <t>24</t>
        </is>
      </c>
      <c r="C31" s="60" t="inlineStr">
        <is>
          <t>ADP.AG = Travel Profile (derived)</t>
        </is>
      </c>
      <c r="D31" s="60">
        <f>ADP!AG5</f>
        <v/>
      </c>
      <c r="E31" s="60" t="inlineStr">
        <is>
          <t>General</t>
        </is>
      </c>
      <c r="F31" s="46" t="inlineStr">
        <is>
          <t>UKG.BC = Concur Profile (derived)</t>
        </is>
      </c>
      <c r="G31" s="46">
        <f>UKG!BC2</f>
        <v/>
      </c>
      <c r="H31" s="46" t="inlineStr">
        <is>
          <t>Default</t>
        </is>
      </c>
      <c r="I31" s="47" t="inlineStr">
        <is>
          <t>48 characters maximum</t>
        </is>
      </c>
      <c r="J31" s="51" t="inlineStr">
        <is>
          <t>N</t>
        </is>
      </c>
      <c r="K31" s="47" t="inlineStr">
        <is>
          <t>48 characters maximum for each field; custom field data is validated: First, check the employee form for any custom fields that are required. If the form specifies custom fields and the feed does not provide them, this is treated as an error and the record is not processed. If a custom field is required and the value does not pass a validation, this is treated as an error. If a custom field is not required and the value does not pass a validation, a warning is logged. For each custom field defined in the form, an appropriate validation is performed based on the data type specified: List (custom and connected): validated against the code value, not the long name. Date: must be a valid date, format YYYYMMDD. Boolean: value must be Y or N. Numeric: value must be a number. Text: value must be &lt;= max_length and pass whatever validation is specified for the field. Note: best practice is to not allow personal, sensitive or uniquely identifying information in custom fields.</t>
        </is>
      </c>
    </row>
    <row r="32">
      <c r="A32" s="36" t="inlineStr">
        <is>
          <t>Custom_4</t>
        </is>
      </c>
      <c r="B32" s="49" t="inlineStr">
        <is>
          <t>25</t>
        </is>
      </c>
      <c r="C32" s="73" t="n"/>
      <c r="D32" s="73" t="n"/>
      <c r="E32" s="48" t="n"/>
      <c r="F32" s="73" t="n"/>
      <c r="G32" s="73" t="n"/>
      <c r="H32" s="48" t="n"/>
      <c r="I32" s="41" t="inlineStr">
        <is>
          <t>48 characters maximum</t>
        </is>
      </c>
      <c r="J32" s="49" t="inlineStr">
        <is>
          <t>N</t>
        </is>
      </c>
      <c r="K32" s="41" t="inlineStr">
        <is>
          <t>48 characters maximum for each field; custom field data is validated: First, check the employee form for any custom fields that are required. If the form specifies custom fields and the feed does not provide them, this is treated as an error and the record is not processed. If a custom field is required and the value does not pass a validation, this is treated as an error. If a custom field is not required and the value does not pass a validation, a warning is logged. For each custom field defined in the form, an appropriate validation is performed based on the data type specified: List (custom and connected): validated against the code value, not the long name. Date: must be a valid date, format YYYYMMDD. Boolean: value must be Y or N. Numeric: value must be a number. Text: value must be &lt;= max_length and pass whatever validation is specified for the field. Note: best practice is to not allow personal, sensitive or uniquely identifying information in custom fields.</t>
        </is>
      </c>
    </row>
    <row r="33">
      <c r="A33" s="43" t="inlineStr">
        <is>
          <t>Custom_5</t>
        </is>
      </c>
      <c r="B33" s="51" t="inlineStr">
        <is>
          <t>26</t>
        </is>
      </c>
      <c r="C33" s="60" t="inlineStr">
        <is>
          <t>ADP.AD = Org Unit 1 (derived)</t>
        </is>
      </c>
      <c r="D33" s="60">
        <f>P5</f>
        <v/>
      </c>
      <c r="E33" s="60" t="inlineStr">
        <is>
          <t>0088</t>
        </is>
      </c>
      <c r="F33" s="46" t="inlineStr">
        <is>
          <t>UKG.BA = Org Unit 1 (derived)</t>
        </is>
      </c>
      <c r="G33" s="46">
        <f>P2</f>
        <v/>
      </c>
      <c r="H33" s="46" t="inlineStr">
        <is>
          <t>0083</t>
        </is>
      </c>
      <c r="I33" s="47" t="inlineStr">
        <is>
          <t>48 characters maximum</t>
        </is>
      </c>
      <c r="J33" s="51" t="inlineStr">
        <is>
          <t>N</t>
        </is>
      </c>
      <c r="K33" s="47" t="inlineStr">
        <is>
          <t>48 characters maximum for each field; custom field data is validated: First, check the employee form for any custom fields that are required. If the form specifies custom fields and the feed does not provide them, this is treated as an error and the record is not processed. If a custom field is required and the value does not pass a validation, this is treated as an error. If a custom field is not required and the value does not pass a validation, a warning is logged. For each custom field defined in the form, an appropriate validation is performed based on the data type specified: List (custom and connected): validated against the code value, not the long name. Date: must be a valid date, format YYYYMMDD. Boolean: value must be Y or N. Numeric: value must be a number. Text: value must be &lt;= max_length and pass whatever validation is specified for the field. Note: best practice is to not allow personal, sensitive or uniquely identifying information in custom fields.</t>
        </is>
      </c>
    </row>
    <row r="34">
      <c r="A34" s="36" t="inlineStr">
        <is>
          <t>Custom_6</t>
        </is>
      </c>
      <c r="B34" s="49" t="inlineStr">
        <is>
          <t>27</t>
        </is>
      </c>
      <c r="C34" s="73" t="n"/>
      <c r="D34" s="73" t="n"/>
      <c r="E34" s="48" t="n"/>
      <c r="F34" s="73" t="n"/>
      <c r="G34" s="73" t="n"/>
      <c r="H34" s="48" t="n"/>
      <c r="I34" s="41" t="inlineStr">
        <is>
          <t>48 characters maximum</t>
        </is>
      </c>
      <c r="J34" s="49" t="inlineStr">
        <is>
          <t>N</t>
        </is>
      </c>
      <c r="K34" s="41" t="inlineStr">
        <is>
          <t>48 characters maximum for each field; custom field data is validated: First, check the employee form for any custom fields that are required. If the form specifies custom fields and the feed does not provide them, this is treated as an error and the record is not processed. If a custom field is required and the value does not pass a validation, this is treated as an error. If a custom field is not required and the value does not pass a validation, a warning is logged. For each custom field defined in the form, an appropriate validation is performed based on the data type specified: List (custom and connected): validated against the code value, not the long name. Date: must be a valid date, format YYYYMMDD. Boolean: value must be Y or N. Numeric: value must be a number. Text: value must be &lt;= max_length and pass whatever validation is specified for the field. Note: best practice is to not allow personal, sensitive or uniquely identifying information in custom fields.</t>
        </is>
      </c>
    </row>
    <row r="35">
      <c r="A35" s="43" t="inlineStr">
        <is>
          <t>Custom_7</t>
        </is>
      </c>
      <c r="B35" s="51" t="inlineStr">
        <is>
          <t>28</t>
        </is>
      </c>
      <c r="C35" s="60" t="inlineStr">
        <is>
          <t>ADP.AN = TermDate (derived)</t>
        </is>
      </c>
      <c r="D35" s="60">
        <f>ADP!AN5</f>
        <v/>
      </c>
      <c r="E35" s="50" t="inlineStr">
        <is>
          <t>(blank)</t>
        </is>
      </c>
      <c r="F35" s="73" t="n"/>
      <c r="G35" s="73" t="n"/>
      <c r="H35" s="50" t="n"/>
      <c r="I35" s="47" t="inlineStr">
        <is>
          <t>48 characters maximum</t>
        </is>
      </c>
      <c r="J35" s="51" t="inlineStr">
        <is>
          <t>N</t>
        </is>
      </c>
      <c r="K35" s="47" t="inlineStr">
        <is>
          <t>48 characters maximum for each field; custom field data is validated: First, check the employee form for any custom fields that are required. If the form specifies custom fields and the feed does not provide them, this is treated as an error and the record is not processed. If a custom field is required and the value does not pass a validation, this is treated as an error. If a custom field is not required and the value does not pass a validation, a warning is logged. For each custom field defined in the form, an appropriate validation is performed based on the data type specified: List (custom and connected): validated against the code value, not the long name. Date: must be a valid date, format YYYYMMDD. Boolean: value must be Y or N. Numeric: value must be a number. Text: value must be &lt;= max_length and pass whatever validation is specified for the field. Note: best practice is to not allow personal, sensitive or uniquely identifying information in custom fields.</t>
        </is>
      </c>
    </row>
    <row r="36">
      <c r="A36" s="36" t="inlineStr">
        <is>
          <t>Custom_8</t>
        </is>
      </c>
      <c r="B36" s="49" t="inlineStr">
        <is>
          <t>29</t>
        </is>
      </c>
      <c r="C36" s="59" t="inlineStr">
        <is>
          <t>ADP.AL = Perferred Name (derived)</t>
        </is>
      </c>
      <c r="D36" s="59">
        <f>ADP!AL5</f>
        <v/>
      </c>
      <c r="E36" s="48" t="inlineStr">
        <is>
          <t>(blank)</t>
        </is>
      </c>
      <c r="F36" s="73" t="n"/>
      <c r="G36" s="73" t="n"/>
      <c r="H36" s="48" t="n"/>
      <c r="I36" s="41" t="inlineStr">
        <is>
          <t>48 characters maximum</t>
        </is>
      </c>
      <c r="J36" s="49" t="inlineStr">
        <is>
          <t>N</t>
        </is>
      </c>
      <c r="K36" s="41" t="inlineStr">
        <is>
          <t>48 characters maximum for each field; custom field data is validated: First, check the employee form for any custom fields that are required. If the form specifies custom fields and the feed does not provide them, this is treated as an error and the record is not processed. If a custom field is required and the value does not pass a validation, this is treated as an error. If a custom field is not required and the value does not pass a validation, a warning is logged. For each custom field defined in the form, an appropriate validation is performed based on the data type specified: List (custom and connected): validated against the code value, not the long name. Date: must be a valid date, format YYYYMMDD. Boolean: value must be Y or N. Numeric: value must be a number. Text: value must be &lt;= max_length and pass whatever validation is specified for the field. Note: best practice is to not allow personal, sensitive or uniquely identifying information in custom fields.</t>
        </is>
      </c>
    </row>
    <row r="37">
      <c r="A37" s="43" t="inlineStr">
        <is>
          <t>Custom_9</t>
        </is>
      </c>
      <c r="B37" s="51" t="inlineStr">
        <is>
          <t>30</t>
        </is>
      </c>
      <c r="C37" s="73" t="n"/>
      <c r="D37" s="73" t="n"/>
      <c r="E37" s="50" t="n"/>
      <c r="F37" s="73" t="n"/>
      <c r="G37" s="73" t="n"/>
      <c r="H37" s="50" t="n"/>
      <c r="I37" s="47" t="inlineStr">
        <is>
          <t>48 characters maximum</t>
        </is>
      </c>
      <c r="J37" s="51" t="inlineStr">
        <is>
          <t>N</t>
        </is>
      </c>
      <c r="K37" s="47" t="inlineStr">
        <is>
          <t>48 characters maximum for each field; custom field data is validated: First, check the employee form for any custom fields that are required. If the form specifies custom fields and the feed does not provide them, this is treated as an error and the record is not processed. If a custom field is required and the value does not pass a validation, this is treated as an error. If a custom field is not required and the value does not pass a validation, a warning is logged. For each custom field defined in the form, an appropriate validation is performed based on the data type specified: List (custom and connected): validated against the code value, not the long name. Date: must be a valid date, format YYYYMMDD. Boolean: value must be Y or N. Numeric: value must be a number. Text: value must be &lt;= max_length and pass whatever validation is specified for the field. Note: best practice is to not allow personal, sensitive or uniquely identifying information in custom fields.</t>
        </is>
      </c>
    </row>
    <row r="38">
      <c r="A38" s="36" t="inlineStr">
        <is>
          <t>Custom_10</t>
        </is>
      </c>
      <c r="B38" s="49" t="inlineStr">
        <is>
          <t>31</t>
        </is>
      </c>
      <c r="C38" s="73" t="n"/>
      <c r="D38" s="73" t="n"/>
      <c r="E38" s="48" t="n"/>
      <c r="F38" s="73" t="n"/>
      <c r="G38" s="73" t="n"/>
      <c r="H38" s="48" t="n"/>
      <c r="I38" s="41" t="inlineStr">
        <is>
          <t>48 characters maximum</t>
        </is>
      </c>
      <c r="J38" s="49" t="inlineStr">
        <is>
          <t>N</t>
        </is>
      </c>
      <c r="K38" s="41" t="inlineStr">
        <is>
          <t>48 characters maximum for each field; custom field data is validated: First, check the employee form for any custom fields that are required. If the form specifies custom fields and the feed does not provide them, this is treated as an error and the record is not processed. If a custom field is required and the value does not pass a validation, this is treated as an error. If a custom field is not required and the value does not pass a validation, a warning is logged. For each custom field defined in the form, an appropriate validation is performed based on the data type specified: List (custom and connected): validated against the code value, not the long name. Date: must be a valid date, format YYYYMMDD. Boolean: value must be Y or N. Numeric: value must be a number. Text: value must be &lt;= max_length and pass whatever validation is specified for the field. Note: best practice is to not allow personal, sensitive or uniquely identifying information in custom fields.</t>
        </is>
      </c>
    </row>
    <row r="39">
      <c r="A39" s="43" t="inlineStr">
        <is>
          <t>Custom_11</t>
        </is>
      </c>
      <c r="B39" s="51" t="inlineStr">
        <is>
          <t>32</t>
        </is>
      </c>
      <c r="C39" s="73" t="n"/>
      <c r="D39" s="73" t="n"/>
      <c r="E39" s="50" t="n"/>
      <c r="F39" s="73" t="n"/>
      <c r="G39" s="73" t="n"/>
      <c r="H39" s="50" t="n"/>
      <c r="I39" s="47" t="inlineStr">
        <is>
          <t>48 characters maximum</t>
        </is>
      </c>
      <c r="J39" s="51" t="inlineStr">
        <is>
          <t>N</t>
        </is>
      </c>
      <c r="K39" s="47" t="inlineStr">
        <is>
          <t>48 characters maximum for each field; custom field data is validated: First, check the employee form for any custom fields that are required. If the form specifies custom fields and the feed does not provide them, this is treated as an error and the record is not processed. If a custom field is required and the value does not pass a validation, this is treated as an error. If a custom field is not required and the value does not pass a validation, a warning is logged. For each custom field defined in the form, an appropriate validation is performed based on the data type specified: List (custom and connected): validated against the code value, not the long name. Date: must be a valid date, format YYYYMMDD. Boolean: value must be Y or N. Numeric: value must be a number. Text: value must be &lt;= max_length and pass whatever validation is specified for the field. Note: best practice is to not allow personal, sensitive or uniquely identifying information in custom fields.</t>
        </is>
      </c>
    </row>
    <row r="40">
      <c r="A40" s="36" t="inlineStr">
        <is>
          <t>Custom_12</t>
        </is>
      </c>
      <c r="B40" s="49" t="inlineStr">
        <is>
          <t>33</t>
        </is>
      </c>
      <c r="C40" s="73" t="n"/>
      <c r="D40" s="73" t="n"/>
      <c r="E40" s="48" t="n"/>
      <c r="F40" s="73" t="n"/>
      <c r="G40" s="73" t="n"/>
      <c r="H40" s="48" t="n"/>
      <c r="I40" s="41" t="inlineStr">
        <is>
          <t>48 characters maximum</t>
        </is>
      </c>
      <c r="J40" s="49" t="inlineStr">
        <is>
          <t>N</t>
        </is>
      </c>
      <c r="K40" s="41" t="inlineStr">
        <is>
          <t>48 characters maximum for each field; custom field data is validated: First, check the employee form for any custom fields that are required. If the form specifies custom fields and the feed does not provide them, this is treated as an error and the record is not processed. If a custom field is required and the value does not pass a validation, this is treated as an error. If a custom field is not required and the value does not pass a validation, a warning is logged. For each custom field defined in the form, an appropriate validation is performed based on the data type specified: List (custom and connected): validated against the code value, not the long name. Date: must be a valid date, format YYYYMMDD. Boolean: value must be Y or N. Numeric: value must be a number. Text: value must be &lt;= max_length and pass whatever validation is specified for the field. Note: best practice is to not allow personal, sensitive or uniquely identifying information in custom fields.</t>
        </is>
      </c>
    </row>
    <row r="41">
      <c r="A41" s="43" t="inlineStr">
        <is>
          <t>Custom_13</t>
        </is>
      </c>
      <c r="B41" s="51" t="inlineStr">
        <is>
          <t>34</t>
        </is>
      </c>
      <c r="C41" s="73" t="n"/>
      <c r="D41" s="73" t="n"/>
      <c r="E41" s="50" t="n"/>
      <c r="F41" s="73" t="n"/>
      <c r="G41" s="73" t="n"/>
      <c r="H41" s="50" t="n"/>
      <c r="I41" s="47" t="inlineStr">
        <is>
          <t>48 characters maximum</t>
        </is>
      </c>
      <c r="J41" s="51" t="inlineStr">
        <is>
          <t>N</t>
        </is>
      </c>
      <c r="K41" s="47" t="inlineStr">
        <is>
          <t>48 characters maximum for each field; custom field data is validated: First, check the employee form for any custom fields that are required. If the form specifies custom fields and the feed does not provide them, this is treated as an error and the record is not processed. If a custom field is required and the value does not pass a validation, this is treated as an error. If a custom field is not required and the value does not pass a validation, a warning is logged. For each custom field defined in the form, an appropriate validation is performed based on the data type specified: List (custom and connected): validated against the code value, not the long name. Date: must be a valid date, format YYYYMMDD. Boolean: value must be Y or N. Numeric: value must be a number. Text: value must be &lt;= max_length and pass whatever validation is specified for the field. Note: best practice is to not allow personal, sensitive or uniquely identifying information in custom fields.</t>
        </is>
      </c>
    </row>
    <row r="42">
      <c r="A42" s="36" t="inlineStr">
        <is>
          <t>Custom_14</t>
        </is>
      </c>
      <c r="B42" s="49" t="inlineStr">
        <is>
          <t>35</t>
        </is>
      </c>
      <c r="C42" s="73" t="n"/>
      <c r="D42" s="73" t="n"/>
      <c r="E42" s="48" t="n"/>
      <c r="F42" s="73" t="n"/>
      <c r="G42" s="73" t="n"/>
      <c r="H42" s="48" t="n"/>
      <c r="I42" s="41" t="inlineStr">
        <is>
          <t>48 characters maximum</t>
        </is>
      </c>
      <c r="J42" s="49" t="inlineStr">
        <is>
          <t>N</t>
        </is>
      </c>
      <c r="K42" s="41" t="inlineStr">
        <is>
          <t>48 characters maximum for each field; custom field data is validated: First, check the employee form for any custom fields that are required. If the form specifies custom fields and the feed does not provide them, this is treated as an error and the record is not processed. If a custom field is required and the value does not pass a validation, this is treated as an error. If a custom field is not required and the value does not pass a validation, a warning is logged. For each custom field defined in the form, an appropriate validation is performed based on the data type specified: List (custom and connected): validated against the code value, not the long name. Date: must be a valid date, format YYYYMMDD. Boolean: value must be Y or N. Numeric: value must be a number. Text: value must be &lt;= max_length and pass whatever validation is specified for the field. Note: best practice is to not allow personal, sensitive or uniquely identifying information in custom fields.</t>
        </is>
      </c>
    </row>
    <row r="43">
      <c r="A43" s="43" t="inlineStr">
        <is>
          <t>Custom_15</t>
        </is>
      </c>
      <c r="B43" s="51" t="inlineStr">
        <is>
          <t>36</t>
        </is>
      </c>
      <c r="C43" s="73" t="n"/>
      <c r="D43" s="73" t="n"/>
      <c r="E43" s="50" t="n"/>
      <c r="F43" s="73" t="n"/>
      <c r="G43" s="73" t="n"/>
      <c r="H43" s="50" t="n"/>
      <c r="I43" s="47" t="inlineStr">
        <is>
          <t>48 characters maximum</t>
        </is>
      </c>
      <c r="J43" s="51" t="inlineStr">
        <is>
          <t>N</t>
        </is>
      </c>
      <c r="K43" s="47" t="inlineStr">
        <is>
          <t>48 characters maximum for each field; custom field data is validated: First, check the employee form for any custom fields that are required. If the form specifies custom fields and the feed does not provide them, this is treated as an error and the record is not processed. If a custom field is required and the value does not pass a validation, this is treated as an error. If a custom field is not required and the value does not pass a validation, a warning is logged. For each custom field defined in the form, an appropriate validation is performed based on the data type specified: List (custom and connected): validated against the code value, not the long name. Date: must be a valid date, format YYYYMMDD. Boolean: value must be Y or N. Numeric: value must be a number. Text: value must be &lt;= max_length and pass whatever validation is specified for the field. Note: best practice is to not allow personal, sensitive or uniquely identifying information in custom fields.</t>
        </is>
      </c>
    </row>
    <row r="44">
      <c r="A44" s="36" t="inlineStr">
        <is>
          <t>Custom_16</t>
        </is>
      </c>
      <c r="B44" s="49" t="inlineStr">
        <is>
          <t>37</t>
        </is>
      </c>
      <c r="C44" s="73" t="n"/>
      <c r="D44" s="73" t="n"/>
      <c r="E44" s="48" t="n"/>
      <c r="F44" s="73" t="n"/>
      <c r="G44" s="73" t="n"/>
      <c r="H44" s="48" t="n"/>
      <c r="I44" s="41" t="inlineStr">
        <is>
          <t>48 characters maximum</t>
        </is>
      </c>
      <c r="J44" s="49" t="inlineStr">
        <is>
          <t>N</t>
        </is>
      </c>
      <c r="K44" s="41" t="inlineStr">
        <is>
          <t>48 characters maximum for each field; custom field data is validated: First, check the employee form for any custom fields that are required. If the form specifies custom fields and the feed does not provide them, this is treated as an error and the record is not processed. If a custom field is required and the value does not pass a validation, this is treated as an error. If a custom field is not required and the value does not pass a validation, a warning is logged. For each custom field defined in the form, an appropriate validation is performed based on the data type specified: List (custom and connected): validated against the code value, not the long name. Date: must be a valid date, format YYYYMMDD. Boolean: value must be Y or N. Numeric: value must be a number. Text: value must be &lt;= max_length and pass whatever validation is specified for the field. Note: best practice is to not allow personal, sensitive or uniquely identifying information in custom fields.</t>
        </is>
      </c>
    </row>
    <row r="45">
      <c r="A45" s="43" t="inlineStr">
        <is>
          <t>Custom_17</t>
        </is>
      </c>
      <c r="B45" s="51" t="inlineStr">
        <is>
          <t>38</t>
        </is>
      </c>
      <c r="C45" s="73" t="n"/>
      <c r="D45" s="73" t="n"/>
      <c r="E45" s="50" t="n"/>
      <c r="F45" s="73" t="n"/>
      <c r="G45" s="73" t="n"/>
      <c r="H45" s="50" t="n"/>
      <c r="I45" s="47" t="inlineStr">
        <is>
          <t>48 characters maximum</t>
        </is>
      </c>
      <c r="J45" s="51" t="inlineStr">
        <is>
          <t>N</t>
        </is>
      </c>
      <c r="K45" s="47" t="inlineStr">
        <is>
          <t>48 characters maximum for each field; custom field data is validated: First, check the employee form for any custom fields that are required. If the form specifies custom fields and the feed does not provide them, this is treated as an error and the record is not processed. If a custom field is required and the value does not pass a validation, this is treated as an error. If a custom field is not required and the value does not pass a validation, a warning is logged. For each custom field defined in the form, an appropriate validation is performed based on the data type specified: List (custom and connected): validated against the code value, not the long name. Date: must be a valid date, format YYYYMMDD. Boolean: value must be Y or N. Numeric: value must be a number. Text: value must be &lt;= max_length and pass whatever validation is specified for the field. Note: best practice is to not allow personal, sensitive or uniquely identifying information in custom fields.</t>
        </is>
      </c>
    </row>
    <row r="46">
      <c r="A46" s="36" t="inlineStr">
        <is>
          <t>Custom_18</t>
        </is>
      </c>
      <c r="B46" s="49" t="inlineStr">
        <is>
          <t>39</t>
        </is>
      </c>
      <c r="C46" s="73" t="n"/>
      <c r="D46" s="73" t="n"/>
      <c r="E46" s="48" t="n"/>
      <c r="F46" s="73" t="n"/>
      <c r="G46" s="73" t="n"/>
      <c r="H46" s="48" t="n"/>
      <c r="I46" s="41" t="inlineStr">
        <is>
          <t>48 characters maximum</t>
        </is>
      </c>
      <c r="J46" s="49" t="inlineStr">
        <is>
          <t>N</t>
        </is>
      </c>
      <c r="K46" s="41" t="inlineStr">
        <is>
          <t>48 characters maximum for each field; custom field data is validated: First, check the employee form for any custom fields that are required. If the form specifies custom fields and the feed does not provide them, this is treated as an error and the record is not processed. If a custom field is required and the value does not pass a validation, this is treated as an error. If a custom field is not required and the value does not pass a validation, a warning is logged. For each custom field defined in the form, an appropriate validation is performed based on the data type specified: List (custom and connected): validated against the code value, not the long name. Date: must be a valid date, format YYYYMMDD. Boolean: value must be Y or N. Numeric: value must be a number. Text: value must be &lt;= max_length and pass whatever validation is specified for the field. Note: best practice is to not allow personal, sensitive or uniquely identifying information in custom fields.</t>
        </is>
      </c>
    </row>
    <row r="47">
      <c r="A47" s="43" t="inlineStr">
        <is>
          <t>Custom_19</t>
        </is>
      </c>
      <c r="B47" s="51" t="inlineStr">
        <is>
          <t>40</t>
        </is>
      </c>
      <c r="C47" s="73" t="n"/>
      <c r="D47" s="73" t="n"/>
      <c r="E47" s="50" t="n"/>
      <c r="F47" s="73" t="n"/>
      <c r="G47" s="73" t="n"/>
      <c r="H47" s="50" t="n"/>
      <c r="I47" s="47" t="inlineStr">
        <is>
          <t>48 characters maximum</t>
        </is>
      </c>
      <c r="J47" s="51" t="inlineStr">
        <is>
          <t>N</t>
        </is>
      </c>
      <c r="K47" s="47" t="inlineStr">
        <is>
          <t>48 characters maximum for each field; custom field data is validated: First, check the employee form for any custom fields that are required. If the form specifies custom fields and the feed does not provide them, this is treated as an error and the record is not processed. If a custom field is required and the value does not pass a validation, this is treated as an error. If a custom field is not required and the value does not pass a validation, a warning is logged. For each custom field defined in the form, an appropriate validation is performed based on the data type specified: List (custom and connected): validated against the code value, not the long name. Date: must be a valid date, format YYYYMMDD. Boolean: value must be Y or N. Numeric: value must be a number. Text: value must be &lt;= max_length and pass whatever validation is specified for the field. Note: best practice is to not allow personal, sensitive or uniquely identifying information in custom fields.</t>
        </is>
      </c>
    </row>
    <row r="48">
      <c r="A48" s="36" t="inlineStr">
        <is>
          <t>Custom_20</t>
        </is>
      </c>
      <c r="B48" s="49" t="inlineStr">
        <is>
          <t>41</t>
        </is>
      </c>
      <c r="C48" s="73" t="n"/>
      <c r="D48" s="73" t="n"/>
      <c r="E48" s="48" t="n"/>
      <c r="F48" s="73" t="n"/>
      <c r="G48" s="73" t="n"/>
      <c r="H48" s="48" t="n"/>
      <c r="I48" s="41" t="inlineStr">
        <is>
          <t>48 characters maximum</t>
        </is>
      </c>
      <c r="J48" s="49" t="inlineStr">
        <is>
          <t>N</t>
        </is>
      </c>
      <c r="K48" s="41" t="inlineStr">
        <is>
          <t>48 characters maximum for each field; custom field data is validated: First, check the employee form for any custom fields that are required. If the form specifies custom fields and the feed does not provide them, this is treated as an error and the record is not processed. If a custom field is required and the value does not pass a validation, this is treated as an error. If a custom field is not required and the value does not pass a validation, a warning is logged. For each custom field defined in the form, an appropriate validation is performed based on the data type specified: List (custom and connected): validated against the code value, not the long name. Date: must be a valid date, format YYYYMMDD. Boolean: value must be Y or N. Numeric: value must be a number. Text: value must be &lt;= max_length and pass whatever validation is specified for the field. Note: best practice is to not allow personal, sensitive or uniquely identifying information in custom fields.</t>
        </is>
      </c>
    </row>
    <row r="49">
      <c r="A49" s="43" t="inlineStr">
        <is>
          <t>Employee Custom 21</t>
        </is>
      </c>
      <c r="B49" s="51" t="inlineStr">
        <is>
          <t>42</t>
        </is>
      </c>
      <c r="C49" s="60" t="inlineStr">
        <is>
          <t>ADP.AD = Org Unit 1 (derived)</t>
        </is>
      </c>
      <c r="D49" s="60">
        <f>ADP!AD5</f>
        <v/>
      </c>
      <c r="E49" s="60" t="inlineStr">
        <is>
          <t>0088</t>
        </is>
      </c>
      <c r="F49" s="46" t="inlineStr">
        <is>
          <t>UKG.BA = Org Unit 1 (derived)</t>
        </is>
      </c>
      <c r="G49" s="46">
        <f>L2</f>
        <v/>
      </c>
      <c r="H49" s="46" t="inlineStr">
        <is>
          <t>0083</t>
        </is>
      </c>
      <c r="I49" s="47" t="inlineStr">
        <is>
          <t>48 characters maximum</t>
        </is>
      </c>
      <c r="J49" s="51" t="inlineStr">
        <is>
          <t>See Description</t>
        </is>
      </c>
      <c r="K49" s="47" t="inlineStr">
        <is>
          <t>As above; used for Expense Group Hierarchy. * Required for new employee; not required for existing employees.</t>
        </is>
      </c>
    </row>
    <row r="50">
      <c r="A50" s="52" t="inlineStr">
        <is>
          <t>Employee Preferences: Workflow</t>
        </is>
      </c>
      <c r="B50" s="52" t="n"/>
      <c r="C50" s="52" t="n"/>
      <c r="D50" s="52" t="n"/>
      <c r="E50" s="52" t="n"/>
      <c r="F50" s="52" t="n"/>
      <c r="G50" s="52" t="n"/>
      <c r="H50" s="52" t="n"/>
      <c r="I50" s="52" t="n"/>
      <c r="J50" s="52" t="n"/>
      <c r="K50" s="52" t="n"/>
    </row>
    <row r="51">
      <c r="A51" s="36" t="inlineStr">
        <is>
          <t>Send email when the cash advance status changes</t>
        </is>
      </c>
      <c r="B51" s="49" t="inlineStr">
        <is>
          <t>43</t>
        </is>
      </c>
      <c r="C51" s="73" t="n"/>
      <c r="D51" s="73" t="n"/>
      <c r="E51" s="48" t="n"/>
      <c r="F51" s="73" t="n"/>
      <c r="G51" s="73" t="n"/>
      <c r="H51" s="48" t="n"/>
      <c r="I51" s="41" t="inlineStr">
        <is>
          <t>Y or N
Default = Y</t>
        </is>
      </c>
      <c r="J51" s="49" t="inlineStr">
        <is>
          <t>N</t>
        </is>
      </c>
      <c r="K51" s="41" t="n"/>
    </row>
    <row r="52">
      <c r="A52" s="43" t="inlineStr">
        <is>
          <t>Send email when a cash advance is awaiting approval</t>
        </is>
      </c>
      <c r="B52" s="51" t="inlineStr">
        <is>
          <t>44</t>
        </is>
      </c>
      <c r="C52" s="73" t="n"/>
      <c r="D52" s="73" t="n"/>
      <c r="E52" s="50" t="n"/>
      <c r="F52" s="73" t="n"/>
      <c r="G52" s="73" t="n"/>
      <c r="H52" s="50" t="n"/>
      <c r="I52" s="47" t="inlineStr">
        <is>
          <t>Y or N
Default = Y</t>
        </is>
      </c>
      <c r="J52" s="51" t="inlineStr">
        <is>
          <t>N</t>
        </is>
      </c>
      <c r="K52" s="47" t="n"/>
    </row>
    <row r="53">
      <c r="A53" s="36" t="inlineStr">
        <is>
          <t>Send email when the report status changes</t>
        </is>
      </c>
      <c r="B53" s="49" t="inlineStr">
        <is>
          <t>45</t>
        </is>
      </c>
      <c r="C53" s="73" t="n"/>
      <c r="D53" s="73" t="n"/>
      <c r="E53" s="48" t="n"/>
      <c r="F53" s="73" t="n"/>
      <c r="G53" s="73" t="n"/>
      <c r="H53" s="48" t="n"/>
      <c r="I53" s="41" t="inlineStr">
        <is>
          <t>Y or N
Default = Y</t>
        </is>
      </c>
      <c r="J53" s="49" t="inlineStr">
        <is>
          <t>N</t>
        </is>
      </c>
      <c r="K53" s="41" t="n"/>
    </row>
    <row r="54">
      <c r="A54" s="43" t="inlineStr">
        <is>
          <t>Send email when a report is awaiting approval</t>
        </is>
      </c>
      <c r="B54" s="51" t="inlineStr">
        <is>
          <t>46</t>
        </is>
      </c>
      <c r="C54" s="73" t="n"/>
      <c r="D54" s="73" t="n"/>
      <c r="E54" s="50" t="n"/>
      <c r="F54" s="73" t="n"/>
      <c r="G54" s="73" t="n"/>
      <c r="H54" s="50" t="n"/>
      <c r="I54" s="47" t="inlineStr">
        <is>
          <t>Y or N
Default = Y</t>
        </is>
      </c>
      <c r="J54" s="51" t="inlineStr">
        <is>
          <t>N</t>
        </is>
      </c>
      <c r="K54" s="47" t="n"/>
    </row>
    <row r="55">
      <c r="A55" s="36" t="inlineStr">
        <is>
          <t>Prompt for approver when submitting a report</t>
        </is>
      </c>
      <c r="B55" s="49" t="inlineStr">
        <is>
          <t>47</t>
        </is>
      </c>
      <c r="C55" s="73" t="n"/>
      <c r="D55" s="73" t="n"/>
      <c r="E55" s="48" t="n"/>
      <c r="F55" s="73" t="n"/>
      <c r="G55" s="73" t="n"/>
      <c r="H55" s="48" t="n"/>
      <c r="I55" s="41" t="inlineStr">
        <is>
          <t>Y or N
Default = N</t>
        </is>
      </c>
      <c r="J55" s="49" t="inlineStr">
        <is>
          <t>N</t>
        </is>
      </c>
      <c r="K55" s="41" t="n"/>
    </row>
    <row r="56">
      <c r="A56" s="43" t="inlineStr">
        <is>
          <t>Send email when the request status changes</t>
        </is>
      </c>
      <c r="B56" s="51" t="inlineStr">
        <is>
          <t>48</t>
        </is>
      </c>
      <c r="C56" s="73" t="n"/>
      <c r="D56" s="73" t="n"/>
      <c r="E56" s="50" t="n"/>
      <c r="F56" s="73" t="n"/>
      <c r="G56" s="73" t="n"/>
      <c r="H56" s="50" t="n"/>
      <c r="I56" s="47" t="inlineStr">
        <is>
          <t>Y or N
Default = Y</t>
        </is>
      </c>
      <c r="J56" s="51" t="inlineStr">
        <is>
          <t>N</t>
        </is>
      </c>
      <c r="K56" s="47" t="inlineStr">
        <is>
          <t>Note: this preference is enforced only if Request User and/or Request Manager (Approver) role is set to Y in this file.</t>
        </is>
      </c>
    </row>
    <row r="57">
      <c r="A57" s="36" t="inlineStr">
        <is>
          <t>Send email when a request is awaiting approval</t>
        </is>
      </c>
      <c r="B57" s="49" t="inlineStr">
        <is>
          <t>49</t>
        </is>
      </c>
      <c r="C57" s="73" t="n"/>
      <c r="D57" s="73" t="n"/>
      <c r="E57" s="48" t="n"/>
      <c r="F57" s="73" t="n"/>
      <c r="G57" s="73" t="n"/>
      <c r="H57" s="48" t="n"/>
      <c r="I57" s="41" t="inlineStr">
        <is>
          <t>Y or N
Default = Y</t>
        </is>
      </c>
      <c r="J57" s="49" t="inlineStr">
        <is>
          <t>N</t>
        </is>
      </c>
      <c r="K57" s="41" t="inlineStr">
        <is>
          <t>Note: this preference is enforced only if Request User and/or Request Manager (Approver) role is set to Y in this file.</t>
        </is>
      </c>
    </row>
    <row r="58">
      <c r="A58" s="43" t="inlineStr">
        <is>
          <t>Prompt for approver when submitting a request</t>
        </is>
      </c>
      <c r="B58" s="51" t="inlineStr">
        <is>
          <t>50</t>
        </is>
      </c>
      <c r="C58" s="73" t="n"/>
      <c r="D58" s="73" t="n"/>
      <c r="E58" s="50" t="n"/>
      <c r="F58" s="73" t="n"/>
      <c r="G58" s="73" t="n"/>
      <c r="H58" s="50" t="n"/>
      <c r="I58" s="47" t="inlineStr">
        <is>
          <t>Y or N
Default = N</t>
        </is>
      </c>
      <c r="J58" s="51" t="inlineStr">
        <is>
          <t>N</t>
        </is>
      </c>
      <c r="K58" s="47" t="n"/>
    </row>
    <row r="59">
      <c r="A59" s="36" t="inlineStr">
        <is>
          <t>Send email when the payment status changes</t>
        </is>
      </c>
      <c r="B59" s="49" t="inlineStr">
        <is>
          <t>51</t>
        </is>
      </c>
      <c r="C59" s="73" t="n"/>
      <c r="D59" s="73" t="n"/>
      <c r="E59" s="48" t="n"/>
      <c r="F59" s="73" t="n"/>
      <c r="G59" s="73" t="n"/>
      <c r="H59" s="48" t="n"/>
      <c r="I59" s="41" t="inlineStr">
        <is>
          <t>Y or N
Default = Y</t>
        </is>
      </c>
      <c r="J59" s="49" t="inlineStr">
        <is>
          <t>N</t>
        </is>
      </c>
      <c r="K59" s="41" t="n"/>
    </row>
    <row r="60">
      <c r="A60" s="43" t="inlineStr">
        <is>
          <t>Send email when a payment is awaiting approval</t>
        </is>
      </c>
      <c r="B60" s="51" t="inlineStr">
        <is>
          <t>52</t>
        </is>
      </c>
      <c r="C60" s="73" t="n"/>
      <c r="D60" s="73" t="n"/>
      <c r="E60" s="50" t="n"/>
      <c r="F60" s="73" t="n"/>
      <c r="G60" s="73" t="n"/>
      <c r="H60" s="50" t="n"/>
      <c r="I60" s="47" t="inlineStr">
        <is>
          <t>Y or N
Default = Y</t>
        </is>
      </c>
      <c r="J60" s="51" t="inlineStr">
        <is>
          <t>N</t>
        </is>
      </c>
      <c r="K60" s="47" t="n"/>
    </row>
    <row r="61">
      <c r="A61" s="36" t="inlineStr">
        <is>
          <t>Prompt for approver when submitting a payment</t>
        </is>
      </c>
      <c r="B61" s="49" t="inlineStr">
        <is>
          <t>53</t>
        </is>
      </c>
      <c r="C61" s="73" t="n"/>
      <c r="D61" s="73" t="n"/>
      <c r="E61" s="48" t="n"/>
      <c r="F61" s="73" t="n"/>
      <c r="G61" s="73" t="n"/>
      <c r="H61" s="48" t="n"/>
      <c r="I61" s="41" t="inlineStr">
        <is>
          <t>Y or N
Default = N</t>
        </is>
      </c>
      <c r="J61" s="49" t="inlineStr">
        <is>
          <t>N</t>
        </is>
      </c>
      <c r="K61" s="41" t="n"/>
    </row>
    <row r="62">
      <c r="A62" s="52" t="inlineStr">
        <is>
          <t>Employee Preferences</t>
        </is>
      </c>
      <c r="B62" s="52" t="n"/>
      <c r="C62" s="52" t="n"/>
      <c r="D62" s="52" t="n"/>
      <c r="E62" s="52" t="n"/>
      <c r="F62" s="52" t="n"/>
      <c r="G62" s="52" t="n"/>
      <c r="H62" s="52" t="n"/>
      <c r="I62" s="52" t="n"/>
      <c r="J62" s="52" t="n"/>
      <c r="K62" s="52" t="n"/>
    </row>
    <row r="63">
      <c r="A63" s="43" t="inlineStr">
        <is>
          <t>Prompt to add company card transactions to report</t>
        </is>
      </c>
      <c r="B63" s="51" t="inlineStr">
        <is>
          <t>54</t>
        </is>
      </c>
      <c r="C63" s="73" t="n"/>
      <c r="D63" s="73" t="n"/>
      <c r="E63" s="50" t="n"/>
      <c r="F63" s="73" t="n"/>
      <c r="G63" s="73" t="n"/>
      <c r="H63" s="50" t="n"/>
      <c r="I63" s="47" t="inlineStr">
        <is>
          <t>Y or N
Default = Y</t>
        </is>
      </c>
      <c r="J63" s="51" t="inlineStr">
        <is>
          <t>N</t>
        </is>
      </c>
      <c r="K63" s="47" t="n"/>
    </row>
    <row r="64">
      <c r="A64" s="36" t="inlineStr">
        <is>
          <t>Send email when new company card transactions arrive</t>
        </is>
      </c>
      <c r="B64" s="49" t="inlineStr">
        <is>
          <t>55</t>
        </is>
      </c>
      <c r="C64" s="73" t="n"/>
      <c r="D64" s="73" t="n"/>
      <c r="E64" s="48" t="n"/>
      <c r="F64" s="73" t="n"/>
      <c r="G64" s="73" t="n"/>
      <c r="H64" s="48" t="n"/>
      <c r="I64" s="41" t="inlineStr">
        <is>
          <t>Y or N
Default = Y</t>
        </is>
      </c>
      <c r="J64" s="49" t="inlineStr">
        <is>
          <t>N</t>
        </is>
      </c>
      <c r="K64" s="41" t="n"/>
    </row>
    <row r="65">
      <c r="A65" s="43" t="inlineStr">
        <is>
          <t>This field has been decommissioned.</t>
        </is>
      </c>
      <c r="B65" s="51" t="inlineStr">
        <is>
          <t>56</t>
        </is>
      </c>
      <c r="C65" s="73" t="n"/>
      <c r="D65" s="73" t="n"/>
      <c r="E65" s="50" t="n"/>
      <c r="F65" s="73" t="n"/>
      <c r="G65" s="73" t="n"/>
      <c r="H65" s="50" t="n"/>
      <c r="I65" s="47" t="inlineStr">
        <is>
          <t>NA</t>
        </is>
      </c>
      <c r="J65" s="51" t="inlineStr">
        <is>
          <t>N</t>
        </is>
      </c>
      <c r="K65" s="47" t="inlineStr">
        <is>
          <t>Note: as of November 1, 2022, information in this field will be ignored.</t>
        </is>
      </c>
    </row>
    <row r="66">
      <c r="A66" s="36" t="inlineStr">
        <is>
          <t>Display instructional help on the application pages</t>
        </is>
      </c>
      <c r="B66" s="49" t="inlineStr">
        <is>
          <t>57</t>
        </is>
      </c>
      <c r="C66" s="73" t="n"/>
      <c r="D66" s="73" t="n"/>
      <c r="E66" s="48" t="n"/>
      <c r="F66" s="73" t="n"/>
      <c r="G66" s="73" t="n"/>
      <c r="H66" s="48" t="n"/>
      <c r="I66" s="41" t="inlineStr">
        <is>
          <t>Y or N
Default = Y</t>
        </is>
      </c>
      <c r="J66" s="49" t="inlineStr">
        <is>
          <t>N</t>
        </is>
      </c>
      <c r="K66" s="41" t="n"/>
    </row>
    <row r="67">
      <c r="A67" s="43" t="inlineStr">
        <is>
          <t>Display imaging introduction page</t>
        </is>
      </c>
      <c r="B67" s="51" t="inlineStr">
        <is>
          <t>58</t>
        </is>
      </c>
      <c r="C67" s="73" t="n"/>
      <c r="D67" s="73" t="n"/>
      <c r="E67" s="50" t="n"/>
      <c r="F67" s="73" t="n"/>
      <c r="G67" s="73" t="n"/>
      <c r="H67" s="50" t="n"/>
      <c r="I67" s="47" t="inlineStr">
        <is>
          <t>Y or N
Default = Y</t>
        </is>
      </c>
      <c r="J67" s="51" t="inlineStr">
        <is>
          <t>N</t>
        </is>
      </c>
      <c r="K67" s="47" t="n"/>
    </row>
    <row r="68">
      <c r="A68" s="52" t="inlineStr">
        <is>
          <t>Approvers</t>
        </is>
      </c>
      <c r="B68" s="52" t="n"/>
      <c r="C68" s="52" t="n"/>
      <c r="D68" s="52" t="n"/>
      <c r="E68" s="52" t="n"/>
      <c r="F68" s="52" t="n"/>
      <c r="G68" s="52" t="n"/>
      <c r="H68" s="52" t="n"/>
      <c r="I68" s="52" t="n"/>
      <c r="J68" s="52" t="n"/>
      <c r="K68" s="52" t="n"/>
    </row>
    <row r="69">
      <c r="A69" s="52" t="inlineStr">
        <is>
          <t>Note — Request roles</t>
        </is>
      </c>
      <c r="B69" s="52" t="n"/>
      <c r="C69" s="52" t="n"/>
      <c r="D69" s="52" t="n"/>
      <c r="E69" s="52" t="n"/>
      <c r="F69" s="52" t="n"/>
      <c r="G69" s="52" t="n"/>
      <c r="H69" s="52" t="n"/>
      <c r="I69" s="52" t="n"/>
      <c r="J69" s="52" t="n"/>
      <c r="K69" s="52" t="inlineStr">
        <is>
          <t>If Request is enabled, then the Request User and Approver roles and corresponding assignments are imported. A setting in Hosted Management Console, Set AR and TR Approver based on the approver roles, allows you to change the import functionality to reference the roles of the Approver specified in Employee ID of the Request Approver field to determine a user's approver — consult your Expense representative for more information.</t>
        </is>
      </c>
    </row>
    <row r="70">
      <c r="A70" s="36" t="inlineStr">
        <is>
          <t>Employee ID of the Expense Report Approver</t>
        </is>
      </c>
      <c r="B70" s="49" t="inlineStr">
        <is>
          <t>59</t>
        </is>
      </c>
      <c r="C70" s="59" t="inlineStr">
        <is>
          <t>ADP.AC = Supervisor Id (derived)</t>
        </is>
      </c>
      <c r="D70" s="59">
        <f>ADP!AC5</f>
        <v/>
      </c>
      <c r="E70" s="59" t="inlineStr">
        <is>
          <t>211756</t>
        </is>
      </c>
      <c r="F70" s="40" t="inlineStr">
        <is>
          <t>UKG.AZ = SupervisorID Formatted (derived)</t>
        </is>
      </c>
      <c r="G70" s="40">
        <f>UKG!AZ2</f>
        <v/>
      </c>
      <c r="H70" s="40" t="inlineStr">
        <is>
          <t>203007</t>
        </is>
      </c>
      <c r="I70" s="41" t="inlineStr">
        <is>
          <t>48 characters maximum</t>
        </is>
      </c>
      <c r="J70" s="49" t="inlineStr">
        <is>
          <t>N</t>
        </is>
      </c>
      <c r="K70" s="41" t="inlineStr">
        <is>
          <t>Must be an existing employee ID or in the current import. (See Note above.)</t>
        </is>
      </c>
    </row>
    <row r="71">
      <c r="A71" s="43" t="inlineStr">
        <is>
          <t>Employee ID of the Cash Advance Approver</t>
        </is>
      </c>
      <c r="B71" s="51" t="inlineStr">
        <is>
          <t>60</t>
        </is>
      </c>
      <c r="C71" s="73" t="n"/>
      <c r="D71" s="73" t="n"/>
      <c r="E71" s="50" t="n"/>
      <c r="F71" s="73" t="n"/>
      <c r="G71" s="73" t="n"/>
      <c r="H71" s="50" t="n"/>
      <c r="I71" s="47" t="inlineStr">
        <is>
          <t>48 characters maximum</t>
        </is>
      </c>
      <c r="J71" s="51" t="inlineStr">
        <is>
          <t>N</t>
        </is>
      </c>
      <c r="K71" s="47" t="inlineStr">
        <is>
          <t>Must be an existing employee ID or in the current import. (See Note above.)</t>
        </is>
      </c>
    </row>
    <row r="72">
      <c r="A72" s="36" t="inlineStr">
        <is>
          <t>Employee ID of the Request Approver</t>
        </is>
      </c>
      <c r="B72" s="49" t="inlineStr">
        <is>
          <t>61</t>
        </is>
      </c>
      <c r="C72" s="73" t="n"/>
      <c r="D72" s="73" t="n"/>
      <c r="E72" s="48" t="n"/>
      <c r="F72" s="73" t="n"/>
      <c r="G72" s="73" t="n"/>
      <c r="H72" s="48" t="n"/>
      <c r="I72" s="41" t="inlineStr">
        <is>
          <t>48 characters maximum</t>
        </is>
      </c>
      <c r="J72" s="49" t="inlineStr">
        <is>
          <t>N</t>
        </is>
      </c>
      <c r="K72" s="41" t="inlineStr">
        <is>
          <t>Must be an existing employee ID or in the current import. (See Note above.)</t>
        </is>
      </c>
    </row>
    <row r="73">
      <c r="A73" s="43" t="inlineStr">
        <is>
          <t>Employee ID of the Invoice Approver</t>
        </is>
      </c>
      <c r="B73" s="51" t="inlineStr">
        <is>
          <t>62</t>
        </is>
      </c>
      <c r="C73" s="73" t="n"/>
      <c r="D73" s="73" t="n"/>
      <c r="E73" s="50" t="n"/>
      <c r="F73" s="73" t="n"/>
      <c r="G73" s="73" t="n"/>
      <c r="H73" s="50" t="n"/>
      <c r="I73" s="47" t="inlineStr">
        <is>
          <t>48 characters maximum</t>
        </is>
      </c>
      <c r="J73" s="51" t="inlineStr">
        <is>
          <t>N</t>
        </is>
      </c>
      <c r="K73" s="47" t="inlineStr">
        <is>
          <t>Must be an existing employee ID or in the current import. (See Note above.)</t>
        </is>
      </c>
    </row>
    <row r="74">
      <c r="A74" s="52" t="inlineStr">
        <is>
          <t>Non-Group Roles</t>
        </is>
      </c>
      <c r="B74" s="52" t="n"/>
      <c r="C74" s="52" t="n"/>
      <c r="D74" s="52" t="n"/>
      <c r="E74" s="52" t="n"/>
      <c r="F74" s="52" t="n"/>
      <c r="G74" s="52" t="n"/>
      <c r="H74" s="52" t="n"/>
      <c r="I74" s="52" t="n"/>
      <c r="J74" s="52" t="n"/>
      <c r="K74" s="52" t="n"/>
    </row>
    <row r="75">
      <c r="A75" s="36" t="inlineStr">
        <is>
          <t>Expense User</t>
        </is>
      </c>
      <c r="B75" s="49" t="inlineStr">
        <is>
          <t>63</t>
        </is>
      </c>
      <c r="C75" s="59" t="inlineStr">
        <is>
          <t>(literal)</t>
        </is>
      </c>
      <c r="D75" s="59" t="inlineStr">
        <is>
          <t>Y</t>
        </is>
      </c>
      <c r="E75" s="59" t="inlineStr">
        <is>
          <t>Y</t>
        </is>
      </c>
      <c r="F75" s="40" t="inlineStr">
        <is>
          <t>(literal)</t>
        </is>
      </c>
      <c r="G75" s="40" t="inlineStr">
        <is>
          <t>Y</t>
        </is>
      </c>
      <c r="H75" s="40" t="inlineStr">
        <is>
          <t>Y</t>
        </is>
      </c>
      <c r="I75" s="41" t="inlineStr">
        <is>
          <t>1 character. If a user has no other assigned roles, then this role is assigned (that is, Y, N, or blank will always equal Yes). If a user has other assigned roles, then Y = Yes, N = No, and blank = Yes.</t>
        </is>
      </c>
      <c r="J75" s="49" t="inlineStr">
        <is>
          <t>N</t>
        </is>
      </c>
      <c r="K75" s="41" t="inlineStr">
        <is>
          <t>Note default change of value if existing assigned role.</t>
        </is>
      </c>
    </row>
    <row r="76">
      <c r="A76" s="43" t="inlineStr">
        <is>
          <t>Expense and/or Cash Advance Approver</t>
        </is>
      </c>
      <c r="B76" s="51" t="inlineStr">
        <is>
          <t>64</t>
        </is>
      </c>
      <c r="C76" s="60" t="inlineStr">
        <is>
          <t>(literal)</t>
        </is>
      </c>
      <c r="D76" s="60" t="inlineStr">
        <is>
          <t>Y</t>
        </is>
      </c>
      <c r="E76" s="60" t="inlineStr">
        <is>
          <t>Y</t>
        </is>
      </c>
      <c r="F76" s="46" t="inlineStr">
        <is>
          <t>(literal)</t>
        </is>
      </c>
      <c r="G76" s="46" t="inlineStr">
        <is>
          <t>Y</t>
        </is>
      </c>
      <c r="H76" s="46" t="inlineStr">
        <is>
          <t>Y</t>
        </is>
      </c>
      <c r="I76" s="47" t="inlineStr">
        <is>
          <t>Y or N
Default = N</t>
        </is>
      </c>
      <c r="J76" s="51" t="inlineStr">
        <is>
          <t>N</t>
        </is>
      </c>
      <c r="K76" s="47" t="n"/>
    </row>
    <row r="77">
      <c r="A77" s="52" t="inlineStr">
        <is>
          <t>Company Card Administrator is a Group Role!</t>
        </is>
      </c>
      <c r="B77" s="52" t="n"/>
      <c r="C77" s="52" t="n"/>
      <c r="D77" s="52" t="n"/>
      <c r="E77" s="52" t="n"/>
      <c r="F77" s="52" t="n"/>
      <c r="G77" s="52" t="n"/>
      <c r="H77" s="52" t="n"/>
      <c r="I77" s="52" t="n"/>
      <c r="J77" s="52" t="n"/>
      <c r="K77" s="52" t="n"/>
    </row>
    <row r="78">
      <c r="A78" s="36" t="inlineStr">
        <is>
          <t>Company Card Administrator</t>
        </is>
      </c>
      <c r="B78" s="49" t="inlineStr">
        <is>
          <t>65</t>
        </is>
      </c>
      <c r="C78" s="73" t="n"/>
      <c r="D78" s="73" t="n"/>
      <c r="E78" s="48" t="n"/>
      <c r="F78" s="73" t="n"/>
      <c r="G78" s="73" t="n"/>
      <c r="H78" s="48" t="n"/>
      <c r="I78" s="41" t="inlineStr">
        <is>
          <t>Y or N
Default = N</t>
        </is>
      </c>
      <c r="J78" s="49" t="inlineStr">
        <is>
          <t>N</t>
        </is>
      </c>
      <c r="K78" s="41" t="inlineStr">
        <is>
          <t>If Yes (Y), the user is granted this role at the Global group level. THIS IS A GROUP ROLE! Beginning November of 2011 the Company Card Administrator role is Group-aware. Use the 400-level record to specify the Hierarchy node.</t>
        </is>
      </c>
    </row>
    <row r="79">
      <c r="A79" s="52" t="inlineStr">
        <is>
          <t>Non-Group Roles, continued...</t>
        </is>
      </c>
      <c r="B79" s="52" t="n"/>
      <c r="C79" s="52" t="n"/>
      <c r="D79" s="52" t="n"/>
      <c r="E79" s="52" t="n"/>
      <c r="F79" s="52" t="n"/>
      <c r="G79" s="52" t="n"/>
      <c r="H79" s="52" t="n"/>
      <c r="I79" s="52" t="n"/>
      <c r="J79" s="52" t="n"/>
      <c r="K79" s="52" t="n"/>
    </row>
    <row r="80">
      <c r="A80" s="43" t="inlineStr">
        <is>
          <t>Future Use (66)</t>
        </is>
      </c>
      <c r="B80" s="51" t="inlineStr">
        <is>
          <t>66</t>
        </is>
      </c>
      <c r="C80" s="73" t="n"/>
      <c r="D80" s="73" t="n"/>
      <c r="E80" s="50" t="n"/>
      <c r="F80" s="73" t="n"/>
      <c r="G80" s="73" t="n"/>
      <c r="H80" s="50" t="n"/>
      <c r="I80" s="47" t="n"/>
      <c r="J80" s="51" t="inlineStr">
        <is>
          <t>N</t>
        </is>
      </c>
      <c r="K80" s="47" t="inlineStr">
        <is>
          <t>Reserved for Future Use</t>
        </is>
      </c>
    </row>
    <row r="81">
      <c r="A81" s="36" t="inlineStr">
        <is>
          <t>Receipt Processor</t>
        </is>
      </c>
      <c r="B81" s="49" t="inlineStr">
        <is>
          <t>67</t>
        </is>
      </c>
      <c r="C81" s="73" t="n"/>
      <c r="D81" s="73" t="n"/>
      <c r="E81" s="48" t="n"/>
      <c r="F81" s="73" t="n"/>
      <c r="G81" s="73" t="n"/>
      <c r="H81" s="48" t="n"/>
      <c r="I81" s="41" t="inlineStr">
        <is>
          <t>Y or N
Default = N</t>
        </is>
      </c>
      <c r="J81" s="49" t="inlineStr">
        <is>
          <t>N</t>
        </is>
      </c>
      <c r="K81" s="41" t="n"/>
    </row>
    <row r="82">
      <c r="A82" s="43" t="inlineStr">
        <is>
          <t>Future Use (68)</t>
        </is>
      </c>
      <c r="B82" s="51" t="inlineStr">
        <is>
          <t>68</t>
        </is>
      </c>
      <c r="C82" s="73" t="n"/>
      <c r="D82" s="73" t="n"/>
      <c r="E82" s="50" t="n"/>
      <c r="F82" s="73" t="n"/>
      <c r="G82" s="73" t="n"/>
      <c r="H82" s="50" t="n"/>
      <c r="I82" s="47" t="n"/>
      <c r="J82" s="51" t="inlineStr">
        <is>
          <t>N</t>
        </is>
      </c>
      <c r="K82" s="47" t="inlineStr">
        <is>
          <t>Reserved for Future Use</t>
        </is>
      </c>
    </row>
    <row r="83">
      <c r="A83" s="36" t="inlineStr">
        <is>
          <t>Import/Extract Monitor</t>
        </is>
      </c>
      <c r="B83" s="49" t="inlineStr">
        <is>
          <t>69</t>
        </is>
      </c>
      <c r="C83" s="73" t="n"/>
      <c r="D83" s="73" t="n"/>
      <c r="E83" s="48" t="n"/>
      <c r="F83" s="73" t="n"/>
      <c r="G83" s="73" t="n"/>
      <c r="H83" s="48" t="n"/>
      <c r="I83" s="41" t="inlineStr">
        <is>
          <t>Y or N
Default = N</t>
        </is>
      </c>
      <c r="J83" s="49" t="inlineStr">
        <is>
          <t>N</t>
        </is>
      </c>
      <c r="K83" s="41" t="n"/>
    </row>
    <row r="84">
      <c r="A84" s="43" t="inlineStr">
        <is>
          <t>Company Info Administrator</t>
        </is>
      </c>
      <c r="B84" s="51" t="inlineStr">
        <is>
          <t>70</t>
        </is>
      </c>
      <c r="C84" s="73" t="n"/>
      <c r="D84" s="73" t="n"/>
      <c r="E84" s="50" t="n"/>
      <c r="F84" s="73" t="n"/>
      <c r="G84" s="73" t="n"/>
      <c r="H84" s="50" t="n"/>
      <c r="I84" s="47" t="inlineStr">
        <is>
          <t>Y or N
Default = N</t>
        </is>
      </c>
      <c r="J84" s="51" t="inlineStr">
        <is>
          <t>N</t>
        </is>
      </c>
      <c r="K84" s="47" t="n"/>
    </row>
    <row r="85">
      <c r="A85" s="36" t="inlineStr">
        <is>
          <t>Offline User</t>
        </is>
      </c>
      <c r="B85" s="49" t="inlineStr">
        <is>
          <t>71</t>
        </is>
      </c>
      <c r="C85" s="73" t="n"/>
      <c r="D85" s="73" t="n"/>
      <c r="E85" s="48" t="n"/>
      <c r="F85" s="73" t="n"/>
      <c r="G85" s="73" t="n"/>
      <c r="H85" s="48" t="n"/>
      <c r="I85" s="41" t="inlineStr">
        <is>
          <t>Y or N
Default = N</t>
        </is>
      </c>
      <c r="J85" s="49" t="inlineStr">
        <is>
          <t>N</t>
        </is>
      </c>
      <c r="K85" s="41" t="n"/>
    </row>
    <row r="86">
      <c r="A86" s="43" t="inlineStr">
        <is>
          <t>Reporting Configuration administrator</t>
        </is>
      </c>
      <c r="B86" s="51" t="inlineStr">
        <is>
          <t>72</t>
        </is>
      </c>
      <c r="C86" s="73" t="n"/>
      <c r="D86" s="73" t="n"/>
      <c r="E86" s="50" t="n"/>
      <c r="F86" s="73" t="n"/>
      <c r="G86" s="73" t="n"/>
      <c r="H86" s="50" t="n"/>
      <c r="I86" s="47" t="inlineStr">
        <is>
          <t>Y or N
Default = N</t>
        </is>
      </c>
      <c r="J86" s="51" t="inlineStr">
        <is>
          <t>N</t>
        </is>
      </c>
      <c r="K86" s="47" t="inlineStr">
        <is>
          <t>Consolidation Configuration administrator</t>
        </is>
      </c>
    </row>
    <row r="87">
      <c r="A87" s="36" t="inlineStr">
        <is>
          <t>Invoice User</t>
        </is>
      </c>
      <c r="B87" s="49" t="inlineStr">
        <is>
          <t>73</t>
        </is>
      </c>
      <c r="C87" s="59" t="inlineStr">
        <is>
          <t>ADP.AO = InvoiceAccess (derived)</t>
        </is>
      </c>
      <c r="D87" s="59">
        <f>ADP!AO5</f>
        <v/>
      </c>
      <c r="E87" s="59" t="inlineStr">
        <is>
          <t>N</t>
        </is>
      </c>
      <c r="F87" s="40" t="inlineStr">
        <is>
          <t>UKG.BL = Invoice Access (derived)</t>
        </is>
      </c>
      <c r="G87" s="40">
        <f>UKG!BL2</f>
        <v/>
      </c>
      <c r="H87" s="40" t="inlineStr">
        <is>
          <t>N</t>
        </is>
      </c>
      <c r="I87" s="41" t="inlineStr">
        <is>
          <t>Y or N
Default = N</t>
        </is>
      </c>
      <c r="J87" s="49" t="inlineStr">
        <is>
          <t>N</t>
        </is>
      </c>
      <c r="K87" s="41" t="n"/>
    </row>
    <row r="88">
      <c r="A88" s="43" t="inlineStr">
        <is>
          <t>Invoice Approver</t>
        </is>
      </c>
      <c r="B88" s="51" t="inlineStr">
        <is>
          <t>74</t>
        </is>
      </c>
      <c r="C88" s="60" t="inlineStr">
        <is>
          <t>ADP.AO = InvoiceAccess (derived)</t>
        </is>
      </c>
      <c r="D88" s="60">
        <f>ADP!AO5</f>
        <v/>
      </c>
      <c r="E88" s="60" t="inlineStr">
        <is>
          <t>N</t>
        </is>
      </c>
      <c r="F88" s="46" t="inlineStr">
        <is>
          <t>UKG.BL = Invoice Access (derived)</t>
        </is>
      </c>
      <c r="G88" s="46">
        <f>UKG!BL2</f>
        <v/>
      </c>
      <c r="H88" s="46" t="inlineStr">
        <is>
          <t>N</t>
        </is>
      </c>
      <c r="I88" s="47" t="inlineStr">
        <is>
          <t>Y or N
Default = N</t>
        </is>
      </c>
      <c r="J88" s="51" t="inlineStr">
        <is>
          <t>N</t>
        </is>
      </c>
      <c r="K88" s="47" t="n"/>
    </row>
    <row r="89">
      <c r="A89" s="36" t="inlineStr">
        <is>
          <t>Invoice Vendor Manager</t>
        </is>
      </c>
      <c r="B89" s="49" t="inlineStr">
        <is>
          <t>75</t>
        </is>
      </c>
      <c r="C89" s="73" t="n"/>
      <c r="D89" s="73" t="n"/>
      <c r="E89" s="48" t="n"/>
      <c r="F89" s="73" t="n"/>
      <c r="G89" s="73" t="n"/>
      <c r="H89" s="48" t="n"/>
      <c r="I89" s="41" t="inlineStr">
        <is>
          <t>Y or N
Default = N</t>
        </is>
      </c>
      <c r="J89" s="49" t="inlineStr">
        <is>
          <t>N</t>
        </is>
      </c>
      <c r="K89" s="41" t="inlineStr">
        <is>
          <t>The Invoice Vendor Manager role is a Group-based role. A value of Y in this field auto-assigns the Default Group role. To assign a specific Vendor Access Group, use the 400-level record set instead.</t>
        </is>
      </c>
    </row>
    <row r="90">
      <c r="A90" s="43" t="inlineStr">
        <is>
          <t>Expense Audit Required</t>
        </is>
      </c>
      <c r="B90" s="51" t="inlineStr">
        <is>
          <t>76</t>
        </is>
      </c>
      <c r="C90" s="73" t="n"/>
      <c r="D90" s="73" t="n"/>
      <c r="E90" s="50" t="n"/>
      <c r="F90" s="73" t="n"/>
      <c r="G90" s="73" t="n"/>
      <c r="H90" s="50" t="n"/>
      <c r="I90" s="47" t="inlineStr">
        <is>
          <t>One of these:
REQ: Required conditionally
ALW: Always required
NVR: Never required</t>
        </is>
      </c>
      <c r="J90" s="51" t="inlineStr">
        <is>
          <t>N</t>
        </is>
      </c>
      <c r="K90" s="47" t="n"/>
    </row>
    <row r="91">
      <c r="A91" s="36" t="inlineStr">
        <is>
          <t>BI Manager Employee ID</t>
        </is>
      </c>
      <c r="B91" s="49" t="inlineStr">
        <is>
          <t>77</t>
        </is>
      </c>
      <c r="C91" s="73" t="n"/>
      <c r="D91" s="73" t="n"/>
      <c r="E91" s="48" t="n"/>
      <c r="F91" s="73" t="n"/>
      <c r="G91" s="73" t="n"/>
      <c r="H91" s="48" t="n"/>
      <c r="I91" s="41" t="inlineStr">
        <is>
          <t>48 characters maximum</t>
        </is>
      </c>
      <c r="J91" s="49" t="inlineStr">
        <is>
          <t>N</t>
        </is>
      </c>
      <c r="K91" s="41" t="inlineStr">
        <is>
          <t>Enter the employee ID of the person designated as the user's BI Manager. Must be an existing employee ID or in the current import. Note: a validation is run on this field that prevents any circular reporting among users. The field is nulled if the logic is in error.</t>
        </is>
      </c>
    </row>
    <row r="92">
      <c r="A92" s="43" t="inlineStr">
        <is>
          <t>Request User</t>
        </is>
      </c>
      <c r="B92" s="51" t="inlineStr">
        <is>
          <t>78</t>
        </is>
      </c>
      <c r="C92" s="73" t="n"/>
      <c r="D92" s="73" t="n"/>
      <c r="E92" s="50" t="n"/>
      <c r="F92" s="73" t="n"/>
      <c r="G92" s="73" t="n"/>
      <c r="H92" s="50" t="n"/>
      <c r="I92" s="47" t="inlineStr">
        <is>
          <t>Y or N
Default = N</t>
        </is>
      </c>
      <c r="J92" s="51" t="inlineStr">
        <is>
          <t>N *</t>
        </is>
      </c>
      <c r="K92" s="47" t="inlineStr">
        <is>
          <t>Note: *this field is required for existing employee records in order to update the Request Approver Employee ID 2 field.</t>
        </is>
      </c>
    </row>
    <row r="93">
      <c r="A93" s="36" t="inlineStr">
        <is>
          <t>Request Approver</t>
        </is>
      </c>
      <c r="B93" s="49" t="inlineStr">
        <is>
          <t>79</t>
        </is>
      </c>
      <c r="C93" s="73" t="n"/>
      <c r="D93" s="73" t="n"/>
      <c r="E93" s="48" t="n"/>
      <c r="F93" s="73" t="n"/>
      <c r="G93" s="73" t="n"/>
      <c r="H93" s="48" t="n"/>
      <c r="I93" s="41" t="inlineStr">
        <is>
          <t>Y or N
Default = N</t>
        </is>
      </c>
      <c r="J93" s="49" t="inlineStr">
        <is>
          <t>N</t>
        </is>
      </c>
      <c r="K93" s="41" t="n"/>
    </row>
    <row r="94">
      <c r="A94" s="43" t="inlineStr">
        <is>
          <t>Expense Report Approver Employee ID 2</t>
        </is>
      </c>
      <c r="B94" s="51" t="inlineStr">
        <is>
          <t>80</t>
        </is>
      </c>
      <c r="C94" s="73" t="n"/>
      <c r="D94" s="73" t="n"/>
      <c r="E94" s="50" t="n"/>
      <c r="F94" s="73" t="n"/>
      <c r="G94" s="73" t="n"/>
      <c r="H94" s="50" t="n"/>
      <c r="I94" s="47" t="inlineStr">
        <is>
          <t>48 characters maximum</t>
        </is>
      </c>
      <c r="J94" s="51" t="inlineStr">
        <is>
          <t>N</t>
        </is>
      </c>
      <c r="K94" s="47" t="inlineStr">
        <is>
          <t>The second approver that populates the Default Approver 2 field in Workflow when adding an Approver step. Must be an existing employee ID.</t>
        </is>
      </c>
    </row>
    <row r="95">
      <c r="A95" s="36" t="inlineStr">
        <is>
          <t>A Payment Request has been Assigned</t>
        </is>
      </c>
      <c r="B95" s="49" t="inlineStr">
        <is>
          <t>81</t>
        </is>
      </c>
      <c r="C95" s="73" t="n"/>
      <c r="D95" s="73" t="n"/>
      <c r="E95" s="48" t="n"/>
      <c r="F95" s="73" t="n"/>
      <c r="G95" s="73" t="n"/>
      <c r="H95" s="48" t="n"/>
      <c r="I95" s="41" t="inlineStr">
        <is>
          <t>Y or N
Default = Y</t>
        </is>
      </c>
      <c r="J95" s="49" t="inlineStr">
        <is>
          <t>N</t>
        </is>
      </c>
      <c r="K95" s="41" t="inlineStr">
        <is>
          <t>Send email to a user when the payment request is assigned to that user.</t>
        </is>
      </c>
    </row>
    <row r="96">
      <c r="A96" s="43" t="inlineStr">
        <is>
          <t>Future Use (82)</t>
        </is>
      </c>
      <c r="B96" s="51" t="inlineStr">
        <is>
          <t>82</t>
        </is>
      </c>
      <c r="C96" s="73" t="n"/>
      <c r="D96" s="73" t="n"/>
      <c r="E96" s="50" t="n"/>
      <c r="F96" s="73" t="n"/>
      <c r="G96" s="73" t="n"/>
      <c r="H96" s="50" t="n"/>
      <c r="I96" s="47" t="n"/>
      <c r="J96" s="51" t="inlineStr">
        <is>
          <t>N</t>
        </is>
      </c>
      <c r="K96" s="47" t="inlineStr">
        <is>
          <t>Reserved for Future Use. Note: was Concur Invoice User role (field), and is now retired. The Invoice current interface is accessed by a user via an entity module setting and no longer by assignment of this role.</t>
        </is>
      </c>
    </row>
    <row r="97">
      <c r="A97" s="36" t="inlineStr">
        <is>
          <t>Future Use (83)</t>
        </is>
      </c>
      <c r="B97" s="49" t="inlineStr">
        <is>
          <t>83</t>
        </is>
      </c>
      <c r="C97" s="59" t="inlineStr">
        <is>
          <t>(literal)</t>
        </is>
      </c>
      <c r="D97" s="59" t="inlineStr">
        <is>
          <t>Y</t>
        </is>
      </c>
      <c r="E97" s="59" t="inlineStr">
        <is>
          <t>Y</t>
        </is>
      </c>
      <c r="F97" s="40" t="inlineStr">
        <is>
          <t>(literal)</t>
        </is>
      </c>
      <c r="G97" s="40" t="inlineStr">
        <is>
          <t>Y</t>
        </is>
      </c>
      <c r="H97" s="40" t="inlineStr">
        <is>
          <t>Y</t>
        </is>
      </c>
      <c r="I97" s="41" t="n"/>
      <c r="J97" s="49" t="inlineStr">
        <is>
          <t>N</t>
        </is>
      </c>
      <c r="K97" s="41" t="inlineStr">
        <is>
          <t>Reserved for Future Use. Note: was Travel and Expense User role (field), and is now retired.</t>
        </is>
      </c>
    </row>
    <row r="98">
      <c r="A98" s="43" t="inlineStr">
        <is>
          <t>Tax Administrator</t>
        </is>
      </c>
      <c r="B98" s="51" t="inlineStr">
        <is>
          <t>84</t>
        </is>
      </c>
      <c r="C98" s="73" t="n"/>
      <c r="D98" s="73" t="n"/>
      <c r="E98" s="50" t="n"/>
      <c r="F98" s="73" t="n"/>
      <c r="G98" s="73" t="n"/>
      <c r="H98" s="50" t="n"/>
      <c r="I98" s="47" t="inlineStr">
        <is>
          <t>Y or N
Default = N</t>
        </is>
      </c>
      <c r="J98" s="51" t="inlineStr">
        <is>
          <t>N</t>
        </is>
      </c>
      <c r="K98" s="47" t="n"/>
    </row>
    <row r="99">
      <c r="A99" s="36" t="inlineStr">
        <is>
          <t>FBT Administrator</t>
        </is>
      </c>
      <c r="B99" s="49" t="inlineStr">
        <is>
          <t>85</t>
        </is>
      </c>
      <c r="C99" s="73" t="n"/>
      <c r="D99" s="73" t="n"/>
      <c r="E99" s="48" t="n"/>
      <c r="F99" s="73" t="n"/>
      <c r="G99" s="73" t="n"/>
      <c r="H99" s="48" t="n"/>
      <c r="I99" s="41" t="inlineStr">
        <is>
          <t>Y or N
Default = N</t>
        </is>
      </c>
      <c r="J99" s="49" t="inlineStr">
        <is>
          <t>N</t>
        </is>
      </c>
      <c r="K99" s="41" t="n"/>
    </row>
    <row r="100">
      <c r="A100" s="43" t="inlineStr">
        <is>
          <t>Travel Wizard User</t>
        </is>
      </c>
      <c r="B100" s="51" t="inlineStr">
        <is>
          <t>86</t>
        </is>
      </c>
      <c r="C100" s="60" t="inlineStr">
        <is>
          <t>(literal)</t>
        </is>
      </c>
      <c r="D100" s="60" t="inlineStr">
        <is>
          <t>Y</t>
        </is>
      </c>
      <c r="E100" s="60" t="inlineStr">
        <is>
          <t>Y</t>
        </is>
      </c>
      <c r="F100" s="73" t="n"/>
      <c r="G100" s="73" t="n"/>
      <c r="H100" s="50" t="n"/>
      <c r="I100" s="47" t="inlineStr">
        <is>
          <t>Y or N
Default = N</t>
        </is>
      </c>
      <c r="J100" s="51" t="inlineStr">
        <is>
          <t>N</t>
        </is>
      </c>
      <c r="K100" s="47" t="n"/>
    </row>
    <row r="101">
      <c r="A101" s="36" t="inlineStr">
        <is>
          <t>Employee Custom 22</t>
        </is>
      </c>
      <c r="B101" s="49" t="inlineStr">
        <is>
          <t>87</t>
        </is>
      </c>
      <c r="C101" s="73" t="n"/>
      <c r="D101" s="73" t="n"/>
      <c r="E101" s="48" t="n"/>
      <c r="F101" s="73" t="n"/>
      <c r="G101" s="73" t="n"/>
      <c r="H101" s="48" t="n"/>
      <c r="I101" s="41" t="inlineStr">
        <is>
          <t>48 characters maximum</t>
        </is>
      </c>
      <c r="J101" s="49" t="inlineStr">
        <is>
          <t>See Description</t>
        </is>
      </c>
      <c r="K101" s="41" t="inlineStr">
        <is>
          <t>Used for Invoice Group Hierarchy. * Required for new employee; not required for existing employees. 48 characters maximum for each field; custom field data is validated: First, check the employee form for any custom fields that are required. If the form specifies custom fields and the feed does not provide them, this is treated as an error and the record is not processed. If a custom field is required and the value does not pass a validation, this is treated as an error. If a custom field is not required and the value does not pass a validation, a warning is logged. For each custom field defined in the form, an appropriate validation is performed based on the data type specified: List (custom and connected): validated against the code value, not the long name. Date: must be a valid date, format YYYYMMDD. Boolean: value must be Y or N. Numeric: value must be a number. Text: value must be &lt;= max_length and pass whatever validation is specified for the field. Note: best practice is to not allow personal, sensitive or uniquely identifying information in custom fields.</t>
        </is>
      </c>
    </row>
    <row r="102">
      <c r="A102" s="43" t="inlineStr">
        <is>
          <t>Request Approver Employee ID 2</t>
        </is>
      </c>
      <c r="B102" s="51" t="inlineStr">
        <is>
          <t>88</t>
        </is>
      </c>
      <c r="C102" s="73" t="n"/>
      <c r="D102" s="73" t="n"/>
      <c r="E102" s="50" t="n"/>
      <c r="F102" s="73" t="n"/>
      <c r="G102" s="73" t="n"/>
      <c r="H102" s="50" t="n"/>
      <c r="I102" s="47" t="inlineStr">
        <is>
          <t>48 characters maximum</t>
        </is>
      </c>
      <c r="J102" s="51" t="inlineStr">
        <is>
          <t>N</t>
        </is>
      </c>
      <c r="K102" s="47" t="inlineStr">
        <is>
          <t>The second approver that populates the Default Approver 2 field in Workflow when adding an Approver step. Must be an existing employee ID.</t>
        </is>
      </c>
    </row>
    <row r="103">
      <c r="A103" s="36" t="inlineStr">
        <is>
          <t>Is Non Employee</t>
        </is>
      </c>
      <c r="B103" s="49" t="inlineStr">
        <is>
          <t>89</t>
        </is>
      </c>
      <c r="C103" s="73" t="n"/>
      <c r="D103" s="73" t="n"/>
      <c r="E103" s="48" t="n"/>
      <c r="F103" s="73" t="n"/>
      <c r="G103" s="73" t="n"/>
      <c r="H103" s="48" t="n"/>
      <c r="I103" s="41" t="inlineStr">
        <is>
          <t>Y or N
blank = N</t>
        </is>
      </c>
      <c r="J103" s="49" t="inlineStr">
        <is>
          <t>N</t>
        </is>
      </c>
      <c r="K103" s="41" t="inlineStr">
        <is>
          <t>Use to designate as a user who is not an employee, for example to exclude from Attendees and other features.</t>
        </is>
      </c>
    </row>
    <row r="104">
      <c r="A104" s="43" t="inlineStr">
        <is>
          <t>Reimbursement Type</t>
        </is>
      </c>
      <c r="B104" s="51" t="inlineStr">
        <is>
          <t>90</t>
        </is>
      </c>
      <c r="C104" s="73" t="n"/>
      <c r="D104" s="73" t="n"/>
      <c r="E104" s="50" t="n"/>
      <c r="F104" s="73" t="n"/>
      <c r="G104" s="73" t="n"/>
      <c r="H104" s="50" t="n"/>
      <c r="I104" s="47" t="inlineStr">
        <is>
          <t>The supported values are:
ADPPAYR: ADP Payroll
CNQRPAY: Expense Pay by Concur
APCHECK: Accounts Payable/Company Check
PMTSERV: Other Reimbursement Method</t>
        </is>
      </c>
      <c r="J104" s="51" t="inlineStr">
        <is>
          <t>N*</t>
        </is>
      </c>
      <c r="K104" s="47" t="inlineStr">
        <is>
          <t>This field specifies the reimbursement method for the employee's reports. * Not a Required field type, but if used, note dependencies if the ADPPAYR reimbursement method type is specified in this field.</t>
        </is>
      </c>
    </row>
    <row r="105">
      <c r="A105" s="36" t="inlineStr">
        <is>
          <t>ADP Employee ID</t>
        </is>
      </c>
      <c r="B105" s="49" t="inlineStr">
        <is>
          <t>91</t>
        </is>
      </c>
      <c r="C105" s="73" t="n"/>
      <c r="D105" s="73" t="n"/>
      <c r="E105" s="48" t="n"/>
      <c r="F105" s="73" t="n"/>
      <c r="G105" s="73" t="n"/>
      <c r="H105" s="48" t="n"/>
      <c r="I105" s="41" t="n"/>
      <c r="J105" s="49" t="inlineStr">
        <is>
          <t>N*</t>
        </is>
      </c>
      <c r="K105" s="41" t="inlineStr">
        <is>
          <t>The identifier for the employee within ADP, also known as the "Employee File Number". * This field is required if the ADP Reimbursement type is used.</t>
        </is>
      </c>
    </row>
    <row r="106">
      <c r="A106" s="43" t="inlineStr">
        <is>
          <t>ADP Company Code</t>
        </is>
      </c>
      <c r="B106" s="51" t="inlineStr">
        <is>
          <t>92</t>
        </is>
      </c>
      <c r="C106" s="73" t="n"/>
      <c r="D106" s="73" t="n"/>
      <c r="E106" s="50" t="n"/>
      <c r="F106" s="73" t="n"/>
      <c r="G106" s="73" t="n"/>
      <c r="H106" s="50" t="n"/>
      <c r="I106" s="47" t="n"/>
      <c r="J106" s="51" t="inlineStr">
        <is>
          <t>N*</t>
        </is>
      </c>
      <c r="K106" s="47" t="inlineStr">
        <is>
          <t>The company code for the employee within ADP. * This field is required if the ADP Reimbursement type is used.</t>
        </is>
      </c>
    </row>
    <row r="107">
      <c r="A107" s="36" t="inlineStr">
        <is>
          <t>ADP Deduction Code</t>
        </is>
      </c>
      <c r="B107" s="49" t="inlineStr">
        <is>
          <t>93</t>
        </is>
      </c>
      <c r="C107" s="73" t="n"/>
      <c r="D107" s="73" t="n"/>
      <c r="E107" s="48" t="n"/>
      <c r="F107" s="73" t="n"/>
      <c r="G107" s="73" t="n"/>
      <c r="H107" s="48" t="n"/>
      <c r="I107" s="41" t="n"/>
      <c r="J107" s="49" t="inlineStr">
        <is>
          <t>N*</t>
        </is>
      </c>
      <c r="K107" s="41" t="inlineStr">
        <is>
          <t>The deduction code for the employee within ADP. * This field is required if the ADP Reimbursement type is used.</t>
        </is>
      </c>
    </row>
    <row r="108">
      <c r="A108" s="43" t="inlineStr">
        <is>
          <t>Budget Manager Employee ID</t>
        </is>
      </c>
      <c r="B108" s="51" t="inlineStr">
        <is>
          <t>94</t>
        </is>
      </c>
      <c r="C108" s="73" t="n"/>
      <c r="D108" s="73" t="n"/>
      <c r="E108" s="50" t="n"/>
      <c r="F108" s="73" t="n"/>
      <c r="G108" s="73" t="n"/>
      <c r="H108" s="50" t="n"/>
      <c r="I108" s="47" t="inlineStr">
        <is>
          <t>48 characters maximum</t>
        </is>
      </c>
      <c r="J108" s="51" t="inlineStr">
        <is>
          <t>N</t>
        </is>
      </c>
      <c r="K108" s="47" t="inlineStr">
        <is>
          <t>Must be an existing employee ID or in the current import. (See note above.)</t>
        </is>
      </c>
    </row>
    <row r="109">
      <c r="A109" s="36" t="inlineStr">
        <is>
          <t>Budget Owner</t>
        </is>
      </c>
      <c r="B109" s="49" t="inlineStr">
        <is>
          <t>95</t>
        </is>
      </c>
      <c r="C109" s="73" t="n"/>
      <c r="D109" s="73" t="n"/>
      <c r="E109" s="48" t="n"/>
      <c r="F109" s="73" t="n"/>
      <c r="G109" s="73" t="n"/>
      <c r="H109" s="48" t="n"/>
      <c r="I109" s="41" t="inlineStr">
        <is>
          <t>Y or N</t>
        </is>
      </c>
      <c r="J109" s="49" t="inlineStr">
        <is>
          <t>N</t>
        </is>
      </c>
      <c r="K109" s="41" t="inlineStr">
        <is>
          <t>If Yes (Y), the Budget Owner role is assigned to the user.</t>
        </is>
      </c>
    </row>
    <row r="110">
      <c r="A110" s="43" t="inlineStr">
        <is>
          <t>Budget Viewer</t>
        </is>
      </c>
      <c r="B110" s="51" t="inlineStr">
        <is>
          <t>96</t>
        </is>
      </c>
      <c r="C110" s="73" t="n"/>
      <c r="D110" s="73" t="n"/>
      <c r="E110" s="50" t="n"/>
      <c r="F110" s="73" t="n"/>
      <c r="G110" s="73" t="n"/>
      <c r="H110" s="50" t="n"/>
      <c r="I110" s="47" t="inlineStr">
        <is>
          <t>Y or N</t>
        </is>
      </c>
      <c r="J110" s="51" t="inlineStr">
        <is>
          <t>N</t>
        </is>
      </c>
      <c r="K110" s="47" t="inlineStr">
        <is>
          <t>If Yes (Y), the Budget Viewer role is assigned to the user.</t>
        </is>
      </c>
    </row>
    <row r="111">
      <c r="A111" s="36" t="inlineStr">
        <is>
          <t>Budget Approver</t>
        </is>
      </c>
      <c r="B111" s="49" t="inlineStr">
        <is>
          <t>97</t>
        </is>
      </c>
      <c r="C111" s="73" t="n"/>
      <c r="D111" s="73" t="n"/>
      <c r="E111" s="48" t="n"/>
      <c r="F111" s="73" t="n"/>
      <c r="G111" s="73" t="n"/>
      <c r="H111" s="48" t="n"/>
      <c r="I111" s="41" t="inlineStr">
        <is>
          <t>Y or N</t>
        </is>
      </c>
      <c r="J111" s="49" t="inlineStr">
        <is>
          <t>N</t>
        </is>
      </c>
      <c r="K111" s="41" t="inlineStr">
        <is>
          <t>If Yes (Y), the Budget Approver role is assigned to the user.</t>
        </is>
      </c>
    </row>
    <row r="112">
      <c r="A112" s="43" t="inlineStr">
        <is>
          <t>Budget Admin</t>
        </is>
      </c>
      <c r="B112" s="51" t="inlineStr">
        <is>
          <t>98</t>
        </is>
      </c>
      <c r="C112" s="73" t="n"/>
      <c r="D112" s="73" t="n"/>
      <c r="E112" s="50" t="n"/>
      <c r="F112" s="73" t="n"/>
      <c r="G112" s="73" t="n"/>
      <c r="H112" s="50" t="n"/>
      <c r="I112" s="47" t="inlineStr">
        <is>
          <t>Y or N</t>
        </is>
      </c>
      <c r="J112" s="51" t="inlineStr">
        <is>
          <t>N</t>
        </is>
      </c>
      <c r="K112" s="47" t="inlineStr">
        <is>
          <t>If Yes (Y), the Budget Admin role is assigned to the user.</t>
        </is>
      </c>
    </row>
    <row r="113">
      <c r="A113" s="36" t="inlineStr">
        <is>
          <t>Is Test User</t>
        </is>
      </c>
      <c r="B113" s="49" t="inlineStr">
        <is>
          <t>99</t>
        </is>
      </c>
      <c r="C113" s="73" t="n"/>
      <c r="D113" s="73" t="n"/>
      <c r="E113" s="48" t="n"/>
      <c r="F113" s="73" t="n"/>
      <c r="G113" s="73" t="n"/>
      <c r="H113" s="48" t="n"/>
      <c r="I113" s="41" t="inlineStr">
        <is>
          <t>Y or N
Default = N</t>
        </is>
      </c>
      <c r="J113" s="49" t="inlineStr">
        <is>
          <t>N</t>
        </is>
      </c>
      <c r="K113" s="41" t="inlineStr">
        <is>
          <t>When set to Y, designates a user record that is only used for testing. This field can only be set when the user is created — an existing user cannot be converted into a Test User and a Test User cannot be converted into a user. If this field is left blank, the definition defaults to N.</t>
        </is>
      </c>
    </row>
    <row r="114">
      <c r="A114" s="43" t="inlineStr">
        <is>
          <t>Future_Use_13</t>
        </is>
      </c>
      <c r="B114" s="51" t="inlineStr">
        <is>
          <t>100</t>
        </is>
      </c>
      <c r="C114" s="73" t="n"/>
      <c r="D114" s="73" t="n"/>
      <c r="E114" s="50" t="n"/>
      <c r="F114" s="73" t="n"/>
      <c r="G114" s="73" t="n"/>
      <c r="H114" s="50" t="n"/>
      <c r="I114" s="47" t="inlineStr">
        <is>
          <t>48 characters maximum</t>
        </is>
      </c>
      <c r="J114" s="51" t="inlineStr">
        <is>
          <t>N</t>
        </is>
      </c>
      <c r="K114" s="47" t="inlineStr">
        <is>
          <t>48 characters maximum for each field; custom field data is validated: First, check the employee form for any custom fields that are required. If the form specifies custom fields and the feed does not provide them, this is treated as an error and the record is not processed. If a custom field is required and the value does not pass a validation, this is treated as an error. If a custom field is not required and the value does not pass a validation, a warning is logged. For each custom field defined in the form, an appropriate validation is performed based on the data type specified: List (custom and connected): validated against the code value, not the long name. Date: must be a valid date, format YYYYMMDD. Boolean: value must be Y or N. Numeric: value must be a number. Text: value must be &lt;= max_length and pass whatever validation is specified for the field. Note: best practice is to not allow personal, sensitive or uniquely identifying information in custom fields.</t>
        </is>
      </c>
    </row>
    <row r="115">
      <c r="A115" s="36" t="inlineStr">
        <is>
          <t>Future_Use_14</t>
        </is>
      </c>
      <c r="B115" s="49" t="inlineStr">
        <is>
          <t>101</t>
        </is>
      </c>
      <c r="C115" s="73" t="n"/>
      <c r="D115" s="73" t="n"/>
      <c r="E115" s="48" t="n"/>
      <c r="F115" s="73" t="n"/>
      <c r="G115" s="73" t="n"/>
      <c r="H115" s="48" t="n"/>
      <c r="I115" s="41" t="inlineStr">
        <is>
          <t>48 characters maximum</t>
        </is>
      </c>
      <c r="J115" s="49" t="inlineStr">
        <is>
          <t>N</t>
        </is>
      </c>
      <c r="K115" s="41" t="inlineStr">
        <is>
          <t>48 characters maximum for each field; custom field data is validated: First, check the employee form for any custom fields that are required. If the form specifies custom fields and the feed does not provide them, this is treated as an error and the record is not processed. If a custom field is required and the value does not pass a validation, this is treated as an error. If a custom field is not required and the value does not pass a validation, a warning is logged. For each custom field defined in the form, an appropriate validation is performed based on the data type specified: List (custom and connected): validated against the code value, not the long name. Date: must be a valid date, format YYYYMMDD. Boolean: value must be Y or N. Numeric: value must be a number. Text: value must be &lt;= max_length and pass whatever validation is specified for the field. Note: best practice is to not allow personal, sensitive or uniquely identifying information in custom fields.</t>
        </is>
      </c>
    </row>
    <row r="116">
      <c r="A116" s="43" t="inlineStr">
        <is>
          <t>Future_Use_15</t>
        </is>
      </c>
      <c r="B116" s="51" t="inlineStr">
        <is>
          <t>102</t>
        </is>
      </c>
      <c r="C116" s="73" t="n"/>
      <c r="D116" s="73" t="n"/>
      <c r="E116" s="50" t="n"/>
      <c r="F116" s="73" t="n"/>
      <c r="G116" s="73" t="n"/>
      <c r="H116" s="50" t="n"/>
      <c r="I116" s="47" t="inlineStr">
        <is>
          <t>48 characters maximum</t>
        </is>
      </c>
      <c r="J116" s="51" t="inlineStr">
        <is>
          <t>N</t>
        </is>
      </c>
      <c r="K116" s="47" t="inlineStr">
        <is>
          <t>48 characters maximum for each field; custom field data is validated: First, check the employee form for any custom fields that are required. If the form specifies custom fields and the feed does not provide them, this is treated as an error and the record is not processed. If a custom field is required and the value does not pass a validation, this is treated as an error. If a custom field is not required and the value does not pass a validation, a warning is logged. For each custom field defined in the form, an appropriate validation is performed based on the data type specified: List (custom and connected): validated against the code value, not the long name. Date: must be a valid date, format YYYYMMDD. Boolean: value must be Y or N. Numeric: value must be a number. Text: value must be &lt;= max_length and pass whatever validation is specified for the field. Note: best practice is to not allow personal, sensitive or uniquely identifying information in custom fields.</t>
        </is>
      </c>
    </row>
    <row r="117">
      <c r="A117" s="36" t="inlineStr">
        <is>
          <t>Future_Use_16</t>
        </is>
      </c>
      <c r="B117" s="49" t="inlineStr">
        <is>
          <t>103</t>
        </is>
      </c>
      <c r="C117" s="73" t="n"/>
      <c r="D117" s="73" t="n"/>
      <c r="E117" s="48" t="n"/>
      <c r="F117" s="73" t="n"/>
      <c r="G117" s="73" t="n"/>
      <c r="H117" s="48" t="n"/>
      <c r="I117" s="41" t="inlineStr">
        <is>
          <t>48 characters maximum</t>
        </is>
      </c>
      <c r="J117" s="49" t="inlineStr">
        <is>
          <t>N</t>
        </is>
      </c>
      <c r="K117" s="41" t="inlineStr">
        <is>
          <t>48 characters maximum for each field; custom field data is validated: First, check the employee form for any custom fields that are required. If the form specifies custom fields and the feed does not provide them, this is treated as an error and the record is not processed. If a custom field is required and the value does not pass a validation, this is treated as an error. If a custom field is not required and the value does not pass a validation, a warning is logged. For each custom field defined in the form, an appropriate validation is performed based on the data type specified: List (custom and connected): validated against the code value, not the long name. Date: must be a valid date, format YYYYMMDD. Boolean: value must be Y or N. Numeric: value must be a number. Text: value must be &lt;= max_length and pass whatever validation is specified for the field. Note: best practice is to not allow personal, sensitive or uniquely identifying information in custom fields.</t>
        </is>
      </c>
    </row>
    <row r="118">
      <c r="A118" s="43" t="inlineStr">
        <is>
          <t>Future_Use_17</t>
        </is>
      </c>
      <c r="B118" s="51" t="inlineStr">
        <is>
          <t>104</t>
        </is>
      </c>
      <c r="C118" s="73" t="n"/>
      <c r="D118" s="73" t="n"/>
      <c r="E118" s="50" t="n"/>
      <c r="F118" s="73" t="n"/>
      <c r="G118" s="73" t="n"/>
      <c r="H118" s="50" t="n"/>
      <c r="I118" s="47" t="inlineStr">
        <is>
          <t>48 characters maximum</t>
        </is>
      </c>
      <c r="J118" s="51" t="inlineStr">
        <is>
          <t>N</t>
        </is>
      </c>
      <c r="K118" s="47" t="inlineStr">
        <is>
          <t>48 characters maximum for each field; custom field data is validated: First, check the employee form for any custom fields that are required. If the form specifies custom fields and the feed does not provide them, this is treated as an error and the record is not processed. If a custom field is required and the value does not pass a validation, this is treated as an error. If a custom field is not required and the value does not pass a validation, a warning is logged. For each custom field defined in the form, an appropriate validation is performed based on the data type specified: List (custom and connected): validated against the code value, not the long name. Date: must be a valid date, format YYYYMMDD. Boolean: value must be Y or N. Numeric: value must be a number. Text: value must be &lt;= max_length and pass whatever validation is specified for the field. Note: best practice is to not allow personal, sensitive or uniquely identifying information in custom fields.</t>
        </is>
      </c>
    </row>
    <row r="119">
      <c r="A119" s="36" t="inlineStr">
        <is>
          <t>Future_Use_18</t>
        </is>
      </c>
      <c r="B119" s="49" t="inlineStr">
        <is>
          <t>105</t>
        </is>
      </c>
      <c r="C119" s="73" t="n"/>
      <c r="D119" s="73" t="n"/>
      <c r="E119" s="48" t="n"/>
      <c r="F119" s="73" t="n"/>
      <c r="G119" s="73" t="n"/>
      <c r="H119" s="48" t="n"/>
      <c r="I119" s="41" t="inlineStr">
        <is>
          <t>48 characters maximum</t>
        </is>
      </c>
      <c r="J119" s="49" t="inlineStr">
        <is>
          <t>N</t>
        </is>
      </c>
      <c r="K119" s="41" t="inlineStr">
        <is>
          <t>48 characters maximum for each field; custom field data is validated: First, check the employee form for any custom fields that are required. If the form specifies custom fields and the feed does not provide them, this is treated as an error and the record is not processed. If a custom field is required and the value does not pass a validation, this is treated as an error. If a custom field is not required and the value does not pass a validation, a warning is logged. For each custom field defined in the form, an appropriate validation is performed based on the data type specified: List (custom and connected): validated against the code value, not the long name. Date: must be a valid date, format YYYYMMDD. Boolean: value must be Y or N. Numeric: value must be a number. Text: value must be &lt;= max_length and pass whatever validation is specified for the field. Note: best practice is to not allow personal, sensitive or uniquely identifying information in custom fields.</t>
        </is>
      </c>
    </row>
    <row r="120">
      <c r="A120" s="43" t="inlineStr">
        <is>
          <t>Future_Use_19</t>
        </is>
      </c>
      <c r="B120" s="51" t="inlineStr">
        <is>
          <t>106</t>
        </is>
      </c>
      <c r="C120" s="73" t="n"/>
      <c r="D120" s="73" t="n"/>
      <c r="E120" s="50" t="n"/>
      <c r="F120" s="73" t="n"/>
      <c r="G120" s="73" t="n"/>
      <c r="H120" s="50" t="n"/>
      <c r="I120" s="47" t="inlineStr">
        <is>
          <t>48 characters maximum</t>
        </is>
      </c>
      <c r="J120" s="51" t="inlineStr">
        <is>
          <t>N</t>
        </is>
      </c>
      <c r="K120" s="47" t="inlineStr">
        <is>
          <t>48 characters maximum for each field; custom field data is validated: First, check the employee form for any custom fields that are required. If the form specifies custom fields and the feed does not provide them, this is treated as an error and the record is not processed. If a custom field is required and the value does not pass a validation, this is treated as an error. If a custom field is not required and the value does not pass a validation, a warning is logged. For each custom field defined in the form, an appropriate validation is performed based on the data type specified: List (custom and connected): validated against the code value, not the long name. Date: must be a valid date, format YYYYMMDD. Boolean: value must be Y or N. Numeric: value must be a number. Text: value must be &lt;= max_length and pass whatever validation is specified for the field. Note: best practice is to not allow personal, sensitive or uniquely identifying information in custom fields.</t>
        </is>
      </c>
    </row>
    <row r="121">
      <c r="A121" s="36" t="inlineStr">
        <is>
          <t>Future_Use_20</t>
        </is>
      </c>
      <c r="B121" s="49" t="inlineStr">
        <is>
          <t>107</t>
        </is>
      </c>
      <c r="C121" s="73" t="n"/>
      <c r="D121" s="73" t="n"/>
      <c r="E121" s="48" t="n"/>
      <c r="F121" s="73" t="n"/>
      <c r="G121" s="73" t="n"/>
      <c r="H121" s="48" t="n"/>
      <c r="I121" s="41" t="inlineStr">
        <is>
          <t>48 characters maximum</t>
        </is>
      </c>
      <c r="J121" s="49" t="inlineStr">
        <is>
          <t>N</t>
        </is>
      </c>
      <c r="K121" s="41" t="inlineStr">
        <is>
          <t>48 characters maximum for each field; custom field data is validated: First, check the employee form for any custom fields that are required. If the form specifies custom fields and the feed does not provide them, this is treated as an error and the record is not processed. If a custom field is required and the value does not pass a validation, this is treated as an error. If a custom field is not required and the value does not pass a validation, a warning is logged. For each custom field defined in the form, an appropriate validation is performed based on the data type specified: List (custom and connected): validated against the code value, not the long name. Date: must be a valid date, format YYYYMMDD. Boolean: value must be Y or N. Numeric: value must be a number. Text: value must be &lt;= max_length and pass whatever validation is specified for the field. Note: best practice is to not allow personal, sensitive or uniquely identifying information in custom fields.</t>
        </is>
      </c>
    </row>
    <row r="122">
      <c r="A122" s="43" t="inlineStr">
        <is>
          <t>Future_Use_21</t>
        </is>
      </c>
      <c r="B122" s="51" t="inlineStr">
        <is>
          <t>108</t>
        </is>
      </c>
      <c r="C122" s="73" t="n"/>
      <c r="D122" s="73" t="n"/>
      <c r="E122" s="50" t="n"/>
      <c r="F122" s="73" t="n"/>
      <c r="G122" s="73" t="n"/>
      <c r="H122" s="50" t="n"/>
      <c r="I122" s="47" t="inlineStr">
        <is>
          <t>48 characters maximum</t>
        </is>
      </c>
      <c r="J122" s="51" t="inlineStr">
        <is>
          <t>N</t>
        </is>
      </c>
      <c r="K122" s="47" t="inlineStr">
        <is>
          <t>48 characters maximum for each field; custom field data is validated: First, check the employee form for any custom fields that are required. If the form specifies custom fields and the feed does not provide them, this is treated as an error and the record is not processed. If a custom field is required and the value does not pass a validation, this is treated as an error. If a custom field is not required and the value does not pass a validation, a warning is logged. For each custom field defined in the form, an appropriate validation is performed based on the data type specified: List (custom and connected): validated against the code value, not the long name. Date: must be a valid date, format YYYYMMDD. Boolean: value must be Y or N. Numeric: value must be a number. Text: value must be &lt;= max_length and pass whatever validation is specified for the field. Note: best practice is to not allow personal, sensitive or uniquely identifying information in custom fields.</t>
        </is>
      </c>
    </row>
    <row r="123">
      <c r="A123" s="36" t="inlineStr">
        <is>
          <t>Future_Use_22</t>
        </is>
      </c>
      <c r="B123" s="49" t="inlineStr">
        <is>
          <t>109</t>
        </is>
      </c>
      <c r="C123" s="73" t="n"/>
      <c r="D123" s="73" t="n"/>
      <c r="E123" s="48" t="n"/>
      <c r="F123" s="73" t="n"/>
      <c r="G123" s="73" t="n"/>
      <c r="H123" s="48" t="n"/>
      <c r="I123" s="41" t="inlineStr">
        <is>
          <t>48 characters maximum</t>
        </is>
      </c>
      <c r="J123" s="49" t="inlineStr">
        <is>
          <t>N</t>
        </is>
      </c>
      <c r="K123" s="41" t="inlineStr">
        <is>
          <t>48 characters maximum for each field; custom field data is validated: First, check the employee form for any custom fields that are required. If the form specifies custom fields and the feed does not provide them, this is treated as an error and the record is not processed. If a custom field is required and the value does not pass a validation, this is treated as an error. If a custom field is not required and the value does not pass a validation, a warning is logged. For each custom field defined in the form, an appropriate validation is performed based on the data type specified: List (custom and connected): validated against the code value, not the long name. Date: must be a valid date, format YYYYMMDD. Boolean: value must be Y or N. Numeric: value must be a number. Text: value must be &lt;= max_length and pass whatever validation is specified for the field. Note: best practice is to not allow personal, sensitive or uniquely identifying information in custom fields.</t>
        </is>
      </c>
    </row>
    <row r="124">
      <c r="A124" s="43" t="inlineStr">
        <is>
          <t>Future_Use_23</t>
        </is>
      </c>
      <c r="B124" s="51" t="inlineStr">
        <is>
          <t>110</t>
        </is>
      </c>
      <c r="C124" s="73" t="n"/>
      <c r="D124" s="73" t="n"/>
      <c r="E124" s="50" t="n"/>
      <c r="F124" s="73" t="n"/>
      <c r="G124" s="73" t="n"/>
      <c r="H124" s="50" t="n"/>
      <c r="I124" s="47" t="inlineStr">
        <is>
          <t>48 characters maximum</t>
        </is>
      </c>
      <c r="J124" s="51" t="inlineStr">
        <is>
          <t>N</t>
        </is>
      </c>
      <c r="K124" s="47" t="inlineStr">
        <is>
          <t>48 characters maximum for each field; custom field data is validated: First, check the employee form for any custom fields that are required. If the form specifies custom fields and the feed does not provide them, this is treated as an error and the record is not processed. If a custom field is required and the value does not pass a validation, this is treated as an error. If a custom field is not required and the value does not pass a validation, a warning is logged. For each custom field defined in the form, an appropriate validation is performed based on the data type specified: List (custom and connected): validated against the code value, not the long name. Date: must be a valid date, format YYYYMMDD. Boolean: value must be Y or N. Numeric: value must be a number. Text: value must be &lt;= max_length and pass whatever validation is specified for the field. Note: best practice is to not allow personal, sensitive or uniquely identifying information in custom fields.</t>
        </is>
      </c>
    </row>
    <row r="125">
      <c r="A125" s="36" t="inlineStr">
        <is>
          <t>Future_Use_24</t>
        </is>
      </c>
      <c r="B125" s="49" t="inlineStr">
        <is>
          <t>111</t>
        </is>
      </c>
      <c r="C125" s="73" t="n"/>
      <c r="D125" s="73" t="n"/>
      <c r="E125" s="48" t="n"/>
      <c r="F125" s="73" t="n"/>
      <c r="G125" s="73" t="n"/>
      <c r="H125" s="48" t="n"/>
      <c r="I125" s="41" t="inlineStr">
        <is>
          <t>48 characters maximum</t>
        </is>
      </c>
      <c r="J125" s="49" t="inlineStr">
        <is>
          <t>N</t>
        </is>
      </c>
      <c r="K125" s="41" t="inlineStr">
        <is>
          <t>48 characters maximum for each field; custom field data is validated: First, check the employee form for any custom fields that are required. If the form specifies custom fields and the feed does not provide them, this is treated as an error and the record is not processed. If a custom field is required and the value does not pass a validation, this is treated as an error. If a custom field is not required and the value does not pass a validation, a warning is logged. For each custom field defined in the form, an appropriate validation is performed based on the data type specified: List (custom and connected): validated against the code value, not the long name. Date: must be a valid date, format YYYYMMDD. Boolean: value must be Y or N. Numeric: value must be a number. Text: value must be &lt;= max_length and pass whatever validation is specified for the field. Note: best practice is to not allow personal, sensitive or uniquely identifying information in custom fields.</t>
        </is>
      </c>
    </row>
    <row r="126">
      <c r="A126" s="43" t="inlineStr">
        <is>
          <t>Future_Use_25</t>
        </is>
      </c>
      <c r="B126" s="51" t="inlineStr">
        <is>
          <t>112</t>
        </is>
      </c>
      <c r="C126" s="73" t="n"/>
      <c r="D126" s="73" t="n"/>
      <c r="E126" s="50" t="n"/>
      <c r="F126" s="73" t="n"/>
      <c r="G126" s="73" t="n"/>
      <c r="H126" s="50" t="n"/>
      <c r="I126" s="47" t="inlineStr">
        <is>
          <t>48 characters maximum</t>
        </is>
      </c>
      <c r="J126" s="51" t="inlineStr">
        <is>
          <t>N</t>
        </is>
      </c>
      <c r="K126" s="47" t="inlineStr">
        <is>
          <t>48 characters maximum for each field; custom field data is validated: First, check the employee form for any custom fields that are required. If the form specifies custom fields and the feed does not provide them, this is treated as an error and the record is not processed. If a custom field is required and the value does not pass a validation, this is treated as an error. If a custom field is not required and the value does not pass a validation, a warning is logged. For each custom field defined in the form, an appropriate validation is performed based on the data type specified: List (custom and connected): validated against the code value, not the long name. Date: must be a valid date, format YYYYMMDD. Boolean: value must be Y or N. Numeric: value must be a number. Text: value must be &lt;= max_length and pass whatever validation is specified for the field. Note: best practice is to not allow personal, sensitive or uniquely identifying information in custom fields.</t>
        </is>
      </c>
    </row>
    <row r="127">
      <c r="A127" s="36" t="inlineStr">
        <is>
          <t>Future_Use_26</t>
        </is>
      </c>
      <c r="B127" s="49" t="inlineStr">
        <is>
          <t>113</t>
        </is>
      </c>
      <c r="C127" s="73" t="n"/>
      <c r="D127" s="73" t="n"/>
      <c r="E127" s="48" t="n"/>
      <c r="F127" s="73" t="n"/>
      <c r="G127" s="73" t="n"/>
      <c r="H127" s="48" t="n"/>
      <c r="I127" s="41" t="inlineStr">
        <is>
          <t>48 characters maximum</t>
        </is>
      </c>
      <c r="J127" s="49" t="inlineStr">
        <is>
          <t>N</t>
        </is>
      </c>
      <c r="K127" s="41" t="inlineStr">
        <is>
          <t>48 characters maximum for each field; custom field data is validated: First, check the employee form for any custom fields that are required. If the form specifies custom fields and the feed does not provide them, this is treated as an error and the record is not processed. If a custom field is required and the value does not pass a validation, this is treated as an error. If a custom field is not required and the value does not pass a validation, a warning is logged. For each custom field defined in the form, an appropriate validation is performed based on the data type specified: List (custom and connected): validated against the code value, not the long name. Date: must be a valid date, format YYYYMMDD. Boolean: value must be Y or N. Numeric: value must be a number. Text: value must be &lt;= max_length and pass whatever validation is specified for the field. Note: best practice is to not allow personal, sensitive or uniquely identifying information in custom fields.</t>
        </is>
      </c>
    </row>
    <row r="128">
      <c r="A128" s="43" t="inlineStr">
        <is>
          <t>Future_Use_27</t>
        </is>
      </c>
      <c r="B128" s="51" t="inlineStr">
        <is>
          <t>114</t>
        </is>
      </c>
      <c r="C128" s="73" t="n"/>
      <c r="D128" s="73" t="n"/>
      <c r="E128" s="50" t="n"/>
      <c r="F128" s="73" t="n"/>
      <c r="G128" s="73" t="n"/>
      <c r="H128" s="50" t="n"/>
      <c r="I128" s="47" t="inlineStr">
        <is>
          <t>48 characters maximum</t>
        </is>
      </c>
      <c r="J128" s="51" t="inlineStr">
        <is>
          <t>N</t>
        </is>
      </c>
      <c r="K128" s="47" t="inlineStr">
        <is>
          <t>48 characters maximum for each field; custom field data is validated: First, check the employee form for any custom fields that are required. If the form specifies custom fields and the feed does not provide them, this is treated as an error and the record is not processed. If a custom field is required and the value does not pass a validation, this is treated as an error. If a custom field is not required and the value does not pass a validation, a warning is logged. For each custom field defined in the form, an appropriate validation is performed based on the data type specified: List (custom and connected): validated against the code value, not the long name. Date: must be a valid date, format YYYYMMDD. Boolean: value must be Y or N. Numeric: value must be a number. Text: value must be &lt;= max_length and pass whatever validation is specified for the field. Note: best practice is to not allow personal, sensitive or uniquely identifying information in custom fields.</t>
        </is>
      </c>
    </row>
    <row r="129">
      <c r="A129" s="36" t="inlineStr">
        <is>
          <t>Future_Use_28</t>
        </is>
      </c>
      <c r="B129" s="49" t="inlineStr">
        <is>
          <t>115</t>
        </is>
      </c>
      <c r="C129" s="73" t="n"/>
      <c r="D129" s="73" t="n"/>
      <c r="E129" s="48" t="n"/>
      <c r="F129" s="73" t="n"/>
      <c r="G129" s="73" t="n"/>
      <c r="H129" s="48" t="n"/>
      <c r="I129" s="41" t="inlineStr">
        <is>
          <t>48 characters maximum</t>
        </is>
      </c>
      <c r="J129" s="49" t="inlineStr">
        <is>
          <t>N</t>
        </is>
      </c>
      <c r="K129" s="41" t="inlineStr">
        <is>
          <t>48 characters maximum for each field; custom field data is validated: First, check the employee form for any custom fields that are required. If the form specifies custom fields and the feed does not provide them, this is treated as an error and the record is not processed. If a custom field is required and the value does not pass a validation, this is treated as an error. If a custom field is not required and the value does not pass a validation, a warning is logged. For each custom field defined in the form, an appropriate validation is performed based on the data type specified: List (custom and connected): validated against the code value, not the long name. Date: must be a valid date, format YYYYMMDD. Boolean: value must be Y or N. Numeric: value must be a number. Text: value must be &lt;= max_length and pass whatever validation is specified for the field. Note: best practice is to not allow personal, sensitive or uniquely identifying information in custom fields.</t>
        </is>
      </c>
    </row>
    <row r="130">
      <c r="A130" s="43" t="inlineStr">
        <is>
          <t>Future_Use_29</t>
        </is>
      </c>
      <c r="B130" s="51" t="inlineStr">
        <is>
          <t>116</t>
        </is>
      </c>
      <c r="C130" s="73" t="n"/>
      <c r="D130" s="73" t="n"/>
      <c r="E130" s="50" t="n"/>
      <c r="F130" s="73" t="n"/>
      <c r="G130" s="73" t="n"/>
      <c r="H130" s="50" t="n"/>
      <c r="I130" s="47" t="inlineStr">
        <is>
          <t>48 characters maximum</t>
        </is>
      </c>
      <c r="J130" s="51" t="inlineStr">
        <is>
          <t>N</t>
        </is>
      </c>
      <c r="K130" s="47" t="inlineStr">
        <is>
          <t>48 characters maximum for each field; custom field data is validated: First, check the employee form for any custom fields that are required. If the form specifies custom fields and the feed does not provide them, this is treated as an error and the record is not processed. If a custom field is required and the value does not pass a validation, this is treated as an error. If a custom field is not required and the value does not pass a validation, a warning is logged. For each custom field defined in the form, an appropriate validation is performed based on the data type specified: List (custom and connected): validated against the code value, not the long name. Date: must be a valid date, format YYYYMMDD. Boolean: value must be Y or N. Numeric: value must be a number. Text: value must be &lt;= max_length and pass whatever validation is specified for the field. Note: best practice is to not allow personal, sensitive or uniquely identifying information in custom fields.</t>
        </is>
      </c>
    </row>
    <row r="131">
      <c r="A131" s="36" t="inlineStr">
        <is>
          <t>Future_Use_30</t>
        </is>
      </c>
      <c r="B131" s="49" t="inlineStr">
        <is>
          <t>117</t>
        </is>
      </c>
      <c r="C131" s="73" t="n"/>
      <c r="D131" s="73" t="n"/>
      <c r="E131" s="48" t="n"/>
      <c r="F131" s="73" t="n"/>
      <c r="G131" s="73" t="n"/>
      <c r="H131" s="48" t="n"/>
      <c r="I131" s="41" t="inlineStr">
        <is>
          <t>48 characters maximum</t>
        </is>
      </c>
      <c r="J131" s="49" t="inlineStr">
        <is>
          <t>N</t>
        </is>
      </c>
      <c r="K131" s="41" t="inlineStr">
        <is>
          <t>48 characters maximum for each field; custom field data is validated: First, check the employee form for any custom fields that are required. If the form specifies custom fields and the feed does not provide them, this is treated as an error and the record is not processed. If a custom field is required and the value does not pass a validation, this is treated as an error. If a custom field is not required and the value does not pass a validation, a warning is logged. For each custom field defined in the form, an appropriate validation is performed based on the data type specified: List (custom and connected): validated against the code value, not the long name. Date: must be a valid date, format YYYYMMDD. Boolean: value must be Y or N. Numeric: value must be a number. Text: value must be &lt;= max_length and pass whatever validation is specified for the field. Note: best practice is to not allow personal, sensitive or uniquely identifying information in custom fields.</t>
        </is>
      </c>
    </row>
    <row r="132">
      <c r="A132" s="43" t="inlineStr">
        <is>
          <t>Future_Use_31</t>
        </is>
      </c>
      <c r="B132" s="51" t="inlineStr">
        <is>
          <t>118</t>
        </is>
      </c>
      <c r="C132" s="73" t="n"/>
      <c r="D132" s="73" t="n"/>
      <c r="E132" s="50" t="n"/>
      <c r="F132" s="73" t="n"/>
      <c r="G132" s="73" t="n"/>
      <c r="H132" s="50" t="n"/>
      <c r="I132" s="47" t="inlineStr">
        <is>
          <t>48 characters maximum</t>
        </is>
      </c>
      <c r="J132" s="51" t="inlineStr">
        <is>
          <t>N</t>
        </is>
      </c>
      <c r="K132" s="47" t="inlineStr">
        <is>
          <t>48 characters maximum for each field; custom field data is validated: First, check the employee form for any custom fields that are required. If the form specifies custom fields and the feed does not provide them, this is treated as an error and the record is not processed. If a custom field is required and the value does not pass a validation, this is treated as an error. If a custom field is not required and the value does not pass a validation, a warning is logged. For each custom field defined in the form, an appropriate validation is performed based on the data type specified: List (custom and connected): validated against the code value, not the long name. Date: must be a valid date, format YYYYMMDD. Boolean: value must be Y or N. Numeric: value must be a number. Text: value must be &lt;= max_length and pass whatever validation is specified for the field. Note: best practice is to not allow personal, sensitive or uniquely identifying information in custom fields.</t>
        </is>
      </c>
    </row>
    <row r="133">
      <c r="A133" s="36" t="inlineStr">
        <is>
          <t>Future_Use_32</t>
        </is>
      </c>
      <c r="B133" s="49" t="inlineStr">
        <is>
          <t>119</t>
        </is>
      </c>
      <c r="C133" s="73" t="n"/>
      <c r="D133" s="73" t="n"/>
      <c r="E133" s="48" t="n"/>
      <c r="F133" s="73" t="n"/>
      <c r="G133" s="73" t="n"/>
      <c r="H133" s="48" t="n"/>
      <c r="I133" s="41" t="inlineStr">
        <is>
          <t>48 characters maximum</t>
        </is>
      </c>
      <c r="J133" s="49" t="inlineStr">
        <is>
          <t>N</t>
        </is>
      </c>
      <c r="K133" s="41" t="inlineStr">
        <is>
          <t>48 characters maximum for each field; custom field data is validated: First, check the employee form for any custom fields that are required. If the form specifies custom fields and the feed does not provide them, this is treated as an error and the record is not processed. If a custom field is required and the value does not pass a validation, this is treated as an error. If a custom field is not required and the value does not pass a validation, a warning is logged. For each custom field defined in the form, an appropriate validation is performed based on the data type specified: List (custom and connected): validated against the code value, not the long name. Date: must be a valid date, format YYYYMMDD. Boolean: value must be Y or N. Numeric: value must be a number. Text: value must be &lt;= max_length and pass whatever validation is specified for the field. Note: best practice is to not allow personal, sensitive or uniquely identifying information in custom fields.</t>
        </is>
      </c>
    </row>
    <row r="134">
      <c r="A134" s="43" t="inlineStr">
        <is>
          <t>Future_Use_33</t>
        </is>
      </c>
      <c r="B134" s="51" t="inlineStr">
        <is>
          <t>120</t>
        </is>
      </c>
      <c r="C134" s="73" t="n"/>
      <c r="D134" s="73" t="n"/>
      <c r="E134" s="50" t="n"/>
      <c r="F134" s="73" t="n"/>
      <c r="G134" s="73" t="n"/>
      <c r="H134" s="50" t="n"/>
      <c r="I134" s="47" t="inlineStr">
        <is>
          <t>48 characters maximum</t>
        </is>
      </c>
      <c r="J134" s="51" t="inlineStr">
        <is>
          <t>N</t>
        </is>
      </c>
      <c r="K134" s="47" t="inlineStr">
        <is>
          <t>48 characters maximum for each field; custom field data is validated: First, check the employee form for any custom fields that are required. If the form specifies custom fields and the feed does not provide them, this is treated as an error and the record is not processed. If a custom field is required and the value does not pass a validation, this is treated as an error. If a custom field is not required and the value does not pass a validation, a warning is logged. For each custom field defined in the form, an appropriate validation is performed based on the data type specified: List (custom and connected): validated against the code value, not the long name. Date: must be a valid date, format YYYYMMDD. Boolean: value must be Y or N. Numeric: value must be a number. Text: value must be &lt;= max_length and pass whatever validation is specified for the field. Note: best practice is to not allow personal, sensitive or uniquely identifying information in custom fields.</t>
        </is>
      </c>
    </row>
    <row r="135">
      <c r="A135" s="36" t="inlineStr">
        <is>
          <t>Future_Use_34</t>
        </is>
      </c>
      <c r="B135" s="49" t="inlineStr">
        <is>
          <t>121</t>
        </is>
      </c>
      <c r="C135" s="73" t="n"/>
      <c r="D135" s="73" t="n"/>
      <c r="E135" s="48" t="n"/>
      <c r="F135" s="73" t="n"/>
      <c r="G135" s="73" t="n"/>
      <c r="H135" s="48" t="n"/>
      <c r="I135" s="41" t="inlineStr">
        <is>
          <t>48 characters maximum</t>
        </is>
      </c>
      <c r="J135" s="49" t="inlineStr">
        <is>
          <t>N</t>
        </is>
      </c>
      <c r="K135" s="41" t="inlineStr">
        <is>
          <t>48 characters maximum for each field; custom field data is validated: First, check the employee form for any custom fields that are required. If the form specifies custom fields and the feed does not provide them, this is treated as an error and the record is not processed. If a custom field is required and the value does not pass a validation, this is treated as an error. If a custom field is not required and the value does not pass a validation, a warning is logged. For each custom field defined in the form, an appropriate validation is performed based on the data type specified: List (custom and connected): validated against the code value, not the long name. Date: must be a valid date, format YYYYMMDD. Boolean: value must be Y or N. Numeric: value must be a number. Text: value must be &lt;= max_length and pass whatever validation is specified for the field. Note: best practice is to not allow personal, sensitive or uniquely identifying information in custom fields.</t>
        </is>
      </c>
    </row>
    <row r="136">
      <c r="A136" s="43" t="inlineStr">
        <is>
          <t>Future_Use_35</t>
        </is>
      </c>
      <c r="B136" s="51" t="inlineStr">
        <is>
          <t>122</t>
        </is>
      </c>
      <c r="C136" s="73" t="n"/>
      <c r="D136" s="73" t="n"/>
      <c r="E136" s="50" t="n"/>
      <c r="F136" s="73" t="n"/>
      <c r="G136" s="73" t="n"/>
      <c r="H136" s="50" t="n"/>
      <c r="I136" s="47" t="inlineStr">
        <is>
          <t>48 characters maximum</t>
        </is>
      </c>
      <c r="J136" s="51" t="inlineStr">
        <is>
          <t>N</t>
        </is>
      </c>
      <c r="K136" s="47" t="inlineStr">
        <is>
          <t>48 characters maximum for each field; custom field data is validated: First, check the employee form for any custom fields that are required. If the form specifies custom fields and the feed does not provide them, this is treated as an error and the record is not processed. If a custom field is required and the value does not pass a validation, this is treated as an error. If a custom field is not required and the value does not pass a validation, a warning is logged. For each custom field defined in the form, an appropriate validation is performed based on the data type specified: List (custom and connected): validated against the code value, not the long name. Date: must be a valid date, format YYYYMMDD. Boolean: value must be Y or N. Numeric: value must be a number. Text: value must be &lt;= max_length and pass whatever validation is specified for the field. Note: best practice is to not allow personal, sensitive or uniquely identifying information in custom fields.</t>
        </is>
      </c>
    </row>
    <row r="137">
      <c r="A137" s="36" t="inlineStr">
        <is>
          <t>Future_Use_36</t>
        </is>
      </c>
      <c r="B137" s="49" t="inlineStr">
        <is>
          <t>123</t>
        </is>
      </c>
      <c r="C137" s="73" t="n"/>
      <c r="D137" s="73" t="n"/>
      <c r="E137" s="48" t="n"/>
      <c r="F137" s="73" t="n"/>
      <c r="G137" s="73" t="n"/>
      <c r="H137" s="48" t="n"/>
      <c r="I137" s="41" t="inlineStr">
        <is>
          <t>48 characters maximum</t>
        </is>
      </c>
      <c r="J137" s="49" t="inlineStr">
        <is>
          <t>N</t>
        </is>
      </c>
      <c r="K137" s="41" t="inlineStr">
        <is>
          <t>48 characters maximum for each field; custom field data is validated: First, check the employee form for any custom fields that are required. If the form specifies custom fields and the feed does not provide them, this is treated as an error and the record is not processed. If a custom field is required and the value does not pass a validation, this is treated as an error. If a custom field is not required and the value does not pass a validation, a warning is logged. For each custom field defined in the form, an appropriate validation is performed based on the data type specified: List (custom and connected): validated against the code value, not the long name. Date: must be a valid date, format YYYYMMDD. Boolean: value must be Y or N. Numeric: value must be a number. Text: value must be &lt;= max_length and pass whatever validation is specified for the field. Note: best practice is to not allow personal, sensitive or uniquely identifying information in custom fields.</t>
        </is>
      </c>
    </row>
    <row r="138">
      <c r="A138" s="43" t="inlineStr">
        <is>
          <t>Future_Use_37</t>
        </is>
      </c>
      <c r="B138" s="51" t="inlineStr">
        <is>
          <t>124</t>
        </is>
      </c>
      <c r="C138" s="73" t="n"/>
      <c r="D138" s="73" t="n"/>
      <c r="E138" s="50" t="n"/>
      <c r="F138" s="73" t="n"/>
      <c r="G138" s="73" t="n"/>
      <c r="H138" s="50" t="n"/>
      <c r="I138" s="47" t="inlineStr">
        <is>
          <t>48 characters maximum</t>
        </is>
      </c>
      <c r="J138" s="51" t="inlineStr">
        <is>
          <t>N</t>
        </is>
      </c>
      <c r="K138" s="47" t="inlineStr">
        <is>
          <t>48 characters maximum for each field; custom field data is validated: First, check the employee form for any custom fields that are required. If the form specifies custom fields and the feed does not provide them, this is treated as an error and the record is not processed. If a custom field is required and the value does not pass a validation, this is treated as an error. If a custom field is not required and the value does not pass a validation, a warning is logged. For each custom field defined in the form, an appropriate validation is performed based on the data type specified: List (custom and connected): validated against the code value, not the long name. Date: must be a valid date, format YYYYMMDD. Boolean: value must be Y or N. Numeric: value must be a number. Text: value must be &lt;= max_length and pass whatever validation is specified for the field. Note: best practice is to not allow personal, sensitive or uniquely identifying information in custom fields.</t>
        </is>
      </c>
    </row>
    <row r="139">
      <c r="A139" s="36" t="inlineStr">
        <is>
          <t>Future_Use_38</t>
        </is>
      </c>
      <c r="B139" s="49" t="inlineStr">
        <is>
          <t>125</t>
        </is>
      </c>
      <c r="C139" s="73" t="n"/>
      <c r="D139" s="73" t="n"/>
      <c r="E139" s="48" t="n"/>
      <c r="F139" s="73" t="n"/>
      <c r="G139" s="73" t="n"/>
      <c r="H139" s="48" t="n"/>
      <c r="I139" s="41" t="inlineStr">
        <is>
          <t>48 characters maximum</t>
        </is>
      </c>
      <c r="J139" s="49" t="inlineStr">
        <is>
          <t>N</t>
        </is>
      </c>
      <c r="K139" s="41" t="inlineStr">
        <is>
          <t>48 characters maximum for each field; custom field data is validated: First, check the employee form for any custom fields that are required. If the form specifies custom fields and the feed does not provide them, this is treated as an error and the record is not processed. If a custom field is required and the value does not pass a validation, this is treated as an error. If a custom field is not required and the value does not pass a validation, a warning is logged. For each custom field defined in the form, an appropriate validation is performed based on the data type specified: List (custom and connected): validated against the code value, not the long name. Date: must be a valid date, format YYYYMMDD. Boolean: value must be Y or N. Numeric: value must be a number. Text: value must be &lt;= max_length and pass whatever validation is specified for the field. Note: best practice is to not allow personal, sensitive or uniquely identifying information in custom fields.</t>
        </is>
      </c>
    </row>
    <row r="140">
      <c r="A140" s="43" t="inlineStr">
        <is>
          <t>Future_Use_39</t>
        </is>
      </c>
      <c r="B140" s="51" t="inlineStr">
        <is>
          <t>126</t>
        </is>
      </c>
      <c r="C140" s="73" t="n"/>
      <c r="D140" s="73" t="n"/>
      <c r="E140" s="50" t="n"/>
      <c r="F140" s="73" t="n"/>
      <c r="G140" s="73" t="n"/>
      <c r="H140" s="50" t="n"/>
      <c r="I140" s="47" t="inlineStr">
        <is>
          <t>48 characters maximum</t>
        </is>
      </c>
      <c r="J140" s="51" t="inlineStr">
        <is>
          <t>N</t>
        </is>
      </c>
      <c r="K140" s="47" t="inlineStr">
        <is>
          <t>48 characters maximum for each field; custom field data is validated: First, check the employee form for any custom fields that are required. If the form specifies custom fields and the feed does not provide them, this is treated as an error and the record is not processed. If a custom field is required and the value does not pass a validation, this is treated as an error. If a custom field is not required and the value does not pass a validation, a warning is logged. For each custom field defined in the form, an appropriate validation is performed based on the data type specified: List (custom and connected): validated against the code value, not the long name. Date: must be a valid date, format YYYYMMDD. Boolean: value must be Y or N. Numeric: value must be a number. Text: value must be &lt;= max_length and pass whatever validation is specified for the field. Note: best practice is to not allow personal, sensitive or uniquely identifying information in custom fields.</t>
        </is>
      </c>
    </row>
    <row r="141">
      <c r="A141" s="36" t="inlineStr">
        <is>
          <t>Future_Use_40</t>
        </is>
      </c>
      <c r="B141" s="49" t="inlineStr">
        <is>
          <t>127</t>
        </is>
      </c>
      <c r="C141" s="73" t="n"/>
      <c r="D141" s="73" t="n"/>
      <c r="E141" s="48" t="n"/>
      <c r="F141" s="73" t="n"/>
      <c r="G141" s="73" t="n"/>
      <c r="H141" s="48" t="n"/>
      <c r="I141" s="41" t="inlineStr">
        <is>
          <t>48 characters maximum</t>
        </is>
      </c>
      <c r="J141" s="49" t="inlineStr">
        <is>
          <t>N</t>
        </is>
      </c>
      <c r="K141" s="41" t="inlineStr">
        <is>
          <t>48 characters maximum for each field; custom field data is validated: First, check the employee form for any custom fields that are required. If the form specifies custom fields and the feed does not provide them, this is treated as an error and the record is not processed. If a custom field is required and the value does not pass a validation, this is treated as an error. If a custom field is not required and the value does not pass a validation, a warning is logged. For each custom field defined in the form, an appropriate validation is performed based on the data type specified: List (custom and connected): validated against the code value, not the long name. Date: must be a valid date, format YYYYMMDD. Boolean: value must be Y or N. Numeric: value must be a number. Text: value must be &lt;= max_length and pass whatever validation is specified for the field. Note: best practice is to not allow personal, sensitive or uniquely identifying information in custom fields.</t>
        </is>
      </c>
    </row>
    <row r="142">
      <c r="A142" s="43" t="inlineStr">
        <is>
          <t>Future_Use_41</t>
        </is>
      </c>
      <c r="B142" s="51" t="inlineStr">
        <is>
          <t>128</t>
        </is>
      </c>
      <c r="C142" s="73" t="n"/>
      <c r="D142" s="73" t="n"/>
      <c r="E142" s="50" t="n"/>
      <c r="F142" s="73" t="n"/>
      <c r="G142" s="73" t="n"/>
      <c r="H142" s="50" t="n"/>
      <c r="I142" s="47" t="inlineStr">
        <is>
          <t>48 characters maximum</t>
        </is>
      </c>
      <c r="J142" s="51" t="inlineStr">
        <is>
          <t>N</t>
        </is>
      </c>
      <c r="K142" s="47" t="inlineStr">
        <is>
          <t>48 characters maximum for each field; custom field data is validated: First, check the employee form for any custom fields that are required. If the form specifies custom fields and the feed does not provide them, this is treated as an error and the record is not processed. If a custom field is required and the value does not pass a validation, this is treated as an error. If a custom field is not required and the value does not pass a validation, a warning is logged. For each custom field defined in the form, an appropriate validation is performed based on the data type specified: List (custom and connected): validated against the code value, not the long name. Date: must be a valid date, format YYYYMMDD. Boolean: value must be Y or N. Numeric: value must be a number. Text: value must be &lt;= max_length and pass whatever validation is specified for the field. Note: best practice is to not allow personal, sensitive or uniquely identifying information in custom fields.</t>
        </is>
      </c>
    </row>
    <row r="143">
      <c r="A143" s="36" t="inlineStr">
        <is>
          <t>Future_Use_42</t>
        </is>
      </c>
      <c r="B143" s="49" t="inlineStr">
        <is>
          <t>129</t>
        </is>
      </c>
      <c r="C143" s="73" t="n"/>
      <c r="D143" s="73" t="n"/>
      <c r="E143" s="48" t="n"/>
      <c r="F143" s="73" t="n"/>
      <c r="G143" s="73" t="n"/>
      <c r="H143" s="48" t="n"/>
      <c r="I143" s="41" t="inlineStr">
        <is>
          <t>48 characters maximum</t>
        </is>
      </c>
      <c r="J143" s="49" t="inlineStr">
        <is>
          <t>N</t>
        </is>
      </c>
      <c r="K143" s="41" t="inlineStr">
        <is>
          <t>48 characters maximum for each field; custom field data is validated: First, check the employee form for any custom fields that are required. If the form specifies custom fields and the feed does not provide them, this is treated as an error and the record is not processed. If a custom field is required and the value does not pass a validation, this is treated as an error. If a custom field is not required and the value does not pass a validation, a warning is logged. For each custom field defined in the form, an appropriate validation is performed based on the data type specified: List (custom and connected): validated against the code value, not the long name. Date: must be a valid date, format YYYYMMDD. Boolean: value must be Y or N. Numeric: value must be a number. Text: value must be &lt;= max_length and pass whatever validation is specified for the field. Note: best practice is to not allow personal, sensitive or uniquely identifying information in custom fields.</t>
        </is>
      </c>
    </row>
    <row r="144">
      <c r="A144" s="43" t="inlineStr">
        <is>
          <t>Future_Use_43</t>
        </is>
      </c>
      <c r="B144" s="51" t="inlineStr">
        <is>
          <t>130</t>
        </is>
      </c>
      <c r="C144" s="73" t="n"/>
      <c r="D144" s="73" t="n"/>
      <c r="E144" s="50" t="n"/>
      <c r="F144" s="73" t="n"/>
      <c r="G144" s="73" t="n"/>
      <c r="H144" s="50" t="n"/>
      <c r="I144" s="47" t="inlineStr">
        <is>
          <t>48 characters maximum</t>
        </is>
      </c>
      <c r="J144" s="51" t="inlineStr">
        <is>
          <t>N</t>
        </is>
      </c>
      <c r="K144" s="47" t="inlineStr">
        <is>
          <t>48 characters maximum for each field; custom field data is validated: First, check the employee form for any custom fields that are required. If the form specifies custom fields and the feed does not provide them, this is treated as an error and the record is not processed. If a custom field is required and the value does not pass a validation, this is treated as an error. If a custom field is not required and the value does not pass a validation, a warning is logged. For each custom field defined in the form, an appropriate validation is performed based on the data type specified: List (custom and connected): validated against the code value, not the long name. Date: must be a valid date, format YYYYMMDD. Boolean: value must be Y or N. Numeric: value must be a number. Text: value must be &lt;= max_length and pass whatever validation is specified for the field. Note: best practice is to not allow personal, sensitive or uniquely identifying information in custom fields.</t>
        </is>
      </c>
    </row>
    <row r="145">
      <c r="A145" s="36" t="inlineStr">
        <is>
          <t>Future_Use_44</t>
        </is>
      </c>
      <c r="B145" s="49" t="inlineStr">
        <is>
          <t>131</t>
        </is>
      </c>
      <c r="C145" s="73" t="n"/>
      <c r="D145" s="73" t="n"/>
      <c r="E145" s="48" t="n"/>
      <c r="F145" s="73" t="n"/>
      <c r="G145" s="73" t="n"/>
      <c r="H145" s="48" t="n"/>
      <c r="I145" s="41" t="inlineStr">
        <is>
          <t>48 characters maximum</t>
        </is>
      </c>
      <c r="J145" s="49" t="inlineStr">
        <is>
          <t>N</t>
        </is>
      </c>
      <c r="K145" s="41" t="inlineStr">
        <is>
          <t>48 characters maximum for each field; custom field data is validated: First, check the employee form for any custom fields that are required. If the form specifies custom fields and the feed does not provide them, this is treated as an error and the record is not processed. If a custom field is required and the value does not pass a validation, this is treated as an error. If a custom field is not required and the value does not pass a validation, a warning is logged. For each custom field defined in the form, an appropriate validation is performed based on the data type specified: List (custom and connected): validated against the code value, not the long name. Date: must be a valid date, format YYYYMMDD. Boolean: value must be Y or N. Numeric: value must be a number. Text: value must be &lt;= max_length and pass whatever validation is specified for the field. Note: best practice is to not allow personal, sensitive or uniquely identifying information in custom fields.</t>
        </is>
      </c>
    </row>
    <row r="146">
      <c r="A146" s="43" t="inlineStr">
        <is>
          <t>Future_Use_45</t>
        </is>
      </c>
      <c r="B146" s="51" t="inlineStr">
        <is>
          <t>132</t>
        </is>
      </c>
      <c r="C146" s="73" t="n"/>
      <c r="D146" s="73" t="n"/>
      <c r="E146" s="50" t="n"/>
      <c r="F146" s="73" t="n"/>
      <c r="G146" s="73" t="n"/>
      <c r="H146" s="50" t="n"/>
      <c r="I146" s="47" t="inlineStr">
        <is>
          <t>48 characters maximum</t>
        </is>
      </c>
      <c r="J146" s="51" t="inlineStr">
        <is>
          <t>N</t>
        </is>
      </c>
      <c r="K146" s="47" t="inlineStr">
        <is>
          <t>48 characters maximum for each field; custom field data is validated: First, check the employee form for any custom fields that are required. If the form specifies custom fields and the feed does not provide them, this is treated as an error and the record is not processed. If a custom field is required and the value does not pass a validation, this is treated as an error. If a custom field is not required and the value does not pass a validation, a warning is logged. For each custom field defined in the form, an appropriate validation is performed based on the data type specified: List (custom and connected): validated against the code value, not the long name. Date: must be a valid date, format YYYYMMDD. Boolean: value must be Y or N. Numeric: value must be a number. Text: value must be &lt;= max_length and pass whatever validation is specified for the field. Note: best practice is to not allow personal, sensitive or uniquely identifying information in custom fields.</t>
        </is>
      </c>
    </row>
    <row r="147">
      <c r="A147" s="36" t="inlineStr">
        <is>
          <t>Future_Use_46</t>
        </is>
      </c>
      <c r="B147" s="49" t="inlineStr">
        <is>
          <t>133</t>
        </is>
      </c>
      <c r="C147" s="73" t="n"/>
      <c r="D147" s="73" t="n"/>
      <c r="E147" s="48" t="n"/>
      <c r="F147" s="73" t="n"/>
      <c r="G147" s="73" t="n"/>
      <c r="H147" s="48" t="n"/>
      <c r="I147" s="41" t="inlineStr">
        <is>
          <t>48 characters maximum</t>
        </is>
      </c>
      <c r="J147" s="49" t="inlineStr">
        <is>
          <t>N</t>
        </is>
      </c>
      <c r="K147" s="41" t="inlineStr">
        <is>
          <t>48 characters maximum for each field; custom field data is validated: First, check the employee form for any custom fields that are required. If the form specifies custom fields and the feed does not provide them, this is treated as an error and the record is not processed. If a custom field is required and the value does not pass a validation, this is treated as an error. If a custom field is not required and the value does not pass a validation, a warning is logged. For each custom field defined in the form, an appropriate validation is performed based on the data type specified: List (custom and connected): validated against the code value, not the long name. Date: must be a valid date, format YYYYMMDD. Boolean: value must be Y or N. Numeric: value must be a number. Text: value must be &lt;= max_length and pass whatever validation is specified for the field. Note: best practice is to not allow personal, sensitive or uniquely identifying information in custom fields.</t>
        </is>
      </c>
    </row>
    <row r="148">
      <c r="A148" s="43" t="inlineStr">
        <is>
          <t>Future_Use_47</t>
        </is>
      </c>
      <c r="B148" s="51" t="inlineStr">
        <is>
          <t>134</t>
        </is>
      </c>
      <c r="C148" s="73" t="n"/>
      <c r="D148" s="73" t="n"/>
      <c r="E148" s="50" t="n"/>
      <c r="F148" s="73" t="n"/>
      <c r="G148" s="73" t="n"/>
      <c r="H148" s="50" t="n"/>
      <c r="I148" s="47" t="inlineStr">
        <is>
          <t>48 characters maximum</t>
        </is>
      </c>
      <c r="J148" s="51" t="inlineStr">
        <is>
          <t>N</t>
        </is>
      </c>
      <c r="K148" s="47" t="inlineStr">
        <is>
          <t>48 characters maximum for each field; custom field data is validated: First, check the employee form for any custom fields that are required. If the form specifies custom fields and the feed does not provide them, this is treated as an error and the record is not processed. If a custom field is required and the value does not pass a validation, this is treated as an error. If a custom field is not required and the value does not pass a validation, a warning is logged. For each custom field defined in the form, an appropriate validation is performed based on the data type specified: List (custom and connected): validated against the code value, not the long name. Date: must be a valid date, format YYYYMMDD. Boolean: value must be Y or N. Numeric: value must be a number. Text: value must be &lt;= max_length and pass whatever validation is specified for the field. Note: best practice is to not allow personal, sensitive or uniquely identifying information in custom fields.</t>
        </is>
      </c>
    </row>
    <row r="149">
      <c r="A149" s="36" t="inlineStr">
        <is>
          <t>Future_Use_48</t>
        </is>
      </c>
      <c r="B149" s="49" t="inlineStr">
        <is>
          <t>135</t>
        </is>
      </c>
      <c r="C149" s="73" t="n"/>
      <c r="D149" s="73" t="n"/>
      <c r="E149" s="48" t="n"/>
      <c r="F149" s="73" t="n"/>
      <c r="G149" s="73" t="n"/>
      <c r="H149" s="48" t="n"/>
      <c r="I149" s="41" t="inlineStr">
        <is>
          <t>48 characters maximum</t>
        </is>
      </c>
      <c r="J149" s="49" t="inlineStr">
        <is>
          <t>N</t>
        </is>
      </c>
      <c r="K149" s="41" t="inlineStr">
        <is>
          <t>48 characters maximum for each field; custom field data is validated: First, check the employee form for any custom fields that are required. If the form specifies custom fields and the feed does not provide them, this is treated as an error and the record is not processed. If a custom field is required and the value does not pass a validation, this is treated as an error. If a custom field is not required and the value does not pass a validation, a warning is logged. For each custom field defined in the form, an appropriate validation is performed based on the data type specified: List (custom and connected): validated against the code value, not the long name. Date: must be a valid date, format YYYYMMDD. Boolean: value must be Y or N. Numeric: value must be a number. Text: value must be &lt;= max_length and pass whatever validation is specified for the field. Note: best practice is to not allow personal, sensitive or uniquely identifying information in custom fields.</t>
        </is>
      </c>
    </row>
    <row r="150">
      <c r="A150" s="43" t="inlineStr">
        <is>
          <t>Future_Use_49</t>
        </is>
      </c>
      <c r="B150" s="51" t="inlineStr">
        <is>
          <t>136</t>
        </is>
      </c>
      <c r="C150" s="73" t="n"/>
      <c r="D150" s="73" t="n"/>
      <c r="E150" s="50" t="n"/>
      <c r="F150" s="73" t="n"/>
      <c r="G150" s="73" t="n"/>
      <c r="H150" s="50" t="n"/>
      <c r="I150" s="47" t="inlineStr">
        <is>
          <t>48 characters maximum</t>
        </is>
      </c>
      <c r="J150" s="51" t="inlineStr">
        <is>
          <t>N</t>
        </is>
      </c>
      <c r="K150" s="47" t="inlineStr">
        <is>
          <t>48 characters maximum for each field; custom field data is validated: First, check the employee form for any custom fields that are required. If the form specifies custom fields and the feed does not provide them, this is treated as an error and the record is not processed. If a custom field is required and the value does not pass a validation, this is treated as an error. If a custom field is not required and the value does not pass a validation, a warning is logged. For each custom field defined in the form, an appropriate validation is performed based on the data type specified: List (custom and connected): validated against the code value, not the long name. Date: must be a valid date, format YYYYMMDD. Boolean: value must be Y or N. Numeric: value must be a number. Text: value must be &lt;= max_length and pass whatever validation is specified for the field. Note: best practice is to not allow personal, sensitive or uniquely identifying information in custom fields.</t>
        </is>
      </c>
    </row>
    <row r="151">
      <c r="A151" s="36" t="inlineStr">
        <is>
          <t>Future_Use_50</t>
        </is>
      </c>
      <c r="B151" s="49" t="inlineStr">
        <is>
          <t>137</t>
        </is>
      </c>
      <c r="C151" s="73" t="n"/>
      <c r="D151" s="73" t="n"/>
      <c r="E151" s="48" t="n"/>
      <c r="F151" s="73" t="n"/>
      <c r="G151" s="73" t="n"/>
      <c r="H151" s="48" t="n"/>
      <c r="I151" s="41" t="inlineStr">
        <is>
          <t>48 characters maximum</t>
        </is>
      </c>
      <c r="J151" s="49" t="inlineStr">
        <is>
          <t>N</t>
        </is>
      </c>
      <c r="K151" s="41" t="inlineStr">
        <is>
          <t>48 characters maximum for each field; custom field data is validated: First, check the employee form for any custom fields that are required. If the form specifies custom fields and the feed does not provide them, this is treated as an error and the record is not processed. If a custom field is required and the value does not pass a validation, this is treated as an error. If a custom field is not required and the value does not pass a validation, a warning is logged. For each custom field defined in the form, an appropriate validation is performed based on the data type specified: List (custom and connected): validated against the code value, not the long name. Date: must be a valid date, format YYYYMMDD. Boolean: value must be Y or N. Numeric: value must be a number. Text: value must be &lt;= max_length and pass whatever validation is specified for the field. Note: best practice is to not allow personal, sensitive or uniquely identifying information in custom fields.</t>
        </is>
      </c>
    </row>
  </sheetData>
  <autoFilter ref="A7:K151"/>
  <hyperlinks>
    <hyperlink xmlns:r="http://schemas.openxmlformats.org/officeDocument/2006/relationships" ref="A3" r:id="rId1"/>
    <hyperlink ref="A5" location="Index!A1" display="Back to Index"/>
  </hyperlinks>
  <pageMargins left="0.75" right="0.75" top="1" bottom="1" header="0.5" footer="0.5"/>
  <pageSetup orientation="landscape" fitToWidth="1"/>
</worksheet>
</file>

<file path=xl/worksheets/sheet13.xml><?xml version="1.0" encoding="utf-8"?>
<worksheet xmlns="http://schemas.openxmlformats.org/spreadsheetml/2006/main">
  <sheetPr>
    <outlinePr summaryBelow="1" summaryRight="1"/>
    <pageSetUpPr fitToPage="1"/>
  </sheetPr>
  <dimension ref="A1:K74"/>
  <sheetViews>
    <sheetView showGridLines="0" workbookViewId="0">
      <pane xSplit="1" ySplit="7" topLeftCell="B8" activePane="bottomRight" state="frozen"/>
      <selection pane="topRight" activeCell="A1" sqref="A1"/>
      <selection pane="bottomLeft" activeCell="A1" sqref="A1"/>
      <selection pane="bottomRight" activeCell="A1" sqref="A1"/>
    </sheetView>
  </sheetViews>
  <sheetFormatPr baseColWidth="8" defaultRowHeight="15"/>
  <cols>
    <col width="34" customWidth="1" min="1" max="1"/>
    <col width="8" customWidth="1" min="2" max="2"/>
    <col width="38" customWidth="1" min="3" max="3"/>
    <col width="24" customWidth="1" min="4" max="4"/>
    <col width="24" customWidth="1" min="5" max="5"/>
    <col width="38" customWidth="1" min="6" max="6"/>
    <col width="24" customWidth="1" min="7" max="7"/>
    <col width="24" customWidth="1" min="8" max="8"/>
    <col width="30" customWidth="1" min="9" max="9"/>
    <col width="13" customWidth="1" min="10" max="10"/>
    <col width="66" customWidth="1" min="11" max="11"/>
  </cols>
  <sheetData>
    <row r="1">
      <c r="A1" s="28" t="inlineStr">
        <is>
          <t>350 (Travel Addendum Importer)</t>
        </is>
      </c>
    </row>
    <row r="2">
      <c r="A2" s="29" t="inlineStr">
        <is>
          <t>Section: Employee Import  —  source system: ADP</t>
        </is>
      </c>
    </row>
    <row r="3">
      <c r="A3" s="30" t="inlineStr">
        <is>
          <t>https://help.sap.com/docs/sap-concur/employee-import-specification/350-travel-addendum-importer</t>
        </is>
      </c>
    </row>
    <row r="4">
      <c r="A4" s="31" t="inlineStr">
        <is>
          <t>Source: SAP Help Portal, Concur Employee Import Specification. Retrieved 2026-09-11. Ranged fields are expanded to one row per field.</t>
        </is>
      </c>
    </row>
    <row r="5" ht="18" customHeight="1">
      <c r="A5" s="12" t="inlineStr">
        <is>
          <t>◀  Back to Index</t>
        </is>
      </c>
    </row>
    <row r="6">
      <c r="A6" s="32" t="inlineStr">
        <is>
          <t>Mapping read from 'Concur Employee Load Format 2026-09-15  Data-vUKG.xlsx', tab '350 ADP Travel (All)'. The workbook has no UKG 350 tab, so the three UKG columns are marked — on every row.</t>
        </is>
      </c>
    </row>
    <row r="7" ht="30" customHeight="1">
      <c r="A7" s="13" t="inlineStr">
        <is>
          <t>Field Name</t>
        </is>
      </c>
      <c r="B7" s="33" t="inlineStr">
        <is>
          <t>Spec #</t>
        </is>
      </c>
      <c r="C7" s="33" t="inlineStr">
        <is>
          <t>ADP Source Column</t>
        </is>
      </c>
      <c r="D7" s="33" t="inlineStr">
        <is>
          <t>ADP Formula</t>
        </is>
      </c>
      <c r="E7" s="33" t="inlineStr">
        <is>
          <t>ADP Sample</t>
        </is>
      </c>
      <c r="F7" s="35" t="inlineStr">
        <is>
          <t>UKG Source Column</t>
        </is>
      </c>
      <c r="G7" s="35" t="inlineStr">
        <is>
          <t>UKG Formula</t>
        </is>
      </c>
      <c r="H7" s="35" t="inlineStr">
        <is>
          <t>UKG Sample</t>
        </is>
      </c>
      <c r="I7" s="13" t="inlineStr">
        <is>
          <t>Definition</t>
        </is>
      </c>
      <c r="J7" s="13" t="inlineStr">
        <is>
          <t>Required?</t>
        </is>
      </c>
      <c r="K7" s="13" t="inlineStr">
        <is>
          <t>Description</t>
        </is>
      </c>
    </row>
    <row r="8">
      <c r="A8" s="36" t="inlineStr">
        <is>
          <t>Transaction Type</t>
        </is>
      </c>
      <c r="B8" s="49" t="inlineStr">
        <is>
          <t>1</t>
        </is>
      </c>
      <c r="C8" s="59" t="inlineStr">
        <is>
          <t>(literal)</t>
        </is>
      </c>
      <c r="D8" s="59" t="inlineStr">
        <is>
          <t>350</t>
        </is>
      </c>
      <c r="E8" s="59" t="inlineStr">
        <is>
          <t>350</t>
        </is>
      </c>
      <c r="F8" s="48" t="inlineStr">
        <is>
          <t>—</t>
        </is>
      </c>
      <c r="G8" s="48" t="inlineStr">
        <is>
          <t>—</t>
        </is>
      </c>
      <c r="H8" s="48" t="inlineStr">
        <is>
          <t>—</t>
        </is>
      </c>
      <c r="I8" s="41" t="inlineStr">
        <is>
          <t>350</t>
        </is>
      </c>
      <c r="J8" s="42" t="inlineStr">
        <is>
          <t>Y</t>
        </is>
      </c>
      <c r="K8" s="41" t="inlineStr">
        <is>
          <t>This is a static numeric value always equal to 350. It indicates the Record Type.</t>
        </is>
      </c>
    </row>
    <row r="9">
      <c r="A9" s="43" t="inlineStr">
        <is>
          <t>Employee ID</t>
        </is>
      </c>
      <c r="B9" s="51" t="inlineStr">
        <is>
          <t>2</t>
        </is>
      </c>
      <c r="C9" s="60" t="inlineStr">
        <is>
          <t>ADP.P = File Number</t>
        </is>
      </c>
      <c r="D9" s="60">
        <f>ADP!P5</f>
        <v/>
      </c>
      <c r="E9" s="60" t="inlineStr">
        <is>
          <t>211837</t>
        </is>
      </c>
      <c r="F9" s="50" t="inlineStr">
        <is>
          <t>—</t>
        </is>
      </c>
      <c r="G9" s="50" t="inlineStr">
        <is>
          <t>—</t>
        </is>
      </c>
      <c r="H9" s="50" t="inlineStr">
        <is>
          <t>—</t>
        </is>
      </c>
      <c r="I9" s="47" t="inlineStr">
        <is>
          <t>48 characters maximum</t>
        </is>
      </c>
      <c r="J9" s="42" t="inlineStr">
        <is>
          <t>Y</t>
        </is>
      </c>
      <c r="K9" s="47" t="inlineStr">
        <is>
          <t>Must match a 305-level record in this file</t>
        </is>
      </c>
    </row>
    <row r="10">
      <c r="A10" s="36" t="inlineStr">
        <is>
          <t>Name Prefix</t>
        </is>
      </c>
      <c r="B10" s="49" t="inlineStr">
        <is>
          <t>3</t>
        </is>
      </c>
      <c r="C10" s="73" t="n"/>
      <c r="D10" s="73" t="n"/>
      <c r="E10" s="48" t="n"/>
      <c r="F10" s="48" t="inlineStr">
        <is>
          <t>—</t>
        </is>
      </c>
      <c r="G10" s="48" t="inlineStr">
        <is>
          <t>—</t>
        </is>
      </c>
      <c r="H10" s="48" t="inlineStr">
        <is>
          <t>—</t>
        </is>
      </c>
      <c r="I10" s="41" t="inlineStr">
        <is>
          <t>60 characters maximum</t>
        </is>
      </c>
      <c r="J10" s="49" t="inlineStr">
        <is>
          <t>N</t>
        </is>
      </c>
      <c r="K10" s="41" t="inlineStr">
        <is>
          <t>Must contain these exact values (Lord, Lady, Sir, Mr, Miss, Ms, Mrs, Dr, Rev, Prof)</t>
        </is>
      </c>
    </row>
    <row r="11">
      <c r="A11" s="43" t="inlineStr">
        <is>
          <t>Name Suffix</t>
        </is>
      </c>
      <c r="B11" s="51" t="inlineStr">
        <is>
          <t>4</t>
        </is>
      </c>
      <c r="C11" s="73" t="n"/>
      <c r="D11" s="73" t="n"/>
      <c r="E11" s="50" t="n"/>
      <c r="F11" s="50" t="inlineStr">
        <is>
          <t>—</t>
        </is>
      </c>
      <c r="G11" s="50" t="inlineStr">
        <is>
          <t>—</t>
        </is>
      </c>
      <c r="H11" s="50" t="inlineStr">
        <is>
          <t>—</t>
        </is>
      </c>
      <c r="I11" s="47" t="inlineStr">
        <is>
          <t>60 characters maximum</t>
        </is>
      </c>
      <c r="J11" s="51" t="inlineStr">
        <is>
          <t>N</t>
        </is>
      </c>
      <c r="K11" s="47" t="inlineStr">
        <is>
          <t>Must contain these exact values (Jr., Sr., I, II, III, IV, V, VI)</t>
        </is>
      </c>
    </row>
    <row r="12">
      <c r="A12" s="36" t="inlineStr">
        <is>
          <t>Preferred Name (formerly Nick Name)</t>
        </is>
      </c>
      <c r="B12" s="49" t="inlineStr">
        <is>
          <t>5</t>
        </is>
      </c>
      <c r="C12" s="73" t="n"/>
      <c r="D12" s="73" t="n"/>
      <c r="E12" s="48" t="n"/>
      <c r="F12" s="48" t="inlineStr">
        <is>
          <t>—</t>
        </is>
      </c>
      <c r="G12" s="48" t="inlineStr">
        <is>
          <t>—</t>
        </is>
      </c>
      <c r="H12" s="48" t="inlineStr">
        <is>
          <t>—</t>
        </is>
      </c>
      <c r="I12" s="41" t="inlineStr">
        <is>
          <t>60 characters maximum</t>
        </is>
      </c>
      <c r="J12" s="49" t="inlineStr">
        <is>
          <t>N</t>
        </is>
      </c>
      <c r="K12" s="41" t="inlineStr">
        <is>
          <t>Name by which the employee prefers to be addressed in SAP Concur solutions. This field was formerly labelled "Nick Name".</t>
        </is>
      </c>
    </row>
    <row r="13">
      <c r="A13" s="43" t="inlineStr">
        <is>
          <t>Redress Number</t>
        </is>
      </c>
      <c r="B13" s="51" t="inlineStr">
        <is>
          <t>6</t>
        </is>
      </c>
      <c r="C13" s="73" t="n"/>
      <c r="D13" s="73" t="n"/>
      <c r="E13" s="50" t="n"/>
      <c r="F13" s="50" t="inlineStr">
        <is>
          <t>—</t>
        </is>
      </c>
      <c r="G13" s="50" t="inlineStr">
        <is>
          <t>—</t>
        </is>
      </c>
      <c r="H13" s="50" t="inlineStr">
        <is>
          <t>—</t>
        </is>
      </c>
      <c r="I13" s="47" t="inlineStr">
        <is>
          <t>13 characters maximum</t>
        </is>
      </c>
      <c r="J13" s="51" t="inlineStr">
        <is>
          <t>N</t>
        </is>
      </c>
      <c r="K13" s="47" t="inlineStr">
        <is>
          <t>A varchar (13) that identifies users who have gone through a process to verify they are not on the no-fly list. Note: this field is not currently active and any value is ignored.</t>
        </is>
      </c>
    </row>
    <row r="14">
      <c r="A14" s="36" t="inlineStr">
        <is>
          <t>Gender</t>
        </is>
      </c>
      <c r="B14" s="49" t="inlineStr">
        <is>
          <t>7</t>
        </is>
      </c>
      <c r="C14" s="73" t="n"/>
      <c r="D14" s="73" t="n"/>
      <c r="E14" s="48" t="n"/>
      <c r="F14" s="48" t="inlineStr">
        <is>
          <t>—</t>
        </is>
      </c>
      <c r="G14" s="48" t="inlineStr">
        <is>
          <t>—</t>
        </is>
      </c>
      <c r="H14" s="48" t="inlineStr">
        <is>
          <t>—</t>
        </is>
      </c>
      <c r="I14" s="41" t="inlineStr">
        <is>
          <t>1 character
M: Male
F: Female
X: Unspecified
U: Undisclosed</t>
        </is>
      </c>
      <c r="J14" s="49" t="inlineStr">
        <is>
          <t>N</t>
        </is>
      </c>
      <c r="K14" s="41" t="n"/>
    </row>
    <row r="15">
      <c r="A15" s="43" t="inlineStr">
        <is>
          <t>Date of Birth</t>
        </is>
      </c>
      <c r="B15" s="51" t="inlineStr">
        <is>
          <t>8</t>
        </is>
      </c>
      <c r="C15" s="73" t="n"/>
      <c r="D15" s="73" t="n"/>
      <c r="E15" s="50" t="n"/>
      <c r="F15" s="50" t="inlineStr">
        <is>
          <t>—</t>
        </is>
      </c>
      <c r="G15" s="50" t="inlineStr">
        <is>
          <t>—</t>
        </is>
      </c>
      <c r="H15" s="50" t="inlineStr">
        <is>
          <t>—</t>
        </is>
      </c>
      <c r="I15" s="47" t="inlineStr">
        <is>
          <t>10 characters maximum</t>
        </is>
      </c>
      <c r="J15" s="51" t="inlineStr">
        <is>
          <t>N</t>
        </is>
      </c>
      <c r="K15" s="47" t="inlineStr">
        <is>
          <t>Must match format "YYYYMMDD".</t>
        </is>
      </c>
    </row>
    <row r="16">
      <c r="A16" s="36" t="inlineStr">
        <is>
          <t>Employee ID of the Travel Approver</t>
        </is>
      </c>
      <c r="B16" s="49" t="inlineStr">
        <is>
          <t>9</t>
        </is>
      </c>
      <c r="C16" s="73" t="n"/>
      <c r="D16" s="73" t="n"/>
      <c r="E16" s="48" t="n"/>
      <c r="F16" s="48" t="inlineStr">
        <is>
          <t>—</t>
        </is>
      </c>
      <c r="G16" s="48" t="inlineStr">
        <is>
          <t>—</t>
        </is>
      </c>
      <c r="H16" s="48" t="inlineStr">
        <is>
          <t>—</t>
        </is>
      </c>
      <c r="I16" s="41" t="inlineStr">
        <is>
          <t>128 characters maximum</t>
        </is>
      </c>
      <c r="J16" s="49" t="inlineStr">
        <is>
          <t>N</t>
        </is>
      </c>
      <c r="K16" s="41" t="inlineStr">
        <is>
          <t>Must match either an existing employee in the travel database or a Record 310 and 350 record in this file</t>
        </is>
      </c>
    </row>
    <row r="17">
      <c r="A17" s="43" t="inlineStr">
        <is>
          <t>Job Title</t>
        </is>
      </c>
      <c r="B17" s="51" t="inlineStr">
        <is>
          <t>10</t>
        </is>
      </c>
      <c r="C17" s="73" t="n"/>
      <c r="D17" s="73" t="n"/>
      <c r="E17" s="50" t="n"/>
      <c r="F17" s="50" t="inlineStr">
        <is>
          <t>—</t>
        </is>
      </c>
      <c r="G17" s="50" t="inlineStr">
        <is>
          <t>—</t>
        </is>
      </c>
      <c r="H17" s="50" t="inlineStr">
        <is>
          <t>—</t>
        </is>
      </c>
      <c r="I17" s="47" t="inlineStr">
        <is>
          <t>255 characters maximum</t>
        </is>
      </c>
      <c r="J17" s="51" t="inlineStr">
        <is>
          <t>N</t>
        </is>
      </c>
      <c r="K17" s="47" t="n"/>
    </row>
    <row r="18">
      <c r="A18" s="36" t="inlineStr">
        <is>
          <t>Work Phone</t>
        </is>
      </c>
      <c r="B18" s="49" t="inlineStr">
        <is>
          <t>11</t>
        </is>
      </c>
      <c r="C18" s="73" t="n"/>
      <c r="D18" s="73" t="n"/>
      <c r="E18" s="48" t="n"/>
      <c r="F18" s="48" t="inlineStr">
        <is>
          <t>—</t>
        </is>
      </c>
      <c r="G18" s="48" t="inlineStr">
        <is>
          <t>—</t>
        </is>
      </c>
      <c r="H18" s="48" t="inlineStr">
        <is>
          <t>—</t>
        </is>
      </c>
      <c r="I18" s="41" t="inlineStr">
        <is>
          <t>60 characters maximum</t>
        </is>
      </c>
      <c r="J18" s="49" t="inlineStr">
        <is>
          <t>N</t>
        </is>
      </c>
      <c r="K18" s="41" t="inlineStr">
        <is>
          <t>Value will be moved to Travel as formatted in the file</t>
        </is>
      </c>
    </row>
    <row r="19">
      <c r="A19" s="43" t="inlineStr">
        <is>
          <t>Work Phone Extension</t>
        </is>
      </c>
      <c r="B19" s="51" t="inlineStr">
        <is>
          <t>12</t>
        </is>
      </c>
      <c r="C19" s="73" t="n"/>
      <c r="D19" s="73" t="n"/>
      <c r="E19" s="50" t="n"/>
      <c r="F19" s="50" t="inlineStr">
        <is>
          <t>—</t>
        </is>
      </c>
      <c r="G19" s="50" t="inlineStr">
        <is>
          <t>—</t>
        </is>
      </c>
      <c r="H19" s="50" t="inlineStr">
        <is>
          <t>—</t>
        </is>
      </c>
      <c r="I19" s="47" t="inlineStr">
        <is>
          <t>60 characters maximum</t>
        </is>
      </c>
      <c r="J19" s="51" t="inlineStr">
        <is>
          <t>N</t>
        </is>
      </c>
      <c r="K19" s="47" t="inlineStr">
        <is>
          <t>Value will be moved to Travel as formatted in the file</t>
        </is>
      </c>
    </row>
    <row r="20">
      <c r="A20" s="36" t="inlineStr">
        <is>
          <t>Work Fax</t>
        </is>
      </c>
      <c r="B20" s="49" t="inlineStr">
        <is>
          <t>13</t>
        </is>
      </c>
      <c r="C20" s="73" t="n"/>
      <c r="D20" s="73" t="n"/>
      <c r="E20" s="48" t="n"/>
      <c r="F20" s="48" t="inlineStr">
        <is>
          <t>—</t>
        </is>
      </c>
      <c r="G20" s="48" t="inlineStr">
        <is>
          <t>—</t>
        </is>
      </c>
      <c r="H20" s="48" t="inlineStr">
        <is>
          <t>—</t>
        </is>
      </c>
      <c r="I20" s="41" t="inlineStr">
        <is>
          <t>60 characters maximum</t>
        </is>
      </c>
      <c r="J20" s="49" t="inlineStr">
        <is>
          <t>N</t>
        </is>
      </c>
      <c r="K20" s="41" t="inlineStr">
        <is>
          <t>Value will be moved to Travel as formatted in the file</t>
        </is>
      </c>
    </row>
    <row r="21">
      <c r="A21" s="43" t="inlineStr">
        <is>
          <t>Home Phone</t>
        </is>
      </c>
      <c r="B21" s="51" t="inlineStr">
        <is>
          <t>14</t>
        </is>
      </c>
      <c r="C21" s="73" t="n"/>
      <c r="D21" s="73" t="n"/>
      <c r="E21" s="50" t="n"/>
      <c r="F21" s="50" t="inlineStr">
        <is>
          <t>—</t>
        </is>
      </c>
      <c r="G21" s="50" t="inlineStr">
        <is>
          <t>—</t>
        </is>
      </c>
      <c r="H21" s="50" t="inlineStr">
        <is>
          <t>—</t>
        </is>
      </c>
      <c r="I21" s="47" t="inlineStr">
        <is>
          <t>60 characters maximum</t>
        </is>
      </c>
      <c r="J21" s="51" t="inlineStr">
        <is>
          <t>N</t>
        </is>
      </c>
      <c r="K21" s="47" t="inlineStr">
        <is>
          <t>Value will be moved to Travel as formatted in the file</t>
        </is>
      </c>
    </row>
    <row r="22">
      <c r="A22" s="36" t="inlineStr">
        <is>
          <t>Cell Phone</t>
        </is>
      </c>
      <c r="B22" s="49" t="inlineStr">
        <is>
          <t>15</t>
        </is>
      </c>
      <c r="C22" s="73" t="n"/>
      <c r="D22" s="73" t="n"/>
      <c r="E22" s="48" t="n"/>
      <c r="F22" s="48" t="inlineStr">
        <is>
          <t>—</t>
        </is>
      </c>
      <c r="G22" s="48" t="inlineStr">
        <is>
          <t>—</t>
        </is>
      </c>
      <c r="H22" s="48" t="inlineStr">
        <is>
          <t>—</t>
        </is>
      </c>
      <c r="I22" s="41" t="inlineStr">
        <is>
          <t>60 characters maximum</t>
        </is>
      </c>
      <c r="J22" s="49" t="inlineStr">
        <is>
          <t>N</t>
        </is>
      </c>
      <c r="K22" s="41" t="inlineStr">
        <is>
          <t>Value will be moved to Travel as formatted in the file</t>
        </is>
      </c>
    </row>
    <row r="23">
      <c r="A23" s="43" t="inlineStr">
        <is>
          <t>Pager Phone</t>
        </is>
      </c>
      <c r="B23" s="51" t="inlineStr">
        <is>
          <t>16</t>
        </is>
      </c>
      <c r="C23" s="73" t="n"/>
      <c r="D23" s="73" t="n"/>
      <c r="E23" s="50" t="n"/>
      <c r="F23" s="50" t="inlineStr">
        <is>
          <t>—</t>
        </is>
      </c>
      <c r="G23" s="50" t="inlineStr">
        <is>
          <t>—</t>
        </is>
      </c>
      <c r="H23" s="50" t="inlineStr">
        <is>
          <t>—</t>
        </is>
      </c>
      <c r="I23" s="47" t="inlineStr">
        <is>
          <t>60 characters maximum</t>
        </is>
      </c>
      <c r="J23" s="51" t="inlineStr">
        <is>
          <t>N</t>
        </is>
      </c>
      <c r="K23" s="47" t="inlineStr">
        <is>
          <t>Value will be moved to Travel as formatted in the file</t>
        </is>
      </c>
    </row>
    <row r="24">
      <c r="A24" s="36" t="inlineStr">
        <is>
          <t>Travel Name Remark</t>
        </is>
      </c>
      <c r="B24" s="49" t="inlineStr">
        <is>
          <t>17</t>
        </is>
      </c>
      <c r="C24" s="73" t="n"/>
      <c r="D24" s="73" t="n"/>
      <c r="E24" s="48" t="n"/>
      <c r="F24" s="48" t="inlineStr">
        <is>
          <t>—</t>
        </is>
      </c>
      <c r="G24" s="48" t="inlineStr">
        <is>
          <t>—</t>
        </is>
      </c>
      <c r="H24" s="48" t="inlineStr">
        <is>
          <t>—</t>
        </is>
      </c>
      <c r="I24" s="41" t="inlineStr">
        <is>
          <t>30 characters maximum</t>
        </is>
      </c>
      <c r="J24" s="49" t="inlineStr">
        <is>
          <t>N</t>
        </is>
      </c>
      <c r="K24" s="41" t="inlineStr">
        <is>
          <t>Can be used by TMCs to distinguish profiles where companies have multiple users with the same name; for example, employee ID or department name</t>
        </is>
      </c>
    </row>
    <row r="25">
      <c r="A25" s="43" t="inlineStr">
        <is>
          <t>Travel Class Name (same as "Rule Class" in Travel Settings)</t>
        </is>
      </c>
      <c r="B25" s="51" t="inlineStr">
        <is>
          <t>18</t>
        </is>
      </c>
      <c r="C25" s="60" t="inlineStr">
        <is>
          <t>ADP.AG = Travel Profile (derived)</t>
        </is>
      </c>
      <c r="D25" s="60">
        <f>ADP!AG5</f>
        <v/>
      </c>
      <c r="E25" s="60" t="inlineStr">
        <is>
          <t>General</t>
        </is>
      </c>
      <c r="F25" s="50" t="inlineStr">
        <is>
          <t>—</t>
        </is>
      </c>
      <c r="G25" s="50" t="inlineStr">
        <is>
          <t>—</t>
        </is>
      </c>
      <c r="H25" s="50" t="inlineStr">
        <is>
          <t>—</t>
        </is>
      </c>
      <c r="I25" s="47" t="inlineStr">
        <is>
          <t>60 characters maximum</t>
        </is>
      </c>
      <c r="J25" s="51" t="inlineStr">
        <is>
          <t>N</t>
        </is>
      </c>
      <c r="K25" s="47" t="inlineStr">
        <is>
          <t>Value must exactly match Travel Class name maintained in Travel (Default Travel Class will be set for new accounts if no value is provided)</t>
        </is>
      </c>
    </row>
    <row r="26">
      <c r="A26" s="36" t="inlineStr">
        <is>
          <t>GDS Profile Name</t>
        </is>
      </c>
      <c r="B26" s="49" t="inlineStr">
        <is>
          <t>19</t>
        </is>
      </c>
      <c r="C26" s="73" t="n"/>
      <c r="D26" s="73" t="n"/>
      <c r="E26" s="48" t="n"/>
      <c r="F26" s="48" t="inlineStr">
        <is>
          <t>—</t>
        </is>
      </c>
      <c r="G26" s="48" t="inlineStr">
        <is>
          <t>—</t>
        </is>
      </c>
      <c r="H26" s="48" t="inlineStr">
        <is>
          <t>—</t>
        </is>
      </c>
      <c r="I26" s="41" t="inlineStr">
        <is>
          <t>60 characters maximum</t>
        </is>
      </c>
      <c r="J26" s="49" t="inlineStr">
        <is>
          <t>N</t>
        </is>
      </c>
      <c r="K26" s="41" t="inlineStr">
        <is>
          <t>The name of the profile in the GDS system. This value associates a Concur Travel profile to the GDS profile. To clear a field of its current value, use the $BLANK$ operator. Important: clearing the field using $BLANK$ will break the synchronization between the SAP Concur user profile and the GDS. If this value is deleted by mistake, SAP Concur cannot restore it.</t>
        </is>
      </c>
    </row>
    <row r="27">
      <c r="A27" s="43" t="inlineStr">
        <is>
          <t>Org Unit/Division</t>
        </is>
      </c>
      <c r="B27" s="51" t="inlineStr">
        <is>
          <t>20</t>
        </is>
      </c>
      <c r="C27" s="60" t="inlineStr">
        <is>
          <t>ADP.AD = Org Unit 1 (derived)</t>
        </is>
      </c>
      <c r="D27" s="60">
        <f>ADP!AD5</f>
        <v/>
      </c>
      <c r="E27" s="60" t="inlineStr">
        <is>
          <t>0088</t>
        </is>
      </c>
      <c r="F27" s="50" t="inlineStr">
        <is>
          <t>—</t>
        </is>
      </c>
      <c r="G27" s="50" t="inlineStr">
        <is>
          <t>—</t>
        </is>
      </c>
      <c r="H27" s="50" t="inlineStr">
        <is>
          <t>—</t>
        </is>
      </c>
      <c r="I27" s="47" t="inlineStr">
        <is>
          <t>60 characters maximum</t>
        </is>
      </c>
      <c r="J27" s="51" t="inlineStr">
        <is>
          <t>N</t>
        </is>
      </c>
      <c r="K27" s="47" t="inlineStr">
        <is>
          <t>Value must exactly match an Org Unit/Division value set up for the company</t>
        </is>
      </c>
    </row>
    <row r="28">
      <c r="A28" s="36" t="inlineStr">
        <is>
          <t>Home Street Address</t>
        </is>
      </c>
      <c r="B28" s="49" t="inlineStr">
        <is>
          <t>21</t>
        </is>
      </c>
      <c r="C28" s="73" t="n"/>
      <c r="D28" s="73" t="n"/>
      <c r="E28" s="48" t="n"/>
      <c r="F28" s="48" t="inlineStr">
        <is>
          <t>—</t>
        </is>
      </c>
      <c r="G28" s="48" t="inlineStr">
        <is>
          <t>—</t>
        </is>
      </c>
      <c r="H28" s="48" t="inlineStr">
        <is>
          <t>—</t>
        </is>
      </c>
      <c r="I28" s="41" t="inlineStr">
        <is>
          <t>255 characters maximum</t>
        </is>
      </c>
      <c r="J28" s="49" t="inlineStr">
        <is>
          <t>N</t>
        </is>
      </c>
      <c r="K28" s="41" t="n"/>
    </row>
    <row r="29">
      <c r="A29" s="43" t="inlineStr">
        <is>
          <t>Home City</t>
        </is>
      </c>
      <c r="B29" s="51" t="inlineStr">
        <is>
          <t>22</t>
        </is>
      </c>
      <c r="C29" s="73" t="n"/>
      <c r="D29" s="73" t="n"/>
      <c r="E29" s="50" t="n"/>
      <c r="F29" s="50" t="inlineStr">
        <is>
          <t>—</t>
        </is>
      </c>
      <c r="G29" s="50" t="inlineStr">
        <is>
          <t>—</t>
        </is>
      </c>
      <c r="H29" s="50" t="inlineStr">
        <is>
          <t>—</t>
        </is>
      </c>
      <c r="I29" s="47" t="inlineStr">
        <is>
          <t>30 characters maximum</t>
        </is>
      </c>
      <c r="J29" s="51" t="inlineStr">
        <is>
          <t>N</t>
        </is>
      </c>
      <c r="K29" s="47" t="n"/>
    </row>
    <row r="30">
      <c r="A30" s="36" t="inlineStr">
        <is>
          <t>Home State</t>
        </is>
      </c>
      <c r="B30" s="49" t="inlineStr">
        <is>
          <t>23</t>
        </is>
      </c>
      <c r="C30" s="73" t="n"/>
      <c r="D30" s="73" t="n"/>
      <c r="E30" s="48" t="n"/>
      <c r="F30" s="48" t="inlineStr">
        <is>
          <t>—</t>
        </is>
      </c>
      <c r="G30" s="48" t="inlineStr">
        <is>
          <t>—</t>
        </is>
      </c>
      <c r="H30" s="48" t="inlineStr">
        <is>
          <t>—</t>
        </is>
      </c>
      <c r="I30" s="41" t="inlineStr">
        <is>
          <t>30 characters maximum</t>
        </is>
      </c>
      <c r="J30" s="49" t="inlineStr">
        <is>
          <t>N</t>
        </is>
      </c>
      <c r="K30" s="41" t="inlineStr">
        <is>
          <t>Must be a valid 2- or 3-character State/Province code</t>
        </is>
      </c>
    </row>
    <row r="31">
      <c r="A31" s="43" t="inlineStr">
        <is>
          <t>Home Postal Code</t>
        </is>
      </c>
      <c r="B31" s="51" t="inlineStr">
        <is>
          <t>24</t>
        </is>
      </c>
      <c r="C31" s="73" t="n"/>
      <c r="D31" s="73" t="n"/>
      <c r="E31" s="50" t="n"/>
      <c r="F31" s="50" t="inlineStr">
        <is>
          <t>—</t>
        </is>
      </c>
      <c r="G31" s="50" t="inlineStr">
        <is>
          <t>—</t>
        </is>
      </c>
      <c r="H31" s="50" t="inlineStr">
        <is>
          <t>—</t>
        </is>
      </c>
      <c r="I31" s="47" t="inlineStr">
        <is>
          <t>20 characters maximum</t>
        </is>
      </c>
      <c r="J31" s="51" t="inlineStr">
        <is>
          <t>N</t>
        </is>
      </c>
      <c r="K31" s="47" t="n"/>
    </row>
    <row r="32">
      <c r="A32" s="36" t="inlineStr">
        <is>
          <t>Home Country</t>
        </is>
      </c>
      <c r="B32" s="49" t="inlineStr">
        <is>
          <t>25</t>
        </is>
      </c>
      <c r="C32" s="73" t="n"/>
      <c r="D32" s="73" t="n"/>
      <c r="E32" s="48" t="n"/>
      <c r="F32" s="48" t="inlineStr">
        <is>
          <t>—</t>
        </is>
      </c>
      <c r="G32" s="48" t="inlineStr">
        <is>
          <t>—</t>
        </is>
      </c>
      <c r="H32" s="48" t="inlineStr">
        <is>
          <t>—</t>
        </is>
      </c>
      <c r="I32" s="41" t="inlineStr">
        <is>
          <t>2 characters</t>
        </is>
      </c>
      <c r="J32" s="49" t="inlineStr">
        <is>
          <t>N</t>
        </is>
      </c>
      <c r="K32" s="41" t="inlineStr">
        <is>
          <t>Must be a valid country code</t>
        </is>
      </c>
    </row>
    <row r="33">
      <c r="A33" s="43" t="inlineStr">
        <is>
          <t>Work Street Address</t>
        </is>
      </c>
      <c r="B33" s="51" t="inlineStr">
        <is>
          <t>26</t>
        </is>
      </c>
      <c r="C33" s="73" t="n"/>
      <c r="D33" s="73" t="n"/>
      <c r="E33" s="50" t="n"/>
      <c r="F33" s="50" t="inlineStr">
        <is>
          <t>—</t>
        </is>
      </c>
      <c r="G33" s="50" t="inlineStr">
        <is>
          <t>—</t>
        </is>
      </c>
      <c r="H33" s="50" t="inlineStr">
        <is>
          <t>—</t>
        </is>
      </c>
      <c r="I33" s="47" t="inlineStr">
        <is>
          <t>255 characters maximum</t>
        </is>
      </c>
      <c r="J33" s="51" t="inlineStr">
        <is>
          <t>N</t>
        </is>
      </c>
      <c r="K33" s="47" t="n"/>
    </row>
    <row r="34">
      <c r="A34" s="36" t="inlineStr">
        <is>
          <t>Work City</t>
        </is>
      </c>
      <c r="B34" s="49" t="inlineStr">
        <is>
          <t>27</t>
        </is>
      </c>
      <c r="C34" s="73" t="n"/>
      <c r="D34" s="73" t="n"/>
      <c r="E34" s="48" t="n"/>
      <c r="F34" s="48" t="inlineStr">
        <is>
          <t>—</t>
        </is>
      </c>
      <c r="G34" s="48" t="inlineStr">
        <is>
          <t>—</t>
        </is>
      </c>
      <c r="H34" s="48" t="inlineStr">
        <is>
          <t>—</t>
        </is>
      </c>
      <c r="I34" s="41" t="inlineStr">
        <is>
          <t>30 characters maximum</t>
        </is>
      </c>
      <c r="J34" s="49" t="inlineStr">
        <is>
          <t>N</t>
        </is>
      </c>
      <c r="K34" s="41" t="n"/>
    </row>
    <row r="35">
      <c r="A35" s="43" t="inlineStr">
        <is>
          <t>Work State</t>
        </is>
      </c>
      <c r="B35" s="51" t="inlineStr">
        <is>
          <t>28</t>
        </is>
      </c>
      <c r="C35" s="73" t="n"/>
      <c r="D35" s="73" t="n"/>
      <c r="E35" s="50" t="n"/>
      <c r="F35" s="50" t="inlineStr">
        <is>
          <t>—</t>
        </is>
      </c>
      <c r="G35" s="50" t="inlineStr">
        <is>
          <t>—</t>
        </is>
      </c>
      <c r="H35" s="50" t="inlineStr">
        <is>
          <t>—</t>
        </is>
      </c>
      <c r="I35" s="47" t="inlineStr">
        <is>
          <t>30 characters maximum</t>
        </is>
      </c>
      <c r="J35" s="51" t="inlineStr">
        <is>
          <t>N</t>
        </is>
      </c>
      <c r="K35" s="47" t="n"/>
    </row>
    <row r="36">
      <c r="A36" s="36" t="inlineStr">
        <is>
          <t>Work Postal Code</t>
        </is>
      </c>
      <c r="B36" s="49" t="inlineStr">
        <is>
          <t>29</t>
        </is>
      </c>
      <c r="C36" s="73" t="n"/>
      <c r="D36" s="73" t="n"/>
      <c r="E36" s="48" t="n"/>
      <c r="F36" s="48" t="inlineStr">
        <is>
          <t>—</t>
        </is>
      </c>
      <c r="G36" s="48" t="inlineStr">
        <is>
          <t>—</t>
        </is>
      </c>
      <c r="H36" s="48" t="inlineStr">
        <is>
          <t>—</t>
        </is>
      </c>
      <c r="I36" s="41" t="inlineStr">
        <is>
          <t>20 characters maximum</t>
        </is>
      </c>
      <c r="J36" s="49" t="inlineStr">
        <is>
          <t>N</t>
        </is>
      </c>
      <c r="K36" s="41" t="n"/>
    </row>
    <row r="37">
      <c r="A37" s="43" t="inlineStr">
        <is>
          <t>Work Country</t>
        </is>
      </c>
      <c r="B37" s="51" t="inlineStr">
        <is>
          <t>30</t>
        </is>
      </c>
      <c r="C37" s="73" t="n"/>
      <c r="D37" s="73" t="n"/>
      <c r="E37" s="50" t="n"/>
      <c r="F37" s="50" t="inlineStr">
        <is>
          <t>—</t>
        </is>
      </c>
      <c r="G37" s="50" t="inlineStr">
        <is>
          <t>—</t>
        </is>
      </c>
      <c r="H37" s="50" t="inlineStr">
        <is>
          <t>—</t>
        </is>
      </c>
      <c r="I37" s="47" t="inlineStr">
        <is>
          <t>2 characters</t>
        </is>
      </c>
      <c r="J37" s="51" t="inlineStr">
        <is>
          <t>N</t>
        </is>
      </c>
      <c r="K37" s="47" t="inlineStr">
        <is>
          <t>Must be a valid country code</t>
        </is>
      </c>
    </row>
    <row r="38">
      <c r="A38" s="36" t="inlineStr">
        <is>
          <t>Email 2</t>
        </is>
      </c>
      <c r="B38" s="49" t="inlineStr">
        <is>
          <t>31</t>
        </is>
      </c>
      <c r="C38" s="73" t="n"/>
      <c r="D38" s="73" t="n"/>
      <c r="E38" s="48" t="n"/>
      <c r="F38" s="48" t="inlineStr">
        <is>
          <t>—</t>
        </is>
      </c>
      <c r="G38" s="48" t="inlineStr">
        <is>
          <t>—</t>
        </is>
      </c>
      <c r="H38" s="48" t="inlineStr">
        <is>
          <t>—</t>
        </is>
      </c>
      <c r="I38" s="41" t="inlineStr">
        <is>
          <t>255 characters maximum</t>
        </is>
      </c>
      <c r="J38" s="49" t="n"/>
      <c r="K38" s="41" t="inlineStr">
        <is>
          <t>The following characters cannot be used as a value for this record: % [ # ! * &amp; ( ) ~ ` ' { ^ } \ | / ? &gt; &lt; , ; : " + = ]</t>
        </is>
      </c>
    </row>
    <row r="39">
      <c r="A39" s="43" t="inlineStr">
        <is>
          <t>Email 3</t>
        </is>
      </c>
      <c r="B39" s="51" t="inlineStr">
        <is>
          <t>32</t>
        </is>
      </c>
      <c r="C39" s="73" t="n"/>
      <c r="D39" s="73" t="n"/>
      <c r="E39" s="50" t="n"/>
      <c r="F39" s="50" t="inlineStr">
        <is>
          <t>—</t>
        </is>
      </c>
      <c r="G39" s="50" t="inlineStr">
        <is>
          <t>—</t>
        </is>
      </c>
      <c r="H39" s="50" t="inlineStr">
        <is>
          <t>—</t>
        </is>
      </c>
      <c r="I39" s="47" t="inlineStr">
        <is>
          <t>255 characters maximum</t>
        </is>
      </c>
      <c r="J39" s="51" t="n"/>
      <c r="K39" s="47" t="inlineStr">
        <is>
          <t>The following characters cannot be used as a value for this record: % [ # ! * &amp; ( ) ~ ` ' { ^ } \ | / ? &gt; &lt; , ; : " + = ]</t>
        </is>
      </c>
    </row>
    <row r="40">
      <c r="A40" s="36" t="inlineStr">
        <is>
          <t>Custom_1</t>
        </is>
      </c>
      <c r="B40" s="49" t="inlineStr">
        <is>
          <t>33</t>
        </is>
      </c>
      <c r="C40" s="73" t="n"/>
      <c r="D40" s="73" t="n"/>
      <c r="E40" s="48" t="n"/>
      <c r="F40" s="48" t="inlineStr">
        <is>
          <t>—</t>
        </is>
      </c>
      <c r="G40" s="48" t="inlineStr">
        <is>
          <t>—</t>
        </is>
      </c>
      <c r="H40" s="48" t="inlineStr">
        <is>
          <t>—</t>
        </is>
      </c>
      <c r="I40" s="41" t="inlineStr">
        <is>
          <t>255 characters maximum</t>
        </is>
      </c>
      <c r="J40" s="49" t="inlineStr">
        <is>
          <t>N</t>
        </is>
      </c>
      <c r="K40" s="41" t="inlineStr">
        <is>
          <t>Values must conform to custom field parameters set up in Company Administration; applies to all custom fields</t>
        </is>
      </c>
    </row>
    <row r="41">
      <c r="A41" s="43" t="inlineStr">
        <is>
          <t>Custom_2</t>
        </is>
      </c>
      <c r="B41" s="51" t="inlineStr">
        <is>
          <t>34</t>
        </is>
      </c>
      <c r="C41" s="73" t="n"/>
      <c r="D41" s="73" t="n"/>
      <c r="E41" s="50" t="n"/>
      <c r="F41" s="50" t="inlineStr">
        <is>
          <t>—</t>
        </is>
      </c>
      <c r="G41" s="50" t="inlineStr">
        <is>
          <t>—</t>
        </is>
      </c>
      <c r="H41" s="50" t="inlineStr">
        <is>
          <t>—</t>
        </is>
      </c>
      <c r="I41" s="47" t="inlineStr">
        <is>
          <t>255 characters maximum</t>
        </is>
      </c>
      <c r="J41" s="51" t="inlineStr">
        <is>
          <t>N</t>
        </is>
      </c>
      <c r="K41" s="47" t="inlineStr">
        <is>
          <t>Values must conform to custom field parameters set up in Company Administration; applies to all custom fields</t>
        </is>
      </c>
    </row>
    <row r="42">
      <c r="A42" s="36" t="inlineStr">
        <is>
          <t>Custom_3</t>
        </is>
      </c>
      <c r="B42" s="49" t="inlineStr">
        <is>
          <t>35</t>
        </is>
      </c>
      <c r="C42" s="73" t="n"/>
      <c r="D42" s="73" t="n"/>
      <c r="E42" s="48" t="n"/>
      <c r="F42" s="48" t="inlineStr">
        <is>
          <t>—</t>
        </is>
      </c>
      <c r="G42" s="48" t="inlineStr">
        <is>
          <t>—</t>
        </is>
      </c>
      <c r="H42" s="48" t="inlineStr">
        <is>
          <t>—</t>
        </is>
      </c>
      <c r="I42" s="41" t="inlineStr">
        <is>
          <t>255 characters maximum</t>
        </is>
      </c>
      <c r="J42" s="49" t="inlineStr">
        <is>
          <t>N</t>
        </is>
      </c>
      <c r="K42" s="41" t="inlineStr">
        <is>
          <t>Values must conform to custom field parameters set up in Company Administration; applies to all custom fields</t>
        </is>
      </c>
    </row>
    <row r="43">
      <c r="A43" s="43" t="inlineStr">
        <is>
          <t>Custom_4</t>
        </is>
      </c>
      <c r="B43" s="51" t="inlineStr">
        <is>
          <t>36</t>
        </is>
      </c>
      <c r="C43" s="73" t="n"/>
      <c r="D43" s="73" t="n"/>
      <c r="E43" s="50" t="n"/>
      <c r="F43" s="50" t="inlineStr">
        <is>
          <t>—</t>
        </is>
      </c>
      <c r="G43" s="50" t="inlineStr">
        <is>
          <t>—</t>
        </is>
      </c>
      <c r="H43" s="50" t="inlineStr">
        <is>
          <t>—</t>
        </is>
      </c>
      <c r="I43" s="47" t="inlineStr">
        <is>
          <t>255 characters maximum</t>
        </is>
      </c>
      <c r="J43" s="51" t="inlineStr">
        <is>
          <t>N</t>
        </is>
      </c>
      <c r="K43" s="47" t="inlineStr">
        <is>
          <t>Values must conform to custom field parameters set up in Company Administration; applies to all custom fields</t>
        </is>
      </c>
    </row>
    <row r="44">
      <c r="A44" s="36" t="inlineStr">
        <is>
          <t>Custom_5</t>
        </is>
      </c>
      <c r="B44" s="49" t="inlineStr">
        <is>
          <t>37</t>
        </is>
      </c>
      <c r="C44" s="73" t="n"/>
      <c r="D44" s="73" t="n"/>
      <c r="E44" s="48" t="n"/>
      <c r="F44" s="48" t="inlineStr">
        <is>
          <t>—</t>
        </is>
      </c>
      <c r="G44" s="48" t="inlineStr">
        <is>
          <t>—</t>
        </is>
      </c>
      <c r="H44" s="48" t="inlineStr">
        <is>
          <t>—</t>
        </is>
      </c>
      <c r="I44" s="41" t="inlineStr">
        <is>
          <t>255 characters maximum</t>
        </is>
      </c>
      <c r="J44" s="49" t="inlineStr">
        <is>
          <t>N</t>
        </is>
      </c>
      <c r="K44" s="41" t="inlineStr">
        <is>
          <t>Values must conform to custom field parameters set up in Company Administration; applies to all custom fields</t>
        </is>
      </c>
    </row>
    <row r="45">
      <c r="A45" s="43" t="inlineStr">
        <is>
          <t>Custom_6</t>
        </is>
      </c>
      <c r="B45" s="51" t="inlineStr">
        <is>
          <t>38</t>
        </is>
      </c>
      <c r="C45" s="73" t="n"/>
      <c r="D45" s="73" t="n"/>
      <c r="E45" s="50" t="n"/>
      <c r="F45" s="50" t="inlineStr">
        <is>
          <t>—</t>
        </is>
      </c>
      <c r="G45" s="50" t="inlineStr">
        <is>
          <t>—</t>
        </is>
      </c>
      <c r="H45" s="50" t="inlineStr">
        <is>
          <t>—</t>
        </is>
      </c>
      <c r="I45" s="47" t="inlineStr">
        <is>
          <t>255 characters maximum</t>
        </is>
      </c>
      <c r="J45" s="51" t="inlineStr">
        <is>
          <t>N</t>
        </is>
      </c>
      <c r="K45" s="47" t="inlineStr">
        <is>
          <t>Values must conform to custom field parameters set up in Company Administration; applies to all custom fields</t>
        </is>
      </c>
    </row>
    <row r="46">
      <c r="A46" s="36" t="inlineStr">
        <is>
          <t>Custom_7</t>
        </is>
      </c>
      <c r="B46" s="49" t="inlineStr">
        <is>
          <t>39</t>
        </is>
      </c>
      <c r="C46" s="73" t="n"/>
      <c r="D46" s="73" t="n"/>
      <c r="E46" s="48" t="n"/>
      <c r="F46" s="48" t="inlineStr">
        <is>
          <t>—</t>
        </is>
      </c>
      <c r="G46" s="48" t="inlineStr">
        <is>
          <t>—</t>
        </is>
      </c>
      <c r="H46" s="48" t="inlineStr">
        <is>
          <t>—</t>
        </is>
      </c>
      <c r="I46" s="41" t="inlineStr">
        <is>
          <t>255 characters maximum</t>
        </is>
      </c>
      <c r="J46" s="49" t="inlineStr">
        <is>
          <t>N</t>
        </is>
      </c>
      <c r="K46" s="41" t="inlineStr">
        <is>
          <t>Values must conform to custom field parameters set up in Company Administration; applies to all custom fields</t>
        </is>
      </c>
    </row>
    <row r="47">
      <c r="A47" s="43" t="inlineStr">
        <is>
          <t>Custom_8</t>
        </is>
      </c>
      <c r="B47" s="51" t="inlineStr">
        <is>
          <t>40</t>
        </is>
      </c>
      <c r="C47" s="73" t="n"/>
      <c r="D47" s="73" t="n"/>
      <c r="E47" s="50" t="n"/>
      <c r="F47" s="50" t="inlineStr">
        <is>
          <t>—</t>
        </is>
      </c>
      <c r="G47" s="50" t="inlineStr">
        <is>
          <t>—</t>
        </is>
      </c>
      <c r="H47" s="50" t="inlineStr">
        <is>
          <t>—</t>
        </is>
      </c>
      <c r="I47" s="47" t="inlineStr">
        <is>
          <t>255 characters maximum</t>
        </is>
      </c>
      <c r="J47" s="51" t="inlineStr">
        <is>
          <t>N</t>
        </is>
      </c>
      <c r="K47" s="47" t="inlineStr">
        <is>
          <t>Values must conform to custom field parameters set up in Company Administration; applies to all custom fields</t>
        </is>
      </c>
    </row>
    <row r="48">
      <c r="A48" s="36" t="inlineStr">
        <is>
          <t>Custom_9</t>
        </is>
      </c>
      <c r="B48" s="49" t="inlineStr">
        <is>
          <t>41</t>
        </is>
      </c>
      <c r="C48" s="73" t="n"/>
      <c r="D48" s="73" t="n"/>
      <c r="E48" s="48" t="n"/>
      <c r="F48" s="48" t="inlineStr">
        <is>
          <t>—</t>
        </is>
      </c>
      <c r="G48" s="48" t="inlineStr">
        <is>
          <t>—</t>
        </is>
      </c>
      <c r="H48" s="48" t="inlineStr">
        <is>
          <t>—</t>
        </is>
      </c>
      <c r="I48" s="41" t="inlineStr">
        <is>
          <t>255 characters maximum</t>
        </is>
      </c>
      <c r="J48" s="49" t="inlineStr">
        <is>
          <t>N</t>
        </is>
      </c>
      <c r="K48" s="41" t="inlineStr">
        <is>
          <t>Values must conform to custom field parameters set up in Company Administration; applies to all custom fields</t>
        </is>
      </c>
    </row>
    <row r="49">
      <c r="A49" s="43" t="inlineStr">
        <is>
          <t>Custom_10</t>
        </is>
      </c>
      <c r="B49" s="51" t="inlineStr">
        <is>
          <t>42</t>
        </is>
      </c>
      <c r="C49" s="73" t="n"/>
      <c r="D49" s="73" t="n"/>
      <c r="E49" s="50" t="n"/>
      <c r="F49" s="50" t="inlineStr">
        <is>
          <t>—</t>
        </is>
      </c>
      <c r="G49" s="50" t="inlineStr">
        <is>
          <t>—</t>
        </is>
      </c>
      <c r="H49" s="50" t="inlineStr">
        <is>
          <t>—</t>
        </is>
      </c>
      <c r="I49" s="47" t="inlineStr">
        <is>
          <t>255 characters maximum</t>
        </is>
      </c>
      <c r="J49" s="51" t="inlineStr">
        <is>
          <t>N</t>
        </is>
      </c>
      <c r="K49" s="47" t="inlineStr">
        <is>
          <t>Values must conform to custom field parameters set up in Company Administration; applies to all custom fields</t>
        </is>
      </c>
    </row>
    <row r="50">
      <c r="A50" s="36" t="inlineStr">
        <is>
          <t>Custom_11</t>
        </is>
      </c>
      <c r="B50" s="49" t="inlineStr">
        <is>
          <t>43</t>
        </is>
      </c>
      <c r="C50" s="73" t="n"/>
      <c r="D50" s="73" t="n"/>
      <c r="E50" s="48" t="n"/>
      <c r="F50" s="48" t="inlineStr">
        <is>
          <t>—</t>
        </is>
      </c>
      <c r="G50" s="48" t="inlineStr">
        <is>
          <t>—</t>
        </is>
      </c>
      <c r="H50" s="48" t="inlineStr">
        <is>
          <t>—</t>
        </is>
      </c>
      <c r="I50" s="41" t="inlineStr">
        <is>
          <t>255 characters maximum</t>
        </is>
      </c>
      <c r="J50" s="49" t="inlineStr">
        <is>
          <t>N</t>
        </is>
      </c>
      <c r="K50" s="41" t="inlineStr">
        <is>
          <t>Values must conform to custom field parameters set up in Company Administration; applies to all custom fields</t>
        </is>
      </c>
    </row>
    <row r="51">
      <c r="A51" s="43" t="inlineStr">
        <is>
          <t>Custom_12</t>
        </is>
      </c>
      <c r="B51" s="51" t="inlineStr">
        <is>
          <t>44</t>
        </is>
      </c>
      <c r="C51" s="73" t="n"/>
      <c r="D51" s="73" t="n"/>
      <c r="E51" s="50" t="n"/>
      <c r="F51" s="50" t="inlineStr">
        <is>
          <t>—</t>
        </is>
      </c>
      <c r="G51" s="50" t="inlineStr">
        <is>
          <t>—</t>
        </is>
      </c>
      <c r="H51" s="50" t="inlineStr">
        <is>
          <t>—</t>
        </is>
      </c>
      <c r="I51" s="47" t="inlineStr">
        <is>
          <t>255 characters maximum</t>
        </is>
      </c>
      <c r="J51" s="51" t="inlineStr">
        <is>
          <t>N</t>
        </is>
      </c>
      <c r="K51" s="47" t="inlineStr">
        <is>
          <t>Values must conform to custom field parameters set up in Company Administration; applies to all custom fields</t>
        </is>
      </c>
    </row>
    <row r="52">
      <c r="A52" s="36" t="inlineStr">
        <is>
          <t>Custom_13</t>
        </is>
      </c>
      <c r="B52" s="49" t="inlineStr">
        <is>
          <t>45</t>
        </is>
      </c>
      <c r="C52" s="73" t="n"/>
      <c r="D52" s="73" t="n"/>
      <c r="E52" s="48" t="n"/>
      <c r="F52" s="48" t="inlineStr">
        <is>
          <t>—</t>
        </is>
      </c>
      <c r="G52" s="48" t="inlineStr">
        <is>
          <t>—</t>
        </is>
      </c>
      <c r="H52" s="48" t="inlineStr">
        <is>
          <t>—</t>
        </is>
      </c>
      <c r="I52" s="41" t="inlineStr">
        <is>
          <t>255 characters maximum</t>
        </is>
      </c>
      <c r="J52" s="49" t="inlineStr">
        <is>
          <t>N</t>
        </is>
      </c>
      <c r="K52" s="41" t="inlineStr">
        <is>
          <t>Values must conform to custom field parameters set up in Company Administration; applies to all custom fields</t>
        </is>
      </c>
    </row>
    <row r="53">
      <c r="A53" s="43" t="inlineStr">
        <is>
          <t>Custom_14</t>
        </is>
      </c>
      <c r="B53" s="51" t="inlineStr">
        <is>
          <t>46</t>
        </is>
      </c>
      <c r="C53" s="73" t="n"/>
      <c r="D53" s="73" t="n"/>
      <c r="E53" s="50" t="n"/>
      <c r="F53" s="50" t="inlineStr">
        <is>
          <t>—</t>
        </is>
      </c>
      <c r="G53" s="50" t="inlineStr">
        <is>
          <t>—</t>
        </is>
      </c>
      <c r="H53" s="50" t="inlineStr">
        <is>
          <t>—</t>
        </is>
      </c>
      <c r="I53" s="47" t="inlineStr">
        <is>
          <t>255 characters maximum</t>
        </is>
      </c>
      <c r="J53" s="51" t="inlineStr">
        <is>
          <t>N</t>
        </is>
      </c>
      <c r="K53" s="47" t="inlineStr">
        <is>
          <t>Values must conform to custom field parameters set up in Company Administration; applies to all custom fields</t>
        </is>
      </c>
    </row>
    <row r="54">
      <c r="A54" s="36" t="inlineStr">
        <is>
          <t>Custom_15</t>
        </is>
      </c>
      <c r="B54" s="49" t="inlineStr">
        <is>
          <t>47</t>
        </is>
      </c>
      <c r="C54" s="73" t="n"/>
      <c r="D54" s="73" t="n"/>
      <c r="E54" s="48" t="n"/>
      <c r="F54" s="48" t="inlineStr">
        <is>
          <t>—</t>
        </is>
      </c>
      <c r="G54" s="48" t="inlineStr">
        <is>
          <t>—</t>
        </is>
      </c>
      <c r="H54" s="48" t="inlineStr">
        <is>
          <t>—</t>
        </is>
      </c>
      <c r="I54" s="41" t="inlineStr">
        <is>
          <t>255 characters maximum</t>
        </is>
      </c>
      <c r="J54" s="49" t="inlineStr">
        <is>
          <t>N</t>
        </is>
      </c>
      <c r="K54" s="41" t="inlineStr">
        <is>
          <t>Values must conform to custom field parameters set up in Company Administration; applies to all custom fields</t>
        </is>
      </c>
    </row>
    <row r="55">
      <c r="A55" s="43" t="inlineStr">
        <is>
          <t>Custom_16</t>
        </is>
      </c>
      <c r="B55" s="51" t="inlineStr">
        <is>
          <t>48</t>
        </is>
      </c>
      <c r="C55" s="73" t="n"/>
      <c r="D55" s="73" t="n"/>
      <c r="E55" s="50" t="n"/>
      <c r="F55" s="50" t="inlineStr">
        <is>
          <t>—</t>
        </is>
      </c>
      <c r="G55" s="50" t="inlineStr">
        <is>
          <t>—</t>
        </is>
      </c>
      <c r="H55" s="50" t="inlineStr">
        <is>
          <t>—</t>
        </is>
      </c>
      <c r="I55" s="47" t="inlineStr">
        <is>
          <t>255 characters maximum</t>
        </is>
      </c>
      <c r="J55" s="51" t="inlineStr">
        <is>
          <t>N</t>
        </is>
      </c>
      <c r="K55" s="47" t="inlineStr">
        <is>
          <t>Values must conform to custom field parameters set up in Company Administration; applies to all custom fields</t>
        </is>
      </c>
    </row>
    <row r="56">
      <c r="A56" s="36" t="inlineStr">
        <is>
          <t>Custom_17</t>
        </is>
      </c>
      <c r="B56" s="49" t="inlineStr">
        <is>
          <t>49</t>
        </is>
      </c>
      <c r="C56" s="73" t="n"/>
      <c r="D56" s="73" t="n"/>
      <c r="E56" s="48" t="n"/>
      <c r="F56" s="48" t="inlineStr">
        <is>
          <t>—</t>
        </is>
      </c>
      <c r="G56" s="48" t="inlineStr">
        <is>
          <t>—</t>
        </is>
      </c>
      <c r="H56" s="48" t="inlineStr">
        <is>
          <t>—</t>
        </is>
      </c>
      <c r="I56" s="41" t="inlineStr">
        <is>
          <t>255 characters maximum</t>
        </is>
      </c>
      <c r="J56" s="49" t="inlineStr">
        <is>
          <t>N</t>
        </is>
      </c>
      <c r="K56" s="41" t="inlineStr">
        <is>
          <t>Values must conform to custom field parameters set up in Company Administration; applies to all custom fields</t>
        </is>
      </c>
    </row>
    <row r="57">
      <c r="A57" s="43" t="inlineStr">
        <is>
          <t>Custom_18</t>
        </is>
      </c>
      <c r="B57" s="51" t="inlineStr">
        <is>
          <t>50</t>
        </is>
      </c>
      <c r="C57" s="73" t="n"/>
      <c r="D57" s="73" t="n"/>
      <c r="E57" s="50" t="n"/>
      <c r="F57" s="50" t="inlineStr">
        <is>
          <t>—</t>
        </is>
      </c>
      <c r="G57" s="50" t="inlineStr">
        <is>
          <t>—</t>
        </is>
      </c>
      <c r="H57" s="50" t="inlineStr">
        <is>
          <t>—</t>
        </is>
      </c>
      <c r="I57" s="47" t="inlineStr">
        <is>
          <t>255 characters maximum</t>
        </is>
      </c>
      <c r="J57" s="51" t="inlineStr">
        <is>
          <t>N</t>
        </is>
      </c>
      <c r="K57" s="47" t="inlineStr">
        <is>
          <t>Values must conform to custom field parameters set up in Company Administration; applies to all custom fields</t>
        </is>
      </c>
    </row>
    <row r="58">
      <c r="A58" s="36" t="inlineStr">
        <is>
          <t>Custom_19</t>
        </is>
      </c>
      <c r="B58" s="49" t="inlineStr">
        <is>
          <t>51</t>
        </is>
      </c>
      <c r="C58" s="73" t="n"/>
      <c r="D58" s="73" t="n"/>
      <c r="E58" s="48" t="n"/>
      <c r="F58" s="48" t="inlineStr">
        <is>
          <t>—</t>
        </is>
      </c>
      <c r="G58" s="48" t="inlineStr">
        <is>
          <t>—</t>
        </is>
      </c>
      <c r="H58" s="48" t="inlineStr">
        <is>
          <t>—</t>
        </is>
      </c>
      <c r="I58" s="41" t="inlineStr">
        <is>
          <t>255 characters maximum</t>
        </is>
      </c>
      <c r="J58" s="49" t="inlineStr">
        <is>
          <t>N</t>
        </is>
      </c>
      <c r="K58" s="41" t="inlineStr">
        <is>
          <t>Values must conform to custom field parameters set up in Company Administration; applies to all custom fields</t>
        </is>
      </c>
    </row>
    <row r="59">
      <c r="A59" s="43" t="inlineStr">
        <is>
          <t>Custom_20</t>
        </is>
      </c>
      <c r="B59" s="51" t="inlineStr">
        <is>
          <t>52</t>
        </is>
      </c>
      <c r="C59" s="73" t="n"/>
      <c r="D59" s="73" t="n"/>
      <c r="E59" s="50" t="n"/>
      <c r="F59" s="50" t="inlineStr">
        <is>
          <t>—</t>
        </is>
      </c>
      <c r="G59" s="50" t="inlineStr">
        <is>
          <t>—</t>
        </is>
      </c>
      <c r="H59" s="50" t="inlineStr">
        <is>
          <t>—</t>
        </is>
      </c>
      <c r="I59" s="47" t="inlineStr">
        <is>
          <t>255 characters maximum</t>
        </is>
      </c>
      <c r="J59" s="51" t="inlineStr">
        <is>
          <t>N</t>
        </is>
      </c>
      <c r="K59" s="47" t="inlineStr">
        <is>
          <t>Values must conform to custom field parameters set up in Company Administration; applies to all custom fields</t>
        </is>
      </c>
    </row>
    <row r="60">
      <c r="A60" s="36" t="inlineStr">
        <is>
          <t>Custom_21</t>
        </is>
      </c>
      <c r="B60" s="49" t="inlineStr">
        <is>
          <t>53</t>
        </is>
      </c>
      <c r="C60" s="73" t="n"/>
      <c r="D60" s="73" t="n"/>
      <c r="E60" s="48" t="n"/>
      <c r="F60" s="48" t="inlineStr">
        <is>
          <t>—</t>
        </is>
      </c>
      <c r="G60" s="48" t="inlineStr">
        <is>
          <t>—</t>
        </is>
      </c>
      <c r="H60" s="48" t="inlineStr">
        <is>
          <t>—</t>
        </is>
      </c>
      <c r="I60" s="41" t="inlineStr">
        <is>
          <t>255 characters maximum</t>
        </is>
      </c>
      <c r="J60" s="49" t="inlineStr">
        <is>
          <t>N</t>
        </is>
      </c>
      <c r="K60" s="41" t="inlineStr">
        <is>
          <t>Values must conform to custom field parameters set up in Company Administration; applies to all custom fields</t>
        </is>
      </c>
    </row>
    <row r="61">
      <c r="A61" s="43" t="inlineStr">
        <is>
          <t>Custom_22</t>
        </is>
      </c>
      <c r="B61" s="51" t="inlineStr">
        <is>
          <t>54</t>
        </is>
      </c>
      <c r="C61" s="73" t="n"/>
      <c r="D61" s="73" t="n"/>
      <c r="E61" s="50" t="n"/>
      <c r="F61" s="50" t="inlineStr">
        <is>
          <t>—</t>
        </is>
      </c>
      <c r="G61" s="50" t="inlineStr">
        <is>
          <t>—</t>
        </is>
      </c>
      <c r="H61" s="50" t="inlineStr">
        <is>
          <t>—</t>
        </is>
      </c>
      <c r="I61" s="47" t="inlineStr">
        <is>
          <t>255 characters maximum</t>
        </is>
      </c>
      <c r="J61" s="51" t="inlineStr">
        <is>
          <t>N</t>
        </is>
      </c>
      <c r="K61" s="47" t="inlineStr">
        <is>
          <t>Values must conform to custom field parameters set up in Company Administration; applies to all custom fields</t>
        </is>
      </c>
    </row>
    <row r="62">
      <c r="A62" s="36" t="inlineStr">
        <is>
          <t>Custom_23</t>
        </is>
      </c>
      <c r="B62" s="49" t="inlineStr">
        <is>
          <t>55</t>
        </is>
      </c>
      <c r="C62" s="73" t="n"/>
      <c r="D62" s="73" t="n"/>
      <c r="E62" s="48" t="n"/>
      <c r="F62" s="48" t="inlineStr">
        <is>
          <t>—</t>
        </is>
      </c>
      <c r="G62" s="48" t="inlineStr">
        <is>
          <t>—</t>
        </is>
      </c>
      <c r="H62" s="48" t="inlineStr">
        <is>
          <t>—</t>
        </is>
      </c>
      <c r="I62" s="41" t="inlineStr">
        <is>
          <t>255 characters maximum</t>
        </is>
      </c>
      <c r="J62" s="49" t="inlineStr">
        <is>
          <t>N</t>
        </is>
      </c>
      <c r="K62" s="41" t="inlineStr">
        <is>
          <t>Values must conform to custom field parameters set up in Company Administration; applies to all custom fields</t>
        </is>
      </c>
    </row>
    <row r="63">
      <c r="A63" s="43" t="inlineStr">
        <is>
          <t>Custom_24</t>
        </is>
      </c>
      <c r="B63" s="51" t="inlineStr">
        <is>
          <t>56</t>
        </is>
      </c>
      <c r="C63" s="73" t="n"/>
      <c r="D63" s="73" t="n"/>
      <c r="E63" s="50" t="n"/>
      <c r="F63" s="50" t="inlineStr">
        <is>
          <t>—</t>
        </is>
      </c>
      <c r="G63" s="50" t="inlineStr">
        <is>
          <t>—</t>
        </is>
      </c>
      <c r="H63" s="50" t="inlineStr">
        <is>
          <t>—</t>
        </is>
      </c>
      <c r="I63" s="47" t="inlineStr">
        <is>
          <t>255 characters maximum</t>
        </is>
      </c>
      <c r="J63" s="51" t="inlineStr">
        <is>
          <t>N</t>
        </is>
      </c>
      <c r="K63" s="47" t="inlineStr">
        <is>
          <t>Values must conform to custom field parameters set up in Company Administration; applies to all custom fields</t>
        </is>
      </c>
    </row>
    <row r="64">
      <c r="A64" s="36" t="inlineStr">
        <is>
          <t>Custom_25</t>
        </is>
      </c>
      <c r="B64" s="49" t="inlineStr">
        <is>
          <t>57</t>
        </is>
      </c>
      <c r="C64" s="73" t="n"/>
      <c r="D64" s="73" t="n"/>
      <c r="E64" s="48" t="n"/>
      <c r="F64" s="48" t="inlineStr">
        <is>
          <t>—</t>
        </is>
      </c>
      <c r="G64" s="48" t="inlineStr">
        <is>
          <t>—</t>
        </is>
      </c>
      <c r="H64" s="48" t="inlineStr">
        <is>
          <t>—</t>
        </is>
      </c>
      <c r="I64" s="41" t="inlineStr">
        <is>
          <t>255 characters maximum</t>
        </is>
      </c>
      <c r="J64" s="49" t="inlineStr">
        <is>
          <t>N</t>
        </is>
      </c>
      <c r="K64" s="41" t="inlineStr">
        <is>
          <t>Values must conform to custom field parameters set up in Company Administration; applies to all custom fields</t>
        </is>
      </c>
    </row>
    <row r="65">
      <c r="A65" s="43" t="inlineStr">
        <is>
          <t>XML Profile Synchronization ID</t>
        </is>
      </c>
      <c r="B65" s="51" t="inlineStr">
        <is>
          <t>58</t>
        </is>
      </c>
      <c r="C65" s="73" t="n"/>
      <c r="D65" s="73" t="n"/>
      <c r="E65" s="50" t="n"/>
      <c r="F65" s="50" t="inlineStr">
        <is>
          <t>—</t>
        </is>
      </c>
      <c r="G65" s="50" t="inlineStr">
        <is>
          <t>—</t>
        </is>
      </c>
      <c r="H65" s="50" t="inlineStr">
        <is>
          <t>—</t>
        </is>
      </c>
      <c r="I65" s="47" t="inlineStr">
        <is>
          <t>64 characters maximum</t>
        </is>
      </c>
      <c r="J65" s="51" t="inlineStr">
        <is>
          <t>N</t>
        </is>
      </c>
      <c r="K65" s="47" t="inlineStr">
        <is>
          <t>The unique, client-assigned Travel user identifier that allows the user profile to be synchronized with other vendors. IMPORTANT: the following characters cannot be used as a value for this record: % [ # ! * &amp; ( ) ~ ` ' { - ^ } \ | / ? &gt; &lt; , ; : " + = ]  Note: this field is for updates only. Blanks and spaces intended to remove existing data are ignored as values during import.</t>
        </is>
      </c>
    </row>
    <row r="66">
      <c r="A66" s="36" t="inlineStr">
        <is>
          <t>Profile User Permission</t>
        </is>
      </c>
      <c r="B66" s="49" t="inlineStr">
        <is>
          <t>59</t>
        </is>
      </c>
      <c r="C66" s="73" t="n"/>
      <c r="D66" s="73" t="n"/>
      <c r="E66" s="48" t="n"/>
      <c r="F66" s="48" t="inlineStr">
        <is>
          <t>—</t>
        </is>
      </c>
      <c r="G66" s="48" t="inlineStr">
        <is>
          <t>—</t>
        </is>
      </c>
      <c r="H66" s="48" t="inlineStr">
        <is>
          <t>—</t>
        </is>
      </c>
      <c r="I66" s="41" t="inlineStr">
        <is>
          <t>Y or N</t>
        </is>
      </c>
      <c r="J66" s="49" t="inlineStr">
        <is>
          <t>N</t>
        </is>
      </c>
      <c r="K66" s="41" t="inlineStr">
        <is>
          <t>Allows access to Travel and allows profiles to be saved to the GDX or external XML synchronizing tools, but user cannot book trips through the Travel Wizard.</t>
        </is>
      </c>
    </row>
    <row r="67">
      <c r="A67" s="43" t="inlineStr">
        <is>
          <t>Amadeus User Permission</t>
        </is>
      </c>
      <c r="B67" s="51" t="inlineStr">
        <is>
          <t>60</t>
        </is>
      </c>
      <c r="C67" s="73" t="n"/>
      <c r="D67" s="73" t="n"/>
      <c r="E67" s="50" t="n"/>
      <c r="F67" s="50" t="inlineStr">
        <is>
          <t>—</t>
        </is>
      </c>
      <c r="G67" s="50" t="inlineStr">
        <is>
          <t>—</t>
        </is>
      </c>
      <c r="H67" s="50" t="inlineStr">
        <is>
          <t>—</t>
        </is>
      </c>
      <c r="I67" s="47" t="inlineStr">
        <is>
          <t>Y or N</t>
        </is>
      </c>
      <c r="J67" s="51" t="inlineStr">
        <is>
          <t>N</t>
        </is>
      </c>
      <c r="K67" s="47" t="inlineStr">
        <is>
          <t>Indicates if the user can have trips imported from AeTM. Note: although still displayed, this field is no longer active, and any values it contains will be ignored by the system.</t>
        </is>
      </c>
    </row>
    <row r="68">
      <c r="A68" s="36" t="inlineStr">
        <is>
          <t>Open Booking User Permission</t>
        </is>
      </c>
      <c r="B68" s="49" t="inlineStr">
        <is>
          <t>61</t>
        </is>
      </c>
      <c r="C68" s="73" t="n"/>
      <c r="D68" s="73" t="n"/>
      <c r="E68" s="48" t="n"/>
      <c r="F68" s="48" t="inlineStr">
        <is>
          <t>—</t>
        </is>
      </c>
      <c r="G68" s="48" t="inlineStr">
        <is>
          <t>—</t>
        </is>
      </c>
      <c r="H68" s="48" t="inlineStr">
        <is>
          <t>—</t>
        </is>
      </c>
      <c r="I68" s="41" t="inlineStr">
        <is>
          <t>Y or N</t>
        </is>
      </c>
      <c r="J68" s="49" t="inlineStr">
        <is>
          <t>N</t>
        </is>
      </c>
      <c r="K68" s="41" t="inlineStr">
        <is>
          <t>Note: this field is now group-aware and is administered at the group level. All Y or N values inserted here are now systematically ignored for this retired field in order to support existing values in client templates. For clients using Open Booking. Assigns the Open Booking User role to the user.</t>
        </is>
      </c>
    </row>
    <row r="69">
      <c r="A69" s="43" t="inlineStr">
        <is>
          <t>Future_Use_5</t>
        </is>
      </c>
      <c r="B69" s="51" t="inlineStr">
        <is>
          <t>62</t>
        </is>
      </c>
      <c r="C69" s="73" t="n"/>
      <c r="D69" s="73" t="n"/>
      <c r="E69" s="50" t="n"/>
      <c r="F69" s="50" t="inlineStr">
        <is>
          <t>—</t>
        </is>
      </c>
      <c r="G69" s="50" t="inlineStr">
        <is>
          <t>—</t>
        </is>
      </c>
      <c r="H69" s="50" t="inlineStr">
        <is>
          <t>—</t>
        </is>
      </c>
      <c r="I69" s="47" t="n"/>
      <c r="J69" s="51" t="inlineStr">
        <is>
          <t>N</t>
        </is>
      </c>
      <c r="K69" s="47" t="inlineStr">
        <is>
          <t>Reserved for future use.</t>
        </is>
      </c>
    </row>
    <row r="70">
      <c r="A70" s="36" t="inlineStr">
        <is>
          <t>Future_Use_6</t>
        </is>
      </c>
      <c r="B70" s="49" t="inlineStr">
        <is>
          <t>63</t>
        </is>
      </c>
      <c r="C70" s="73" t="n"/>
      <c r="D70" s="73" t="n"/>
      <c r="E70" s="48" t="n"/>
      <c r="F70" s="48" t="inlineStr">
        <is>
          <t>—</t>
        </is>
      </c>
      <c r="G70" s="48" t="inlineStr">
        <is>
          <t>—</t>
        </is>
      </c>
      <c r="H70" s="48" t="inlineStr">
        <is>
          <t>—</t>
        </is>
      </c>
      <c r="I70" s="41" t="n"/>
      <c r="J70" s="49" t="inlineStr">
        <is>
          <t>N</t>
        </is>
      </c>
      <c r="K70" s="41" t="inlineStr">
        <is>
          <t>Reserved for future use.</t>
        </is>
      </c>
    </row>
    <row r="71">
      <c r="A71" s="43" t="inlineStr">
        <is>
          <t>Future_Use_7</t>
        </is>
      </c>
      <c r="B71" s="51" t="inlineStr">
        <is>
          <t>64</t>
        </is>
      </c>
      <c r="C71" s="73" t="n"/>
      <c r="D71" s="73" t="n"/>
      <c r="E71" s="50" t="n"/>
      <c r="F71" s="50" t="inlineStr">
        <is>
          <t>—</t>
        </is>
      </c>
      <c r="G71" s="50" t="inlineStr">
        <is>
          <t>—</t>
        </is>
      </c>
      <c r="H71" s="50" t="inlineStr">
        <is>
          <t>—</t>
        </is>
      </c>
      <c r="I71" s="47" t="n"/>
      <c r="J71" s="51" t="inlineStr">
        <is>
          <t>N</t>
        </is>
      </c>
      <c r="K71" s="47" t="inlineStr">
        <is>
          <t>Reserved for future use.</t>
        </is>
      </c>
    </row>
    <row r="72">
      <c r="A72" s="36" t="inlineStr">
        <is>
          <t>Future_Use_8</t>
        </is>
      </c>
      <c r="B72" s="49" t="inlineStr">
        <is>
          <t>65</t>
        </is>
      </c>
      <c r="C72" s="73" t="n"/>
      <c r="D72" s="73" t="n"/>
      <c r="E72" s="48" t="n"/>
      <c r="F72" s="48" t="inlineStr">
        <is>
          <t>—</t>
        </is>
      </c>
      <c r="G72" s="48" t="inlineStr">
        <is>
          <t>—</t>
        </is>
      </c>
      <c r="H72" s="48" t="inlineStr">
        <is>
          <t>—</t>
        </is>
      </c>
      <c r="I72" s="41" t="n"/>
      <c r="J72" s="49" t="inlineStr">
        <is>
          <t>N</t>
        </is>
      </c>
      <c r="K72" s="41" t="inlineStr">
        <is>
          <t>Reserved for future use.</t>
        </is>
      </c>
    </row>
    <row r="73">
      <c r="A73" s="43" t="inlineStr">
        <is>
          <t>Future_Use_9</t>
        </is>
      </c>
      <c r="B73" s="51" t="inlineStr">
        <is>
          <t>66</t>
        </is>
      </c>
      <c r="C73" s="73" t="n"/>
      <c r="D73" s="73" t="n"/>
      <c r="E73" s="50" t="n"/>
      <c r="F73" s="50" t="inlineStr">
        <is>
          <t>—</t>
        </is>
      </c>
      <c r="G73" s="50" t="inlineStr">
        <is>
          <t>—</t>
        </is>
      </c>
      <c r="H73" s="50" t="inlineStr">
        <is>
          <t>—</t>
        </is>
      </c>
      <c r="I73" s="47" t="n"/>
      <c r="J73" s="51" t="inlineStr">
        <is>
          <t>N</t>
        </is>
      </c>
      <c r="K73" s="47" t="inlineStr">
        <is>
          <t>Reserved for future use.</t>
        </is>
      </c>
    </row>
    <row r="74">
      <c r="A74" s="36" t="inlineStr">
        <is>
          <t>Future_Use_10</t>
        </is>
      </c>
      <c r="B74" s="49" t="inlineStr">
        <is>
          <t>67</t>
        </is>
      </c>
      <c r="C74" s="73" t="n"/>
      <c r="D74" s="73" t="n"/>
      <c r="E74" s="48" t="n"/>
      <c r="F74" s="48" t="inlineStr">
        <is>
          <t>—</t>
        </is>
      </c>
      <c r="G74" s="48" t="inlineStr">
        <is>
          <t>—</t>
        </is>
      </c>
      <c r="H74" s="48" t="inlineStr">
        <is>
          <t>—</t>
        </is>
      </c>
      <c r="I74" s="41" t="n"/>
      <c r="J74" s="49" t="inlineStr">
        <is>
          <t>N</t>
        </is>
      </c>
      <c r="K74" s="41" t="inlineStr">
        <is>
          <t>Reserved for future use.</t>
        </is>
      </c>
    </row>
  </sheetData>
  <autoFilter ref="A7:K74"/>
  <hyperlinks>
    <hyperlink xmlns:r="http://schemas.openxmlformats.org/officeDocument/2006/relationships" ref="A3" r:id="rId1"/>
    <hyperlink ref="A5" location="Index!A1" display="Back to Index"/>
  </hyperlinks>
  <pageMargins left="0.75" right="0.75" top="1" bottom="1" header="0.5" footer="0.5"/>
  <pageSetup orientation="landscape" fitToWidth="1"/>
</worksheet>
</file>

<file path=xl/worksheets/sheet14.xml><?xml version="1.0" encoding="utf-8"?>
<worksheet xmlns="http://schemas.openxmlformats.org/spreadsheetml/2006/main">
  <sheetPr>
    <outlinePr summaryBelow="1" summaryRight="1"/>
    <pageSetUpPr fitToPage="1"/>
  </sheetPr>
  <dimension ref="A1:K42"/>
  <sheetViews>
    <sheetView showGridLines="0" workbookViewId="0">
      <pane xSplit="1" ySplit="7" topLeftCell="B8" activePane="bottomRight" state="frozen"/>
      <selection pane="topRight" activeCell="A1" sqref="A1"/>
      <selection pane="bottomLeft" activeCell="A1" sqref="A1"/>
      <selection pane="bottomRight" activeCell="A1" sqref="A1"/>
    </sheetView>
  </sheetViews>
  <sheetFormatPr baseColWidth="8" defaultRowHeight="15"/>
  <cols>
    <col width="34" customWidth="1" min="1" max="1"/>
    <col width="8" customWidth="1" min="2" max="2"/>
    <col width="38" customWidth="1" min="3" max="3"/>
    <col width="24" customWidth="1" min="4" max="4"/>
    <col width="24" customWidth="1" min="5" max="5"/>
    <col width="38" customWidth="1" min="6" max="6"/>
    <col width="24" customWidth="1" min="7" max="7"/>
    <col width="24" customWidth="1" min="8" max="8"/>
    <col width="30" customWidth="1" min="9" max="9"/>
    <col width="13" customWidth="1" min="10" max="10"/>
    <col width="66" customWidth="1" min="11" max="11"/>
  </cols>
  <sheetData>
    <row r="1">
      <c r="A1" s="28" t="inlineStr">
        <is>
          <t>360 (Invoice Employee Importer)</t>
        </is>
      </c>
    </row>
    <row r="2">
      <c r="A2" s="29" t="inlineStr">
        <is>
          <t>Section: Employee Import  —  source systems: ADP and UKG</t>
        </is>
      </c>
    </row>
    <row r="3">
      <c r="A3" s="30" t="inlineStr">
        <is>
          <t>https://help.sap.com/docs/sap-concur/employee-import-specification/360-invoice-employee-importer</t>
        </is>
      </c>
    </row>
    <row r="4">
      <c r="A4" s="31" t="inlineStr">
        <is>
          <t>Source: SAP Help Portal, Concur Employee Import Specification. Retrieved 2026-09-11. Ranged fields are expanded to one row per field.</t>
        </is>
      </c>
    </row>
    <row r="5" ht="18" customHeight="1">
      <c r="A5" s="12" t="inlineStr">
        <is>
          <t>◀  Back to Index</t>
        </is>
      </c>
    </row>
    <row r="6">
      <c r="A6" s="32" t="inlineStr">
        <is>
          <t>Mapping read from 'Concur Employee Load Format 2026-09-15  Data-vUKG.xlsx', tabs '360 ADP Payables (limit)' and '360 UKG Payables All'.</t>
        </is>
      </c>
    </row>
    <row r="7" ht="30" customHeight="1">
      <c r="A7" s="13" t="inlineStr">
        <is>
          <t>Field Name</t>
        </is>
      </c>
      <c r="B7" s="33" t="inlineStr">
        <is>
          <t>Spec #</t>
        </is>
      </c>
      <c r="C7" s="33" t="inlineStr">
        <is>
          <t>ADP Source Column</t>
        </is>
      </c>
      <c r="D7" s="33" t="inlineStr">
        <is>
          <t>ADP Formula</t>
        </is>
      </c>
      <c r="E7" s="33" t="inlineStr">
        <is>
          <t>ADP Sample</t>
        </is>
      </c>
      <c r="F7" s="35" t="inlineStr">
        <is>
          <t>UKG Source Column</t>
        </is>
      </c>
      <c r="G7" s="35" t="inlineStr">
        <is>
          <t>UKG Formula</t>
        </is>
      </c>
      <c r="H7" s="35" t="inlineStr">
        <is>
          <t>UKG Sample</t>
        </is>
      </c>
      <c r="I7" s="13" t="inlineStr">
        <is>
          <t>Definition</t>
        </is>
      </c>
      <c r="J7" s="13" t="inlineStr">
        <is>
          <t>Required?</t>
        </is>
      </c>
      <c r="K7" s="13" t="inlineStr">
        <is>
          <t>Description</t>
        </is>
      </c>
    </row>
    <row r="8">
      <c r="A8" s="36" t="inlineStr">
        <is>
          <t>Transaction Type</t>
        </is>
      </c>
      <c r="B8" s="49" t="inlineStr">
        <is>
          <t>1</t>
        </is>
      </c>
      <c r="C8" s="59" t="inlineStr">
        <is>
          <t>(literal)</t>
        </is>
      </c>
      <c r="D8" s="59" t="inlineStr">
        <is>
          <t>360</t>
        </is>
      </c>
      <c r="E8" s="59" t="inlineStr">
        <is>
          <t>360</t>
        </is>
      </c>
      <c r="F8" s="40" t="inlineStr">
        <is>
          <t>(literal)</t>
        </is>
      </c>
      <c r="G8" s="40" t="inlineStr">
        <is>
          <t>360</t>
        </is>
      </c>
      <c r="H8" s="40" t="inlineStr">
        <is>
          <t>360</t>
        </is>
      </c>
      <c r="I8" s="41" t="inlineStr">
        <is>
          <t>360</t>
        </is>
      </c>
      <c r="J8" s="42" t="inlineStr">
        <is>
          <t>Y</t>
        </is>
      </c>
      <c r="K8" s="41" t="inlineStr">
        <is>
          <t>This is a static numeric value always equal to 360. It indicates the Record Type</t>
        </is>
      </c>
    </row>
    <row r="9">
      <c r="A9" s="43" t="inlineStr">
        <is>
          <t>Employee ID</t>
        </is>
      </c>
      <c r="B9" s="51" t="inlineStr">
        <is>
          <t>2</t>
        </is>
      </c>
      <c r="C9" s="60" t="inlineStr">
        <is>
          <t>ADP.P = File Number</t>
        </is>
      </c>
      <c r="D9" s="60">
        <f>ADP!P5</f>
        <v/>
      </c>
      <c r="E9" s="60" t="inlineStr">
        <is>
          <t>211837</t>
        </is>
      </c>
      <c r="F9" s="46" t="inlineStr">
        <is>
          <t>UKG.D = Employee Number</t>
        </is>
      </c>
      <c r="G9" s="46">
        <f>UKG!D2</f>
        <v/>
      </c>
      <c r="H9" s="46" t="inlineStr">
        <is>
          <t>206238</t>
        </is>
      </c>
      <c r="I9" s="47" t="inlineStr">
        <is>
          <t>48 characters maximum</t>
        </is>
      </c>
      <c r="J9" s="42" t="inlineStr">
        <is>
          <t>Y</t>
        </is>
      </c>
      <c r="K9" s="47" t="n"/>
    </row>
    <row r="10">
      <c r="A10" s="36" t="inlineStr">
        <is>
          <t>Invoice User Role</t>
        </is>
      </c>
      <c r="B10" s="49" t="inlineStr">
        <is>
          <t>3</t>
        </is>
      </c>
      <c r="C10" s="59" t="inlineStr">
        <is>
          <t>ADP.AO = InvoiceAccess (derived)</t>
        </is>
      </c>
      <c r="D10" s="59">
        <f>ADP!AO5</f>
        <v/>
      </c>
      <c r="E10" s="59" t="inlineStr">
        <is>
          <t>N</t>
        </is>
      </c>
      <c r="F10" s="40" t="inlineStr">
        <is>
          <t>UKG.BL = Invoice Access (derived)</t>
        </is>
      </c>
      <c r="G10" s="40">
        <f>UKG!BL2</f>
        <v/>
      </c>
      <c r="H10" s="40" t="inlineStr">
        <is>
          <t>N</t>
        </is>
      </c>
      <c r="I10" s="41" t="inlineStr">
        <is>
          <t>Y or N</t>
        </is>
      </c>
      <c r="J10" s="49" t="inlineStr">
        <is>
          <t>N</t>
        </is>
      </c>
      <c r="K10" s="41" t="n"/>
    </row>
    <row r="11">
      <c r="A11" s="43" t="inlineStr">
        <is>
          <t>Invoice Approver Role</t>
        </is>
      </c>
      <c r="B11" s="51" t="inlineStr">
        <is>
          <t>4</t>
        </is>
      </c>
      <c r="C11" s="60" t="inlineStr">
        <is>
          <t>ADP.AO = InvoiceAccess (derived)</t>
        </is>
      </c>
      <c r="D11" s="60">
        <f>ADP!AO5</f>
        <v/>
      </c>
      <c r="E11" s="60" t="inlineStr">
        <is>
          <t>N</t>
        </is>
      </c>
      <c r="F11" s="46" t="inlineStr">
        <is>
          <t>UKG.BL = Invoice Access (derived)</t>
        </is>
      </c>
      <c r="G11" s="46">
        <f>UKG!BL2</f>
        <v/>
      </c>
      <c r="H11" s="46" t="inlineStr">
        <is>
          <t>N</t>
        </is>
      </c>
      <c r="I11" s="47" t="inlineStr">
        <is>
          <t>Y or N</t>
        </is>
      </c>
      <c r="J11" s="51" t="inlineStr">
        <is>
          <t>N</t>
        </is>
      </c>
      <c r="K11" s="47" t="n"/>
    </row>
    <row r="12">
      <c r="A12" s="36" t="inlineStr">
        <is>
          <t>Invoice Vendor Approver Role</t>
        </is>
      </c>
      <c r="B12" s="49" t="inlineStr">
        <is>
          <t>5</t>
        </is>
      </c>
      <c r="C12" s="73" t="n"/>
      <c r="D12" s="73" t="n"/>
      <c r="E12" s="48" t="n"/>
      <c r="F12" s="73" t="n"/>
      <c r="G12" s="73" t="n"/>
      <c r="H12" s="48" t="n"/>
      <c r="I12" s="41" t="inlineStr">
        <is>
          <t>Y or N</t>
        </is>
      </c>
      <c r="J12" s="49" t="inlineStr">
        <is>
          <t>N</t>
        </is>
      </c>
      <c r="K12" s="41" t="n"/>
    </row>
    <row r="13">
      <c r="A13" s="43" t="inlineStr">
        <is>
          <t>Invoice AP User Role</t>
        </is>
      </c>
      <c r="B13" s="51" t="inlineStr">
        <is>
          <t>6</t>
        </is>
      </c>
      <c r="C13" s="73" t="n"/>
      <c r="D13" s="73" t="n"/>
      <c r="E13" s="50" t="n"/>
      <c r="F13" s="73" t="n"/>
      <c r="G13" s="73" t="n"/>
      <c r="H13" s="50" t="n"/>
      <c r="I13" s="47" t="inlineStr">
        <is>
          <t>Y or N</t>
        </is>
      </c>
      <c r="J13" s="51" t="inlineStr">
        <is>
          <t>N</t>
        </is>
      </c>
      <c r="K13" s="47" t="inlineStr">
        <is>
          <t>The Invoice AP User role is a Group-based role. A value of Y in this field auto-assigns the Default Group role. To assign a specific Vendor Access Group, use the 400-level record set instead of this field. The Invoice User role is required in order to assign this role.</t>
        </is>
      </c>
    </row>
    <row r="14">
      <c r="A14" s="36" t="inlineStr">
        <is>
          <t>Invoice Payment Manager Role</t>
        </is>
      </c>
      <c r="B14" s="49" t="inlineStr">
        <is>
          <t>7</t>
        </is>
      </c>
      <c r="C14" s="73" t="n"/>
      <c r="D14" s="73" t="n"/>
      <c r="E14" s="48" t="n"/>
      <c r="F14" s="73" t="n"/>
      <c r="G14" s="73" t="n"/>
      <c r="H14" s="48" t="n"/>
      <c r="I14" s="41" t="inlineStr">
        <is>
          <t>Y or N</t>
        </is>
      </c>
      <c r="J14" s="49" t="inlineStr">
        <is>
          <t>N</t>
        </is>
      </c>
      <c r="K14" s="41" t="n"/>
    </row>
    <row r="15">
      <c r="A15" s="43" t="inlineStr">
        <is>
          <t>Invoice Purchasing Role</t>
        </is>
      </c>
      <c r="B15" s="51" t="inlineStr">
        <is>
          <t>8</t>
        </is>
      </c>
      <c r="C15" s="73" t="n"/>
      <c r="D15" s="73" t="n"/>
      <c r="E15" s="50" t="n"/>
      <c r="F15" s="73" t="n"/>
      <c r="G15" s="73" t="n"/>
      <c r="H15" s="50" t="n"/>
      <c r="I15" s="47" t="inlineStr">
        <is>
          <t>Y or N</t>
        </is>
      </c>
      <c r="J15" s="51" t="inlineStr">
        <is>
          <t>N</t>
        </is>
      </c>
      <c r="K15" s="47" t="n"/>
    </row>
    <row r="16">
      <c r="A16" s="36" t="inlineStr">
        <is>
          <t>Purchase Request User</t>
        </is>
      </c>
      <c r="B16" s="49" t="inlineStr">
        <is>
          <t>9</t>
        </is>
      </c>
      <c r="C16" s="59" t="inlineStr">
        <is>
          <t>ADP.AO = InvoiceAccess (derived)</t>
        </is>
      </c>
      <c r="D16" s="59">
        <f>ADP!AO5</f>
        <v/>
      </c>
      <c r="E16" s="59" t="inlineStr">
        <is>
          <t>N</t>
        </is>
      </c>
      <c r="F16" s="40" t="inlineStr">
        <is>
          <t>UKG.BL = Invoice Access (derived)</t>
        </is>
      </c>
      <c r="G16" s="40">
        <f>UKG!BL2</f>
        <v/>
      </c>
      <c r="H16" s="40" t="inlineStr">
        <is>
          <t>N</t>
        </is>
      </c>
      <c r="I16" s="41" t="inlineStr">
        <is>
          <t>Y or N</t>
        </is>
      </c>
      <c r="J16" s="49" t="inlineStr">
        <is>
          <t>N</t>
        </is>
      </c>
      <c r="K16" s="41" t="n"/>
    </row>
    <row r="17">
      <c r="A17" s="43" t="inlineStr">
        <is>
          <t>Purchase Request Approver</t>
        </is>
      </c>
      <c r="B17" s="51" t="inlineStr">
        <is>
          <t>10</t>
        </is>
      </c>
      <c r="C17" s="60" t="inlineStr">
        <is>
          <t>ADP.AO = InvoiceAccess (derived)</t>
        </is>
      </c>
      <c r="D17" s="60">
        <f>ADP!AO5</f>
        <v/>
      </c>
      <c r="E17" s="60" t="inlineStr">
        <is>
          <t>N</t>
        </is>
      </c>
      <c r="F17" s="46" t="inlineStr">
        <is>
          <t>UKG.BL = Invoice Access (derived)</t>
        </is>
      </c>
      <c r="G17" s="46">
        <f>UKG!BL2</f>
        <v/>
      </c>
      <c r="H17" s="46" t="inlineStr">
        <is>
          <t>N</t>
        </is>
      </c>
      <c r="I17" s="47" t="inlineStr">
        <is>
          <t>Y or N</t>
        </is>
      </c>
      <c r="J17" s="51" t="inlineStr">
        <is>
          <t>N</t>
        </is>
      </c>
      <c r="K17" s="47" t="n"/>
    </row>
    <row r="18">
      <c r="A18" s="36" t="inlineStr">
        <is>
          <t>Future_Use_3</t>
        </is>
      </c>
      <c r="B18" s="49" t="inlineStr">
        <is>
          <t>11</t>
        </is>
      </c>
      <c r="C18" s="73" t="n"/>
      <c r="D18" s="73" t="n"/>
      <c r="E18" s="48" t="n"/>
      <c r="F18" s="73" t="n"/>
      <c r="G18" s="73" t="n"/>
      <c r="H18" s="48" t="n"/>
      <c r="I18" s="41" t="n"/>
      <c r="J18" s="49" t="inlineStr">
        <is>
          <t>N</t>
        </is>
      </c>
      <c r="K18" s="41" t="inlineStr">
        <is>
          <t>Reserved for future use</t>
        </is>
      </c>
    </row>
    <row r="19">
      <c r="A19" s="43" t="inlineStr">
        <is>
          <t>Future_Use_4</t>
        </is>
      </c>
      <c r="B19" s="51" t="inlineStr">
        <is>
          <t>12</t>
        </is>
      </c>
      <c r="C19" s="73" t="n"/>
      <c r="D19" s="73" t="n"/>
      <c r="E19" s="50" t="n"/>
      <c r="F19" s="73" t="n"/>
      <c r="G19" s="73" t="n"/>
      <c r="H19" s="50" t="n"/>
      <c r="I19" s="47" t="n"/>
      <c r="J19" s="51" t="inlineStr">
        <is>
          <t>N</t>
        </is>
      </c>
      <c r="K19" s="47" t="inlineStr">
        <is>
          <t>Reserved for future use</t>
        </is>
      </c>
    </row>
    <row r="20">
      <c r="A20" s="36" t="inlineStr">
        <is>
          <t>Future_Use_5</t>
        </is>
      </c>
      <c r="B20" s="49" t="inlineStr">
        <is>
          <t>13</t>
        </is>
      </c>
      <c r="C20" s="73" t="n"/>
      <c r="D20" s="73" t="n"/>
      <c r="E20" s="48" t="n"/>
      <c r="F20" s="73" t="n"/>
      <c r="G20" s="73" t="n"/>
      <c r="H20" s="48" t="n"/>
      <c r="I20" s="41" t="n"/>
      <c r="J20" s="49" t="inlineStr">
        <is>
          <t>N</t>
        </is>
      </c>
      <c r="K20" s="41" t="inlineStr">
        <is>
          <t>Reserved for future use</t>
        </is>
      </c>
    </row>
    <row r="21">
      <c r="A21" s="43" t="inlineStr">
        <is>
          <t>Future_Use_6</t>
        </is>
      </c>
      <c r="B21" s="51" t="inlineStr">
        <is>
          <t>14</t>
        </is>
      </c>
      <c r="C21" s="73" t="n"/>
      <c r="D21" s="73" t="n"/>
      <c r="E21" s="50" t="n"/>
      <c r="F21" s="73" t="n"/>
      <c r="G21" s="73" t="n"/>
      <c r="H21" s="50" t="n"/>
      <c r="I21" s="47" t="n"/>
      <c r="J21" s="51" t="inlineStr">
        <is>
          <t>N</t>
        </is>
      </c>
      <c r="K21" s="47" t="inlineStr">
        <is>
          <t>Reserved for future use</t>
        </is>
      </c>
    </row>
    <row r="22">
      <c r="A22" s="36" t="inlineStr">
        <is>
          <t>Future_Use_7</t>
        </is>
      </c>
      <c r="B22" s="49" t="inlineStr">
        <is>
          <t>15</t>
        </is>
      </c>
      <c r="C22" s="73" t="n"/>
      <c r="D22" s="73" t="n"/>
      <c r="E22" s="48" t="n"/>
      <c r="F22" s="73" t="n"/>
      <c r="G22" s="73" t="n"/>
      <c r="H22" s="48" t="n"/>
      <c r="I22" s="41" t="n"/>
      <c r="J22" s="49" t="inlineStr">
        <is>
          <t>N</t>
        </is>
      </c>
      <c r="K22" s="41" t="inlineStr">
        <is>
          <t>Reserved for future use</t>
        </is>
      </c>
    </row>
    <row r="23">
      <c r="A23" s="43" t="inlineStr">
        <is>
          <t>Send email when the purchase request status changes</t>
        </is>
      </c>
      <c r="B23" s="51" t="inlineStr">
        <is>
          <t>16</t>
        </is>
      </c>
      <c r="C23" s="73" t="n"/>
      <c r="D23" s="73" t="n"/>
      <c r="E23" s="50" t="n"/>
      <c r="F23" s="73" t="n"/>
      <c r="G23" s="73" t="n"/>
      <c r="H23" s="50" t="n"/>
      <c r="I23" s="47" t="inlineStr">
        <is>
          <t>Y or N</t>
        </is>
      </c>
      <c r="J23" s="51" t="inlineStr">
        <is>
          <t>N</t>
        </is>
      </c>
      <c r="K23" s="47" t="n"/>
    </row>
    <row r="24">
      <c r="A24" s="36" t="inlineStr">
        <is>
          <t>Send email when the purchase request is awaiting approval</t>
        </is>
      </c>
      <c r="B24" s="49" t="inlineStr">
        <is>
          <t>17</t>
        </is>
      </c>
      <c r="C24" s="73" t="n"/>
      <c r="D24" s="73" t="n"/>
      <c r="E24" s="48" t="n"/>
      <c r="F24" s="73" t="n"/>
      <c r="G24" s="73" t="n"/>
      <c r="H24" s="48" t="n"/>
      <c r="I24" s="41" t="inlineStr">
        <is>
          <t>Y or N</t>
        </is>
      </c>
      <c r="J24" s="49" t="inlineStr">
        <is>
          <t>N</t>
        </is>
      </c>
      <c r="K24" s="41" t="n"/>
    </row>
    <row r="25">
      <c r="A25" s="43" t="inlineStr">
        <is>
          <t>Default Purchase Request Approver Employee ID</t>
        </is>
      </c>
      <c r="B25" s="51" t="inlineStr">
        <is>
          <t>18</t>
        </is>
      </c>
      <c r="C25" s="60" t="inlineStr">
        <is>
          <t>ADP.AC = Supervisor Id (derived)</t>
        </is>
      </c>
      <c r="D25" s="60">
        <f>ADP!AC5</f>
        <v/>
      </c>
      <c r="E25" s="60" t="inlineStr">
        <is>
          <t>211756</t>
        </is>
      </c>
      <c r="F25" s="46" t="inlineStr">
        <is>
          <t>UKG.AZ = SupervisorID Formatted (derived)</t>
        </is>
      </c>
      <c r="G25" s="46">
        <f>UKG!AZ2</f>
        <v/>
      </c>
      <c r="H25" s="46" t="inlineStr">
        <is>
          <t>203007</t>
        </is>
      </c>
      <c r="I25" s="47" t="inlineStr">
        <is>
          <t>48 characters maximum</t>
        </is>
      </c>
      <c r="J25" s="51" t="inlineStr">
        <is>
          <t>N</t>
        </is>
      </c>
      <c r="K25" s="47" t="inlineStr">
        <is>
          <t>Must be an existing employee ID</t>
        </is>
      </c>
    </row>
    <row r="26">
      <c r="A26" s="36" t="inlineStr">
        <is>
          <t>Payment Approver Employee ID</t>
        </is>
      </c>
      <c r="B26" s="49" t="inlineStr">
        <is>
          <t>19</t>
        </is>
      </c>
      <c r="C26" s="59" t="inlineStr">
        <is>
          <t>ADP.AC = Supervisor Id (derived)</t>
        </is>
      </c>
      <c r="D26" s="59">
        <f>ADP!AC5</f>
        <v/>
      </c>
      <c r="E26" s="59" t="inlineStr">
        <is>
          <t>211756</t>
        </is>
      </c>
      <c r="F26" s="40" t="inlineStr">
        <is>
          <t>UKG.AZ = SupervisorID Formatted (derived)</t>
        </is>
      </c>
      <c r="G26" s="40">
        <f>UKG!AZ2</f>
        <v/>
      </c>
      <c r="H26" s="40" t="inlineStr">
        <is>
          <t>203007</t>
        </is>
      </c>
      <c r="I26" s="41" t="inlineStr">
        <is>
          <t>48 characters maximum</t>
        </is>
      </c>
      <c r="J26" s="49" t="inlineStr">
        <is>
          <t>N</t>
        </is>
      </c>
      <c r="K26" s="41" t="inlineStr">
        <is>
          <t>Must be an existing employee ID</t>
        </is>
      </c>
    </row>
    <row r="27">
      <c r="A27" s="43" t="inlineStr">
        <is>
          <t>Send email when the payment status changes</t>
        </is>
      </c>
      <c r="B27" s="51" t="inlineStr">
        <is>
          <t>20</t>
        </is>
      </c>
      <c r="C27" s="73" t="n"/>
      <c r="D27" s="73" t="n"/>
      <c r="E27" s="50" t="n"/>
      <c r="F27" s="73" t="n"/>
      <c r="G27" s="73" t="n"/>
      <c r="H27" s="50" t="n"/>
      <c r="I27" s="47" t="inlineStr">
        <is>
          <t>Y or N
Default = N</t>
        </is>
      </c>
      <c r="J27" s="51" t="inlineStr">
        <is>
          <t>N</t>
        </is>
      </c>
      <c r="K27" s="47" t="n"/>
    </row>
    <row r="28">
      <c r="A28" s="36" t="inlineStr">
        <is>
          <t>Send email when a payment is awaiting approval</t>
        </is>
      </c>
      <c r="B28" s="49" t="inlineStr">
        <is>
          <t>21</t>
        </is>
      </c>
      <c r="C28" s="73" t="n"/>
      <c r="D28" s="73" t="n"/>
      <c r="E28" s="48" t="n"/>
      <c r="F28" s="73" t="n"/>
      <c r="G28" s="73" t="n"/>
      <c r="H28" s="48" t="n"/>
      <c r="I28" s="41" t="inlineStr">
        <is>
          <t>Y or N
Default = N</t>
        </is>
      </c>
      <c r="J28" s="49" t="inlineStr">
        <is>
          <t>N</t>
        </is>
      </c>
      <c r="K28" s="41" t="n"/>
    </row>
    <row r="29">
      <c r="A29" s="43" t="inlineStr">
        <is>
          <t>Prompt for approver when submitting a payment</t>
        </is>
      </c>
      <c r="B29" s="51" t="inlineStr">
        <is>
          <t>22</t>
        </is>
      </c>
      <c r="C29" s="73" t="n"/>
      <c r="D29" s="73" t="n"/>
      <c r="E29" s="50" t="n"/>
      <c r="F29" s="73" t="n"/>
      <c r="G29" s="73" t="n"/>
      <c r="H29" s="50" t="n"/>
      <c r="I29" s="47" t="inlineStr">
        <is>
          <t>Y or N
Default = N</t>
        </is>
      </c>
      <c r="J29" s="51" t="inlineStr">
        <is>
          <t>N</t>
        </is>
      </c>
      <c r="K29" s="47" t="n"/>
    </row>
    <row r="30">
      <c r="A30" s="36" t="inlineStr">
        <is>
          <t>Send email when the payment request is assigned to a user</t>
        </is>
      </c>
      <c r="B30" s="49" t="inlineStr">
        <is>
          <t>23</t>
        </is>
      </c>
      <c r="C30" s="73" t="n"/>
      <c r="D30" s="73" t="n"/>
      <c r="E30" s="48" t="n"/>
      <c r="F30" s="73" t="n"/>
      <c r="G30" s="73" t="n"/>
      <c r="H30" s="48" t="n"/>
      <c r="I30" s="41" t="inlineStr">
        <is>
          <t>Y or N
Default = N</t>
        </is>
      </c>
      <c r="J30" s="49" t="inlineStr">
        <is>
          <t>N</t>
        </is>
      </c>
      <c r="K30" s="41" t="n"/>
    </row>
    <row r="31">
      <c r="A31" s="43" t="inlineStr">
        <is>
          <t>Send email when a request is assigned to purchasing</t>
        </is>
      </c>
      <c r="B31" s="51" t="inlineStr">
        <is>
          <t>24</t>
        </is>
      </c>
      <c r="C31" s="73" t="n"/>
      <c r="D31" s="73" t="n"/>
      <c r="E31" s="50" t="n"/>
      <c r="F31" s="73" t="n"/>
      <c r="G31" s="73" t="n"/>
      <c r="H31" s="50" t="n"/>
      <c r="I31" s="47" t="inlineStr">
        <is>
          <t>Y or N
Default = N</t>
        </is>
      </c>
      <c r="J31" s="51" t="inlineStr">
        <is>
          <t>N</t>
        </is>
      </c>
      <c r="K31" s="47" t="n"/>
    </row>
    <row r="32">
      <c r="A32" s="36" t="inlineStr">
        <is>
          <t>Send email when a request is sent back from purchasing</t>
        </is>
      </c>
      <c r="B32" s="49" t="inlineStr">
        <is>
          <t>25</t>
        </is>
      </c>
      <c r="C32" s="73" t="n"/>
      <c r="D32" s="73" t="n"/>
      <c r="E32" s="48" t="n"/>
      <c r="F32" s="73" t="n"/>
      <c r="G32" s="73" t="n"/>
      <c r="H32" s="48" t="n"/>
      <c r="I32" s="41" t="inlineStr">
        <is>
          <t>Y or N
Default = Y</t>
        </is>
      </c>
      <c r="J32" s="49" t="inlineStr">
        <is>
          <t>N</t>
        </is>
      </c>
      <c r="K32" s="41" t="n"/>
    </row>
    <row r="33">
      <c r="A33" s="43" t="inlineStr">
        <is>
          <t>This field has been decommissioned.</t>
        </is>
      </c>
      <c r="B33" s="51" t="inlineStr">
        <is>
          <t>26</t>
        </is>
      </c>
      <c r="C33" s="73" t="n"/>
      <c r="D33" s="73" t="n"/>
      <c r="E33" s="50" t="n"/>
      <c r="F33" s="73" t="n"/>
      <c r="G33" s="73" t="n"/>
      <c r="H33" s="50" t="n"/>
      <c r="I33" s="47" t="inlineStr">
        <is>
          <t>NA</t>
        </is>
      </c>
      <c r="J33" s="51" t="inlineStr">
        <is>
          <t>N</t>
        </is>
      </c>
      <c r="K33" s="47" t="inlineStr">
        <is>
          <t>Note: as of November 1, 2022, information in this field will be ignored.</t>
        </is>
      </c>
    </row>
    <row r="34">
      <c r="A34" s="36" t="inlineStr">
        <is>
          <t>Prompt a user with a window to create new line items when creating a new payment request</t>
        </is>
      </c>
      <c r="B34" s="49" t="inlineStr">
        <is>
          <t>27</t>
        </is>
      </c>
      <c r="C34" s="73" t="n"/>
      <c r="D34" s="73" t="n"/>
      <c r="E34" s="48" t="n"/>
      <c r="F34" s="73" t="n"/>
      <c r="G34" s="73" t="n"/>
      <c r="H34" s="48" t="n"/>
      <c r="I34" s="41" t="inlineStr">
        <is>
          <t>Y or N
Default = Y</t>
        </is>
      </c>
      <c r="J34" s="49" t="inlineStr">
        <is>
          <t>N</t>
        </is>
      </c>
      <c r="K34" s="41" t="n"/>
    </row>
    <row r="35">
      <c r="A35" s="43" t="inlineStr">
        <is>
          <t>Default Shipping Address</t>
        </is>
      </c>
      <c r="B35" s="51" t="inlineStr">
        <is>
          <t>28</t>
        </is>
      </c>
      <c r="C35" s="73" t="n"/>
      <c r="D35" s="73" t="n"/>
      <c r="E35" s="50" t="n"/>
      <c r="F35" s="73" t="n"/>
      <c r="G35" s="73" t="n"/>
      <c r="H35" s="50" t="n"/>
      <c r="I35" s="47" t="inlineStr">
        <is>
          <t>32 characters maximum</t>
        </is>
      </c>
      <c r="J35" s="51" t="inlineStr">
        <is>
          <t>N</t>
        </is>
      </c>
      <c r="K35" s="47" t="inlineStr">
        <is>
          <t>This field applies to Purchase Requests. This is the shipping location code provided by the client that uniquely identifies the default shipping address associated with this user, and that will be utilized when creating a Purchase Request.</t>
        </is>
      </c>
    </row>
    <row r="36">
      <c r="A36" s="36" t="inlineStr">
        <is>
          <t>Display Image Inline</t>
        </is>
      </c>
      <c r="B36" s="49" t="inlineStr">
        <is>
          <t>29</t>
        </is>
      </c>
      <c r="C36" s="59" t="inlineStr">
        <is>
          <t>(literal)</t>
        </is>
      </c>
      <c r="D36" s="59" t="inlineStr">
        <is>
          <t>Y</t>
        </is>
      </c>
      <c r="E36" s="59" t="inlineStr">
        <is>
          <t>Y</t>
        </is>
      </c>
      <c r="F36" s="40" t="inlineStr">
        <is>
          <t>UKG.BL = Invoice Access (derived)</t>
        </is>
      </c>
      <c r="G36" s="40">
        <f>UKG!BL2</f>
        <v/>
      </c>
      <c r="H36" s="40" t="inlineStr">
        <is>
          <t>N</t>
        </is>
      </c>
      <c r="I36" s="41" t="inlineStr">
        <is>
          <t>Y or N
Default = N</t>
        </is>
      </c>
      <c r="J36" s="49" t="inlineStr">
        <is>
          <t>N</t>
        </is>
      </c>
      <c r="K36" s="41" t="inlineStr">
        <is>
          <t>This field causes the image associated with the request to always display inline (beside) the request in the user interface. Note: if Auto Open Image (below) is set to Y, this field is automatically set to Y as well.</t>
        </is>
      </c>
    </row>
    <row r="37">
      <c r="A37" s="43" t="inlineStr">
        <is>
          <t>Auto Open Image</t>
        </is>
      </c>
      <c r="B37" s="51" t="inlineStr">
        <is>
          <t>30</t>
        </is>
      </c>
      <c r="C37" s="60" t="inlineStr">
        <is>
          <t>(literal)</t>
        </is>
      </c>
      <c r="D37" s="60" t="inlineStr">
        <is>
          <t>Y</t>
        </is>
      </c>
      <c r="E37" s="60" t="inlineStr">
        <is>
          <t>Y</t>
        </is>
      </c>
      <c r="F37" s="46" t="inlineStr">
        <is>
          <t>(literal)</t>
        </is>
      </c>
      <c r="G37" s="46" t="inlineStr">
        <is>
          <t>N</t>
        </is>
      </c>
      <c r="H37" s="46" t="inlineStr">
        <is>
          <t>N</t>
        </is>
      </c>
      <c r="I37" s="47" t="inlineStr">
        <is>
          <t>Y or N
Default = N</t>
        </is>
      </c>
      <c r="J37" s="51" t="inlineStr">
        <is>
          <t>N</t>
        </is>
      </c>
      <c r="K37" s="47" t="inlineStr">
        <is>
          <t>This field causes the image associated with the request to always open automatically when the request is opened. Note: if this field is set to Y, Display Image Inline (above) is automatically set to Y.</t>
        </is>
      </c>
    </row>
    <row r="38">
      <c r="A38" s="36" t="inlineStr">
        <is>
          <t>Future_Use_16</t>
        </is>
      </c>
      <c r="B38" s="49" t="inlineStr">
        <is>
          <t>31</t>
        </is>
      </c>
      <c r="C38" s="73" t="n"/>
      <c r="D38" s="73" t="n"/>
      <c r="E38" s="48" t="n"/>
      <c r="F38" s="73" t="n"/>
      <c r="G38" s="73" t="n"/>
      <c r="H38" s="48" t="n"/>
      <c r="I38" s="41" t="n"/>
      <c r="J38" s="49" t="inlineStr">
        <is>
          <t>N</t>
        </is>
      </c>
      <c r="K38" s="41" t="inlineStr">
        <is>
          <t>Reserved for future use</t>
        </is>
      </c>
    </row>
    <row r="39">
      <c r="A39" s="43" t="inlineStr">
        <is>
          <t>Future_Use_17</t>
        </is>
      </c>
      <c r="B39" s="51" t="inlineStr">
        <is>
          <t>32</t>
        </is>
      </c>
      <c r="C39" s="73" t="n"/>
      <c r="D39" s="73" t="n"/>
      <c r="E39" s="50" t="n"/>
      <c r="F39" s="73" t="n"/>
      <c r="G39" s="73" t="n"/>
      <c r="H39" s="50" t="n"/>
      <c r="I39" s="47" t="n"/>
      <c r="J39" s="51" t="inlineStr">
        <is>
          <t>N</t>
        </is>
      </c>
      <c r="K39" s="47" t="inlineStr">
        <is>
          <t>Reserved for future use</t>
        </is>
      </c>
    </row>
    <row r="40">
      <c r="A40" s="36" t="inlineStr">
        <is>
          <t>Future_Use_18</t>
        </is>
      </c>
      <c r="B40" s="49" t="inlineStr">
        <is>
          <t>33</t>
        </is>
      </c>
      <c r="C40" s="73" t="n"/>
      <c r="D40" s="73" t="n"/>
      <c r="E40" s="48" t="n"/>
      <c r="F40" s="73" t="n"/>
      <c r="G40" s="73" t="n"/>
      <c r="H40" s="48" t="n"/>
      <c r="I40" s="41" t="n"/>
      <c r="J40" s="49" t="inlineStr">
        <is>
          <t>N</t>
        </is>
      </c>
      <c r="K40" s="41" t="inlineStr">
        <is>
          <t>Reserved for future use</t>
        </is>
      </c>
    </row>
    <row r="41">
      <c r="A41" s="43" t="inlineStr">
        <is>
          <t>Future_Use_19</t>
        </is>
      </c>
      <c r="B41" s="51" t="inlineStr">
        <is>
          <t>34</t>
        </is>
      </c>
      <c r="C41" s="73" t="n"/>
      <c r="D41" s="73" t="n"/>
      <c r="E41" s="50" t="n"/>
      <c r="F41" s="73" t="n"/>
      <c r="G41" s="73" t="n"/>
      <c r="H41" s="50" t="n"/>
      <c r="I41" s="47" t="n"/>
      <c r="J41" s="51" t="inlineStr">
        <is>
          <t>N</t>
        </is>
      </c>
      <c r="K41" s="47" t="inlineStr">
        <is>
          <t>Reserved for future use</t>
        </is>
      </c>
    </row>
    <row r="42">
      <c r="A42" s="36" t="inlineStr">
        <is>
          <t>Future_Use_20</t>
        </is>
      </c>
      <c r="B42" s="49" t="inlineStr">
        <is>
          <t>35</t>
        </is>
      </c>
      <c r="C42" s="73" t="n"/>
      <c r="D42" s="73" t="n"/>
      <c r="E42" s="48" t="n"/>
      <c r="F42" s="73" t="n"/>
      <c r="G42" s="73" t="n"/>
      <c r="H42" s="48" t="n"/>
      <c r="I42" s="41" t="n"/>
      <c r="J42" s="49" t="inlineStr">
        <is>
          <t>N</t>
        </is>
      </c>
      <c r="K42" s="41" t="inlineStr">
        <is>
          <t>Reserved for future use</t>
        </is>
      </c>
    </row>
  </sheetData>
  <autoFilter ref="A7:K42"/>
  <hyperlinks>
    <hyperlink xmlns:r="http://schemas.openxmlformats.org/officeDocument/2006/relationships" ref="A3" r:id="rId1"/>
    <hyperlink ref="A5" location="Index!A1" display="Back to Index"/>
  </hyperlinks>
  <pageMargins left="0.75" right="0.75" top="1" bottom="1" header="0.5" footer="0.5"/>
  <pageSetup orientation="landscape" fitToWidth="1"/>
</worksheet>
</file>

<file path=xl/worksheets/sheet15.xml><?xml version="1.0" encoding="utf-8"?>
<worksheet xmlns="http://schemas.openxmlformats.org/spreadsheetml/2006/main">
  <sheetPr>
    <outlinePr summaryBelow="1" summaryRight="1"/>
    <pageSetUpPr/>
  </sheetPr>
  <dimension ref="A1:K23"/>
  <sheetViews>
    <sheetView showGridLines="0" workbookViewId="0">
      <pane xSplit="1" ySplit="7" topLeftCell="B8" activePane="bottomRight" state="frozen"/>
      <selection pane="topRight"/>
      <selection pane="bottomLeft"/>
      <selection pane="bottomRight" activeCell="A1" sqref="A1"/>
    </sheetView>
  </sheetViews>
  <sheetFormatPr baseColWidth="8" defaultRowHeight="15"/>
  <cols>
    <col width="34" customWidth="1" min="1" max="1"/>
    <col width="8" customWidth="1" min="2" max="2"/>
    <col width="38" customWidth="1" min="3" max="3"/>
    <col width="24" customWidth="1" min="4" max="4"/>
    <col width="24" customWidth="1" min="5" max="5"/>
    <col width="38" customWidth="1" min="6" max="6"/>
    <col width="24" customWidth="1" min="7" max="7"/>
    <col width="24" customWidth="1" min="8" max="8"/>
    <col width="30" customWidth="1" min="9" max="9"/>
    <col width="13" customWidth="1" min="10" max="10"/>
    <col width="66" customWidth="1" min="11" max="11"/>
  </cols>
  <sheetData>
    <row r="1">
      <c r="A1" s="28" t="inlineStr">
        <is>
          <t>700 (Payment Request Approval Authority)</t>
        </is>
      </c>
    </row>
    <row r="2">
      <c r="A2" s="29" t="inlineStr">
        <is>
          <t>Section: Employee Import  —  source systems: ADP and UKG</t>
        </is>
      </c>
    </row>
    <row r="3">
      <c r="A3" s="30" t="inlineStr">
        <is>
          <t>https://help.sap.com/docs/sap-concur/employee-import-specification</t>
        </is>
      </c>
    </row>
    <row r="4">
      <c r="A4" s="31" t="inlineStr">
        <is>
          <t>Field list, Definition and Required? are taken from the working workbook, not from the SAP Help Portal. Description is left blank because no portal text has been read for this record type.</t>
        </is>
      </c>
    </row>
    <row r="5" ht="18" customHeight="1">
      <c r="A5" s="12" t="inlineStr">
        <is>
          <t>◀  Back to Index</t>
        </is>
      </c>
    </row>
    <row r="6">
      <c r="A6" s="32" t="inlineStr">
        <is>
          <t>Mapping read from 'Concur Employee Load Format 2026-09-15  Data-vUKG.xlsx', tabs '700 ADP Payables' and '700 UKG Payables (Limited)'. Field names and the Definition column come from that workbook (row 3 headings, row 4 maximum widths), not from the SAP Help Portal. The Formula columns show row 5 of each tab; every 700 formula is conditional on invoice access and row 5 computes to empty, so the samples are read from the first row that yields values — row 7 of '700 ADP Payables' and row 32 of '700 UKG Payables (Limited)'.</t>
        </is>
      </c>
    </row>
    <row r="7" ht="30" customHeight="1">
      <c r="A7" s="13" t="inlineStr">
        <is>
          <t>Field Name</t>
        </is>
      </c>
      <c r="B7" s="33" t="inlineStr">
        <is>
          <t>Spec #</t>
        </is>
      </c>
      <c r="C7" s="33" t="inlineStr">
        <is>
          <t>ADP Source Column</t>
        </is>
      </c>
      <c r="D7" s="33" t="inlineStr">
        <is>
          <t>ADP Formula</t>
        </is>
      </c>
      <c r="E7" s="33" t="inlineStr">
        <is>
          <t>ADP Sample</t>
        </is>
      </c>
      <c r="F7" s="35" t="inlineStr">
        <is>
          <t>UKG Source Column</t>
        </is>
      </c>
      <c r="G7" s="35" t="inlineStr">
        <is>
          <t>UKG Formula</t>
        </is>
      </c>
      <c r="H7" s="35" t="inlineStr">
        <is>
          <t>UKG Sample</t>
        </is>
      </c>
      <c r="I7" s="13" t="inlineStr">
        <is>
          <t>Definition</t>
        </is>
      </c>
      <c r="J7" s="13" t="inlineStr">
        <is>
          <t>Required?</t>
        </is>
      </c>
      <c r="K7" s="13" t="inlineStr">
        <is>
          <t>Description</t>
        </is>
      </c>
    </row>
    <row r="8">
      <c r="A8" s="36" t="inlineStr">
        <is>
          <t>Trx Type (700)</t>
        </is>
      </c>
      <c r="B8" s="49" t="inlineStr">
        <is>
          <t>1</t>
        </is>
      </c>
      <c r="C8" s="59" t="inlineStr">
        <is>
          <t>ADP.AO = InvoiceAccess (derived)</t>
        </is>
      </c>
      <c r="D8" s="59">
        <f>IF(ADP!$AO5="Y","700","")</f>
        <v/>
      </c>
      <c r="E8" s="59" t="inlineStr">
        <is>
          <t>700</t>
        </is>
      </c>
      <c r="F8" s="40" t="inlineStr">
        <is>
          <t>UKG.BL = Invoice Access (derived)</t>
        </is>
      </c>
      <c r="G8" s="40">
        <f>IF(UKG!$BL2="Y","700","")</f>
        <v/>
      </c>
      <c r="H8" s="40" t="inlineStr">
        <is>
          <t>700</t>
        </is>
      </c>
      <c r="I8" s="41" t="inlineStr">
        <is>
          <t>3 characters maximum</t>
        </is>
      </c>
      <c r="J8" s="42" t="inlineStr">
        <is>
          <t>Y</t>
        </is>
      </c>
      <c r="K8" s="41" t="n"/>
    </row>
    <row r="9">
      <c r="A9" s="43" t="inlineStr">
        <is>
          <t>Approval Type</t>
        </is>
      </c>
      <c r="B9" s="51" t="inlineStr">
        <is>
          <t>2</t>
        </is>
      </c>
      <c r="C9" s="60" t="inlineStr">
        <is>
          <t>ADP.AO = InvoiceAccess (derived)</t>
        </is>
      </c>
      <c r="D9" s="60">
        <f>IF(ADP!$AO5="Y","REQ","")</f>
        <v/>
      </c>
      <c r="E9" s="60" t="inlineStr">
        <is>
          <t>REQ</t>
        </is>
      </c>
      <c r="F9" s="46" t="inlineStr">
        <is>
          <t>UKG.BL = Invoice Access (derived)</t>
        </is>
      </c>
      <c r="G9" s="46">
        <f>IF(UKG!$BL2="Y","REQ","")</f>
        <v/>
      </c>
      <c r="H9" s="46" t="inlineStr">
        <is>
          <t>REQ</t>
        </is>
      </c>
      <c r="I9" s="47" t="inlineStr">
        <is>
          <t>3 characters maximum</t>
        </is>
      </c>
      <c r="J9" s="42" t="inlineStr">
        <is>
          <t>Y</t>
        </is>
      </c>
      <c r="K9" s="47" t="n"/>
    </row>
    <row r="10">
      <c r="A10" s="36" t="inlineStr">
        <is>
          <t>Employee ID</t>
        </is>
      </c>
      <c r="B10" s="49" t="inlineStr">
        <is>
          <t>3</t>
        </is>
      </c>
      <c r="C10" s="59" t="inlineStr">
        <is>
          <t>ADP.AO = InvoiceAccess (derived) + ADP.P = File Number</t>
        </is>
      </c>
      <c r="D10" s="59">
        <f>IF(ADP!$AO5="Y",ADP!P5,"")</f>
        <v/>
      </c>
      <c r="E10" s="59" t="inlineStr">
        <is>
          <t>213226</t>
        </is>
      </c>
      <c r="F10" s="40" t="inlineStr">
        <is>
          <t>UKG.BL = Invoice Access (derived) + UKG.D = Employee Number</t>
        </is>
      </c>
      <c r="G10" s="40">
        <f>IF(UKG!$BL2="Y",UKG!D2,"")</f>
        <v/>
      </c>
      <c r="H10" s="40" t="inlineStr">
        <is>
          <t>207199</t>
        </is>
      </c>
      <c r="I10" s="41" t="inlineStr">
        <is>
          <t>48 characters maximum</t>
        </is>
      </c>
      <c r="J10" s="42" t="inlineStr">
        <is>
          <t>Y</t>
        </is>
      </c>
      <c r="K10" s="41" t="n"/>
    </row>
    <row r="11">
      <c r="A11" s="43" t="inlineStr">
        <is>
          <t>Segment 1</t>
        </is>
      </c>
      <c r="B11" s="51" t="inlineStr">
        <is>
          <t>4</t>
        </is>
      </c>
      <c r="C11" s="73" t="n"/>
      <c r="D11" s="73" t="n"/>
      <c r="E11" s="50" t="n"/>
      <c r="F11" s="73" t="n"/>
      <c r="G11" s="73" t="n"/>
      <c r="H11" s="50" t="n"/>
      <c r="I11" s="47" t="inlineStr">
        <is>
          <t>32 characters maximum</t>
        </is>
      </c>
      <c r="J11" s="51" t="inlineStr">
        <is>
          <t>N</t>
        </is>
      </c>
      <c r="K11" s="47" t="n"/>
    </row>
    <row r="12">
      <c r="A12" s="36" t="inlineStr">
        <is>
          <t>Segment 2</t>
        </is>
      </c>
      <c r="B12" s="49" t="inlineStr">
        <is>
          <t>5</t>
        </is>
      </c>
      <c r="C12" s="73" t="n"/>
      <c r="D12" s="73" t="n"/>
      <c r="E12" s="48" t="n"/>
      <c r="F12" s="73" t="n"/>
      <c r="G12" s="73" t="n"/>
      <c r="H12" s="48" t="n"/>
      <c r="I12" s="41" t="inlineStr">
        <is>
          <t>32 characters maximum</t>
        </is>
      </c>
      <c r="J12" s="49" t="inlineStr">
        <is>
          <t>N</t>
        </is>
      </c>
      <c r="K12" s="41" t="n"/>
    </row>
    <row r="13">
      <c r="A13" s="43" t="inlineStr">
        <is>
          <t>Segment 3</t>
        </is>
      </c>
      <c r="B13" s="51" t="inlineStr">
        <is>
          <t>6</t>
        </is>
      </c>
      <c r="C13" s="73" t="n"/>
      <c r="D13" s="73" t="n"/>
      <c r="E13" s="50" t="n"/>
      <c r="F13" s="73" t="n"/>
      <c r="G13" s="73" t="n"/>
      <c r="H13" s="50" t="n"/>
      <c r="I13" s="47" t="inlineStr">
        <is>
          <t>32 characters maximum</t>
        </is>
      </c>
      <c r="J13" s="51" t="inlineStr">
        <is>
          <t>N</t>
        </is>
      </c>
      <c r="K13" s="47" t="n"/>
    </row>
    <row r="14">
      <c r="A14" s="36" t="inlineStr">
        <is>
          <t>Segment 4</t>
        </is>
      </c>
      <c r="B14" s="49" t="inlineStr">
        <is>
          <t>7</t>
        </is>
      </c>
      <c r="C14" s="73" t="n"/>
      <c r="D14" s="73" t="n"/>
      <c r="E14" s="48" t="n"/>
      <c r="F14" s="73" t="n"/>
      <c r="G14" s="73" t="n"/>
      <c r="H14" s="48" t="n"/>
      <c r="I14" s="41" t="inlineStr">
        <is>
          <t>32 characters maximum</t>
        </is>
      </c>
      <c r="J14" s="49" t="inlineStr">
        <is>
          <t>N</t>
        </is>
      </c>
      <c r="K14" s="41" t="n"/>
    </row>
    <row r="15">
      <c r="A15" s="43" t="inlineStr">
        <is>
          <t>Segment 5</t>
        </is>
      </c>
      <c r="B15" s="51" t="inlineStr">
        <is>
          <t>8</t>
        </is>
      </c>
      <c r="C15" s="73" t="n"/>
      <c r="D15" s="73" t="n"/>
      <c r="E15" s="50" t="n"/>
      <c r="F15" s="73" t="n"/>
      <c r="G15" s="73" t="n"/>
      <c r="H15" s="50" t="n"/>
      <c r="I15" s="47" t="inlineStr">
        <is>
          <t>32 characters maximum</t>
        </is>
      </c>
      <c r="J15" s="51" t="inlineStr">
        <is>
          <t>N</t>
        </is>
      </c>
      <c r="K15" s="47" t="n"/>
    </row>
    <row r="16">
      <c r="A16" s="36" t="inlineStr">
        <is>
          <t>Segment 6</t>
        </is>
      </c>
      <c r="B16" s="49" t="inlineStr">
        <is>
          <t>9</t>
        </is>
      </c>
      <c r="C16" s="73" t="n"/>
      <c r="D16" s="73" t="n"/>
      <c r="E16" s="48" t="n"/>
      <c r="F16" s="73" t="n"/>
      <c r="G16" s="73" t="n"/>
      <c r="H16" s="48" t="n"/>
      <c r="I16" s="41" t="inlineStr">
        <is>
          <t>32 characters maximum</t>
        </is>
      </c>
      <c r="J16" s="49" t="inlineStr">
        <is>
          <t>N</t>
        </is>
      </c>
      <c r="K16" s="41" t="n"/>
    </row>
    <row r="17">
      <c r="A17" s="43" t="inlineStr">
        <is>
          <t>Segment 7</t>
        </is>
      </c>
      <c r="B17" s="51" t="inlineStr">
        <is>
          <t>10</t>
        </is>
      </c>
      <c r="C17" s="73" t="n"/>
      <c r="D17" s="73" t="n"/>
      <c r="E17" s="50" t="n"/>
      <c r="F17" s="73" t="n"/>
      <c r="G17" s="73" t="n"/>
      <c r="H17" s="50" t="n"/>
      <c r="I17" s="47" t="inlineStr">
        <is>
          <t>32 characters maximum</t>
        </is>
      </c>
      <c r="J17" s="51" t="inlineStr">
        <is>
          <t>N</t>
        </is>
      </c>
      <c r="K17" s="47" t="n"/>
    </row>
    <row r="18">
      <c r="A18" s="36" t="inlineStr">
        <is>
          <t>Segment 8</t>
        </is>
      </c>
      <c r="B18" s="49" t="inlineStr">
        <is>
          <t>11</t>
        </is>
      </c>
      <c r="C18" s="73" t="n"/>
      <c r="D18" s="73" t="n"/>
      <c r="E18" s="48" t="n"/>
      <c r="F18" s="73" t="n"/>
      <c r="G18" s="73" t="n"/>
      <c r="H18" s="48" t="n"/>
      <c r="I18" s="41" t="inlineStr">
        <is>
          <t>32 characters maximum</t>
        </is>
      </c>
      <c r="J18" s="49" t="inlineStr">
        <is>
          <t>N</t>
        </is>
      </c>
      <c r="K18" s="41" t="n"/>
    </row>
    <row r="19">
      <c r="A19" s="43" t="inlineStr">
        <is>
          <t>Segment 9</t>
        </is>
      </c>
      <c r="B19" s="51" t="inlineStr">
        <is>
          <t>12</t>
        </is>
      </c>
      <c r="C19" s="73" t="n"/>
      <c r="D19" s="73" t="n"/>
      <c r="E19" s="50" t="n"/>
      <c r="F19" s="73" t="n"/>
      <c r="G19" s="73" t="n"/>
      <c r="H19" s="50" t="n"/>
      <c r="I19" s="47" t="inlineStr">
        <is>
          <t>32 characters maximum</t>
        </is>
      </c>
      <c r="J19" s="51" t="inlineStr">
        <is>
          <t>N</t>
        </is>
      </c>
      <c r="K19" s="47" t="n"/>
    </row>
    <row r="20">
      <c r="A20" s="36" t="inlineStr">
        <is>
          <t>Segment 10</t>
        </is>
      </c>
      <c r="B20" s="49" t="inlineStr">
        <is>
          <t>13</t>
        </is>
      </c>
      <c r="C20" s="73" t="n"/>
      <c r="D20" s="73" t="n"/>
      <c r="E20" s="48" t="n"/>
      <c r="F20" s="73" t="n"/>
      <c r="G20" s="73" t="n"/>
      <c r="H20" s="48" t="n"/>
      <c r="I20" s="41" t="inlineStr">
        <is>
          <t>32 characters maximum</t>
        </is>
      </c>
      <c r="J20" s="49" t="inlineStr">
        <is>
          <t>N</t>
        </is>
      </c>
      <c r="K20" s="41" t="n"/>
    </row>
    <row r="21">
      <c r="A21" s="43" t="inlineStr">
        <is>
          <t>Exception Approval Authority</t>
        </is>
      </c>
      <c r="B21" s="51" t="inlineStr">
        <is>
          <t>14</t>
        </is>
      </c>
      <c r="C21" s="73" t="n"/>
      <c r="D21" s="73" t="n"/>
      <c r="E21" s="50" t="n"/>
      <c r="F21" s="73" t="n"/>
      <c r="G21" s="73" t="n"/>
      <c r="H21" s="50" t="n"/>
      <c r="I21" s="47" t="inlineStr">
        <is>
          <t>1 character maximum</t>
        </is>
      </c>
      <c r="J21" s="51" t="inlineStr">
        <is>
          <t>N</t>
        </is>
      </c>
      <c r="K21" s="47" t="n"/>
    </row>
    <row r="22">
      <c r="A22" s="36" t="inlineStr">
        <is>
          <t>Approval Limit</t>
        </is>
      </c>
      <c r="B22" s="49" t="inlineStr">
        <is>
          <t>15</t>
        </is>
      </c>
      <c r="C22" s="59" t="inlineStr">
        <is>
          <t>ADP.AO = InvoiceAccess (derived) + ADP.AH = Invoice (derived)</t>
        </is>
      </c>
      <c r="D22" s="59">
        <f>IF(ADP!$AO5="Y",ADP!AH5,"")</f>
        <v/>
      </c>
      <c r="E22" s="59" t="inlineStr">
        <is>
          <t>25000</t>
        </is>
      </c>
      <c r="F22" s="40" t="inlineStr">
        <is>
          <t>UKG.BL = Invoice Access (derived) + UKG.BE = Invoice (derived)</t>
        </is>
      </c>
      <c r="G22" s="40">
        <f>IF(UKG!$BL2="Y",UKG!BE2,"")</f>
        <v/>
      </c>
      <c r="H22" s="40" t="inlineStr">
        <is>
          <t>25000</t>
        </is>
      </c>
      <c r="I22" s="41" t="n"/>
      <c r="J22" s="49" t="inlineStr">
        <is>
          <t>N</t>
        </is>
      </c>
      <c r="K22" s="41" t="n"/>
    </row>
    <row r="23">
      <c r="A23" s="43" t="inlineStr">
        <is>
          <t>Approval Limit Currency Code</t>
        </is>
      </c>
      <c r="B23" s="51" t="inlineStr">
        <is>
          <t>16</t>
        </is>
      </c>
      <c r="C23" s="60" t="inlineStr">
        <is>
          <t>ADP.AO = InvoiceAccess (derived) + ADP.AK = Reumbursement Currency (derived)</t>
        </is>
      </c>
      <c r="D23" s="60">
        <f>IF(ADP!$AO5="Y",ADP!AK5,"")</f>
        <v/>
      </c>
      <c r="E23" s="60" t="inlineStr">
        <is>
          <t>USD</t>
        </is>
      </c>
      <c r="F23" s="46" t="inlineStr">
        <is>
          <t>UKG.BL = Invoice Access (derived)</t>
        </is>
      </c>
      <c r="G23" s="46">
        <f>IF(UKG!$BL2="Y","USD","")</f>
        <v/>
      </c>
      <c r="H23" s="46" t="inlineStr">
        <is>
          <t>USD</t>
        </is>
      </c>
      <c r="I23" s="47" t="inlineStr">
        <is>
          <t>3 characters maximum</t>
        </is>
      </c>
      <c r="J23" s="51" t="inlineStr">
        <is>
          <t>N</t>
        </is>
      </c>
      <c r="K23" s="47" t="n"/>
    </row>
  </sheetData>
  <autoFilter ref="A7:K23"/>
  <pageMargins left="0.75" right="0.75" top="1" bottom="1" header="0.5" footer="0.5"/>
  <pageSetup orientation="landscape"/>
</worksheet>
</file>

<file path=xl/worksheets/sheet16.xml><?xml version="1.0" encoding="utf-8"?>
<worksheet xmlns="http://schemas.openxmlformats.org/spreadsheetml/2006/main">
  <sheetPr>
    <outlinePr summaryBelow="1" summaryRight="1"/>
    <pageSetUpPr/>
  </sheetPr>
  <dimension ref="A1:D28"/>
  <sheetViews>
    <sheetView showGridLines="0" workbookViewId="0">
      <pane xSplit="2" ySplit="7" topLeftCell="C8" activePane="bottomRight" state="frozen"/>
      <selection pane="topRight" activeCell="A1" sqref="A1"/>
      <selection pane="bottomLeft" activeCell="A1" sqref="A1"/>
      <selection pane="bottomRight" activeCell="A1" sqref="A1"/>
    </sheetView>
  </sheetViews>
  <sheetFormatPr baseColWidth="8" defaultRowHeight="15"/>
  <cols>
    <col width="6" customWidth="1" min="1" max="1"/>
    <col width="16" customWidth="1" min="2" max="2"/>
    <col width="22" customWidth="1" min="3" max="3"/>
    <col width="110" customWidth="1" min="4" max="4"/>
  </cols>
  <sheetData>
    <row r="1">
      <c r="A1" s="28" t="inlineStr">
        <is>
          <t>Payment GL Consolidated — Header record</t>
        </is>
      </c>
    </row>
    <row r="2">
      <c r="A2" s="61" t="inlineStr">
        <is>
          <t>Direction: Concur  -&gt;  ERP</t>
        </is>
      </c>
    </row>
    <row r="3">
      <c r="A3" s="32" t="inlineStr">
        <is>
          <t>Concur extract_payment_gl_as_consolidated_hdr  -&gt;  Invoice_Import.dtsx (FlatFile_InvoiceHeader)  -&gt;  dbo.Invoice_Header  -&gt;  AS400 BI_PLP91U / BR_PLP91U</t>
        </is>
      </c>
    </row>
    <row r="4">
      <c r="A4" s="62" t="inlineStr">
        <is>
          <t>Layout taken from the SSIS package's flat-file column definitions and confirmed against the 09/10/2026 sample file. No published SAP field spec matches this layout — see the Sources tab.</t>
        </is>
      </c>
    </row>
    <row r="5" ht="18" customHeight="1">
      <c r="A5" s="12" t="inlineStr">
        <is>
          <t>◀  Back to Index</t>
        </is>
      </c>
    </row>
    <row r="7" ht="22" customHeight="1">
      <c r="A7" s="13" t="inlineStr">
        <is>
          <t>#</t>
        </is>
      </c>
      <c r="B7" s="13" t="inlineStr">
        <is>
          <t>Field Name</t>
        </is>
      </c>
      <c r="C7" s="35" t="inlineStr">
        <is>
          <t>Sample - invoice 7710425</t>
        </is>
      </c>
      <c r="D7" s="13" t="inlineStr">
        <is>
          <t>Notes</t>
        </is>
      </c>
    </row>
    <row r="8">
      <c r="A8" s="63" t="n">
        <v>1</v>
      </c>
      <c r="B8" s="64" t="inlineStr">
        <is>
          <t>PCNO91</t>
        </is>
      </c>
      <c r="C8" s="40" t="inlineStr">
        <is>
          <t>BI</t>
        </is>
      </c>
      <c r="D8" s="65" t="inlineStr">
        <is>
          <t>Record/company prefix. 'BI' in the sample — the AS400 library the row posts to (BI_PLP91U vs BR_PLP91U).</t>
        </is>
      </c>
    </row>
    <row r="9">
      <c r="A9" s="66" t="n">
        <v>2</v>
      </c>
      <c r="B9" s="64" t="inlineStr">
        <is>
          <t>CONO91</t>
        </is>
      </c>
      <c r="C9" s="46" t="inlineStr">
        <is>
          <t>0096</t>
        </is>
      </c>
      <c r="D9" s="67" t="inlineStr">
        <is>
          <t>Concur entity_id — '0096', the same 4-char code the PO import carries in custom_1.</t>
        </is>
      </c>
    </row>
    <row r="10">
      <c r="A10" s="63" t="n">
        <v>3</v>
      </c>
      <c r="B10" s="64" t="inlineStr">
        <is>
          <t>VEND91</t>
        </is>
      </c>
      <c r="C10" s="40" t="inlineStr">
        <is>
          <t>0096231375</t>
        </is>
      </c>
      <c r="D10" s="65" t="inlineStr">
        <is>
          <t>Vendor code, '0096231375' — entity_id + vendor number, matching the PO import's Vendor Code shape.</t>
        </is>
      </c>
    </row>
    <row r="11">
      <c r="A11" s="66" t="n">
        <v>4</v>
      </c>
      <c r="B11" s="64" t="inlineStr">
        <is>
          <t>VSEQ91</t>
        </is>
      </c>
      <c r="C11" s="50" t="inlineStr">
        <is>
          <t>(blank)</t>
        </is>
      </c>
      <c r="D11" s="58" t="inlineStr">
        <is>
          <t>⚠ Vendor sequence, EMPTY in the sample. The PO import pairs vendor_code WITH vendor_address_code; if the ERP posts on the pair, a blank sequence will not match.</t>
        </is>
      </c>
    </row>
    <row r="12">
      <c r="A12" s="63" t="n">
        <v>5</v>
      </c>
      <c r="B12" s="64" t="inlineStr">
        <is>
          <t>PONO91</t>
        </is>
      </c>
      <c r="C12" s="40" t="inlineStr">
        <is>
          <t>7710425</t>
        </is>
      </c>
      <c r="D12" s="65" t="inlineStr">
        <is>
          <t>Purchase order number, 7710425.</t>
        </is>
      </c>
    </row>
    <row r="13">
      <c r="A13" s="66" t="n">
        <v>6</v>
      </c>
      <c r="B13" s="64" t="inlineStr">
        <is>
          <t>TYPE91</t>
        </is>
      </c>
      <c r="C13" s="46" t="inlineStr">
        <is>
          <t>IN</t>
        </is>
      </c>
      <c r="D13" s="67" t="inlineStr">
        <is>
          <t>Invoice type, 'IN'.</t>
        </is>
      </c>
    </row>
    <row r="14">
      <c r="A14" s="63" t="n">
        <v>7</v>
      </c>
      <c r="B14" s="64" t="inlineStr">
        <is>
          <t>INDT91</t>
        </is>
      </c>
      <c r="C14" s="40" t="inlineStr">
        <is>
          <t>20260126</t>
        </is>
      </c>
      <c r="D14" s="65" t="inlineStr">
        <is>
          <t>Invoice date as YYYYMMDD (20260126) — note this is NOT the YYYY-MM-DD the inbound files use.</t>
        </is>
      </c>
    </row>
    <row r="15">
      <c r="A15" s="66" t="n">
        <v>8</v>
      </c>
      <c r="B15" s="64" t="inlineStr">
        <is>
          <t>INVN91</t>
        </is>
      </c>
      <c r="C15" s="46" t="inlineStr">
        <is>
          <t>Test12</t>
        </is>
      </c>
      <c r="D15" s="67" t="inlineStr">
        <is>
          <t>Invoice number, 'Test12'.</t>
        </is>
      </c>
    </row>
    <row r="16">
      <c r="A16" s="63" t="n">
        <v>9</v>
      </c>
      <c r="B16" s="64" t="inlineStr">
        <is>
          <t>TINV91</t>
        </is>
      </c>
      <c r="C16" s="40" t="inlineStr">
        <is>
          <t>40.50</t>
        </is>
      </c>
      <c r="D16" s="65" t="inlineStr">
        <is>
          <t>Total invoice amount, 40.50.</t>
        </is>
      </c>
    </row>
    <row r="17">
      <c r="A17" s="66" t="n">
        <v>10</v>
      </c>
      <c r="B17" s="64" t="inlineStr">
        <is>
          <t>CURC91</t>
        </is>
      </c>
      <c r="C17" s="46" t="inlineStr">
        <is>
          <t>USD</t>
        </is>
      </c>
      <c r="D17" s="67" t="inlineStr">
        <is>
          <t>Currency, USD.</t>
        </is>
      </c>
    </row>
    <row r="18">
      <c r="A18" s="63" t="n">
        <v>11</v>
      </c>
      <c r="B18" s="64" t="inlineStr">
        <is>
          <t>TFRT91</t>
        </is>
      </c>
      <c r="C18" s="48" t="inlineStr">
        <is>
          <t>(blank)</t>
        </is>
      </c>
      <c r="D18" s="65" t="inlineStr">
        <is>
          <t>Total freight — empty in the sample, while TFUL/TMAT/TOTH/TFUT all carry an explicit 0.00.</t>
        </is>
      </c>
    </row>
    <row r="19">
      <c r="A19" s="66" t="n">
        <v>12</v>
      </c>
      <c r="B19" s="64" t="inlineStr">
        <is>
          <t>TTAX91</t>
        </is>
      </c>
      <c r="C19" s="50" t="inlineStr">
        <is>
          <t>(blank)</t>
        </is>
      </c>
      <c r="D19" s="58" t="inlineStr">
        <is>
          <t>⚠ Total tax — EMPTY, even though the detail file carries a Tax line of 1.00 against account 5555. Header tax and detail tax disagree in this sample.</t>
        </is>
      </c>
    </row>
    <row r="20">
      <c r="A20" s="63" t="n">
        <v>13</v>
      </c>
      <c r="B20" s="64" t="inlineStr">
        <is>
          <t>TFUL91</t>
        </is>
      </c>
      <c r="C20" s="40" t="inlineStr">
        <is>
          <t>0.00</t>
        </is>
      </c>
      <c r="D20" s="65" t="inlineStr">
        <is>
          <t>Total fuel surcharge, 0.00.</t>
        </is>
      </c>
    </row>
    <row r="21">
      <c r="A21" s="66" t="n">
        <v>14</v>
      </c>
      <c r="B21" s="64" t="inlineStr">
        <is>
          <t>TMAT91</t>
        </is>
      </c>
      <c r="C21" s="46" t="inlineStr">
        <is>
          <t>0.00</t>
        </is>
      </c>
      <c r="D21" s="67" t="inlineStr">
        <is>
          <t>Total material surcharge, 0.00.</t>
        </is>
      </c>
    </row>
    <row r="22">
      <c r="A22" s="63" t="n">
        <v>15</v>
      </c>
      <c r="B22" s="64" t="inlineStr">
        <is>
          <t>TOTH91</t>
        </is>
      </c>
      <c r="C22" s="40" t="inlineStr">
        <is>
          <t>0.00</t>
        </is>
      </c>
      <c r="D22" s="65" t="inlineStr">
        <is>
          <t>Total other charges, 0.00.</t>
        </is>
      </c>
    </row>
    <row r="23">
      <c r="A23" s="66" t="n">
        <v>16</v>
      </c>
      <c r="B23" s="64" t="inlineStr">
        <is>
          <t>TFUT91</t>
        </is>
      </c>
      <c r="C23" s="46" t="inlineStr">
        <is>
          <t>0.00</t>
        </is>
      </c>
      <c r="D23" s="67" t="inlineStr">
        <is>
          <t>Total future use, 0.00.</t>
        </is>
      </c>
    </row>
    <row r="24">
      <c r="A24" s="63" t="n">
        <v>17</v>
      </c>
      <c r="B24" s="64" t="inlineStr">
        <is>
          <t>AINV91</t>
        </is>
      </c>
      <c r="C24" s="48" t="inlineStr">
        <is>
          <t>(blank)</t>
        </is>
      </c>
      <c r="D24" s="65" t="inlineStr">
        <is>
          <t>Approved invoice flag — empty.</t>
        </is>
      </c>
    </row>
    <row r="25">
      <c r="A25" s="66" t="n">
        <v>18</v>
      </c>
      <c r="B25" s="64" t="inlineStr">
        <is>
          <t>PYMT91</t>
        </is>
      </c>
      <c r="C25" s="50" t="inlineStr">
        <is>
          <t>(blank)</t>
        </is>
      </c>
      <c r="D25" s="67" t="inlineStr">
        <is>
          <t>Payment reference — empty.</t>
        </is>
      </c>
    </row>
    <row r="26">
      <c r="A26" s="63" t="n">
        <v>19</v>
      </c>
      <c r="B26" s="64" t="inlineStr">
        <is>
          <t>DESC91</t>
        </is>
      </c>
      <c r="C26" s="48" t="inlineStr">
        <is>
          <t>(blank)</t>
        </is>
      </c>
      <c r="D26" s="65" t="inlineStr">
        <is>
          <t>Description — empty.</t>
        </is>
      </c>
    </row>
    <row r="27">
      <c r="A27" s="66" t="n">
        <v>20</v>
      </c>
      <c r="B27" s="64" t="inlineStr">
        <is>
          <t>PTYP91</t>
        </is>
      </c>
      <c r="C27" s="46" t="inlineStr">
        <is>
          <t>M</t>
        </is>
      </c>
      <c r="D27" s="67" t="inlineStr">
        <is>
          <t>Payment type, 'M'.</t>
        </is>
      </c>
    </row>
    <row r="28">
      <c r="A28" s="63" t="n">
        <v>21</v>
      </c>
      <c r="B28" s="64" t="inlineStr">
        <is>
          <t>CIDN91</t>
        </is>
      </c>
      <c r="C28" s="40" t="inlineStr">
        <is>
          <t>7</t>
        </is>
      </c>
      <c r="D28" s="65" t="inlineStr">
        <is>
          <t>Concur unique id, 7. Joins the header to its detail rows (CIDN92).</t>
        </is>
      </c>
    </row>
  </sheetData>
  <autoFilter ref="A7:D28"/>
  <hyperlinks>
    <hyperlink ref="A5" location="Index!A1" display="Back to Index"/>
  </hyperlink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F27"/>
  <sheetViews>
    <sheetView showGridLines="0" workbookViewId="0">
      <pane xSplit="2" ySplit="7" topLeftCell="C8" activePane="bottomRight" state="frozen"/>
      <selection pane="topRight" activeCell="A1" sqref="A1"/>
      <selection pane="bottomLeft" activeCell="A1" sqref="A1"/>
      <selection pane="bottomRight" activeCell="A1" sqref="A1"/>
    </sheetView>
  </sheetViews>
  <sheetFormatPr baseColWidth="8" defaultRowHeight="15"/>
  <cols>
    <col width="6" customWidth="1" min="1" max="1"/>
    <col width="16" customWidth="1" min="2" max="2"/>
    <col width="22" customWidth="1" min="3" max="3"/>
    <col width="22" customWidth="1" min="4" max="4"/>
    <col width="22" customWidth="1" min="5" max="5"/>
    <col width="110" customWidth="1" min="6" max="6"/>
  </cols>
  <sheetData>
    <row r="1">
      <c r="A1" s="28" t="inlineStr">
        <is>
          <t>Payment GL Consolidated — Detail record</t>
        </is>
      </c>
    </row>
    <row r="2">
      <c r="A2" s="61" t="inlineStr">
        <is>
          <t>Direction: Concur  -&gt;  ERP</t>
        </is>
      </c>
    </row>
    <row r="3">
      <c r="A3" s="32" t="inlineStr">
        <is>
          <t>Concur extract_payment_gl_as_consolidated_dtl  -&gt;  Invoice_Import.dtsx (FlatFile_InvoiceDetail.txt)  -&gt;  dbo.Invoice_Detail  -&gt;  AS400 BI_PLP92U / BR_PLP92U</t>
        </is>
      </c>
    </row>
    <row r="4">
      <c r="A4" s="62" t="inlineStr">
        <is>
          <t>Layout taken from the SSIS package's flat-file column definitions and confirmed against the 09/10/2026 sample file. No published SAP field spec matches this layout — see the Sources tab.</t>
        </is>
      </c>
    </row>
    <row r="5" ht="18" customHeight="1">
      <c r="A5" s="12" t="inlineStr">
        <is>
          <t>◀  Back to Index</t>
        </is>
      </c>
    </row>
    <row r="7" ht="22" customHeight="1">
      <c r="A7" s="13" t="inlineStr">
        <is>
          <t>#</t>
        </is>
      </c>
      <c r="B7" s="13" t="inlineStr">
        <is>
          <t>Field Name</t>
        </is>
      </c>
      <c r="C7" s="35" t="inlineStr">
        <is>
          <t>Sample - line 1</t>
        </is>
      </c>
      <c r="D7" s="35" t="inlineStr">
        <is>
          <t>Sample - line 2</t>
        </is>
      </c>
      <c r="E7" s="35" t="inlineStr">
        <is>
          <t>Sample - tax line</t>
        </is>
      </c>
      <c r="F7" s="13" t="inlineStr">
        <is>
          <t>Notes</t>
        </is>
      </c>
    </row>
    <row r="8">
      <c r="A8" s="63" t="n">
        <v>1</v>
      </c>
      <c r="B8" s="64" t="inlineStr">
        <is>
          <t>PCNO92</t>
        </is>
      </c>
      <c r="C8" s="40" t="inlineStr">
        <is>
          <t>BI</t>
        </is>
      </c>
      <c r="D8" s="40" t="inlineStr">
        <is>
          <t>BI</t>
        </is>
      </c>
      <c r="E8" s="40" t="inlineStr">
        <is>
          <t>BI</t>
        </is>
      </c>
      <c r="F8" s="65" t="inlineStr">
        <is>
          <t>Company prefix, 'BI' — must agree with the header's PCNO91.</t>
        </is>
      </c>
    </row>
    <row r="9">
      <c r="A9" s="66" t="n">
        <v>2</v>
      </c>
      <c r="B9" s="64" t="inlineStr">
        <is>
          <t>CONO92</t>
        </is>
      </c>
      <c r="C9" s="46" t="inlineStr">
        <is>
          <t>0096</t>
        </is>
      </c>
      <c r="D9" s="46" t="inlineStr">
        <is>
          <t>0096</t>
        </is>
      </c>
      <c r="E9" s="46" t="inlineStr">
        <is>
          <t>0096</t>
        </is>
      </c>
      <c r="F9" s="67" t="inlineStr">
        <is>
          <t>Concur entity_id, 0096.</t>
        </is>
      </c>
    </row>
    <row r="10">
      <c r="A10" s="63" t="n">
        <v>3</v>
      </c>
      <c r="B10" s="64" t="inlineStr">
        <is>
          <t>BOLN92</t>
        </is>
      </c>
      <c r="C10" s="48" t="inlineStr">
        <is>
          <t>(blank)</t>
        </is>
      </c>
      <c r="D10" s="48" t="inlineStr">
        <is>
          <t>(blank)</t>
        </is>
      </c>
      <c r="E10" s="48" t="inlineStr">
        <is>
          <t>(blank)</t>
        </is>
      </c>
      <c r="F10" s="65" t="inlineStr">
        <is>
          <t>Bill of lading — empty in all four rows.</t>
        </is>
      </c>
    </row>
    <row r="11">
      <c r="A11" s="66" t="n">
        <v>4</v>
      </c>
      <c r="B11" s="64" t="inlineStr">
        <is>
          <t>INVL92</t>
        </is>
      </c>
      <c r="C11" s="46" t="inlineStr">
        <is>
          <t>1</t>
        </is>
      </c>
      <c r="D11" s="46" t="inlineStr">
        <is>
          <t>2</t>
        </is>
      </c>
      <c r="E11" s="46" t="inlineStr">
        <is>
          <t>4</t>
        </is>
      </c>
      <c r="F11" s="67" t="inlineStr">
        <is>
          <t>Invoice line number, 1-4.</t>
        </is>
      </c>
    </row>
    <row r="12">
      <c r="A12" s="63" t="n">
        <v>5</v>
      </c>
      <c r="B12" s="64" t="inlineStr">
        <is>
          <t>PONO92</t>
        </is>
      </c>
      <c r="C12" s="40" t="inlineStr">
        <is>
          <t>7710425</t>
        </is>
      </c>
      <c r="D12" s="40" t="inlineStr">
        <is>
          <t>7710425</t>
        </is>
      </c>
      <c r="E12" s="40" t="inlineStr">
        <is>
          <t>7710425</t>
        </is>
      </c>
      <c r="F12" s="65" t="inlineStr">
        <is>
          <t>Purchase order number, 7710425.</t>
        </is>
      </c>
    </row>
    <row r="13">
      <c r="A13" s="66" t="n">
        <v>6</v>
      </c>
      <c r="B13" s="64" t="inlineStr">
        <is>
          <t>ExtraCol1</t>
        </is>
      </c>
      <c r="C13" s="46" t="inlineStr">
        <is>
          <t>40</t>
        </is>
      </c>
      <c r="D13" s="46" t="inlineStr">
        <is>
          <t>90</t>
        </is>
      </c>
      <c r="E13" s="50" t="inlineStr">
        <is>
          <t>(blank)</t>
        </is>
      </c>
      <c r="F13" s="58" t="inlineStr">
        <is>
          <t>⚠ Named 'ExtraCol1' in the package but carrying real data — 40 / 90 / 120 on the three goods lines and empty on the tax line. Looks like the PO line or sequence. A load-bearing column with a placeholder name.</t>
        </is>
      </c>
    </row>
    <row r="14">
      <c r="A14" s="63" t="n">
        <v>7</v>
      </c>
      <c r="B14" s="64" t="inlineStr">
        <is>
          <t>POLS92</t>
        </is>
      </c>
      <c r="C14" s="48" t="inlineStr">
        <is>
          <t>(blank)</t>
        </is>
      </c>
      <c r="D14" s="48" t="inlineStr">
        <is>
          <t>(blank)</t>
        </is>
      </c>
      <c r="E14" s="48" t="inlineStr">
        <is>
          <t>(blank)</t>
        </is>
      </c>
      <c r="F14" s="65" t="inlineStr">
        <is>
          <t>PO line sequence — empty in all rows.</t>
        </is>
      </c>
    </row>
    <row r="15">
      <c r="A15" s="66" t="n">
        <v>8</v>
      </c>
      <c r="B15" s="64" t="inlineStr">
        <is>
          <t>QTYI92</t>
        </is>
      </c>
      <c r="C15" s="46" t="inlineStr">
        <is>
          <t>50.00</t>
        </is>
      </c>
      <c r="D15" s="46" t="inlineStr">
        <is>
          <t>50.00</t>
        </is>
      </c>
      <c r="E15" s="50" t="inlineStr">
        <is>
          <t>(blank)</t>
        </is>
      </c>
      <c r="F15" s="67" t="inlineStr">
        <is>
          <t>Invoiced quantity, 50.00.</t>
        </is>
      </c>
    </row>
    <row r="16">
      <c r="A16" s="63" t="n">
        <v>9</v>
      </c>
      <c r="B16" s="64" t="inlineStr">
        <is>
          <t>IPRC92</t>
        </is>
      </c>
      <c r="C16" s="40" t="inlineStr">
        <is>
          <t>0.35000</t>
        </is>
      </c>
      <c r="D16" s="40" t="inlineStr">
        <is>
          <t>0.21000</t>
        </is>
      </c>
      <c r="E16" s="40" t="inlineStr">
        <is>
          <t>1.00000</t>
        </is>
      </c>
      <c r="F16" s="65" t="inlineStr">
        <is>
          <t>Invoice unit price, 0.35000 / 0.21000 / 0.23000.</t>
        </is>
      </c>
    </row>
    <row r="17">
      <c r="A17" s="66" t="n">
        <v>10</v>
      </c>
      <c r="B17" s="64" t="inlineStr">
        <is>
          <t>IAMT92</t>
        </is>
      </c>
      <c r="C17" s="46" t="inlineStr">
        <is>
          <t>17.50</t>
        </is>
      </c>
      <c r="D17" s="46" t="inlineStr">
        <is>
          <t>10.50</t>
        </is>
      </c>
      <c r="E17" s="46" t="inlineStr">
        <is>
          <t>1.00</t>
        </is>
      </c>
      <c r="F17" s="67" t="inlineStr">
        <is>
          <t>Invoice amount, 17.50 / 10.50 / 11.50.</t>
        </is>
      </c>
    </row>
    <row r="18">
      <c r="A18" s="63" t="n">
        <v>11</v>
      </c>
      <c r="B18" s="64" t="inlineStr">
        <is>
          <t>QTYR92</t>
        </is>
      </c>
      <c r="C18" s="48" t="inlineStr">
        <is>
          <t>(blank)</t>
        </is>
      </c>
      <c r="D18" s="48" t="inlineStr">
        <is>
          <t>(blank)</t>
        </is>
      </c>
      <c r="E18" s="48" t="inlineStr">
        <is>
          <t>(blank)</t>
        </is>
      </c>
      <c r="F18" s="65" t="inlineStr">
        <is>
          <t>Received quantity — empty in all rows.</t>
        </is>
      </c>
    </row>
    <row r="19">
      <c r="A19" s="66" t="n">
        <v>12</v>
      </c>
      <c r="B19" s="64" t="inlineStr">
        <is>
          <t>ITEM92</t>
        </is>
      </c>
      <c r="C19" s="46" t="inlineStr">
        <is>
          <t>Office Supplies</t>
        </is>
      </c>
      <c r="D19" s="46" t="inlineStr">
        <is>
          <t>Office Supplies</t>
        </is>
      </c>
      <c r="E19" s="46" t="inlineStr">
        <is>
          <t>Tax</t>
        </is>
      </c>
      <c r="F19" s="58" t="inlineStr">
        <is>
          <t>⚠ Holds a DESCRIPTION, not an item number: 'Office Supplies' / 'Tax'. The PO import's Supplier Part ID carries the real part number, so these will not join on item.</t>
        </is>
      </c>
    </row>
    <row r="20">
      <c r="A20" s="63" t="n">
        <v>13</v>
      </c>
      <c r="B20" s="64" t="inlineStr">
        <is>
          <t>ACCT92</t>
        </is>
      </c>
      <c r="C20" s="40" t="inlineStr">
        <is>
          <t>43</t>
        </is>
      </c>
      <c r="D20" s="40" t="inlineStr">
        <is>
          <t>43</t>
        </is>
      </c>
      <c r="E20" s="40" t="inlineStr">
        <is>
          <t>5555</t>
        </is>
      </c>
      <c r="F20" s="65" t="inlineStr">
        <is>
          <t>Account code — 43 on the goods lines and 5555 on the tax line. 5555 is the hardcoded tax account from the PO line proc's charge branch, so the code round-trips.</t>
        </is>
      </c>
    </row>
    <row r="21">
      <c r="A21" s="66" t="n">
        <v>14</v>
      </c>
      <c r="B21" s="64" t="inlineStr">
        <is>
          <t>DEPT92</t>
        </is>
      </c>
      <c r="C21" s="46" t="inlineStr">
        <is>
          <t>910</t>
        </is>
      </c>
      <c r="D21" s="46" t="inlineStr">
        <is>
          <t>910</t>
        </is>
      </c>
      <c r="E21" s="46" t="inlineStr">
        <is>
          <t>Blank</t>
        </is>
      </c>
      <c r="F21" s="58" t="inlineStr">
        <is>
          <t>⚠ Department — '910' on the goods lines but the literal text 'Blank' on the tax line. A string 'Blank' rather than an empty field will almost certainly fail a numeric or lookup validation.</t>
        </is>
      </c>
    </row>
    <row r="22">
      <c r="A22" s="63" t="n">
        <v>15</v>
      </c>
      <c r="B22" s="64" t="inlineStr">
        <is>
          <t>CIDN92</t>
        </is>
      </c>
      <c r="C22" s="40" t="inlineStr">
        <is>
          <t>7</t>
        </is>
      </c>
      <c r="D22" s="40" t="inlineStr">
        <is>
          <t>7</t>
        </is>
      </c>
      <c r="E22" s="40" t="inlineStr">
        <is>
          <t>7</t>
        </is>
      </c>
      <c r="F22" s="65" t="inlineStr">
        <is>
          <t>Concur unique id, 7 — joins back to the header's CIDN91.</t>
        </is>
      </c>
    </row>
    <row r="23">
      <c r="A23" s="66" t="n">
        <v>16</v>
      </c>
      <c r="B23" s="64" t="inlineStr">
        <is>
          <t>ExtraCol2</t>
        </is>
      </c>
      <c r="C23" s="50" t="inlineStr">
        <is>
          <t>(blank)</t>
        </is>
      </c>
      <c r="D23" s="50" t="inlineStr">
        <is>
          <t>(blank)</t>
        </is>
      </c>
      <c r="E23" s="50" t="inlineStr">
        <is>
          <t>(blank)</t>
        </is>
      </c>
      <c r="F23" s="67" t="inlineStr">
        <is>
          <t>Empty in all rows.</t>
        </is>
      </c>
    </row>
    <row r="24">
      <c r="A24" s="63" t="n">
        <v>17</v>
      </c>
      <c r="B24" s="64" t="inlineStr">
        <is>
          <t>ExtraCol3</t>
        </is>
      </c>
      <c r="C24" s="40" t="inlineStr">
        <is>
          <t>76771042501</t>
        </is>
      </c>
      <c r="D24" s="40" t="inlineStr">
        <is>
          <t>76771042502</t>
        </is>
      </c>
      <c r="E24" s="48" t="inlineStr">
        <is>
          <t>(blank)</t>
        </is>
      </c>
      <c r="F24" s="58" t="inlineStr">
        <is>
          <t>⚠ Another placeholder name doing real work: '76771042501' on the goods lines — the same shape as the PO Receipt Goods Receipt Number fallback key (system_entity_id 76 + po_num + sequence). Empty on the tax line.</t>
        </is>
      </c>
    </row>
    <row r="25">
      <c r="A25" s="66" t="n">
        <v>18</v>
      </c>
      <c r="B25" s="64" t="inlineStr">
        <is>
          <t>POLN92</t>
        </is>
      </c>
      <c r="C25" s="50" t="inlineStr">
        <is>
          <t>(blank)</t>
        </is>
      </c>
      <c r="D25" s="50" t="inlineStr">
        <is>
          <t>(blank)</t>
        </is>
      </c>
      <c r="E25" s="50" t="inlineStr">
        <is>
          <t>(blank)</t>
        </is>
      </c>
      <c r="F25" s="67" t="inlineStr">
        <is>
          <t>PO line number — empty in all rows, even though ExtraCol1 and ExtraCol3 both carry line-ish values.</t>
        </is>
      </c>
    </row>
    <row r="26">
      <c r="A26" s="63" t="n">
        <v>19</v>
      </c>
      <c r="B26" s="64" t="inlineStr">
        <is>
          <t>LineAmount</t>
        </is>
      </c>
      <c r="C26" s="40" t="inlineStr">
        <is>
          <t>17.50</t>
        </is>
      </c>
      <c r="D26" s="40" t="inlineStr">
        <is>
          <t>10.50</t>
        </is>
      </c>
      <c r="E26" s="40" t="inlineStr">
        <is>
          <t>0.00</t>
        </is>
      </c>
      <c r="F26" s="65" t="inlineStr">
        <is>
          <t>Line amount, 17.50 / 10.50 / 11.50, and 0.00 on the tax line.</t>
        </is>
      </c>
    </row>
    <row r="27">
      <c r="A27" s="66" t="n">
        <v>20</v>
      </c>
      <c r="B27" s="64" t="inlineStr">
        <is>
          <t>LineQuantity</t>
        </is>
      </c>
      <c r="C27" s="46" t="inlineStr">
        <is>
          <t>50.00</t>
        </is>
      </c>
      <c r="D27" s="46" t="inlineStr">
        <is>
          <t>50.00</t>
        </is>
      </c>
      <c r="E27" s="50" t="inlineStr">
        <is>
          <t>(blank)</t>
        </is>
      </c>
      <c r="F27" s="67" t="inlineStr">
        <is>
          <t>Line quantity, 50.00; empty on the tax line.</t>
        </is>
      </c>
    </row>
  </sheetData>
  <autoFilter ref="A7:F27"/>
  <hyperlinks>
    <hyperlink ref="A5" location="Index!A1" display="Back to Index"/>
  </hyperlinks>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F407"/>
  <sheetViews>
    <sheetView showGridLines="0" workbookViewId="0">
      <pane xSplit="2" ySplit="7" topLeftCell="C8" activePane="bottomRight" state="frozen"/>
      <selection pane="topRight" activeCell="A1" sqref="A1"/>
      <selection pane="bottomLeft" activeCell="A1" sqref="A1"/>
      <selection pane="bottomRight" activeCell="A1" sqref="A1"/>
    </sheetView>
  </sheetViews>
  <sheetFormatPr baseColWidth="8" defaultRowHeight="15"/>
  <cols>
    <col width="6" customWidth="1" min="1" max="1"/>
    <col width="40" customWidth="1" min="2" max="2"/>
    <col width="8" customWidth="1" min="3" max="3"/>
    <col width="32" customWidth="1" min="4" max="4"/>
    <col width="32" customWidth="1" min="5" max="5"/>
    <col width="60" customWidth="1" min="6" max="6"/>
  </cols>
  <sheetData>
    <row r="1">
      <c r="A1" s="28" t="inlineStr">
        <is>
          <t>Standard Accounting Extract v3 — DETAIL record layout</t>
        </is>
      </c>
    </row>
    <row r="2">
      <c r="A2" s="61" t="inlineStr">
        <is>
          <t>Direction: Concur  -&gt;  ERP    |    400 fields per DETAIL row; 146 carry a value in the 09/10 sample</t>
        </is>
      </c>
    </row>
    <row r="3">
      <c r="A3" s="32" t="inlineStr">
        <is>
          <t>Concur extract_CES_SAE_v3  -&gt;  TravelAndExpense_Incoming.dtsx (Store Concur Raw Data)  -&gt;  FMG_DataWarehouse</t>
        </is>
      </c>
    </row>
    <row r="4">
      <c r="A4" s="68" t="inlineStr">
        <is>
          <t>⚠ FIELD NAMES AND DEFINITIONS ARE NOT FILLED IN. The SAE v3 field list is not published in the Extracts Assisted section of the SAP help portal — that section covers Payment Request Accounting, Positive Pay, Purchase Order and Purchase Order Receipt only. Supply the SAE specification document and these columns can be completed.</t>
        </is>
      </c>
    </row>
    <row r="5">
      <c r="A5" s="12" t="inlineStr">
        <is>
          <t>◀  Back to Index</t>
        </is>
      </c>
    </row>
    <row r="7" ht="24" customHeight="1">
      <c r="A7" s="13" t="inlineStr">
        <is>
          <t>#</t>
        </is>
      </c>
      <c r="B7" s="13" t="inlineStr">
        <is>
          <t>Field Name (to be supplied)</t>
        </is>
      </c>
      <c r="C7" s="13" t="inlineStr">
        <is>
          <t>Used?</t>
        </is>
      </c>
      <c r="D7" s="35" t="inlineStr">
        <is>
          <t>Sample - cash expense</t>
        </is>
      </c>
      <c r="E7" s="35" t="inlineStr">
        <is>
          <t>Sample - corporate card</t>
        </is>
      </c>
      <c r="F7" s="13" t="inlineStr">
        <is>
          <t>Definition (to be supplied)</t>
        </is>
      </c>
    </row>
    <row r="8">
      <c r="A8" s="49" t="n">
        <v>1</v>
      </c>
      <c r="B8" s="38" t="n"/>
      <c r="C8" s="69" t="inlineStr">
        <is>
          <t>yes</t>
        </is>
      </c>
      <c r="D8" s="40" t="inlineStr">
        <is>
          <t>DETAIL</t>
        </is>
      </c>
      <c r="E8" s="40" t="inlineStr">
        <is>
          <t>DETAIL</t>
        </is>
      </c>
      <c r="F8" s="38" t="n"/>
    </row>
    <row r="9">
      <c r="A9" s="49" t="n">
        <v>2</v>
      </c>
      <c r="B9" s="38" t="n"/>
      <c r="C9" s="69" t="inlineStr">
        <is>
          <t>yes</t>
        </is>
      </c>
      <c r="D9" s="40" t="inlineStr">
        <is>
          <t>2</t>
        </is>
      </c>
      <c r="E9" s="40" t="inlineStr">
        <is>
          <t>2</t>
        </is>
      </c>
      <c r="F9" s="38" t="n"/>
    </row>
    <row r="10">
      <c r="A10" s="49" t="n">
        <v>3</v>
      </c>
      <c r="B10" s="38" t="n"/>
      <c r="C10" s="69" t="inlineStr">
        <is>
          <t>yes</t>
        </is>
      </c>
      <c r="D10" s="40" t="inlineStr">
        <is>
          <t>2026-09-10</t>
        </is>
      </c>
      <c r="E10" s="40" t="inlineStr">
        <is>
          <t>2026-09-10</t>
        </is>
      </c>
      <c r="F10" s="38" t="n"/>
    </row>
    <row r="11">
      <c r="A11" s="49" t="n">
        <v>4</v>
      </c>
      <c r="B11" s="38" t="n"/>
      <c r="C11" s="69" t="inlineStr">
        <is>
          <t>yes</t>
        </is>
      </c>
      <c r="D11" s="40" t="inlineStr">
        <is>
          <t>1</t>
        </is>
      </c>
      <c r="E11" s="40" t="inlineStr">
        <is>
          <t>14</t>
        </is>
      </c>
      <c r="F11" s="38" t="n"/>
    </row>
    <row r="12">
      <c r="A12" s="49" t="n">
        <v>5</v>
      </c>
      <c r="B12" s="38" t="n"/>
      <c r="C12" s="69" t="inlineStr">
        <is>
          <t>yes</t>
        </is>
      </c>
      <c r="D12" s="40" t="inlineStr">
        <is>
          <t>202182</t>
        </is>
      </c>
      <c r="E12" s="40" t="inlineStr">
        <is>
          <t>202218</t>
        </is>
      </c>
      <c r="F12" s="38" t="n"/>
    </row>
    <row r="13">
      <c r="A13" s="49" t="n">
        <v>6</v>
      </c>
      <c r="B13" s="38" t="n"/>
      <c r="C13" s="69" t="inlineStr">
        <is>
          <t>yes</t>
        </is>
      </c>
      <c r="D13" s="40" t="inlineStr">
        <is>
          <t>Villarreal</t>
        </is>
      </c>
      <c r="E13" s="40" t="inlineStr">
        <is>
          <t>Martinez Garza</t>
        </is>
      </c>
      <c r="F13" s="38" t="n"/>
    </row>
    <row r="14">
      <c r="A14" s="49" t="n">
        <v>7</v>
      </c>
      <c r="B14" s="38" t="n"/>
      <c r="C14" s="69" t="inlineStr">
        <is>
          <t>yes</t>
        </is>
      </c>
      <c r="D14" s="40" t="inlineStr">
        <is>
          <t>Joaquin</t>
        </is>
      </c>
      <c r="E14" s="40" t="inlineStr">
        <is>
          <t>Hector</t>
        </is>
      </c>
      <c r="F14" s="38" t="n"/>
    </row>
    <row r="15">
      <c r="A15" s="49" t="n">
        <v>8</v>
      </c>
      <c r="B15" s="47" t="n"/>
      <c r="C15" s="49" t="inlineStr"/>
      <c r="D15" s="48" t="inlineStr">
        <is>
          <t>(blank)</t>
        </is>
      </c>
      <c r="E15" s="48" t="inlineStr">
        <is>
          <t>(blank)</t>
        </is>
      </c>
      <c r="F15" s="47" t="n"/>
    </row>
    <row r="16">
      <c r="A16" s="49" t="n">
        <v>9</v>
      </c>
      <c r="B16" s="38" t="n"/>
      <c r="C16" s="69" t="inlineStr">
        <is>
          <t>yes</t>
        </is>
      </c>
      <c r="D16" s="40" t="inlineStr">
        <is>
          <t>0075</t>
        </is>
      </c>
      <c r="E16" s="40" t="inlineStr">
        <is>
          <t>0075</t>
        </is>
      </c>
      <c r="F16" s="38" t="n"/>
    </row>
    <row r="17">
      <c r="A17" s="49" t="n">
        <v>10</v>
      </c>
      <c r="B17" s="38" t="n"/>
      <c r="C17" s="69" t="inlineStr">
        <is>
          <t>yes</t>
        </is>
      </c>
      <c r="D17" s="40" t="inlineStr">
        <is>
          <t>0075</t>
        </is>
      </c>
      <c r="E17" s="40" t="inlineStr">
        <is>
          <t>0075</t>
        </is>
      </c>
      <c r="F17" s="38" t="n"/>
    </row>
    <row r="18">
      <c r="A18" s="49" t="n">
        <v>11</v>
      </c>
      <c r="B18" s="38" t="n"/>
      <c r="C18" s="69" t="inlineStr">
        <is>
          <t>yes</t>
        </is>
      </c>
      <c r="D18" s="40" t="inlineStr">
        <is>
          <t>800</t>
        </is>
      </c>
      <c r="E18" s="40" t="inlineStr">
        <is>
          <t>800</t>
        </is>
      </c>
      <c r="F18" s="38" t="n"/>
    </row>
    <row r="19">
      <c r="A19" s="49" t="n">
        <v>12</v>
      </c>
      <c r="B19" s="47" t="n"/>
      <c r="C19" s="49" t="inlineStr"/>
      <c r="D19" s="48" t="inlineStr">
        <is>
          <t>(blank)</t>
        </is>
      </c>
      <c r="E19" s="48" t="inlineStr">
        <is>
          <t>(blank)</t>
        </is>
      </c>
      <c r="F19" s="47" t="n"/>
    </row>
    <row r="20">
      <c r="A20" s="49" t="n">
        <v>13</v>
      </c>
      <c r="B20" s="47" t="n"/>
      <c r="C20" s="49" t="inlineStr"/>
      <c r="D20" s="48" t="inlineStr">
        <is>
          <t>(blank)</t>
        </is>
      </c>
      <c r="E20" s="48" t="inlineStr">
        <is>
          <t>(blank)</t>
        </is>
      </c>
      <c r="F20" s="47" t="n"/>
    </row>
    <row r="21">
      <c r="A21" s="49" t="n">
        <v>14</v>
      </c>
      <c r="B21" s="47" t="n"/>
      <c r="C21" s="49" t="inlineStr"/>
      <c r="D21" s="48" t="inlineStr">
        <is>
          <t>(blank)</t>
        </is>
      </c>
      <c r="E21" s="48" t="inlineStr">
        <is>
          <t>(blank)</t>
        </is>
      </c>
      <c r="F21" s="47" t="n"/>
    </row>
    <row r="22">
      <c r="A22" s="49" t="n">
        <v>15</v>
      </c>
      <c r="B22" s="47" t="n"/>
      <c r="C22" s="49" t="inlineStr"/>
      <c r="D22" s="48" t="inlineStr">
        <is>
          <t>(blank)</t>
        </is>
      </c>
      <c r="E22" s="48" t="inlineStr">
        <is>
          <t>(blank)</t>
        </is>
      </c>
      <c r="F22" s="47" t="n"/>
    </row>
    <row r="23">
      <c r="A23" s="49" t="n">
        <v>16</v>
      </c>
      <c r="B23" s="47" t="n"/>
      <c r="C23" s="49" t="inlineStr"/>
      <c r="D23" s="48" t="inlineStr">
        <is>
          <t>(blank)</t>
        </is>
      </c>
      <c r="E23" s="48" t="inlineStr">
        <is>
          <t>(blank)</t>
        </is>
      </c>
      <c r="F23" s="47" t="n"/>
    </row>
    <row r="24">
      <c r="A24" s="49" t="n">
        <v>17</v>
      </c>
      <c r="B24" s="47" t="n"/>
      <c r="C24" s="49" t="inlineStr"/>
      <c r="D24" s="48" t="inlineStr">
        <is>
          <t>(blank)</t>
        </is>
      </c>
      <c r="E24" s="48" t="inlineStr">
        <is>
          <t>(blank)</t>
        </is>
      </c>
      <c r="F24" s="47" t="n"/>
    </row>
    <row r="25">
      <c r="A25" s="49" t="n">
        <v>18</v>
      </c>
      <c r="B25" s="38" t="n"/>
      <c r="C25" s="69" t="inlineStr">
        <is>
          <t>yes</t>
        </is>
      </c>
      <c r="D25" s="48" t="inlineStr">
        <is>
          <t>(blank)</t>
        </is>
      </c>
      <c r="E25" s="48" t="inlineStr">
        <is>
          <t>(blank)</t>
        </is>
      </c>
      <c r="F25" s="38" t="n"/>
    </row>
    <row r="26">
      <c r="A26" s="49" t="n">
        <v>19</v>
      </c>
      <c r="B26" s="38" t="n"/>
      <c r="C26" s="69" t="inlineStr">
        <is>
          <t>yes</t>
        </is>
      </c>
      <c r="D26" s="40" t="inlineStr">
        <is>
          <t>5A5E9BDC9FF44ADA9236</t>
        </is>
      </c>
      <c r="E26" s="40" t="inlineStr">
        <is>
          <t>BD0913B2D0EF4771AAEB</t>
        </is>
      </c>
      <c r="F26" s="38" t="n"/>
    </row>
    <row r="27">
      <c r="A27" s="49" t="n">
        <v>20</v>
      </c>
      <c r="B27" s="38" t="n"/>
      <c r="C27" s="69" t="inlineStr">
        <is>
          <t>yes</t>
        </is>
      </c>
      <c r="D27" s="40" t="inlineStr">
        <is>
          <t>21</t>
        </is>
      </c>
      <c r="E27" s="40" t="inlineStr">
        <is>
          <t>27</t>
        </is>
      </c>
      <c r="F27" s="38" t="n"/>
    </row>
    <row r="28">
      <c r="A28" s="49" t="n">
        <v>21</v>
      </c>
      <c r="B28" s="38" t="n"/>
      <c r="C28" s="69" t="inlineStr">
        <is>
          <t>yes</t>
        </is>
      </c>
      <c r="D28" s="40" t="inlineStr">
        <is>
          <t>0075</t>
        </is>
      </c>
      <c r="E28" s="40" t="inlineStr">
        <is>
          <t>0075</t>
        </is>
      </c>
      <c r="F28" s="38" t="n"/>
    </row>
    <row r="29">
      <c r="A29" s="49" t="n">
        <v>22</v>
      </c>
      <c r="B29" s="38" t="n"/>
      <c r="C29" s="69" t="inlineStr">
        <is>
          <t>yes</t>
        </is>
      </c>
      <c r="D29" s="40" t="inlineStr">
        <is>
          <t>MXN</t>
        </is>
      </c>
      <c r="E29" s="40" t="inlineStr">
        <is>
          <t>MXN</t>
        </is>
      </c>
      <c r="F29" s="38" t="n"/>
    </row>
    <row r="30">
      <c r="A30" s="49" t="n">
        <v>23</v>
      </c>
      <c r="B30" s="38" t="n"/>
      <c r="C30" s="69" t="inlineStr">
        <is>
          <t>yes</t>
        </is>
      </c>
      <c r="D30" s="40" t="inlineStr">
        <is>
          <t>MEXICO</t>
        </is>
      </c>
      <c r="E30" s="40" t="inlineStr">
        <is>
          <t>MEXICO</t>
        </is>
      </c>
      <c r="F30" s="38" t="n"/>
    </row>
    <row r="31">
      <c r="A31" s="49" t="n">
        <v>24</v>
      </c>
      <c r="B31" s="38" t="n"/>
      <c r="C31" s="69" t="inlineStr">
        <is>
          <t>yes</t>
        </is>
      </c>
      <c r="D31" s="40" t="inlineStr">
        <is>
          <t>2026-08-28</t>
        </is>
      </c>
      <c r="E31" s="40" t="inlineStr">
        <is>
          <t>2026-09-02</t>
        </is>
      </c>
      <c r="F31" s="38" t="n"/>
    </row>
    <row r="32">
      <c r="A32" s="49" t="n">
        <v>25</v>
      </c>
      <c r="B32" s="38" t="n"/>
      <c r="C32" s="69" t="inlineStr">
        <is>
          <t>yes</t>
        </is>
      </c>
      <c r="D32" s="40" t="inlineStr">
        <is>
          <t>2026-08-28</t>
        </is>
      </c>
      <c r="E32" s="40" t="inlineStr">
        <is>
          <t>2026-09-02</t>
        </is>
      </c>
      <c r="F32" s="38" t="n"/>
    </row>
    <row r="33">
      <c r="A33" s="49" t="n">
        <v>26</v>
      </c>
      <c r="B33" s="38" t="n"/>
      <c r="C33" s="69" t="inlineStr">
        <is>
          <t>yes</t>
        </is>
      </c>
      <c r="D33" s="40" t="inlineStr">
        <is>
          <t>2026-09-02</t>
        </is>
      </c>
      <c r="E33" s="40" t="inlineStr">
        <is>
          <t>2026-09-02</t>
        </is>
      </c>
      <c r="F33" s="38" t="n"/>
    </row>
    <row r="34">
      <c r="A34" s="49" t="n">
        <v>27</v>
      </c>
      <c r="B34" s="38" t="n"/>
      <c r="C34" s="69" t="inlineStr">
        <is>
          <t>yes</t>
        </is>
      </c>
      <c r="D34" s="40" t="inlineStr">
        <is>
          <t>EXP REP TEST</t>
        </is>
      </c>
      <c r="E34" s="40" t="inlineStr">
        <is>
          <t>Test Report</t>
        </is>
      </c>
      <c r="F34" s="38" t="n"/>
    </row>
    <row r="35">
      <c r="A35" s="49" t="n">
        <v>28</v>
      </c>
      <c r="B35" s="38" t="n"/>
      <c r="C35" s="69" t="inlineStr">
        <is>
          <t>yes</t>
        </is>
      </c>
      <c r="D35" s="40" t="inlineStr">
        <is>
          <t>Y</t>
        </is>
      </c>
      <c r="E35" s="40" t="inlineStr">
        <is>
          <t>Y</t>
        </is>
      </c>
      <c r="F35" s="38" t="n"/>
    </row>
    <row r="36">
      <c r="A36" s="49" t="n">
        <v>29</v>
      </c>
      <c r="B36" s="38" t="n"/>
      <c r="C36" s="69" t="inlineStr">
        <is>
          <t>yes</t>
        </is>
      </c>
      <c r="D36" s="40" t="inlineStr">
        <is>
          <t>Y</t>
        </is>
      </c>
      <c r="E36" s="40" t="inlineStr">
        <is>
          <t>Y</t>
        </is>
      </c>
      <c r="F36" s="38" t="n"/>
    </row>
    <row r="37">
      <c r="A37" s="49" t="n">
        <v>30</v>
      </c>
      <c r="B37" s="38" t="n"/>
      <c r="C37" s="69" t="inlineStr">
        <is>
          <t>yes</t>
        </is>
      </c>
      <c r="D37" s="40" t="inlineStr">
        <is>
          <t>N</t>
        </is>
      </c>
      <c r="E37" s="40" t="inlineStr">
        <is>
          <t>N</t>
        </is>
      </c>
      <c r="F37" s="38" t="n"/>
    </row>
    <row r="38">
      <c r="A38" s="49" t="n">
        <v>31</v>
      </c>
      <c r="B38" s="38" t="n"/>
      <c r="C38" s="69" t="inlineStr">
        <is>
          <t>yes</t>
        </is>
      </c>
      <c r="D38" s="40" t="inlineStr">
        <is>
          <t>16009.9800</t>
        </is>
      </c>
      <c r="E38" s="40" t="inlineStr">
        <is>
          <t>48906.3100</t>
        </is>
      </c>
      <c r="F38" s="38" t="n"/>
    </row>
    <row r="39">
      <c r="A39" s="49" t="n">
        <v>32</v>
      </c>
      <c r="B39" s="38" t="n"/>
      <c r="C39" s="69" t="inlineStr">
        <is>
          <t>yes</t>
        </is>
      </c>
      <c r="D39" s="40" t="inlineStr">
        <is>
          <t>16009.9800</t>
        </is>
      </c>
      <c r="E39" s="40" t="inlineStr">
        <is>
          <t>48906.3100</t>
        </is>
      </c>
      <c r="F39" s="38" t="n"/>
    </row>
    <row r="40">
      <c r="A40" s="49" t="n">
        <v>33</v>
      </c>
      <c r="B40" s="38" t="n"/>
      <c r="C40" s="69" t="inlineStr">
        <is>
          <t>yes</t>
        </is>
      </c>
      <c r="D40" s="40" t="inlineStr">
        <is>
          <t>*Mexico Expense Policy - AS / NGP</t>
        </is>
      </c>
      <c r="E40" s="40" t="inlineStr">
        <is>
          <t>*Mexico Expense Policy - AS / NGP</t>
        </is>
      </c>
      <c r="F40" s="38" t="n"/>
    </row>
    <row r="41">
      <c r="A41" s="49" t="n">
        <v>34</v>
      </c>
      <c r="B41" s="47" t="n"/>
      <c r="C41" s="49" t="inlineStr"/>
      <c r="D41" s="48" t="inlineStr">
        <is>
          <t>(blank)</t>
        </is>
      </c>
      <c r="E41" s="48" t="inlineStr">
        <is>
          <t>(blank)</t>
        </is>
      </c>
      <c r="F41" s="47" t="n"/>
    </row>
    <row r="42">
      <c r="A42" s="49" t="n">
        <v>35</v>
      </c>
      <c r="B42" s="38" t="n"/>
      <c r="C42" s="69" t="inlineStr">
        <is>
          <t>yes</t>
        </is>
      </c>
      <c r="D42" s="40" t="inlineStr">
        <is>
          <t>0075</t>
        </is>
      </c>
      <c r="E42" s="40" t="inlineStr">
        <is>
          <t>0075</t>
        </is>
      </c>
      <c r="F42" s="38" t="n"/>
    </row>
    <row r="43">
      <c r="A43" s="49" t="n">
        <v>36</v>
      </c>
      <c r="B43" s="38" t="n"/>
      <c r="C43" s="69" t="inlineStr">
        <is>
          <t>yes</t>
        </is>
      </c>
      <c r="D43" s="40" t="inlineStr">
        <is>
          <t>800</t>
        </is>
      </c>
      <c r="E43" s="40" t="inlineStr">
        <is>
          <t>910</t>
        </is>
      </c>
      <c r="F43" s="38" t="n"/>
    </row>
    <row r="44">
      <c r="A44" s="49" t="n">
        <v>37</v>
      </c>
      <c r="B44" s="47" t="n"/>
      <c r="C44" s="49" t="inlineStr"/>
      <c r="D44" s="48" t="inlineStr">
        <is>
          <t>(blank)</t>
        </is>
      </c>
      <c r="E44" s="48" t="inlineStr">
        <is>
          <t>(blank)</t>
        </is>
      </c>
      <c r="F44" s="47" t="n"/>
    </row>
    <row r="45">
      <c r="A45" s="49" t="n">
        <v>38</v>
      </c>
      <c r="B45" s="47" t="n"/>
      <c r="C45" s="49" t="inlineStr"/>
      <c r="D45" s="48" t="inlineStr">
        <is>
          <t>(blank)</t>
        </is>
      </c>
      <c r="E45" s="48" t="inlineStr">
        <is>
          <t>(blank)</t>
        </is>
      </c>
      <c r="F45" s="47" t="n"/>
    </row>
    <row r="46">
      <c r="A46" s="49" t="n">
        <v>39</v>
      </c>
      <c r="B46" s="47" t="n"/>
      <c r="C46" s="49" t="inlineStr"/>
      <c r="D46" s="48" t="inlineStr">
        <is>
          <t>(blank)</t>
        </is>
      </c>
      <c r="E46" s="48" t="inlineStr">
        <is>
          <t>(blank)</t>
        </is>
      </c>
      <c r="F46" s="47" t="n"/>
    </row>
    <row r="47">
      <c r="A47" s="49" t="n">
        <v>40</v>
      </c>
      <c r="B47" s="47" t="n"/>
      <c r="C47" s="49" t="inlineStr"/>
      <c r="D47" s="48" t="inlineStr">
        <is>
          <t>(blank)</t>
        </is>
      </c>
      <c r="E47" s="48" t="inlineStr">
        <is>
          <t>(blank)</t>
        </is>
      </c>
      <c r="F47" s="47" t="n"/>
    </row>
    <row r="48">
      <c r="A48" s="49" t="n">
        <v>41</v>
      </c>
      <c r="B48" s="38" t="n"/>
      <c r="C48" s="69" t="inlineStr">
        <is>
          <t>yes</t>
        </is>
      </c>
      <c r="D48" s="40" t="inlineStr">
        <is>
          <t>2026-08-30</t>
        </is>
      </c>
      <c r="E48" s="40" t="inlineStr">
        <is>
          <t>2026-08-29</t>
        </is>
      </c>
      <c r="F48" s="38" t="n"/>
    </row>
    <row r="49">
      <c r="A49" s="49" t="n">
        <v>42</v>
      </c>
      <c r="B49" s="47" t="n"/>
      <c r="C49" s="49" t="inlineStr"/>
      <c r="D49" s="48" t="inlineStr">
        <is>
          <t>(blank)</t>
        </is>
      </c>
      <c r="E49" s="48" t="inlineStr">
        <is>
          <t>(blank)</t>
        </is>
      </c>
      <c r="F49" s="47" t="n"/>
    </row>
    <row r="50">
      <c r="A50" s="49" t="n">
        <v>43</v>
      </c>
      <c r="B50" s="47" t="n"/>
      <c r="C50" s="49" t="inlineStr"/>
      <c r="D50" s="48" t="inlineStr">
        <is>
          <t>(blank)</t>
        </is>
      </c>
      <c r="E50" s="48" t="inlineStr">
        <is>
          <t>(blank)</t>
        </is>
      </c>
      <c r="F50" s="47" t="n"/>
    </row>
    <row r="51">
      <c r="A51" s="49" t="n">
        <v>44</v>
      </c>
      <c r="B51" s="47" t="n"/>
      <c r="C51" s="49" t="inlineStr"/>
      <c r="D51" s="48" t="inlineStr">
        <is>
          <t>(blank)</t>
        </is>
      </c>
      <c r="E51" s="48" t="inlineStr">
        <is>
          <t>(blank)</t>
        </is>
      </c>
      <c r="F51" s="47" t="n"/>
    </row>
    <row r="52">
      <c r="A52" s="49" t="n">
        <v>45</v>
      </c>
      <c r="B52" s="47" t="n"/>
      <c r="C52" s="49" t="inlineStr"/>
      <c r="D52" s="48" t="inlineStr">
        <is>
          <t>(blank)</t>
        </is>
      </c>
      <c r="E52" s="48" t="inlineStr">
        <is>
          <t>(blank)</t>
        </is>
      </c>
      <c r="F52" s="47" t="n"/>
    </row>
    <row r="53">
      <c r="A53" s="49" t="n">
        <v>46</v>
      </c>
      <c r="B53" s="38" t="n"/>
      <c r="C53" s="69" t="inlineStr">
        <is>
          <t>yes</t>
        </is>
      </c>
      <c r="D53" s="40" t="inlineStr">
        <is>
          <t>Monterrey Office/Trip Ohio Maumee-Brecksville</t>
        </is>
      </c>
      <c r="E53" s="40" t="inlineStr">
        <is>
          <t>Test</t>
        </is>
      </c>
      <c r="F53" s="38" t="n"/>
    </row>
    <row r="54">
      <c r="A54" s="49" t="n">
        <v>47</v>
      </c>
      <c r="B54" s="47" t="n"/>
      <c r="C54" s="49" t="inlineStr"/>
      <c r="D54" s="48" t="inlineStr">
        <is>
          <t>(blank)</t>
        </is>
      </c>
      <c r="E54" s="48" t="inlineStr">
        <is>
          <t>(blank)</t>
        </is>
      </c>
      <c r="F54" s="47" t="n"/>
    </row>
    <row r="55">
      <c r="A55" s="49" t="n">
        <v>48</v>
      </c>
      <c r="B55" s="47" t="n"/>
      <c r="C55" s="49" t="inlineStr"/>
      <c r="D55" s="48" t="inlineStr">
        <is>
          <t>(blank)</t>
        </is>
      </c>
      <c r="E55" s="48" t="inlineStr">
        <is>
          <t>(blank)</t>
        </is>
      </c>
      <c r="F55" s="47" t="n"/>
    </row>
    <row r="56">
      <c r="A56" s="49" t="n">
        <v>49</v>
      </c>
      <c r="B56" s="47" t="n"/>
      <c r="C56" s="49" t="inlineStr"/>
      <c r="D56" s="48" t="inlineStr">
        <is>
          <t>(blank)</t>
        </is>
      </c>
      <c r="E56" s="48" t="inlineStr">
        <is>
          <t>(blank)</t>
        </is>
      </c>
      <c r="F56" s="47" t="n"/>
    </row>
    <row r="57">
      <c r="A57" s="49" t="n">
        <v>50</v>
      </c>
      <c r="B57" s="47" t="n"/>
      <c r="C57" s="49" t="inlineStr"/>
      <c r="D57" s="48" t="inlineStr">
        <is>
          <t>(blank)</t>
        </is>
      </c>
      <c r="E57" s="48" t="inlineStr">
        <is>
          <t>(blank)</t>
        </is>
      </c>
      <c r="F57" s="47" t="n"/>
    </row>
    <row r="58">
      <c r="A58" s="49" t="n">
        <v>51</v>
      </c>
      <c r="B58" s="47" t="n"/>
      <c r="C58" s="49" t="inlineStr"/>
      <c r="D58" s="48" t="inlineStr">
        <is>
          <t>(blank)</t>
        </is>
      </c>
      <c r="E58" s="48" t="inlineStr">
        <is>
          <t>(blank)</t>
        </is>
      </c>
      <c r="F58" s="47" t="n"/>
    </row>
    <row r="59">
      <c r="A59" s="49" t="n">
        <v>52</v>
      </c>
      <c r="B59" s="47" t="n"/>
      <c r="C59" s="49" t="inlineStr"/>
      <c r="D59" s="48" t="inlineStr">
        <is>
          <t>(blank)</t>
        </is>
      </c>
      <c r="E59" s="48" t="inlineStr">
        <is>
          <t>(blank)</t>
        </is>
      </c>
      <c r="F59" s="47" t="n"/>
    </row>
    <row r="60">
      <c r="A60" s="49" t="n">
        <v>53</v>
      </c>
      <c r="B60" s="47" t="n"/>
      <c r="C60" s="49" t="inlineStr"/>
      <c r="D60" s="48" t="inlineStr">
        <is>
          <t>(blank)</t>
        </is>
      </c>
      <c r="E60" s="48" t="inlineStr">
        <is>
          <t>(blank)</t>
        </is>
      </c>
      <c r="F60" s="47" t="n"/>
    </row>
    <row r="61">
      <c r="A61" s="49" t="n">
        <v>54</v>
      </c>
      <c r="B61" s="47" t="n"/>
      <c r="C61" s="49" t="inlineStr"/>
      <c r="D61" s="48" t="inlineStr">
        <is>
          <t>(blank)</t>
        </is>
      </c>
      <c r="E61" s="48" t="inlineStr">
        <is>
          <t>(blank)</t>
        </is>
      </c>
      <c r="F61" s="47" t="n"/>
    </row>
    <row r="62">
      <c r="A62" s="49" t="n">
        <v>55</v>
      </c>
      <c r="B62" s="38" t="n"/>
      <c r="C62" s="69" t="inlineStr">
        <is>
          <t>yes</t>
        </is>
      </c>
      <c r="D62" s="40" t="inlineStr">
        <is>
          <t>0075</t>
        </is>
      </c>
      <c r="E62" s="40" t="inlineStr">
        <is>
          <t>0075</t>
        </is>
      </c>
      <c r="F62" s="38" t="n"/>
    </row>
    <row r="63">
      <c r="A63" s="49" t="n">
        <v>56</v>
      </c>
      <c r="B63" s="38" t="n"/>
      <c r="C63" s="69" t="inlineStr">
        <is>
          <t>yes</t>
        </is>
      </c>
      <c r="D63" s="40" t="inlineStr">
        <is>
          <t>202182</t>
        </is>
      </c>
      <c r="E63" s="40" t="inlineStr">
        <is>
          <t>202218</t>
        </is>
      </c>
      <c r="F63" s="38" t="n"/>
    </row>
    <row r="64">
      <c r="A64" s="49" t="n">
        <v>57</v>
      </c>
      <c r="B64" s="47" t="n"/>
      <c r="C64" s="49" t="inlineStr"/>
      <c r="D64" s="48" t="inlineStr">
        <is>
          <t>(blank)</t>
        </is>
      </c>
      <c r="E64" s="48" t="inlineStr">
        <is>
          <t>(blank)</t>
        </is>
      </c>
      <c r="F64" s="47" t="n"/>
    </row>
    <row r="65">
      <c r="A65" s="49" t="n">
        <v>58</v>
      </c>
      <c r="B65" s="47" t="n"/>
      <c r="C65" s="49" t="inlineStr"/>
      <c r="D65" s="48" t="inlineStr">
        <is>
          <t>(blank)</t>
        </is>
      </c>
      <c r="E65" s="48" t="inlineStr">
        <is>
          <t>(blank)</t>
        </is>
      </c>
      <c r="F65" s="47" t="n"/>
    </row>
    <row r="66">
      <c r="A66" s="49" t="n">
        <v>59</v>
      </c>
      <c r="B66" s="47" t="n"/>
      <c r="C66" s="49" t="inlineStr"/>
      <c r="D66" s="48" t="inlineStr">
        <is>
          <t>(blank)</t>
        </is>
      </c>
      <c r="E66" s="48" t="inlineStr">
        <is>
          <t>(blank)</t>
        </is>
      </c>
      <c r="F66" s="47" t="n"/>
    </row>
    <row r="67">
      <c r="A67" s="49" t="n">
        <v>60</v>
      </c>
      <c r="B67" s="47" t="n"/>
      <c r="C67" s="49" t="inlineStr"/>
      <c r="D67" s="48" t="inlineStr">
        <is>
          <t>(blank)</t>
        </is>
      </c>
      <c r="E67" s="48" t="inlineStr">
        <is>
          <t>(blank)</t>
        </is>
      </c>
      <c r="F67" s="47" t="n"/>
    </row>
    <row r="68">
      <c r="A68" s="49" t="n">
        <v>61</v>
      </c>
      <c r="B68" s="38" t="n"/>
      <c r="C68" s="69" t="inlineStr">
        <is>
          <t>yes</t>
        </is>
      </c>
      <c r="D68" s="40" t="inlineStr">
        <is>
          <t>196</t>
        </is>
      </c>
      <c r="E68" s="40" t="inlineStr">
        <is>
          <t>259</t>
        </is>
      </c>
      <c r="F68" s="38" t="n"/>
    </row>
    <row r="69">
      <c r="A69" s="49" t="n">
        <v>62</v>
      </c>
      <c r="B69" s="38" t="n"/>
      <c r="C69" s="69" t="inlineStr">
        <is>
          <t>yes</t>
        </is>
      </c>
      <c r="D69" s="40" t="inlineStr">
        <is>
          <t>REG</t>
        </is>
      </c>
      <c r="E69" s="40" t="inlineStr">
        <is>
          <t>CHD</t>
        </is>
      </c>
      <c r="F69" s="38" t="n"/>
    </row>
    <row r="70">
      <c r="A70" s="49" t="n">
        <v>63</v>
      </c>
      <c r="B70" s="38" t="n"/>
      <c r="C70" s="69" t="inlineStr">
        <is>
          <t>yes</t>
        </is>
      </c>
      <c r="D70" s="40" t="inlineStr">
        <is>
          <t>Shop Supplies</t>
        </is>
      </c>
      <c r="E70" s="40" t="inlineStr">
        <is>
          <t>Hotel / Lodging</t>
        </is>
      </c>
      <c r="F70" s="38" t="n"/>
    </row>
    <row r="71">
      <c r="A71" s="49" t="n">
        <v>64</v>
      </c>
      <c r="B71" s="38" t="n"/>
      <c r="C71" s="69" t="inlineStr">
        <is>
          <t>yes</t>
        </is>
      </c>
      <c r="D71" s="40" t="inlineStr">
        <is>
          <t>2026-08-17</t>
        </is>
      </c>
      <c r="E71" s="40" t="inlineStr">
        <is>
          <t>2026-08-25</t>
        </is>
      </c>
      <c r="F71" s="38" t="n"/>
    </row>
    <row r="72">
      <c r="A72" s="49" t="n">
        <v>65</v>
      </c>
      <c r="B72" s="38" t="n"/>
      <c r="C72" s="69" t="inlineStr">
        <is>
          <t>yes</t>
        </is>
      </c>
      <c r="D72" s="40" t="inlineStr">
        <is>
          <t>MXN</t>
        </is>
      </c>
      <c r="E72" s="40" t="inlineStr">
        <is>
          <t>MXN</t>
        </is>
      </c>
      <c r="F72" s="38" t="n"/>
    </row>
    <row r="73">
      <c r="A73" s="49" t="n">
        <v>66</v>
      </c>
      <c r="B73" s="38" t="n"/>
      <c r="C73" s="69" t="inlineStr">
        <is>
          <t>yes</t>
        </is>
      </c>
      <c r="D73" s="40" t="inlineStr">
        <is>
          <t>1.0000</t>
        </is>
      </c>
      <c r="E73" s="40" t="inlineStr">
        <is>
          <t>1.0000</t>
        </is>
      </c>
      <c r="F73" s="38" t="n"/>
    </row>
    <row r="74">
      <c r="A74" s="49" t="n">
        <v>67</v>
      </c>
      <c r="B74" s="38" t="n"/>
      <c r="C74" s="69" t="inlineStr">
        <is>
          <t>yes</t>
        </is>
      </c>
      <c r="D74" s="40" t="inlineStr">
        <is>
          <t>M</t>
        </is>
      </c>
      <c r="E74" s="40" t="inlineStr">
        <is>
          <t>M</t>
        </is>
      </c>
      <c r="F74" s="38" t="n"/>
    </row>
    <row r="75">
      <c r="A75" s="49" t="n">
        <v>68</v>
      </c>
      <c r="B75" s="38" t="n"/>
      <c r="C75" s="69" t="inlineStr">
        <is>
          <t>yes</t>
        </is>
      </c>
      <c r="D75" s="40" t="inlineStr">
        <is>
          <t>N</t>
        </is>
      </c>
      <c r="E75" s="40" t="inlineStr">
        <is>
          <t>N</t>
        </is>
      </c>
      <c r="F75" s="38" t="n"/>
    </row>
    <row r="76">
      <c r="A76" s="49" t="n">
        <v>69</v>
      </c>
      <c r="B76" s="38" t="n"/>
      <c r="C76" s="69" t="inlineStr">
        <is>
          <t>yes</t>
        </is>
      </c>
      <c r="D76" s="40" t="inlineStr">
        <is>
          <t>Monterrey Office/Trip Ohio Maumee-Brecksville</t>
        </is>
      </c>
      <c r="E76" s="40" t="inlineStr">
        <is>
          <t>Test</t>
        </is>
      </c>
      <c r="F76" s="38" t="n"/>
    </row>
    <row r="77">
      <c r="A77" s="49" t="n">
        <v>70</v>
      </c>
      <c r="B77" s="38" t="n"/>
      <c r="C77" s="69" t="inlineStr">
        <is>
          <t>yes</t>
        </is>
      </c>
      <c r="D77" s="48" t="inlineStr">
        <is>
          <t>(blank)</t>
        </is>
      </c>
      <c r="E77" s="40" t="inlineStr">
        <is>
          <t>Stakis Hotels</t>
        </is>
      </c>
      <c r="F77" s="38" t="n"/>
    </row>
    <row r="78">
      <c r="A78" s="49" t="n">
        <v>71</v>
      </c>
      <c r="B78" s="38" t="n"/>
      <c r="C78" s="69" t="inlineStr">
        <is>
          <t>yes</t>
        </is>
      </c>
      <c r="D78" s="40" t="inlineStr">
        <is>
          <t>PRAXAIR MEXICO</t>
        </is>
      </c>
      <c r="E78" s="40" t="inlineStr">
        <is>
          <t>STAKIS HOTELS</t>
        </is>
      </c>
      <c r="F78" s="38" t="n"/>
    </row>
    <row r="79">
      <c r="A79" s="49" t="n">
        <v>72</v>
      </c>
      <c r="B79" s="38" t="n"/>
      <c r="C79" s="69" t="inlineStr">
        <is>
          <t>yes</t>
        </is>
      </c>
      <c r="D79" s="40" t="inlineStr">
        <is>
          <t>N</t>
        </is>
      </c>
      <c r="E79" s="40" t="inlineStr">
        <is>
          <t>N</t>
        </is>
      </c>
      <c r="F79" s="38" t="n"/>
    </row>
    <row r="80">
      <c r="A80" s="49" t="n">
        <v>73</v>
      </c>
      <c r="B80" s="38" t="n"/>
      <c r="C80" s="69" t="inlineStr">
        <is>
          <t>yes</t>
        </is>
      </c>
      <c r="D80" s="40" t="inlineStr">
        <is>
          <t>T</t>
        </is>
      </c>
      <c r="E80" s="40" t="inlineStr">
        <is>
          <t>T</t>
        </is>
      </c>
      <c r="F80" s="38" t="n"/>
    </row>
    <row r="81">
      <c r="A81" s="49" t="n">
        <v>74</v>
      </c>
      <c r="B81" s="47" t="n"/>
      <c r="C81" s="49" t="inlineStr"/>
      <c r="D81" s="48" t="inlineStr">
        <is>
          <t>(blank)</t>
        </is>
      </c>
      <c r="E81" s="48" t="inlineStr">
        <is>
          <t>(blank)</t>
        </is>
      </c>
      <c r="F81" s="47" t="n"/>
    </row>
    <row r="82">
      <c r="A82" s="49" t="n">
        <v>75</v>
      </c>
      <c r="B82" s="47" t="n"/>
      <c r="C82" s="49" t="inlineStr"/>
      <c r="D82" s="48" t="inlineStr">
        <is>
          <t>(blank)</t>
        </is>
      </c>
      <c r="E82" s="48" t="inlineStr">
        <is>
          <t>(blank)</t>
        </is>
      </c>
      <c r="F82" s="47" t="n"/>
    </row>
    <row r="83">
      <c r="A83" s="49" t="n">
        <v>76</v>
      </c>
      <c r="B83" s="47" t="n"/>
      <c r="C83" s="49" t="inlineStr"/>
      <c r="D83" s="48" t="inlineStr">
        <is>
          <t>(blank)</t>
        </is>
      </c>
      <c r="E83" s="48" t="inlineStr">
        <is>
          <t>(blank)</t>
        </is>
      </c>
      <c r="F83" s="47" t="n"/>
    </row>
    <row r="84">
      <c r="A84" s="49" t="n">
        <v>77</v>
      </c>
      <c r="B84" s="47" t="n"/>
      <c r="C84" s="49" t="inlineStr"/>
      <c r="D84" s="48" t="inlineStr">
        <is>
          <t>(blank)</t>
        </is>
      </c>
      <c r="E84" s="48" t="inlineStr">
        <is>
          <t>(blank)</t>
        </is>
      </c>
      <c r="F84" s="47" t="n"/>
    </row>
    <row r="85">
      <c r="A85" s="49" t="n">
        <v>78</v>
      </c>
      <c r="B85" s="47" t="n"/>
      <c r="C85" s="49" t="inlineStr"/>
      <c r="D85" s="48" t="inlineStr">
        <is>
          <t>(blank)</t>
        </is>
      </c>
      <c r="E85" s="48" t="inlineStr">
        <is>
          <t>(blank)</t>
        </is>
      </c>
      <c r="F85" s="47" t="n"/>
    </row>
    <row r="86">
      <c r="A86" s="49" t="n">
        <v>79</v>
      </c>
      <c r="B86" s="47" t="n"/>
      <c r="C86" s="49" t="inlineStr"/>
      <c r="D86" s="48" t="inlineStr">
        <is>
          <t>(blank)</t>
        </is>
      </c>
      <c r="E86" s="48" t="inlineStr">
        <is>
          <t>(blank)</t>
        </is>
      </c>
      <c r="F86" s="47" t="n"/>
    </row>
    <row r="87">
      <c r="A87" s="49" t="n">
        <v>80</v>
      </c>
      <c r="B87" s="47" t="n"/>
      <c r="C87" s="49" t="inlineStr"/>
      <c r="D87" s="48" t="inlineStr">
        <is>
          <t>(blank)</t>
        </is>
      </c>
      <c r="E87" s="48" t="inlineStr">
        <is>
          <t>(blank)</t>
        </is>
      </c>
      <c r="F87" s="47" t="n"/>
    </row>
    <row r="88">
      <c r="A88" s="49" t="n">
        <v>81</v>
      </c>
      <c r="B88" s="47" t="n"/>
      <c r="C88" s="49" t="inlineStr"/>
      <c r="D88" s="48" t="inlineStr">
        <is>
          <t>(blank)</t>
        </is>
      </c>
      <c r="E88" s="48" t="inlineStr">
        <is>
          <t>(blank)</t>
        </is>
      </c>
      <c r="F88" s="47" t="n"/>
    </row>
    <row r="89">
      <c r="A89" s="49" t="n">
        <v>82</v>
      </c>
      <c r="B89" s="47" t="n"/>
      <c r="C89" s="49" t="inlineStr"/>
      <c r="D89" s="48" t="inlineStr">
        <is>
          <t>(blank)</t>
        </is>
      </c>
      <c r="E89" s="48" t="inlineStr">
        <is>
          <t>(blank)</t>
        </is>
      </c>
      <c r="F89" s="47" t="n"/>
    </row>
    <row r="90">
      <c r="A90" s="49" t="n">
        <v>83</v>
      </c>
      <c r="B90" s="47" t="n"/>
      <c r="C90" s="49" t="inlineStr"/>
      <c r="D90" s="48" t="inlineStr">
        <is>
          <t>(blank)</t>
        </is>
      </c>
      <c r="E90" s="48" t="inlineStr">
        <is>
          <t>(blank)</t>
        </is>
      </c>
      <c r="F90" s="47" t="n"/>
    </row>
    <row r="91">
      <c r="A91" s="49" t="n">
        <v>84</v>
      </c>
      <c r="B91" s="38" t="n"/>
      <c r="C91" s="69" t="inlineStr">
        <is>
          <t>yes</t>
        </is>
      </c>
      <c r="D91" s="40" t="inlineStr">
        <is>
          <t>Monterrey Office/Trip Ohio Maumee-Brecksville</t>
        </is>
      </c>
      <c r="E91" s="40" t="inlineStr">
        <is>
          <t>Test</t>
        </is>
      </c>
      <c r="F91" s="38" t="n"/>
    </row>
    <row r="92">
      <c r="A92" s="49" t="n">
        <v>85</v>
      </c>
      <c r="B92" s="38" t="n"/>
      <c r="C92" s="69" t="inlineStr">
        <is>
          <t>yes</t>
        </is>
      </c>
      <c r="D92" s="48" t="inlineStr">
        <is>
          <t>(blank)</t>
        </is>
      </c>
      <c r="E92" s="48" t="inlineStr">
        <is>
          <t>(blank)</t>
        </is>
      </c>
      <c r="F92" s="38" t="n"/>
    </row>
    <row r="93">
      <c r="A93" s="49" t="n">
        <v>86</v>
      </c>
      <c r="B93" s="38" t="n"/>
      <c r="C93" s="69" t="inlineStr">
        <is>
          <t>yes</t>
        </is>
      </c>
      <c r="D93" s="48" t="inlineStr">
        <is>
          <t>(blank)</t>
        </is>
      </c>
      <c r="E93" s="48" t="inlineStr">
        <is>
          <t>(blank)</t>
        </is>
      </c>
      <c r="F93" s="38" t="n"/>
    </row>
    <row r="94">
      <c r="A94" s="49" t="n">
        <v>87</v>
      </c>
      <c r="B94" s="38" t="n"/>
      <c r="C94" s="69" t="inlineStr">
        <is>
          <t>yes</t>
        </is>
      </c>
      <c r="D94" s="40" t="inlineStr">
        <is>
          <t>000051321396</t>
        </is>
      </c>
      <c r="E94" s="40" t="inlineStr">
        <is>
          <t>165165165165165151</t>
        </is>
      </c>
      <c r="F94" s="38" t="n"/>
    </row>
    <row r="95">
      <c r="A95" s="49" t="n">
        <v>88</v>
      </c>
      <c r="B95" s="47" t="n"/>
      <c r="C95" s="49" t="inlineStr"/>
      <c r="D95" s="48" t="inlineStr">
        <is>
          <t>(blank)</t>
        </is>
      </c>
      <c r="E95" s="48" t="inlineStr">
        <is>
          <t>(blank)</t>
        </is>
      </c>
      <c r="F95" s="47" t="n"/>
    </row>
    <row r="96">
      <c r="A96" s="49" t="n">
        <v>89</v>
      </c>
      <c r="B96" s="38" t="n"/>
      <c r="C96" s="69" t="inlineStr">
        <is>
          <t>yes</t>
        </is>
      </c>
      <c r="D96" s="48" t="inlineStr">
        <is>
          <t>(blank)</t>
        </is>
      </c>
      <c r="E96" s="48" t="inlineStr">
        <is>
          <t>(blank)</t>
        </is>
      </c>
      <c r="F96" s="38" t="n"/>
    </row>
    <row r="97">
      <c r="A97" s="49" t="n">
        <v>90</v>
      </c>
      <c r="B97" s="47" t="n"/>
      <c r="C97" s="49" t="inlineStr"/>
      <c r="D97" s="48" t="inlineStr">
        <is>
          <t>(blank)</t>
        </is>
      </c>
      <c r="E97" s="48" t="inlineStr">
        <is>
          <t>(blank)</t>
        </is>
      </c>
      <c r="F97" s="47" t="n"/>
    </row>
    <row r="98">
      <c r="A98" s="49" t="n">
        <v>91</v>
      </c>
      <c r="B98" s="47" t="n"/>
      <c r="C98" s="49" t="inlineStr"/>
      <c r="D98" s="48" t="inlineStr">
        <is>
          <t>(blank)</t>
        </is>
      </c>
      <c r="E98" s="48" t="inlineStr">
        <is>
          <t>(blank)</t>
        </is>
      </c>
      <c r="F98" s="47" t="n"/>
    </row>
    <row r="99">
      <c r="A99" s="49" t="n">
        <v>92</v>
      </c>
      <c r="B99" s="47" t="n"/>
      <c r="C99" s="49" t="inlineStr"/>
      <c r="D99" s="48" t="inlineStr">
        <is>
          <t>(blank)</t>
        </is>
      </c>
      <c r="E99" s="48" t="inlineStr">
        <is>
          <t>(blank)</t>
        </is>
      </c>
      <c r="F99" s="47" t="n"/>
    </row>
    <row r="100">
      <c r="A100" s="49" t="n">
        <v>93</v>
      </c>
      <c r="B100" s="47" t="n"/>
      <c r="C100" s="49" t="inlineStr"/>
      <c r="D100" s="48" t="inlineStr">
        <is>
          <t>(blank)</t>
        </is>
      </c>
      <c r="E100" s="48" t="inlineStr">
        <is>
          <t>(blank)</t>
        </is>
      </c>
      <c r="F100" s="47" t="n"/>
    </row>
    <row r="101">
      <c r="A101" s="49" t="n">
        <v>94</v>
      </c>
      <c r="B101" s="47" t="n"/>
      <c r="C101" s="49" t="inlineStr"/>
      <c r="D101" s="48" t="inlineStr">
        <is>
          <t>(blank)</t>
        </is>
      </c>
      <c r="E101" s="48" t="inlineStr">
        <is>
          <t>(blank)</t>
        </is>
      </c>
      <c r="F101" s="47" t="n"/>
    </row>
    <row r="102">
      <c r="A102" s="49" t="n">
        <v>95</v>
      </c>
      <c r="B102" s="47" t="n"/>
      <c r="C102" s="49" t="inlineStr"/>
      <c r="D102" s="48" t="inlineStr">
        <is>
          <t>(blank)</t>
        </is>
      </c>
      <c r="E102" s="48" t="inlineStr">
        <is>
          <t>(blank)</t>
        </is>
      </c>
      <c r="F102" s="47" t="n"/>
    </row>
    <row r="103">
      <c r="A103" s="49" t="n">
        <v>96</v>
      </c>
      <c r="B103" s="47" t="n"/>
      <c r="C103" s="49" t="inlineStr"/>
      <c r="D103" s="48" t="inlineStr">
        <is>
          <t>(blank)</t>
        </is>
      </c>
      <c r="E103" s="48" t="inlineStr">
        <is>
          <t>(blank)</t>
        </is>
      </c>
      <c r="F103" s="47" t="n"/>
    </row>
    <row r="104">
      <c r="A104" s="49" t="n">
        <v>97</v>
      </c>
      <c r="B104" s="47" t="n"/>
      <c r="C104" s="49" t="inlineStr"/>
      <c r="D104" s="48" t="inlineStr">
        <is>
          <t>(blank)</t>
        </is>
      </c>
      <c r="E104" s="48" t="inlineStr">
        <is>
          <t>(blank)</t>
        </is>
      </c>
      <c r="F104" s="47" t="n"/>
    </row>
    <row r="105">
      <c r="A105" s="49" t="n">
        <v>98</v>
      </c>
      <c r="B105" s="47" t="n"/>
      <c r="C105" s="49" t="inlineStr"/>
      <c r="D105" s="48" t="inlineStr">
        <is>
          <t>(blank)</t>
        </is>
      </c>
      <c r="E105" s="48" t="inlineStr">
        <is>
          <t>(blank)</t>
        </is>
      </c>
      <c r="F105" s="47" t="n"/>
    </row>
    <row r="106">
      <c r="A106" s="49" t="n">
        <v>99</v>
      </c>
      <c r="B106" s="47" t="n"/>
      <c r="C106" s="49" t="inlineStr"/>
      <c r="D106" s="48" t="inlineStr">
        <is>
          <t>(blank)</t>
        </is>
      </c>
      <c r="E106" s="48" t="inlineStr">
        <is>
          <t>(blank)</t>
        </is>
      </c>
      <c r="F106" s="47" t="n"/>
    </row>
    <row r="107">
      <c r="A107" s="49" t="n">
        <v>100</v>
      </c>
      <c r="B107" s="47" t="n"/>
      <c r="C107" s="49" t="inlineStr"/>
      <c r="D107" s="48" t="inlineStr">
        <is>
          <t>(blank)</t>
        </is>
      </c>
      <c r="E107" s="48" t="inlineStr">
        <is>
          <t>(blank)</t>
        </is>
      </c>
      <c r="F107" s="47" t="n"/>
    </row>
    <row r="108">
      <c r="A108" s="49" t="n">
        <v>101</v>
      </c>
      <c r="B108" s="47" t="n"/>
      <c r="C108" s="49" t="inlineStr"/>
      <c r="D108" s="48" t="inlineStr">
        <is>
          <t>(blank)</t>
        </is>
      </c>
      <c r="E108" s="48" t="inlineStr">
        <is>
          <t>(blank)</t>
        </is>
      </c>
      <c r="F108" s="47" t="n"/>
    </row>
    <row r="109">
      <c r="A109" s="49" t="n">
        <v>102</v>
      </c>
      <c r="B109" s="47" t="n"/>
      <c r="C109" s="49" t="inlineStr"/>
      <c r="D109" s="48" t="inlineStr">
        <is>
          <t>(blank)</t>
        </is>
      </c>
      <c r="E109" s="48" t="inlineStr">
        <is>
          <t>(blank)</t>
        </is>
      </c>
      <c r="F109" s="47" t="n"/>
    </row>
    <row r="110">
      <c r="A110" s="49" t="n">
        <v>103</v>
      </c>
      <c r="B110" s="47" t="n"/>
      <c r="C110" s="49" t="inlineStr"/>
      <c r="D110" s="48" t="inlineStr">
        <is>
          <t>(blank)</t>
        </is>
      </c>
      <c r="E110" s="48" t="inlineStr">
        <is>
          <t>(blank)</t>
        </is>
      </c>
      <c r="F110" s="47" t="n"/>
    </row>
    <row r="111">
      <c r="A111" s="49" t="n">
        <v>104</v>
      </c>
      <c r="B111" s="47" t="n"/>
      <c r="C111" s="49" t="inlineStr"/>
      <c r="D111" s="48" t="inlineStr">
        <is>
          <t>(blank)</t>
        </is>
      </c>
      <c r="E111" s="48" t="inlineStr">
        <is>
          <t>(blank)</t>
        </is>
      </c>
      <c r="F111" s="47" t="n"/>
    </row>
    <row r="112">
      <c r="A112" s="49" t="n">
        <v>105</v>
      </c>
      <c r="B112" s="47" t="n"/>
      <c r="C112" s="49" t="inlineStr"/>
      <c r="D112" s="48" t="inlineStr">
        <is>
          <t>(blank)</t>
        </is>
      </c>
      <c r="E112" s="48" t="inlineStr">
        <is>
          <t>(blank)</t>
        </is>
      </c>
      <c r="F112" s="47" t="n"/>
    </row>
    <row r="113">
      <c r="A113" s="49" t="n">
        <v>106</v>
      </c>
      <c r="B113" s="47" t="n"/>
      <c r="C113" s="49" t="inlineStr"/>
      <c r="D113" s="48" t="inlineStr">
        <is>
          <t>(blank)</t>
        </is>
      </c>
      <c r="E113" s="48" t="inlineStr">
        <is>
          <t>(blank)</t>
        </is>
      </c>
      <c r="F113" s="47" t="n"/>
    </row>
    <row r="114">
      <c r="A114" s="49" t="n">
        <v>107</v>
      </c>
      <c r="B114" s="47" t="n"/>
      <c r="C114" s="49" t="inlineStr"/>
      <c r="D114" s="48" t="inlineStr">
        <is>
          <t>(blank)</t>
        </is>
      </c>
      <c r="E114" s="48" t="inlineStr">
        <is>
          <t>(blank)</t>
        </is>
      </c>
      <c r="F114" s="47" t="n"/>
    </row>
    <row r="115">
      <c r="A115" s="49" t="n">
        <v>108</v>
      </c>
      <c r="B115" s="47" t="n"/>
      <c r="C115" s="49" t="inlineStr"/>
      <c r="D115" s="48" t="inlineStr">
        <is>
          <t>(blank)</t>
        </is>
      </c>
      <c r="E115" s="48" t="inlineStr">
        <is>
          <t>(blank)</t>
        </is>
      </c>
      <c r="F115" s="47" t="n"/>
    </row>
    <row r="116">
      <c r="A116" s="49" t="n">
        <v>109</v>
      </c>
      <c r="B116" s="47" t="n"/>
      <c r="C116" s="49" t="inlineStr"/>
      <c r="D116" s="48" t="inlineStr">
        <is>
          <t>(blank)</t>
        </is>
      </c>
      <c r="E116" s="48" t="inlineStr">
        <is>
          <t>(blank)</t>
        </is>
      </c>
      <c r="F116" s="47" t="n"/>
    </row>
    <row r="117">
      <c r="A117" s="49" t="n">
        <v>110</v>
      </c>
      <c r="B117" s="47" t="n"/>
      <c r="C117" s="49" t="inlineStr"/>
      <c r="D117" s="48" t="inlineStr">
        <is>
          <t>(blank)</t>
        </is>
      </c>
      <c r="E117" s="48" t="inlineStr">
        <is>
          <t>(blank)</t>
        </is>
      </c>
      <c r="F117" s="47" t="n"/>
    </row>
    <row r="118">
      <c r="A118" s="49" t="n">
        <v>111</v>
      </c>
      <c r="B118" s="47" t="n"/>
      <c r="C118" s="49" t="inlineStr"/>
      <c r="D118" s="48" t="inlineStr">
        <is>
          <t>(blank)</t>
        </is>
      </c>
      <c r="E118" s="48" t="inlineStr">
        <is>
          <t>(blank)</t>
        </is>
      </c>
      <c r="F118" s="47" t="n"/>
    </row>
    <row r="119">
      <c r="A119" s="49" t="n">
        <v>112</v>
      </c>
      <c r="B119" s="47" t="n"/>
      <c r="C119" s="49" t="inlineStr"/>
      <c r="D119" s="48" t="inlineStr">
        <is>
          <t>(blank)</t>
        </is>
      </c>
      <c r="E119" s="48" t="inlineStr">
        <is>
          <t>(blank)</t>
        </is>
      </c>
      <c r="F119" s="47" t="n"/>
    </row>
    <row r="120">
      <c r="A120" s="49" t="n">
        <v>113</v>
      </c>
      <c r="B120" s="47" t="n"/>
      <c r="C120" s="49" t="inlineStr"/>
      <c r="D120" s="48" t="inlineStr">
        <is>
          <t>(blank)</t>
        </is>
      </c>
      <c r="E120" s="48" t="inlineStr">
        <is>
          <t>(blank)</t>
        </is>
      </c>
      <c r="F120" s="47" t="n"/>
    </row>
    <row r="121">
      <c r="A121" s="49" t="n">
        <v>114</v>
      </c>
      <c r="B121" s="47" t="n"/>
      <c r="C121" s="49" t="inlineStr"/>
      <c r="D121" s="48" t="inlineStr">
        <is>
          <t>(blank)</t>
        </is>
      </c>
      <c r="E121" s="48" t="inlineStr">
        <is>
          <t>(blank)</t>
        </is>
      </c>
      <c r="F121" s="47" t="n"/>
    </row>
    <row r="122">
      <c r="A122" s="49" t="n">
        <v>115</v>
      </c>
      <c r="B122" s="47" t="n"/>
      <c r="C122" s="49" t="inlineStr"/>
      <c r="D122" s="48" t="inlineStr">
        <is>
          <t>(blank)</t>
        </is>
      </c>
      <c r="E122" s="48" t="inlineStr">
        <is>
          <t>(blank)</t>
        </is>
      </c>
      <c r="F122" s="47" t="n"/>
    </row>
    <row r="123">
      <c r="A123" s="49" t="n">
        <v>116</v>
      </c>
      <c r="B123" s="47" t="n"/>
      <c r="C123" s="49" t="inlineStr"/>
      <c r="D123" s="48" t="inlineStr">
        <is>
          <t>(blank)</t>
        </is>
      </c>
      <c r="E123" s="48" t="inlineStr">
        <is>
          <t>(blank)</t>
        </is>
      </c>
      <c r="F123" s="47" t="n"/>
    </row>
    <row r="124">
      <c r="A124" s="49" t="n">
        <v>117</v>
      </c>
      <c r="B124" s="38" t="n"/>
      <c r="C124" s="69" t="inlineStr">
        <is>
          <t>yes</t>
        </is>
      </c>
      <c r="D124" s="40" t="inlineStr">
        <is>
          <t>MX</t>
        </is>
      </c>
      <c r="E124" s="40" t="inlineStr">
        <is>
          <t>MX</t>
        </is>
      </c>
      <c r="F124" s="38" t="n"/>
    </row>
    <row r="125">
      <c r="A125" s="49" t="n">
        <v>118</v>
      </c>
      <c r="B125" s="47" t="n"/>
      <c r="C125" s="49" t="inlineStr"/>
      <c r="D125" s="48" t="inlineStr">
        <is>
          <t>(blank)</t>
        </is>
      </c>
      <c r="E125" s="48" t="inlineStr">
        <is>
          <t>(blank)</t>
        </is>
      </c>
      <c r="F125" s="47" t="n"/>
    </row>
    <row r="126">
      <c r="A126" s="49" t="n">
        <v>119</v>
      </c>
      <c r="B126" s="47" t="n"/>
      <c r="C126" s="49" t="inlineStr"/>
      <c r="D126" s="48" t="inlineStr">
        <is>
          <t>(blank)</t>
        </is>
      </c>
      <c r="E126" s="48" t="inlineStr">
        <is>
          <t>(blank)</t>
        </is>
      </c>
      <c r="F126" s="47" t="n"/>
    </row>
    <row r="127">
      <c r="A127" s="49" t="n">
        <v>120</v>
      </c>
      <c r="B127" s="47" t="n"/>
      <c r="C127" s="49" t="inlineStr"/>
      <c r="D127" s="48" t="inlineStr">
        <is>
          <t>(blank)</t>
        </is>
      </c>
      <c r="E127" s="48" t="inlineStr">
        <is>
          <t>(blank)</t>
        </is>
      </c>
      <c r="F127" s="47" t="n"/>
    </row>
    <row r="128">
      <c r="A128" s="49" t="n">
        <v>121</v>
      </c>
      <c r="B128" s="38" t="n"/>
      <c r="C128" s="69" t="inlineStr">
        <is>
          <t>yes</t>
        </is>
      </c>
      <c r="D128" s="40" t="inlineStr">
        <is>
          <t>201.5500</t>
        </is>
      </c>
      <c r="E128" s="40" t="inlineStr">
        <is>
          <t>1215.3900</t>
        </is>
      </c>
      <c r="F128" s="38" t="n"/>
    </row>
    <row r="129">
      <c r="A129" s="49" t="n">
        <v>122</v>
      </c>
      <c r="B129" s="38" t="n"/>
      <c r="C129" s="69" t="inlineStr">
        <is>
          <t>yes</t>
        </is>
      </c>
      <c r="D129" s="40" t="inlineStr">
        <is>
          <t>1259.7000</t>
        </is>
      </c>
      <c r="E129" s="40" t="inlineStr">
        <is>
          <t>7596.2100</t>
        </is>
      </c>
      <c r="F129" s="38" t="n"/>
    </row>
    <row r="130">
      <c r="A130" s="49" t="n">
        <v>123</v>
      </c>
      <c r="B130" s="38" t="n"/>
      <c r="C130" s="69" t="inlineStr">
        <is>
          <t>yes</t>
        </is>
      </c>
      <c r="D130" s="40" t="inlineStr">
        <is>
          <t>1461.2500</t>
        </is>
      </c>
      <c r="E130" s="40" t="inlineStr">
        <is>
          <t>8811.6000</t>
        </is>
      </c>
      <c r="F130" s="38" t="n"/>
    </row>
    <row r="131">
      <c r="A131" s="49" t="n">
        <v>124</v>
      </c>
      <c r="B131" s="38" t="n"/>
      <c r="C131" s="69" t="inlineStr">
        <is>
          <t>yes</t>
        </is>
      </c>
      <c r="D131" s="40" t="inlineStr">
        <is>
          <t>1461.2500</t>
        </is>
      </c>
      <c r="E131" s="40" t="inlineStr">
        <is>
          <t>8811.6000</t>
        </is>
      </c>
      <c r="F131" s="38" t="n"/>
    </row>
    <row r="132">
      <c r="A132" s="49" t="n">
        <v>125</v>
      </c>
      <c r="B132" s="38" t="n"/>
      <c r="C132" s="69" t="inlineStr">
        <is>
          <t>yes</t>
        </is>
      </c>
      <c r="D132" s="40" t="inlineStr">
        <is>
          <t>1461.2500</t>
        </is>
      </c>
      <c r="E132" s="40" t="inlineStr">
        <is>
          <t>8811.6000</t>
        </is>
      </c>
      <c r="F132" s="38" t="n"/>
    </row>
    <row r="133">
      <c r="A133" s="49" t="n">
        <v>126</v>
      </c>
      <c r="B133" s="38" t="n"/>
      <c r="C133" s="69" t="inlineStr">
        <is>
          <t>yes</t>
        </is>
      </c>
      <c r="D133" s="40" t="inlineStr">
        <is>
          <t>CASH</t>
        </is>
      </c>
      <c r="E133" s="40" t="inlineStr">
        <is>
          <t>CBCP</t>
        </is>
      </c>
      <c r="F133" s="38" t="n"/>
    </row>
    <row r="134">
      <c r="A134" s="49" t="n">
        <v>127</v>
      </c>
      <c r="B134" s="38" t="n"/>
      <c r="C134" s="69" t="inlineStr">
        <is>
          <t>yes</t>
        </is>
      </c>
      <c r="D134" s="40" t="inlineStr">
        <is>
          <t>Cash</t>
        </is>
      </c>
      <c r="E134" s="40" t="inlineStr">
        <is>
          <t>Company Billed/Company Paid</t>
        </is>
      </c>
      <c r="F134" s="38" t="n"/>
    </row>
    <row r="135">
      <c r="A135" s="49" t="n">
        <v>128</v>
      </c>
      <c r="B135" s="47" t="n"/>
      <c r="C135" s="49" t="inlineStr"/>
      <c r="D135" s="48" t="inlineStr">
        <is>
          <t>(blank)</t>
        </is>
      </c>
      <c r="E135" s="48" t="inlineStr">
        <is>
          <t>(blank)</t>
        </is>
      </c>
      <c r="F135" s="47" t="n"/>
    </row>
    <row r="136">
      <c r="A136" s="49" t="n">
        <v>129</v>
      </c>
      <c r="B136" s="47" t="n"/>
      <c r="C136" s="49" t="inlineStr"/>
      <c r="D136" s="48" t="inlineStr">
        <is>
          <t>(blank)</t>
        </is>
      </c>
      <c r="E136" s="48" t="inlineStr">
        <is>
          <t>(blank)</t>
        </is>
      </c>
      <c r="F136" s="47" t="n"/>
    </row>
    <row r="137">
      <c r="A137" s="49" t="n">
        <v>130</v>
      </c>
      <c r="B137" s="38" t="n"/>
      <c r="C137" s="69" t="inlineStr">
        <is>
          <t>yes</t>
        </is>
      </c>
      <c r="D137" s="48" t="inlineStr">
        <is>
          <t>(blank)</t>
        </is>
      </c>
      <c r="E137" s="40" t="inlineStr">
        <is>
          <t>333408984459061</t>
        </is>
      </c>
      <c r="F137" s="38" t="n"/>
    </row>
    <row r="138">
      <c r="A138" s="49" t="n">
        <v>131</v>
      </c>
      <c r="B138" s="38" t="n"/>
      <c r="C138" s="69" t="inlineStr">
        <is>
          <t>yes</t>
        </is>
      </c>
      <c r="D138" s="48" t="inlineStr">
        <is>
          <t>(blank)</t>
        </is>
      </c>
      <c r="E138" s="40" t="inlineStr">
        <is>
          <t>TestUser11 - MXN</t>
        </is>
      </c>
      <c r="F138" s="38" t="n"/>
    </row>
    <row r="139">
      <c r="A139" s="49" t="n">
        <v>132</v>
      </c>
      <c r="B139" s="38" t="n"/>
      <c r="C139" s="69" t="inlineStr">
        <is>
          <t>yes</t>
        </is>
      </c>
      <c r="D139" s="48" t="inlineStr">
        <is>
          <t>(blank)</t>
        </is>
      </c>
      <c r="E139" s="40" t="inlineStr">
        <is>
          <t>340483</t>
        </is>
      </c>
      <c r="F139" s="38" t="n"/>
    </row>
    <row r="140">
      <c r="A140" s="49" t="n">
        <v>133</v>
      </c>
      <c r="B140" s="38" t="n"/>
      <c r="C140" s="69" t="inlineStr">
        <is>
          <t>yes</t>
        </is>
      </c>
      <c r="D140" s="48" t="inlineStr">
        <is>
          <t>(blank)</t>
        </is>
      </c>
      <c r="E140" s="40" t="inlineStr">
        <is>
          <t>46883520927#</t>
        </is>
      </c>
      <c r="F140" s="38" t="n"/>
    </row>
    <row r="141">
      <c r="A141" s="49" t="n">
        <v>134</v>
      </c>
      <c r="B141" s="38" t="n"/>
      <c r="C141" s="69" t="inlineStr">
        <is>
          <t>yes</t>
        </is>
      </c>
      <c r="D141" s="48" t="inlineStr">
        <is>
          <t>(blank)</t>
        </is>
      </c>
      <c r="E141" s="40" t="inlineStr">
        <is>
          <t>1053</t>
        </is>
      </c>
      <c r="F141" s="38" t="n"/>
    </row>
    <row r="142">
      <c r="A142" s="49" t="n">
        <v>135</v>
      </c>
      <c r="B142" s="38" t="n"/>
      <c r="C142" s="69" t="inlineStr">
        <is>
          <t>yes</t>
        </is>
      </c>
      <c r="D142" s="48" t="inlineStr">
        <is>
          <t>(blank)</t>
        </is>
      </c>
      <c r="E142" s="40" t="inlineStr">
        <is>
          <t>RPE</t>
        </is>
      </c>
      <c r="F142" s="38" t="n"/>
    </row>
    <row r="143">
      <c r="A143" s="49" t="n">
        <v>136</v>
      </c>
      <c r="B143" s="38" t="n"/>
      <c r="C143" s="69" t="inlineStr">
        <is>
          <t>yes</t>
        </is>
      </c>
      <c r="D143" s="48" t="inlineStr">
        <is>
          <t>(blank)</t>
        </is>
      </c>
      <c r="E143" s="40" t="inlineStr">
        <is>
          <t>3e3ff22c</t>
        </is>
      </c>
      <c r="F143" s="38" t="n"/>
    </row>
    <row r="144">
      <c r="A144" s="49" t="n">
        <v>137</v>
      </c>
      <c r="B144" s="38" t="n"/>
      <c r="C144" s="69" t="inlineStr">
        <is>
          <t>yes</t>
        </is>
      </c>
      <c r="D144" s="48" t="inlineStr">
        <is>
          <t>(blank)</t>
        </is>
      </c>
      <c r="E144" s="40" t="inlineStr">
        <is>
          <t>20442.9200</t>
        </is>
      </c>
      <c r="F144" s="38" t="n"/>
    </row>
    <row r="145">
      <c r="A145" s="49" t="n">
        <v>138</v>
      </c>
      <c r="B145" s="38" t="n"/>
      <c r="C145" s="69" t="inlineStr">
        <is>
          <t>yes</t>
        </is>
      </c>
      <c r="D145" s="48" t="inlineStr">
        <is>
          <t>(blank)</t>
        </is>
      </c>
      <c r="E145" s="40" t="inlineStr">
        <is>
          <t>0.0000</t>
        </is>
      </c>
      <c r="F145" s="38" t="n"/>
    </row>
    <row r="146">
      <c r="A146" s="49" t="n">
        <v>139</v>
      </c>
      <c r="B146" s="38" t="n"/>
      <c r="C146" s="69" t="inlineStr">
        <is>
          <t>yes</t>
        </is>
      </c>
      <c r="D146" s="48" t="inlineStr">
        <is>
          <t>(blank)</t>
        </is>
      </c>
      <c r="E146" s="40" t="inlineStr">
        <is>
          <t>MXN</t>
        </is>
      </c>
      <c r="F146" s="38" t="n"/>
    </row>
    <row r="147">
      <c r="A147" s="49" t="n">
        <v>140</v>
      </c>
      <c r="B147" s="38" t="n"/>
      <c r="C147" s="69" t="inlineStr">
        <is>
          <t>yes</t>
        </is>
      </c>
      <c r="D147" s="48" t="inlineStr">
        <is>
          <t>(blank)</t>
        </is>
      </c>
      <c r="E147" s="40" t="inlineStr">
        <is>
          <t>20442.9200</t>
        </is>
      </c>
      <c r="F147" s="38" t="n"/>
    </row>
    <row r="148">
      <c r="A148" s="49" t="n">
        <v>141</v>
      </c>
      <c r="B148" s="38" t="n"/>
      <c r="C148" s="69" t="inlineStr">
        <is>
          <t>yes</t>
        </is>
      </c>
      <c r="D148" s="48" t="inlineStr">
        <is>
          <t>(blank)</t>
        </is>
      </c>
      <c r="E148" s="40" t="inlineStr">
        <is>
          <t>MXN</t>
        </is>
      </c>
      <c r="F148" s="38" t="n"/>
    </row>
    <row r="149">
      <c r="A149" s="49" t="n">
        <v>142</v>
      </c>
      <c r="B149" s="38" t="n"/>
      <c r="C149" s="69" t="inlineStr">
        <is>
          <t>yes</t>
        </is>
      </c>
      <c r="D149" s="48" t="inlineStr">
        <is>
          <t>(blank)</t>
        </is>
      </c>
      <c r="E149" s="40" t="inlineStr">
        <is>
          <t>2026-08-05</t>
        </is>
      </c>
      <c r="F149" s="38" t="n"/>
    </row>
    <row r="150">
      <c r="A150" s="49" t="n">
        <v>143</v>
      </c>
      <c r="B150" s="38" t="n"/>
      <c r="C150" s="69" t="inlineStr">
        <is>
          <t>yes</t>
        </is>
      </c>
      <c r="D150" s="48" t="inlineStr">
        <is>
          <t>(blank)</t>
        </is>
      </c>
      <c r="E150" s="40" t="inlineStr">
        <is>
          <t>2026-08-05</t>
        </is>
      </c>
      <c r="F150" s="38" t="n"/>
    </row>
    <row r="151">
      <c r="A151" s="49" t="n">
        <v>144</v>
      </c>
      <c r="B151" s="47" t="n"/>
      <c r="C151" s="49" t="inlineStr"/>
      <c r="D151" s="48" t="inlineStr">
        <is>
          <t>(blank)</t>
        </is>
      </c>
      <c r="E151" s="48" t="inlineStr">
        <is>
          <t>(blank)</t>
        </is>
      </c>
      <c r="F151" s="47" t="n"/>
    </row>
    <row r="152">
      <c r="A152" s="49" t="n">
        <v>145</v>
      </c>
      <c r="B152" s="38" t="n"/>
      <c r="C152" s="69" t="inlineStr">
        <is>
          <t>yes</t>
        </is>
      </c>
      <c r="D152" s="48" t="inlineStr">
        <is>
          <t>(blank)</t>
        </is>
      </c>
      <c r="E152" s="40" t="inlineStr">
        <is>
          <t>3666</t>
        </is>
      </c>
      <c r="F152" s="38" t="n"/>
    </row>
    <row r="153">
      <c r="A153" s="49" t="n">
        <v>146</v>
      </c>
      <c r="B153" s="38" t="n"/>
      <c r="C153" s="69" t="inlineStr">
        <is>
          <t>yes</t>
        </is>
      </c>
      <c r="D153" s="48" t="inlineStr">
        <is>
          <t>(blank)</t>
        </is>
      </c>
      <c r="E153" s="40" t="inlineStr">
        <is>
          <t>STAKIS HOTELS</t>
        </is>
      </c>
      <c r="F153" s="38" t="n"/>
    </row>
    <row r="154">
      <c r="A154" s="49" t="n">
        <v>147</v>
      </c>
      <c r="B154" s="38" t="n"/>
      <c r="C154" s="69" t="inlineStr">
        <is>
          <t>yes</t>
        </is>
      </c>
      <c r="D154" s="48" t="inlineStr">
        <is>
          <t>(blank)</t>
        </is>
      </c>
      <c r="E154" s="40" t="inlineStr">
        <is>
          <t>Los Cabos</t>
        </is>
      </c>
      <c r="F154" s="38" t="n"/>
    </row>
    <row r="155">
      <c r="A155" s="49" t="n">
        <v>148</v>
      </c>
      <c r="B155" s="47" t="n"/>
      <c r="C155" s="49" t="inlineStr"/>
      <c r="D155" s="48" t="inlineStr">
        <is>
          <t>(blank)</t>
        </is>
      </c>
      <c r="E155" s="48" t="inlineStr">
        <is>
          <t>(blank)</t>
        </is>
      </c>
      <c r="F155" s="47" t="n"/>
    </row>
    <row r="156">
      <c r="A156" s="49" t="n">
        <v>149</v>
      </c>
      <c r="B156" s="38" t="n"/>
      <c r="C156" s="69" t="inlineStr">
        <is>
          <t>yes</t>
        </is>
      </c>
      <c r="D156" s="48" t="inlineStr">
        <is>
          <t>(blank)</t>
        </is>
      </c>
      <c r="E156" s="40" t="inlineStr">
        <is>
          <t>MX</t>
        </is>
      </c>
      <c r="F156" s="38" t="n"/>
    </row>
    <row r="157">
      <c r="A157" s="49" t="n">
        <v>150</v>
      </c>
      <c r="B157" s="47" t="n"/>
      <c r="C157" s="49" t="inlineStr"/>
      <c r="D157" s="48" t="inlineStr">
        <is>
          <t>(blank)</t>
        </is>
      </c>
      <c r="E157" s="48" t="inlineStr">
        <is>
          <t>(blank)</t>
        </is>
      </c>
      <c r="F157" s="47" t="n"/>
    </row>
    <row r="158">
      <c r="A158" s="49" t="n">
        <v>151</v>
      </c>
      <c r="B158" s="47" t="n"/>
      <c r="C158" s="49" t="inlineStr"/>
      <c r="D158" s="48" t="inlineStr">
        <is>
          <t>(blank)</t>
        </is>
      </c>
      <c r="E158" s="48" t="inlineStr">
        <is>
          <t>(blank)</t>
        </is>
      </c>
      <c r="F158" s="47" t="n"/>
    </row>
    <row r="159">
      <c r="A159" s="49" t="n">
        <v>152</v>
      </c>
      <c r="B159" s="38" t="n"/>
      <c r="C159" s="69" t="inlineStr">
        <is>
          <t>yes</t>
        </is>
      </c>
      <c r="D159" s="48" t="inlineStr">
        <is>
          <t>(blank)</t>
        </is>
      </c>
      <c r="E159" s="40" t="inlineStr">
        <is>
          <t>1.0000</t>
        </is>
      </c>
      <c r="F159" s="38" t="n"/>
    </row>
    <row r="160">
      <c r="A160" s="49" t="n">
        <v>153</v>
      </c>
      <c r="B160" s="38" t="n"/>
      <c r="C160" s="69" t="inlineStr">
        <is>
          <t>yes</t>
        </is>
      </c>
      <c r="D160" s="48" t="inlineStr">
        <is>
          <t>(blank)</t>
        </is>
      </c>
      <c r="E160" s="40" t="inlineStr">
        <is>
          <t>+8811.6000</t>
        </is>
      </c>
      <c r="F160" s="38" t="n"/>
    </row>
    <row r="161">
      <c r="A161" s="49" t="n">
        <v>154</v>
      </c>
      <c r="B161" s="38" t="n"/>
      <c r="C161" s="69" t="inlineStr">
        <is>
          <t>yes</t>
        </is>
      </c>
      <c r="D161" s="48" t="inlineStr">
        <is>
          <t>(blank)</t>
        </is>
      </c>
      <c r="E161" s="40" t="inlineStr">
        <is>
          <t>333408984459061</t>
        </is>
      </c>
      <c r="F161" s="38" t="n"/>
    </row>
    <row r="162">
      <c r="A162" s="49" t="n">
        <v>155</v>
      </c>
      <c r="B162" s="38" t="n"/>
      <c r="C162" s="69" t="inlineStr">
        <is>
          <t>yes</t>
        </is>
      </c>
      <c r="D162" s="48" t="inlineStr">
        <is>
          <t>(blank)</t>
        </is>
      </c>
      <c r="E162" s="40" t="inlineStr">
        <is>
          <t>TestUser11 - MXN</t>
        </is>
      </c>
      <c r="F162" s="38" t="n"/>
    </row>
    <row r="163">
      <c r="A163" s="49" t="n">
        <v>156</v>
      </c>
      <c r="B163" s="47" t="n"/>
      <c r="C163" s="49" t="inlineStr"/>
      <c r="D163" s="48" t="inlineStr">
        <is>
          <t>(blank)</t>
        </is>
      </c>
      <c r="E163" s="48" t="inlineStr">
        <is>
          <t>(blank)</t>
        </is>
      </c>
      <c r="F163" s="47" t="n"/>
    </row>
    <row r="164">
      <c r="A164" s="49" t="n">
        <v>157</v>
      </c>
      <c r="B164" s="47" t="n"/>
      <c r="C164" s="49" t="inlineStr"/>
      <c r="D164" s="48" t="inlineStr">
        <is>
          <t>(blank)</t>
        </is>
      </c>
      <c r="E164" s="48" t="inlineStr">
        <is>
          <t>(blank)</t>
        </is>
      </c>
      <c r="F164" s="47" t="n"/>
    </row>
    <row r="165">
      <c r="A165" s="49" t="n">
        <v>158</v>
      </c>
      <c r="B165" s="38" t="n"/>
      <c r="C165" s="69" t="inlineStr">
        <is>
          <t>yes</t>
        </is>
      </c>
      <c r="D165" s="40" t="inlineStr">
        <is>
          <t>MX</t>
        </is>
      </c>
      <c r="E165" s="40" t="inlineStr">
        <is>
          <t>MX</t>
        </is>
      </c>
      <c r="F165" s="38" t="n"/>
    </row>
    <row r="166">
      <c r="A166" s="49" t="n">
        <v>159</v>
      </c>
      <c r="B166" s="38" t="n"/>
      <c r="C166" s="69" t="inlineStr">
        <is>
          <t>yes</t>
        </is>
      </c>
      <c r="D166" s="40" t="inlineStr">
        <is>
          <t>MX-NLE</t>
        </is>
      </c>
      <c r="E166" s="40" t="inlineStr">
        <is>
          <t>MX-BCS</t>
        </is>
      </c>
      <c r="F166" s="38" t="n"/>
    </row>
    <row r="167">
      <c r="A167" s="49" t="n">
        <v>160</v>
      </c>
      <c r="B167" s="38" t="n"/>
      <c r="C167" s="69" t="inlineStr">
        <is>
          <t>yes</t>
        </is>
      </c>
      <c r="D167" s="40" t="inlineStr">
        <is>
          <t>HOME</t>
        </is>
      </c>
      <c r="E167" s="40" t="inlineStr">
        <is>
          <t>HOME</t>
        </is>
      </c>
      <c r="F167" s="38" t="n"/>
    </row>
    <row r="168">
      <c r="A168" s="49" t="n">
        <v>161</v>
      </c>
      <c r="B168" s="47" t="n"/>
      <c r="C168" s="49" t="inlineStr"/>
      <c r="D168" s="48" t="inlineStr">
        <is>
          <t>(blank)</t>
        </is>
      </c>
      <c r="E168" s="48" t="inlineStr">
        <is>
          <t>(blank)</t>
        </is>
      </c>
      <c r="F168" s="47" t="n"/>
    </row>
    <row r="169">
      <c r="A169" s="49" t="n">
        <v>162</v>
      </c>
      <c r="B169" s="47" t="n"/>
      <c r="C169" s="49" t="inlineStr"/>
      <c r="D169" s="48" t="inlineStr">
        <is>
          <t>(blank)</t>
        </is>
      </c>
      <c r="E169" s="48" t="inlineStr">
        <is>
          <t>(blank)</t>
        </is>
      </c>
      <c r="F169" s="47" t="n"/>
    </row>
    <row r="170">
      <c r="A170" s="49" t="n">
        <v>163</v>
      </c>
      <c r="B170" s="38" t="n"/>
      <c r="C170" s="69" t="inlineStr">
        <is>
          <t>yes</t>
        </is>
      </c>
      <c r="D170" s="40" t="inlineStr">
        <is>
          <t>MXIVA</t>
        </is>
      </c>
      <c r="E170" s="40" t="inlineStr">
        <is>
          <t>MXIVA</t>
        </is>
      </c>
      <c r="F170" s="38" t="n"/>
    </row>
    <row r="171">
      <c r="A171" s="49" t="n">
        <v>164</v>
      </c>
      <c r="B171" s="38" t="n"/>
      <c r="C171" s="69" t="inlineStr">
        <is>
          <t>yes</t>
        </is>
      </c>
      <c r="D171" s="48" t="inlineStr">
        <is>
          <t>(blank)</t>
        </is>
      </c>
      <c r="E171" s="48" t="inlineStr">
        <is>
          <t>(blank)</t>
        </is>
      </c>
      <c r="F171" s="38" t="n"/>
    </row>
    <row r="172">
      <c r="A172" s="49" t="n">
        <v>165</v>
      </c>
      <c r="B172" s="38" t="n"/>
      <c r="C172" s="69" t="inlineStr">
        <is>
          <t>yes</t>
        </is>
      </c>
      <c r="D172" s="40" t="inlineStr">
        <is>
          <t>Company</t>
        </is>
      </c>
      <c r="E172" s="40" t="inlineStr">
        <is>
          <t>Company</t>
        </is>
      </c>
      <c r="F172" s="38" t="n"/>
    </row>
    <row r="173">
      <c r="A173" s="49" t="n">
        <v>166</v>
      </c>
      <c r="B173" s="38" t="n"/>
      <c r="C173" s="69" t="inlineStr">
        <is>
          <t>yes</t>
        </is>
      </c>
      <c r="D173" s="40" t="inlineStr">
        <is>
          <t>Company/Employee Pseudo Payment Code</t>
        </is>
      </c>
      <c r="E173" s="40" t="inlineStr">
        <is>
          <t>Company/Employee Pseudo Payment Code</t>
        </is>
      </c>
      <c r="F173" s="38" t="n"/>
    </row>
    <row r="174">
      <c r="A174" s="49" t="n">
        <v>167</v>
      </c>
      <c r="B174" s="38" t="n"/>
      <c r="C174" s="69" t="inlineStr">
        <is>
          <t>yes</t>
        </is>
      </c>
      <c r="D174" s="40" t="inlineStr">
        <is>
          <t>2413</t>
        </is>
      </c>
      <c r="E174" s="40" t="inlineStr">
        <is>
          <t>2413</t>
        </is>
      </c>
      <c r="F174" s="38" t="n"/>
    </row>
    <row r="175">
      <c r="A175" s="49" t="n">
        <v>168</v>
      </c>
      <c r="B175" s="38" t="n"/>
      <c r="C175" s="69" t="inlineStr">
        <is>
          <t>yes</t>
        </is>
      </c>
      <c r="D175" s="40" t="inlineStr">
        <is>
          <t>CR</t>
        </is>
      </c>
      <c r="E175" s="40" t="inlineStr">
        <is>
          <t>CR</t>
        </is>
      </c>
      <c r="F175" s="38" t="n"/>
    </row>
    <row r="176">
      <c r="A176" s="49" t="n">
        <v>169</v>
      </c>
      <c r="B176" s="38" t="n"/>
      <c r="C176" s="69" t="inlineStr">
        <is>
          <t>yes</t>
        </is>
      </c>
      <c r="D176" s="40" t="inlineStr">
        <is>
          <t>+201.5500</t>
        </is>
      </c>
      <c r="E176" s="40" t="inlineStr">
        <is>
          <t>+1215.3900</t>
        </is>
      </c>
      <c r="F176" s="38" t="n"/>
    </row>
    <row r="177">
      <c r="A177" s="49" t="n">
        <v>170</v>
      </c>
      <c r="B177" s="38" t="n"/>
      <c r="C177" s="69" t="inlineStr">
        <is>
          <t>yes</t>
        </is>
      </c>
      <c r="D177" s="40" t="inlineStr">
        <is>
          <t>420</t>
        </is>
      </c>
      <c r="E177" s="40" t="inlineStr">
        <is>
          <t>535</t>
        </is>
      </c>
      <c r="F177" s="38" t="n"/>
    </row>
    <row r="178">
      <c r="A178" s="49" t="n">
        <v>171</v>
      </c>
      <c r="B178" s="47" t="n"/>
      <c r="C178" s="49" t="inlineStr"/>
      <c r="D178" s="48" t="inlineStr">
        <is>
          <t>(blank)</t>
        </is>
      </c>
      <c r="E178" s="48" t="inlineStr">
        <is>
          <t>(blank)</t>
        </is>
      </c>
      <c r="F178" s="47" t="n"/>
    </row>
    <row r="179">
      <c r="A179" s="49" t="n">
        <v>172</v>
      </c>
      <c r="B179" s="47" t="n"/>
      <c r="C179" s="49" t="inlineStr"/>
      <c r="D179" s="48" t="inlineStr">
        <is>
          <t>(blank)</t>
        </is>
      </c>
      <c r="E179" s="48" t="inlineStr">
        <is>
          <t>(blank)</t>
        </is>
      </c>
      <c r="F179" s="47" t="n"/>
    </row>
    <row r="180">
      <c r="A180" s="49" t="n">
        <v>173</v>
      </c>
      <c r="B180" s="47" t="n"/>
      <c r="C180" s="49" t="inlineStr"/>
      <c r="D180" s="48" t="inlineStr">
        <is>
          <t>(blank)</t>
        </is>
      </c>
      <c r="E180" s="48" t="inlineStr">
        <is>
          <t>(blank)</t>
        </is>
      </c>
      <c r="F180" s="47" t="n"/>
    </row>
    <row r="181">
      <c r="A181" s="49" t="n">
        <v>174</v>
      </c>
      <c r="B181" s="47" t="n"/>
      <c r="C181" s="49" t="inlineStr"/>
      <c r="D181" s="48" t="inlineStr">
        <is>
          <t>(blank)</t>
        </is>
      </c>
      <c r="E181" s="48" t="inlineStr">
        <is>
          <t>(blank)</t>
        </is>
      </c>
      <c r="F181" s="47" t="n"/>
    </row>
    <row r="182">
      <c r="A182" s="49" t="n">
        <v>175</v>
      </c>
      <c r="B182" s="38" t="n"/>
      <c r="C182" s="69" t="inlineStr">
        <is>
          <t>yes</t>
        </is>
      </c>
      <c r="D182" s="48" t="inlineStr">
        <is>
          <t>(blank)</t>
        </is>
      </c>
      <c r="E182" s="40" t="inlineStr">
        <is>
          <t>0.0000</t>
        </is>
      </c>
      <c r="F182" s="38" t="n"/>
    </row>
    <row r="183">
      <c r="A183" s="49" t="n">
        <v>176</v>
      </c>
      <c r="B183" s="47" t="n"/>
      <c r="C183" s="49" t="inlineStr"/>
      <c r="D183" s="48" t="inlineStr">
        <is>
          <t>(blank)</t>
        </is>
      </c>
      <c r="E183" s="48" t="inlineStr">
        <is>
          <t>(blank)</t>
        </is>
      </c>
      <c r="F183" s="47" t="n"/>
    </row>
    <row r="184">
      <c r="A184" s="49" t="n">
        <v>177</v>
      </c>
      <c r="B184" s="47" t="n"/>
      <c r="C184" s="49" t="inlineStr"/>
      <c r="D184" s="48" t="inlineStr">
        <is>
          <t>(blank)</t>
        </is>
      </c>
      <c r="E184" s="48" t="inlineStr">
        <is>
          <t>(blank)</t>
        </is>
      </c>
      <c r="F184" s="47" t="n"/>
    </row>
    <row r="185">
      <c r="A185" s="49" t="n">
        <v>178</v>
      </c>
      <c r="B185" s="47" t="n"/>
      <c r="C185" s="49" t="inlineStr"/>
      <c r="D185" s="48" t="inlineStr">
        <is>
          <t>(blank)</t>
        </is>
      </c>
      <c r="E185" s="48" t="inlineStr">
        <is>
          <t>(blank)</t>
        </is>
      </c>
      <c r="F185" s="47" t="n"/>
    </row>
    <row r="186">
      <c r="A186" s="49" t="n">
        <v>179</v>
      </c>
      <c r="B186" s="47" t="n"/>
      <c r="C186" s="49" t="inlineStr"/>
      <c r="D186" s="48" t="inlineStr">
        <is>
          <t>(blank)</t>
        </is>
      </c>
      <c r="E186" s="48" t="inlineStr">
        <is>
          <t>(blank)</t>
        </is>
      </c>
      <c r="F186" s="47" t="n"/>
    </row>
    <row r="187">
      <c r="A187" s="49" t="n">
        <v>180</v>
      </c>
      <c r="B187" s="47" t="n"/>
      <c r="C187" s="49" t="inlineStr"/>
      <c r="D187" s="48" t="inlineStr">
        <is>
          <t>(blank)</t>
        </is>
      </c>
      <c r="E187" s="48" t="inlineStr">
        <is>
          <t>(blank)</t>
        </is>
      </c>
      <c r="F187" s="47" t="n"/>
    </row>
    <row r="188">
      <c r="A188" s="49" t="n">
        <v>181</v>
      </c>
      <c r="B188" s="47" t="n"/>
      <c r="C188" s="49" t="inlineStr"/>
      <c r="D188" s="48" t="inlineStr">
        <is>
          <t>(blank)</t>
        </is>
      </c>
      <c r="E188" s="48" t="inlineStr">
        <is>
          <t>(blank)</t>
        </is>
      </c>
      <c r="F188" s="47" t="n"/>
    </row>
    <row r="189">
      <c r="A189" s="49" t="n">
        <v>182</v>
      </c>
      <c r="B189" s="47" t="n"/>
      <c r="C189" s="49" t="inlineStr"/>
      <c r="D189" s="48" t="inlineStr">
        <is>
          <t>(blank)</t>
        </is>
      </c>
      <c r="E189" s="48" t="inlineStr">
        <is>
          <t>(blank)</t>
        </is>
      </c>
      <c r="F189" s="47" t="n"/>
    </row>
    <row r="190">
      <c r="A190" s="49" t="n">
        <v>183</v>
      </c>
      <c r="B190" s="47" t="n"/>
      <c r="C190" s="49" t="inlineStr"/>
      <c r="D190" s="48" t="inlineStr">
        <is>
          <t>(blank)</t>
        </is>
      </c>
      <c r="E190" s="48" t="inlineStr">
        <is>
          <t>(blank)</t>
        </is>
      </c>
      <c r="F190" s="47" t="n"/>
    </row>
    <row r="191">
      <c r="A191" s="49" t="n">
        <v>184</v>
      </c>
      <c r="B191" s="47" t="n"/>
      <c r="C191" s="49" t="inlineStr"/>
      <c r="D191" s="48" t="inlineStr">
        <is>
          <t>(blank)</t>
        </is>
      </c>
      <c r="E191" s="48" t="inlineStr">
        <is>
          <t>(blank)</t>
        </is>
      </c>
      <c r="F191" s="47" t="n"/>
    </row>
    <row r="192">
      <c r="A192" s="49" t="n">
        <v>185</v>
      </c>
      <c r="B192" s="47" t="n"/>
      <c r="C192" s="49" t="inlineStr"/>
      <c r="D192" s="48" t="inlineStr">
        <is>
          <t>(blank)</t>
        </is>
      </c>
      <c r="E192" s="48" t="inlineStr">
        <is>
          <t>(blank)</t>
        </is>
      </c>
      <c r="F192" s="47" t="n"/>
    </row>
    <row r="193">
      <c r="A193" s="49" t="n">
        <v>186</v>
      </c>
      <c r="B193" s="47" t="n"/>
      <c r="C193" s="49" t="inlineStr"/>
      <c r="D193" s="48" t="inlineStr">
        <is>
          <t>(blank)</t>
        </is>
      </c>
      <c r="E193" s="48" t="inlineStr">
        <is>
          <t>(blank)</t>
        </is>
      </c>
      <c r="F193" s="47" t="n"/>
    </row>
    <row r="194">
      <c r="A194" s="49" t="n">
        <v>187</v>
      </c>
      <c r="B194" s="47" t="n"/>
      <c r="C194" s="49" t="inlineStr"/>
      <c r="D194" s="48" t="inlineStr">
        <is>
          <t>(blank)</t>
        </is>
      </c>
      <c r="E194" s="48" t="inlineStr">
        <is>
          <t>(blank)</t>
        </is>
      </c>
      <c r="F194" s="47" t="n"/>
    </row>
    <row r="195">
      <c r="A195" s="49" t="n">
        <v>188</v>
      </c>
      <c r="B195" s="47" t="n"/>
      <c r="C195" s="49" t="inlineStr"/>
      <c r="D195" s="48" t="inlineStr">
        <is>
          <t>(blank)</t>
        </is>
      </c>
      <c r="E195" s="48" t="inlineStr">
        <is>
          <t>(blank)</t>
        </is>
      </c>
      <c r="F195" s="47" t="n"/>
    </row>
    <row r="196">
      <c r="A196" s="49" t="n">
        <v>189</v>
      </c>
      <c r="B196" s="38" t="n"/>
      <c r="C196" s="69" t="inlineStr">
        <is>
          <t>yes</t>
        </is>
      </c>
      <c r="D196" s="40" t="inlineStr">
        <is>
          <t>201</t>
        </is>
      </c>
      <c r="E196" s="40" t="inlineStr">
        <is>
          <t>264</t>
        </is>
      </c>
      <c r="F196" s="38" t="n"/>
    </row>
    <row r="197">
      <c r="A197" s="49" t="n">
        <v>190</v>
      </c>
      <c r="B197" s="38" t="n"/>
      <c r="C197" s="69" t="inlineStr">
        <is>
          <t>yes</t>
        </is>
      </c>
      <c r="D197" s="40" t="inlineStr">
        <is>
          <t>100.0000</t>
        </is>
      </c>
      <c r="E197" s="40" t="inlineStr">
        <is>
          <t>100.0000</t>
        </is>
      </c>
      <c r="F197" s="38" t="n"/>
    </row>
    <row r="198">
      <c r="A198" s="49" t="n">
        <v>191</v>
      </c>
      <c r="B198" s="38" t="n"/>
      <c r="C198" s="69" t="inlineStr">
        <is>
          <t>yes</t>
        </is>
      </c>
      <c r="D198" s="40" t="inlineStr">
        <is>
          <t>0075</t>
        </is>
      </c>
      <c r="E198" s="40" t="inlineStr">
        <is>
          <t>0075</t>
        </is>
      </c>
      <c r="F198" s="38" t="n"/>
    </row>
    <row r="199">
      <c r="A199" s="49" t="n">
        <v>192</v>
      </c>
      <c r="B199" s="38" t="n"/>
      <c r="C199" s="69" t="inlineStr">
        <is>
          <t>yes</t>
        </is>
      </c>
      <c r="D199" s="40" t="inlineStr">
        <is>
          <t>800</t>
        </is>
      </c>
      <c r="E199" s="40" t="inlineStr">
        <is>
          <t>910</t>
        </is>
      </c>
      <c r="F199" s="38" t="n"/>
    </row>
    <row r="200">
      <c r="A200" s="49" t="n">
        <v>193</v>
      </c>
      <c r="B200" s="47" t="n"/>
      <c r="C200" s="49" t="inlineStr"/>
      <c r="D200" s="48" t="inlineStr">
        <is>
          <t>(blank)</t>
        </is>
      </c>
      <c r="E200" s="48" t="inlineStr">
        <is>
          <t>(blank)</t>
        </is>
      </c>
      <c r="F200" s="47" t="n"/>
    </row>
    <row r="201">
      <c r="A201" s="49" t="n">
        <v>194</v>
      </c>
      <c r="B201" s="38" t="n"/>
      <c r="C201" s="69" t="inlineStr">
        <is>
          <t>yes</t>
        </is>
      </c>
      <c r="D201" s="48" t="inlineStr">
        <is>
          <t>(blank)</t>
        </is>
      </c>
      <c r="E201" s="48" t="inlineStr">
        <is>
          <t>(blank)</t>
        </is>
      </c>
      <c r="F201" s="38" t="n"/>
    </row>
    <row r="202">
      <c r="A202" s="49" t="n">
        <v>195</v>
      </c>
      <c r="B202" s="47" t="n"/>
      <c r="C202" s="49" t="inlineStr"/>
      <c r="D202" s="48" t="inlineStr">
        <is>
          <t>(blank)</t>
        </is>
      </c>
      <c r="E202" s="48" t="inlineStr">
        <is>
          <t>(blank)</t>
        </is>
      </c>
      <c r="F202" s="47" t="n"/>
    </row>
    <row r="203">
      <c r="A203" s="49" t="n">
        <v>196</v>
      </c>
      <c r="B203" s="47" t="n"/>
      <c r="C203" s="49" t="inlineStr"/>
      <c r="D203" s="48" t="inlineStr">
        <is>
          <t>(blank)</t>
        </is>
      </c>
      <c r="E203" s="48" t="inlineStr">
        <is>
          <t>(blank)</t>
        </is>
      </c>
      <c r="F203" s="47" t="n"/>
    </row>
    <row r="204">
      <c r="A204" s="49" t="n">
        <v>197</v>
      </c>
      <c r="B204" s="47" t="n"/>
      <c r="C204" s="49" t="inlineStr"/>
      <c r="D204" s="48" t="inlineStr">
        <is>
          <t>(blank)</t>
        </is>
      </c>
      <c r="E204" s="48" t="inlineStr">
        <is>
          <t>(blank)</t>
        </is>
      </c>
      <c r="F204" s="47" t="n"/>
    </row>
    <row r="205">
      <c r="A205" s="49" t="n">
        <v>198</v>
      </c>
      <c r="B205" s="47" t="n"/>
      <c r="C205" s="49" t="inlineStr"/>
      <c r="D205" s="48" t="inlineStr">
        <is>
          <t>(blank)</t>
        </is>
      </c>
      <c r="E205" s="48" t="inlineStr">
        <is>
          <t>(blank)</t>
        </is>
      </c>
      <c r="F205" s="47" t="n"/>
    </row>
    <row r="206">
      <c r="A206" s="49" t="n">
        <v>199</v>
      </c>
      <c r="B206" s="47" t="n"/>
      <c r="C206" s="49" t="inlineStr"/>
      <c r="D206" s="48" t="inlineStr">
        <is>
          <t>(blank)</t>
        </is>
      </c>
      <c r="E206" s="48" t="inlineStr">
        <is>
          <t>(blank)</t>
        </is>
      </c>
      <c r="F206" s="47" t="n"/>
    </row>
    <row r="207">
      <c r="A207" s="49" t="n">
        <v>200</v>
      </c>
      <c r="B207" s="47" t="n"/>
      <c r="C207" s="49" t="inlineStr"/>
      <c r="D207" s="48" t="inlineStr">
        <is>
          <t>(blank)</t>
        </is>
      </c>
      <c r="E207" s="48" t="inlineStr">
        <is>
          <t>(blank)</t>
        </is>
      </c>
      <c r="F207" s="47" t="n"/>
    </row>
    <row r="208">
      <c r="A208" s="49" t="n">
        <v>201</v>
      </c>
      <c r="B208" s="47" t="n"/>
      <c r="C208" s="49" t="inlineStr"/>
      <c r="D208" s="48" t="inlineStr">
        <is>
          <t>(blank)</t>
        </is>
      </c>
      <c r="E208" s="48" t="inlineStr">
        <is>
          <t>(blank)</t>
        </is>
      </c>
      <c r="F208" s="47" t="n"/>
    </row>
    <row r="209">
      <c r="A209" s="49" t="n">
        <v>202</v>
      </c>
      <c r="B209" s="47" t="n"/>
      <c r="C209" s="49" t="inlineStr"/>
      <c r="D209" s="48" t="inlineStr">
        <is>
          <t>(blank)</t>
        </is>
      </c>
      <c r="E209" s="48" t="inlineStr">
        <is>
          <t>(blank)</t>
        </is>
      </c>
      <c r="F209" s="47" t="n"/>
    </row>
    <row r="210">
      <c r="A210" s="49" t="n">
        <v>203</v>
      </c>
      <c r="B210" s="47" t="n"/>
      <c r="C210" s="49" t="inlineStr"/>
      <c r="D210" s="48" t="inlineStr">
        <is>
          <t>(blank)</t>
        </is>
      </c>
      <c r="E210" s="48" t="inlineStr">
        <is>
          <t>(blank)</t>
        </is>
      </c>
      <c r="F210" s="47" t="n"/>
    </row>
    <row r="211">
      <c r="A211" s="49" t="n">
        <v>204</v>
      </c>
      <c r="B211" s="47" t="n"/>
      <c r="C211" s="49" t="inlineStr"/>
      <c r="D211" s="48" t="inlineStr">
        <is>
          <t>(blank)</t>
        </is>
      </c>
      <c r="E211" s="48" t="inlineStr">
        <is>
          <t>(blank)</t>
        </is>
      </c>
      <c r="F211" s="47" t="n"/>
    </row>
    <row r="212">
      <c r="A212" s="49" t="n">
        <v>205</v>
      </c>
      <c r="B212" s="47" t="n"/>
      <c r="C212" s="49" t="inlineStr"/>
      <c r="D212" s="48" t="inlineStr">
        <is>
          <t>(blank)</t>
        </is>
      </c>
      <c r="E212" s="48" t="inlineStr">
        <is>
          <t>(blank)</t>
        </is>
      </c>
      <c r="F212" s="47" t="n"/>
    </row>
    <row r="213">
      <c r="A213" s="49" t="n">
        <v>206</v>
      </c>
      <c r="B213" s="47" t="n"/>
      <c r="C213" s="49" t="inlineStr"/>
      <c r="D213" s="48" t="inlineStr">
        <is>
          <t>(blank)</t>
        </is>
      </c>
      <c r="E213" s="48" t="inlineStr">
        <is>
          <t>(blank)</t>
        </is>
      </c>
      <c r="F213" s="47" t="n"/>
    </row>
    <row r="214">
      <c r="A214" s="49" t="n">
        <v>207</v>
      </c>
      <c r="B214" s="47" t="n"/>
      <c r="C214" s="49" t="inlineStr"/>
      <c r="D214" s="48" t="inlineStr">
        <is>
          <t>(blank)</t>
        </is>
      </c>
      <c r="E214" s="48" t="inlineStr">
        <is>
          <t>(blank)</t>
        </is>
      </c>
      <c r="F214" s="47" t="n"/>
    </row>
    <row r="215">
      <c r="A215" s="49" t="n">
        <v>208</v>
      </c>
      <c r="B215" s="47" t="n"/>
      <c r="C215" s="49" t="inlineStr"/>
      <c r="D215" s="48" t="inlineStr">
        <is>
          <t>(blank)</t>
        </is>
      </c>
      <c r="E215" s="48" t="inlineStr">
        <is>
          <t>(blank)</t>
        </is>
      </c>
      <c r="F215" s="47" t="n"/>
    </row>
    <row r="216">
      <c r="A216" s="49" t="n">
        <v>209</v>
      </c>
      <c r="B216" s="47" t="n"/>
      <c r="C216" s="49" t="inlineStr"/>
      <c r="D216" s="48" t="inlineStr">
        <is>
          <t>(blank)</t>
        </is>
      </c>
      <c r="E216" s="48" t="inlineStr">
        <is>
          <t>(blank)</t>
        </is>
      </c>
      <c r="F216" s="47" t="n"/>
    </row>
    <row r="217">
      <c r="A217" s="49" t="n">
        <v>210</v>
      </c>
      <c r="B217" s="47" t="n"/>
      <c r="C217" s="49" t="inlineStr"/>
      <c r="D217" s="48" t="inlineStr">
        <is>
          <t>(blank)</t>
        </is>
      </c>
      <c r="E217" s="48" t="inlineStr">
        <is>
          <t>(blank)</t>
        </is>
      </c>
      <c r="F217" s="47" t="n"/>
    </row>
    <row r="218">
      <c r="A218" s="49" t="n">
        <v>211</v>
      </c>
      <c r="B218" s="38" t="n"/>
      <c r="C218" s="69" t="inlineStr">
        <is>
          <t>yes</t>
        </is>
      </c>
      <c r="D218" s="48" t="inlineStr">
        <is>
          <t>(blank)</t>
        </is>
      </c>
      <c r="E218" s="48" t="inlineStr">
        <is>
          <t>(blank)</t>
        </is>
      </c>
      <c r="F218" s="38" t="n"/>
    </row>
    <row r="219">
      <c r="A219" s="49" t="n">
        <v>212</v>
      </c>
      <c r="B219" s="47" t="n"/>
      <c r="C219" s="49" t="inlineStr"/>
      <c r="D219" s="48" t="inlineStr">
        <is>
          <t>(blank)</t>
        </is>
      </c>
      <c r="E219" s="48" t="inlineStr">
        <is>
          <t>(blank)</t>
        </is>
      </c>
      <c r="F219" s="47" t="n"/>
    </row>
    <row r="220">
      <c r="A220" s="49" t="n">
        <v>213</v>
      </c>
      <c r="B220" s="47" t="n"/>
      <c r="C220" s="49" t="inlineStr"/>
      <c r="D220" s="48" t="inlineStr">
        <is>
          <t>(blank)</t>
        </is>
      </c>
      <c r="E220" s="48" t="inlineStr">
        <is>
          <t>(blank)</t>
        </is>
      </c>
      <c r="F220" s="47" t="n"/>
    </row>
    <row r="221">
      <c r="A221" s="49" t="n">
        <v>214</v>
      </c>
      <c r="B221" s="47" t="n"/>
      <c r="C221" s="49" t="inlineStr"/>
      <c r="D221" s="48" t="inlineStr">
        <is>
          <t>(blank)</t>
        </is>
      </c>
      <c r="E221" s="48" t="inlineStr">
        <is>
          <t>(blank)</t>
        </is>
      </c>
      <c r="F221" s="47" t="n"/>
    </row>
    <row r="222">
      <c r="A222" s="49" t="n">
        <v>215</v>
      </c>
      <c r="B222" s="47" t="n"/>
      <c r="C222" s="49" t="inlineStr"/>
      <c r="D222" s="48" t="inlineStr">
        <is>
          <t>(blank)</t>
        </is>
      </c>
      <c r="E222" s="48" t="inlineStr">
        <is>
          <t>(blank)</t>
        </is>
      </c>
      <c r="F222" s="47" t="n"/>
    </row>
    <row r="223">
      <c r="A223" s="49" t="n">
        <v>216</v>
      </c>
      <c r="B223" s="47" t="n"/>
      <c r="C223" s="49" t="inlineStr"/>
      <c r="D223" s="48" t="inlineStr">
        <is>
          <t>(blank)</t>
        </is>
      </c>
      <c r="E223" s="48" t="inlineStr">
        <is>
          <t>(blank)</t>
        </is>
      </c>
      <c r="F223" s="47" t="n"/>
    </row>
    <row r="224">
      <c r="A224" s="49" t="n">
        <v>217</v>
      </c>
      <c r="B224" s="47" t="n"/>
      <c r="C224" s="49" t="inlineStr"/>
      <c r="D224" s="48" t="inlineStr">
        <is>
          <t>(blank)</t>
        </is>
      </c>
      <c r="E224" s="48" t="inlineStr">
        <is>
          <t>(blank)</t>
        </is>
      </c>
      <c r="F224" s="47" t="n"/>
    </row>
    <row r="225">
      <c r="A225" s="49" t="n">
        <v>218</v>
      </c>
      <c r="B225" s="47" t="n"/>
      <c r="C225" s="49" t="inlineStr"/>
      <c r="D225" s="48" t="inlineStr">
        <is>
          <t>(blank)</t>
        </is>
      </c>
      <c r="E225" s="48" t="inlineStr">
        <is>
          <t>(blank)</t>
        </is>
      </c>
      <c r="F225" s="47" t="n"/>
    </row>
    <row r="226">
      <c r="A226" s="49" t="n">
        <v>219</v>
      </c>
      <c r="B226" s="47" t="n"/>
      <c r="C226" s="49" t="inlineStr"/>
      <c r="D226" s="48" t="inlineStr">
        <is>
          <t>(blank)</t>
        </is>
      </c>
      <c r="E226" s="48" t="inlineStr">
        <is>
          <t>(blank)</t>
        </is>
      </c>
      <c r="F226" s="47" t="n"/>
    </row>
    <row r="227">
      <c r="A227" s="49" t="n">
        <v>220</v>
      </c>
      <c r="B227" s="47" t="n"/>
      <c r="C227" s="49" t="inlineStr"/>
      <c r="D227" s="48" t="inlineStr">
        <is>
          <t>(blank)</t>
        </is>
      </c>
      <c r="E227" s="48" t="inlineStr">
        <is>
          <t>(blank)</t>
        </is>
      </c>
      <c r="F227" s="47" t="n"/>
    </row>
    <row r="228">
      <c r="A228" s="49" t="n">
        <v>221</v>
      </c>
      <c r="B228" s="47" t="n"/>
      <c r="C228" s="49" t="inlineStr"/>
      <c r="D228" s="48" t="inlineStr">
        <is>
          <t>(blank)</t>
        </is>
      </c>
      <c r="E228" s="48" t="inlineStr">
        <is>
          <t>(blank)</t>
        </is>
      </c>
      <c r="F228" s="47" t="n"/>
    </row>
    <row r="229">
      <c r="A229" s="49" t="n">
        <v>222</v>
      </c>
      <c r="B229" s="47" t="n"/>
      <c r="C229" s="49" t="inlineStr"/>
      <c r="D229" s="48" t="inlineStr">
        <is>
          <t>(blank)</t>
        </is>
      </c>
      <c r="E229" s="48" t="inlineStr">
        <is>
          <t>(blank)</t>
        </is>
      </c>
      <c r="F229" s="47" t="n"/>
    </row>
    <row r="230">
      <c r="A230" s="49" t="n">
        <v>223</v>
      </c>
      <c r="B230" s="38" t="n"/>
      <c r="C230" s="69" t="inlineStr">
        <is>
          <t>yes</t>
        </is>
      </c>
      <c r="D230" s="40" t="inlineStr">
        <is>
          <t>201.5500</t>
        </is>
      </c>
      <c r="E230" s="40" t="inlineStr">
        <is>
          <t>1215.3900</t>
        </is>
      </c>
      <c r="F230" s="38" t="n"/>
    </row>
    <row r="231">
      <c r="A231" s="49" t="n">
        <v>224</v>
      </c>
      <c r="B231" s="38" t="n"/>
      <c r="C231" s="69" t="inlineStr">
        <is>
          <t>yes</t>
        </is>
      </c>
      <c r="D231" s="40" t="inlineStr">
        <is>
          <t>201.5500</t>
        </is>
      </c>
      <c r="E231" s="40" t="inlineStr">
        <is>
          <t>1215.3900</t>
        </is>
      </c>
      <c r="F231" s="38" t="n"/>
    </row>
    <row r="232">
      <c r="A232" s="49" t="n">
        <v>225</v>
      </c>
      <c r="B232" s="38" t="n"/>
      <c r="C232" s="69" t="inlineStr">
        <is>
          <t>yes</t>
        </is>
      </c>
      <c r="D232" s="40" t="inlineStr">
        <is>
          <t>Mexico IVA</t>
        </is>
      </c>
      <c r="E232" s="40" t="inlineStr">
        <is>
          <t>Mexico IVA</t>
        </is>
      </c>
      <c r="F232" s="38" t="n"/>
    </row>
    <row r="233">
      <c r="A233" s="49" t="n">
        <v>226</v>
      </c>
      <c r="B233" s="38" t="n"/>
      <c r="C233" s="69" t="inlineStr">
        <is>
          <t>yes</t>
        </is>
      </c>
      <c r="D233" s="40" t="inlineStr">
        <is>
          <t>MXIVA</t>
        </is>
      </c>
      <c r="E233" s="40" t="inlineStr">
        <is>
          <t>MXIVA</t>
        </is>
      </c>
      <c r="F233" s="38" t="n"/>
    </row>
    <row r="234">
      <c r="A234" s="49" t="n">
        <v>227</v>
      </c>
      <c r="B234" s="38" t="n"/>
      <c r="C234" s="69" t="inlineStr">
        <is>
          <t>yes</t>
        </is>
      </c>
      <c r="D234" s="40" t="inlineStr">
        <is>
          <t>201.5500</t>
        </is>
      </c>
      <c r="E234" s="40" t="inlineStr">
        <is>
          <t>1215.3900</t>
        </is>
      </c>
      <c r="F234" s="38" t="n"/>
    </row>
    <row r="235">
      <c r="A235" s="49" t="n">
        <v>228</v>
      </c>
      <c r="B235" s="38" t="n"/>
      <c r="C235" s="69" t="inlineStr">
        <is>
          <t>yes</t>
        </is>
      </c>
      <c r="D235" s="40" t="inlineStr">
        <is>
          <t>201.5500</t>
        </is>
      </c>
      <c r="E235" s="40" t="inlineStr">
        <is>
          <t>1215.3900</t>
        </is>
      </c>
      <c r="F235" s="38" t="n"/>
    </row>
    <row r="236">
      <c r="A236" s="49" t="n">
        <v>229</v>
      </c>
      <c r="B236" s="38" t="n"/>
      <c r="C236" s="69" t="inlineStr">
        <is>
          <t>yes</t>
        </is>
      </c>
      <c r="D236" s="40" t="inlineStr">
        <is>
          <t>SYST</t>
        </is>
      </c>
      <c r="E236" s="40" t="inlineStr">
        <is>
          <t>SYST</t>
        </is>
      </c>
      <c r="F236" s="38" t="n"/>
    </row>
    <row r="237">
      <c r="A237" s="49" t="n">
        <v>230</v>
      </c>
      <c r="B237" s="38" t="n"/>
      <c r="C237" s="69" t="inlineStr">
        <is>
          <t>yes</t>
        </is>
      </c>
      <c r="D237" s="40" t="inlineStr">
        <is>
          <t>201.5500</t>
        </is>
      </c>
      <c r="E237" s="40" t="inlineStr">
        <is>
          <t>1215.3900</t>
        </is>
      </c>
      <c r="F237" s="38" t="n"/>
    </row>
    <row r="238">
      <c r="A238" s="49" t="n">
        <v>231</v>
      </c>
      <c r="B238" s="38" t="n"/>
      <c r="C238" s="69" t="inlineStr">
        <is>
          <t>yes</t>
        </is>
      </c>
      <c r="D238" s="40" t="inlineStr">
        <is>
          <t>201.5500</t>
        </is>
      </c>
      <c r="E238" s="40" t="inlineStr">
        <is>
          <t>1215.3900</t>
        </is>
      </c>
      <c r="F238" s="38" t="n"/>
    </row>
    <row r="239">
      <c r="A239" s="49" t="n">
        <v>232</v>
      </c>
      <c r="B239" s="38" t="n"/>
      <c r="C239" s="69" t="inlineStr">
        <is>
          <t>yes</t>
        </is>
      </c>
      <c r="D239" s="40" t="inlineStr">
        <is>
          <t>2413</t>
        </is>
      </c>
      <c r="E239" s="40" t="inlineStr">
        <is>
          <t>2413</t>
        </is>
      </c>
      <c r="F239" s="38" t="n"/>
    </row>
    <row r="240">
      <c r="A240" s="49" t="n">
        <v>233</v>
      </c>
      <c r="B240" s="38" t="n"/>
      <c r="C240" s="69" t="inlineStr">
        <is>
          <t>yes</t>
        </is>
      </c>
      <c r="D240" s="40" t="inlineStr">
        <is>
          <t>Y</t>
        </is>
      </c>
      <c r="E240" s="40" t="inlineStr">
        <is>
          <t>Y</t>
        </is>
      </c>
      <c r="F240" s="38" t="n"/>
    </row>
    <row r="241">
      <c r="A241" s="49" t="n">
        <v>234</v>
      </c>
      <c r="B241" s="38" t="n"/>
      <c r="C241" s="69" t="inlineStr">
        <is>
          <t>yes</t>
        </is>
      </c>
      <c r="D241" s="40" t="inlineStr">
        <is>
          <t>201.5500</t>
        </is>
      </c>
      <c r="E241" s="40" t="inlineStr">
        <is>
          <t>1215.3900</t>
        </is>
      </c>
      <c r="F241" s="38" t="n"/>
    </row>
    <row r="242">
      <c r="A242" s="49" t="n">
        <v>235</v>
      </c>
      <c r="B242" s="38" t="n"/>
      <c r="C242" s="69" t="inlineStr">
        <is>
          <t>yes</t>
        </is>
      </c>
      <c r="D242" s="40" t="inlineStr">
        <is>
          <t>201.5500</t>
        </is>
      </c>
      <c r="E242" s="40" t="inlineStr">
        <is>
          <t>1215.3900</t>
        </is>
      </c>
      <c r="F242" s="38" t="n"/>
    </row>
    <row r="243">
      <c r="A243" s="49" t="n">
        <v>236</v>
      </c>
      <c r="B243" s="47" t="n"/>
      <c r="C243" s="49" t="inlineStr"/>
      <c r="D243" s="48" t="inlineStr">
        <is>
          <t>(blank)</t>
        </is>
      </c>
      <c r="E243" s="48" t="inlineStr">
        <is>
          <t>(blank)</t>
        </is>
      </c>
      <c r="F243" s="47" t="n"/>
    </row>
    <row r="244">
      <c r="A244" s="49" t="n">
        <v>237</v>
      </c>
      <c r="B244" s="38" t="n"/>
      <c r="C244" s="69" t="inlineStr">
        <is>
          <t>yes</t>
        </is>
      </c>
      <c r="D244" s="40" t="inlineStr">
        <is>
          <t>201.5500</t>
        </is>
      </c>
      <c r="E244" s="40" t="inlineStr">
        <is>
          <t>1215.3900</t>
        </is>
      </c>
      <c r="F244" s="38" t="n"/>
    </row>
    <row r="245">
      <c r="A245" s="49" t="n">
        <v>238</v>
      </c>
      <c r="B245" s="47" t="n"/>
      <c r="C245" s="49" t="inlineStr"/>
      <c r="D245" s="48" t="inlineStr">
        <is>
          <t>(blank)</t>
        </is>
      </c>
      <c r="E245" s="48" t="inlineStr">
        <is>
          <t>(blank)</t>
        </is>
      </c>
      <c r="F245" s="47" t="n"/>
    </row>
    <row r="246">
      <c r="A246" s="49" t="n">
        <v>239</v>
      </c>
      <c r="B246" s="47" t="n"/>
      <c r="C246" s="49" t="inlineStr"/>
      <c r="D246" s="48" t="inlineStr">
        <is>
          <t>(blank)</t>
        </is>
      </c>
      <c r="E246" s="48" t="inlineStr">
        <is>
          <t>(blank)</t>
        </is>
      </c>
      <c r="F246" s="47" t="n"/>
    </row>
    <row r="247">
      <c r="A247" s="49" t="n">
        <v>240</v>
      </c>
      <c r="B247" s="47" t="n"/>
      <c r="C247" s="49" t="inlineStr"/>
      <c r="D247" s="48" t="inlineStr">
        <is>
          <t>(blank)</t>
        </is>
      </c>
      <c r="E247" s="48" t="inlineStr">
        <is>
          <t>(blank)</t>
        </is>
      </c>
      <c r="F247" s="47" t="n"/>
    </row>
    <row r="248">
      <c r="A248" s="49" t="n">
        <v>241</v>
      </c>
      <c r="B248" s="47" t="n"/>
      <c r="C248" s="49" t="inlineStr"/>
      <c r="D248" s="48" t="inlineStr">
        <is>
          <t>(blank)</t>
        </is>
      </c>
      <c r="E248" s="48" t="inlineStr">
        <is>
          <t>(blank)</t>
        </is>
      </c>
      <c r="F248" s="47" t="n"/>
    </row>
    <row r="249">
      <c r="A249" s="49" t="n">
        <v>242</v>
      </c>
      <c r="B249" s="47" t="n"/>
      <c r="C249" s="49" t="inlineStr"/>
      <c r="D249" s="48" t="inlineStr">
        <is>
          <t>(blank)</t>
        </is>
      </c>
      <c r="E249" s="48" t="inlineStr">
        <is>
          <t>(blank)</t>
        </is>
      </c>
      <c r="F249" s="47" t="n"/>
    </row>
    <row r="250">
      <c r="A250" s="49" t="n">
        <v>243</v>
      </c>
      <c r="B250" s="47" t="n"/>
      <c r="C250" s="49" t="inlineStr"/>
      <c r="D250" s="48" t="inlineStr">
        <is>
          <t>(blank)</t>
        </is>
      </c>
      <c r="E250" s="48" t="inlineStr">
        <is>
          <t>(blank)</t>
        </is>
      </c>
      <c r="F250" s="47" t="n"/>
    </row>
    <row r="251">
      <c r="A251" s="49" t="n">
        <v>244</v>
      </c>
      <c r="B251" s="47" t="n"/>
      <c r="C251" s="49" t="inlineStr"/>
      <c r="D251" s="48" t="inlineStr">
        <is>
          <t>(blank)</t>
        </is>
      </c>
      <c r="E251" s="48" t="inlineStr">
        <is>
          <t>(blank)</t>
        </is>
      </c>
      <c r="F251" s="47" t="n"/>
    </row>
    <row r="252">
      <c r="A252" s="49" t="n">
        <v>245</v>
      </c>
      <c r="B252" s="47" t="n"/>
      <c r="C252" s="49" t="inlineStr"/>
      <c r="D252" s="48" t="inlineStr">
        <is>
          <t>(blank)</t>
        </is>
      </c>
      <c r="E252" s="48" t="inlineStr">
        <is>
          <t>(blank)</t>
        </is>
      </c>
      <c r="F252" s="47" t="n"/>
    </row>
    <row r="253">
      <c r="A253" s="49" t="n">
        <v>246</v>
      </c>
      <c r="B253" s="38" t="n"/>
      <c r="C253" s="69" t="inlineStr">
        <is>
          <t>yes</t>
        </is>
      </c>
      <c r="D253" s="40" t="inlineStr">
        <is>
          <t>201.5500</t>
        </is>
      </c>
      <c r="E253" s="40" t="inlineStr">
        <is>
          <t>1215.3900</t>
        </is>
      </c>
      <c r="F253" s="38" t="n"/>
    </row>
    <row r="254">
      <c r="A254" s="49" t="n">
        <v>247</v>
      </c>
      <c r="B254" s="38" t="n"/>
      <c r="C254" s="69" t="inlineStr">
        <is>
          <t>yes</t>
        </is>
      </c>
      <c r="D254" s="40" t="inlineStr">
        <is>
          <t>1259.7000</t>
        </is>
      </c>
      <c r="E254" s="40" t="inlineStr">
        <is>
          <t>7596.2100</t>
        </is>
      </c>
      <c r="F254" s="38" t="n"/>
    </row>
    <row r="255">
      <c r="A255" s="49" t="n">
        <v>248</v>
      </c>
      <c r="B255" s="38" t="n"/>
      <c r="C255" s="69" t="inlineStr">
        <is>
          <t>yes</t>
        </is>
      </c>
      <c r="D255" s="40" t="inlineStr">
        <is>
          <t>201.5500</t>
        </is>
      </c>
      <c r="E255" s="40" t="inlineStr">
        <is>
          <t>1215.3900</t>
        </is>
      </c>
      <c r="F255" s="38" t="n"/>
    </row>
    <row r="256">
      <c r="A256" s="49" t="n">
        <v>249</v>
      </c>
      <c r="B256" s="38" t="n"/>
      <c r="C256" s="69" t="inlineStr">
        <is>
          <t>yes</t>
        </is>
      </c>
      <c r="D256" s="40" t="inlineStr">
        <is>
          <t>1259.7000</t>
        </is>
      </c>
      <c r="E256" s="40" t="inlineStr">
        <is>
          <t>7596.2100</t>
        </is>
      </c>
      <c r="F256" s="38" t="n"/>
    </row>
    <row r="257">
      <c r="A257" s="49" t="n">
        <v>250</v>
      </c>
      <c r="B257" s="38" t="n"/>
      <c r="C257" s="69" t="inlineStr">
        <is>
          <t>yes</t>
        </is>
      </c>
      <c r="D257" s="40" t="inlineStr">
        <is>
          <t>Cash/Personal Card</t>
        </is>
      </c>
      <c r="E257" s="40" t="inlineStr">
        <is>
          <t>HSBC Corp Card</t>
        </is>
      </c>
      <c r="F257" s="38" t="n"/>
    </row>
    <row r="258">
      <c r="A258" s="49" t="n">
        <v>251</v>
      </c>
      <c r="B258" s="47" t="n"/>
      <c r="C258" s="49" t="inlineStr"/>
      <c r="D258" s="48" t="inlineStr">
        <is>
          <t>(blank)</t>
        </is>
      </c>
      <c r="E258" s="48" t="inlineStr">
        <is>
          <t>(blank)</t>
        </is>
      </c>
      <c r="F258" s="47" t="n"/>
    </row>
    <row r="259">
      <c r="A259" s="49" t="n">
        <v>252</v>
      </c>
      <c r="B259" s="47" t="n"/>
      <c r="C259" s="49" t="inlineStr"/>
      <c r="D259" s="48" t="inlineStr">
        <is>
          <t>(blank)</t>
        </is>
      </c>
      <c r="E259" s="48" t="inlineStr">
        <is>
          <t>(blank)</t>
        </is>
      </c>
      <c r="F259" s="47" t="n"/>
    </row>
    <row r="260">
      <c r="A260" s="49" t="n">
        <v>253</v>
      </c>
      <c r="B260" s="47" t="n"/>
      <c r="C260" s="49" t="inlineStr"/>
      <c r="D260" s="48" t="inlineStr">
        <is>
          <t>(blank)</t>
        </is>
      </c>
      <c r="E260" s="48" t="inlineStr">
        <is>
          <t>(blank)</t>
        </is>
      </c>
      <c r="F260" s="47" t="n"/>
    </row>
    <row r="261">
      <c r="A261" s="49" t="n">
        <v>254</v>
      </c>
      <c r="B261" s="47" t="n"/>
      <c r="C261" s="49" t="inlineStr"/>
      <c r="D261" s="48" t="inlineStr">
        <is>
          <t>(blank)</t>
        </is>
      </c>
      <c r="E261" s="48" t="inlineStr">
        <is>
          <t>(blank)</t>
        </is>
      </c>
      <c r="F261" s="47" t="n"/>
    </row>
    <row r="262">
      <c r="A262" s="49" t="n">
        <v>255</v>
      </c>
      <c r="B262" s="47" t="n"/>
      <c r="C262" s="49" t="inlineStr"/>
      <c r="D262" s="48" t="inlineStr">
        <is>
          <t>(blank)</t>
        </is>
      </c>
      <c r="E262" s="48" t="inlineStr">
        <is>
          <t>(blank)</t>
        </is>
      </c>
      <c r="F262" s="47" t="n"/>
    </row>
    <row r="263">
      <c r="A263" s="49" t="n">
        <v>256</v>
      </c>
      <c r="B263" s="47" t="n"/>
      <c r="C263" s="49" t="inlineStr"/>
      <c r="D263" s="48" t="inlineStr">
        <is>
          <t>(blank)</t>
        </is>
      </c>
      <c r="E263" s="48" t="inlineStr">
        <is>
          <t>(blank)</t>
        </is>
      </c>
      <c r="F263" s="47" t="n"/>
    </row>
    <row r="264">
      <c r="A264" s="49" t="n">
        <v>257</v>
      </c>
      <c r="B264" s="47" t="n"/>
      <c r="C264" s="49" t="inlineStr"/>
      <c r="D264" s="48" t="inlineStr">
        <is>
          <t>(blank)</t>
        </is>
      </c>
      <c r="E264" s="48" t="inlineStr">
        <is>
          <t>(blank)</t>
        </is>
      </c>
      <c r="F264" s="47" t="n"/>
    </row>
    <row r="265">
      <c r="A265" s="49" t="n">
        <v>258</v>
      </c>
      <c r="B265" s="47" t="n"/>
      <c r="C265" s="49" t="inlineStr"/>
      <c r="D265" s="48" t="inlineStr">
        <is>
          <t>(blank)</t>
        </is>
      </c>
      <c r="E265" s="48" t="inlineStr">
        <is>
          <t>(blank)</t>
        </is>
      </c>
      <c r="F265" s="47" t="n"/>
    </row>
    <row r="266">
      <c r="A266" s="49" t="n">
        <v>259</v>
      </c>
      <c r="B266" s="47" t="n"/>
      <c r="C266" s="49" t="inlineStr"/>
      <c r="D266" s="48" t="inlineStr">
        <is>
          <t>(blank)</t>
        </is>
      </c>
      <c r="E266" s="48" t="inlineStr">
        <is>
          <t>(blank)</t>
        </is>
      </c>
      <c r="F266" s="47" t="n"/>
    </row>
    <row r="267">
      <c r="A267" s="49" t="n">
        <v>260</v>
      </c>
      <c r="B267" s="47" t="n"/>
      <c r="C267" s="49" t="inlineStr"/>
      <c r="D267" s="48" t="inlineStr">
        <is>
          <t>(blank)</t>
        </is>
      </c>
      <c r="E267" s="48" t="inlineStr">
        <is>
          <t>(blank)</t>
        </is>
      </c>
      <c r="F267" s="47" t="n"/>
    </row>
    <row r="268">
      <c r="A268" s="49" t="n">
        <v>261</v>
      </c>
      <c r="B268" s="47" t="n"/>
      <c r="C268" s="49" t="inlineStr"/>
      <c r="D268" s="48" t="inlineStr">
        <is>
          <t>(blank)</t>
        </is>
      </c>
      <c r="E268" s="48" t="inlineStr">
        <is>
          <t>(blank)</t>
        </is>
      </c>
      <c r="F268" s="47" t="n"/>
    </row>
    <row r="269">
      <c r="A269" s="49" t="n">
        <v>262</v>
      </c>
      <c r="B269" s="47" t="n"/>
      <c r="C269" s="49" t="inlineStr"/>
      <c r="D269" s="48" t="inlineStr">
        <is>
          <t>(blank)</t>
        </is>
      </c>
      <c r="E269" s="48" t="inlineStr">
        <is>
          <t>(blank)</t>
        </is>
      </c>
      <c r="F269" s="47" t="n"/>
    </row>
    <row r="270">
      <c r="A270" s="49" t="n">
        <v>263</v>
      </c>
      <c r="B270" s="47" t="n"/>
      <c r="C270" s="49" t="inlineStr"/>
      <c r="D270" s="48" t="inlineStr">
        <is>
          <t>(blank)</t>
        </is>
      </c>
      <c r="E270" s="48" t="inlineStr">
        <is>
          <t>(blank)</t>
        </is>
      </c>
      <c r="F270" s="47" t="n"/>
    </row>
    <row r="271">
      <c r="A271" s="49" t="n">
        <v>264</v>
      </c>
      <c r="B271" s="38" t="n"/>
      <c r="C271" s="69" t="inlineStr">
        <is>
          <t>yes</t>
        </is>
      </c>
      <c r="D271" s="40" t="inlineStr">
        <is>
          <t>jvillarreal@onebarnes.com.new</t>
        </is>
      </c>
      <c r="E271" s="40" t="inlineStr">
        <is>
          <t>HMartinez@onebarnes.com.new</t>
        </is>
      </c>
      <c r="F271" s="38" t="n"/>
    </row>
    <row r="272">
      <c r="A272" s="49" t="n">
        <v>265</v>
      </c>
      <c r="B272" s="38" t="n"/>
      <c r="C272" s="69" t="inlineStr">
        <is>
          <t>yes</t>
        </is>
      </c>
      <c r="D272" s="40" t="inlineStr">
        <is>
          <t>jvillarreal@onebarnes.com</t>
        </is>
      </c>
      <c r="E272" s="40" t="inlineStr">
        <is>
          <t>HMartinez@onebarnes.com</t>
        </is>
      </c>
      <c r="F272" s="38" t="n"/>
    </row>
    <row r="273">
      <c r="A273" s="49" t="n">
        <v>266</v>
      </c>
      <c r="B273" s="47" t="n"/>
      <c r="C273" s="49" t="inlineStr"/>
      <c r="D273" s="48" t="inlineStr">
        <is>
          <t>(blank)</t>
        </is>
      </c>
      <c r="E273" s="48" t="inlineStr">
        <is>
          <t>(blank)</t>
        </is>
      </c>
      <c r="F273" s="47" t="n"/>
    </row>
    <row r="274">
      <c r="A274" s="49" t="n">
        <v>267</v>
      </c>
      <c r="B274" s="38" t="n"/>
      <c r="C274" s="69" t="inlineStr">
        <is>
          <t>yes</t>
        </is>
      </c>
      <c r="D274" s="40" t="inlineStr">
        <is>
          <t>S16</t>
        </is>
      </c>
      <c r="E274" s="40" t="inlineStr">
        <is>
          <t>S12</t>
        </is>
      </c>
      <c r="F274" s="38" t="n"/>
    </row>
    <row r="275">
      <c r="A275" s="49" t="n">
        <v>268</v>
      </c>
      <c r="B275" s="47" t="n"/>
      <c r="C275" s="49" t="inlineStr"/>
      <c r="D275" s="48" t="inlineStr">
        <is>
          <t>(blank)</t>
        </is>
      </c>
      <c r="E275" s="48" t="inlineStr">
        <is>
          <t>(blank)</t>
        </is>
      </c>
      <c r="F275" s="47" t="n"/>
    </row>
    <row r="276">
      <c r="A276" s="49" t="n">
        <v>269</v>
      </c>
      <c r="B276" s="47" t="n"/>
      <c r="C276" s="49" t="inlineStr"/>
      <c r="D276" s="48" t="inlineStr">
        <is>
          <t>(blank)</t>
        </is>
      </c>
      <c r="E276" s="48" t="inlineStr">
        <is>
          <t>(blank)</t>
        </is>
      </c>
      <c r="F276" s="47" t="n"/>
    </row>
    <row r="277">
      <c r="A277" s="49" t="n">
        <v>270</v>
      </c>
      <c r="B277" s="47" t="n"/>
      <c r="C277" s="49" t="inlineStr"/>
      <c r="D277" s="48" t="inlineStr">
        <is>
          <t>(blank)</t>
        </is>
      </c>
      <c r="E277" s="48" t="inlineStr">
        <is>
          <t>(blank)</t>
        </is>
      </c>
      <c r="F277" s="47" t="n"/>
    </row>
    <row r="278">
      <c r="A278" s="49" t="n">
        <v>271</v>
      </c>
      <c r="B278" s="47" t="n"/>
      <c r="C278" s="49" t="inlineStr"/>
      <c r="D278" s="48" t="inlineStr">
        <is>
          <t>(blank)</t>
        </is>
      </c>
      <c r="E278" s="48" t="inlineStr">
        <is>
          <t>(blank)</t>
        </is>
      </c>
      <c r="F278" s="47" t="n"/>
    </row>
    <row r="279">
      <c r="A279" s="49" t="n">
        <v>272</v>
      </c>
      <c r="B279" s="47" t="n"/>
      <c r="C279" s="49" t="inlineStr"/>
      <c r="D279" s="48" t="inlineStr">
        <is>
          <t>(blank)</t>
        </is>
      </c>
      <c r="E279" s="48" t="inlineStr">
        <is>
          <t>(blank)</t>
        </is>
      </c>
      <c r="F279" s="47" t="n"/>
    </row>
    <row r="280">
      <c r="A280" s="49" t="n">
        <v>273</v>
      </c>
      <c r="B280" s="47" t="n"/>
      <c r="C280" s="49" t="inlineStr"/>
      <c r="D280" s="48" t="inlineStr">
        <is>
          <t>(blank)</t>
        </is>
      </c>
      <c r="E280" s="48" t="inlineStr">
        <is>
          <t>(blank)</t>
        </is>
      </c>
      <c r="F280" s="47" t="n"/>
    </row>
    <row r="281">
      <c r="A281" s="49" t="n">
        <v>274</v>
      </c>
      <c r="B281" s="47" t="n"/>
      <c r="C281" s="49" t="inlineStr"/>
      <c r="D281" s="48" t="inlineStr">
        <is>
          <t>(blank)</t>
        </is>
      </c>
      <c r="E281" s="48" t="inlineStr">
        <is>
          <t>(blank)</t>
        </is>
      </c>
      <c r="F281" s="47" t="n"/>
    </row>
    <row r="282">
      <c r="A282" s="49" t="n">
        <v>275</v>
      </c>
      <c r="B282" s="47" t="n"/>
      <c r="C282" s="49" t="inlineStr"/>
      <c r="D282" s="48" t="inlineStr">
        <is>
          <t>(blank)</t>
        </is>
      </c>
      <c r="E282" s="48" t="inlineStr">
        <is>
          <t>(blank)</t>
        </is>
      </c>
      <c r="F282" s="47" t="n"/>
    </row>
    <row r="283">
      <c r="A283" s="49" t="n">
        <v>276</v>
      </c>
      <c r="B283" s="47" t="n"/>
      <c r="C283" s="49" t="inlineStr"/>
      <c r="D283" s="48" t="inlineStr">
        <is>
          <t>(blank)</t>
        </is>
      </c>
      <c r="E283" s="48" t="inlineStr">
        <is>
          <t>(blank)</t>
        </is>
      </c>
      <c r="F283" s="47" t="n"/>
    </row>
    <row r="284">
      <c r="A284" s="49" t="n">
        <v>277</v>
      </c>
      <c r="B284" s="47" t="n"/>
      <c r="C284" s="49" t="inlineStr"/>
      <c r="D284" s="48" t="inlineStr">
        <is>
          <t>(blank)</t>
        </is>
      </c>
      <c r="E284" s="48" t="inlineStr">
        <is>
          <t>(blank)</t>
        </is>
      </c>
      <c r="F284" s="47" t="n"/>
    </row>
    <row r="285">
      <c r="A285" s="49" t="n">
        <v>278</v>
      </c>
      <c r="B285" s="47" t="n"/>
      <c r="C285" s="49" t="inlineStr"/>
      <c r="D285" s="48" t="inlineStr">
        <is>
          <t>(blank)</t>
        </is>
      </c>
      <c r="E285" s="48" t="inlineStr">
        <is>
          <t>(blank)</t>
        </is>
      </c>
      <c r="F285" s="47" t="n"/>
    </row>
    <row r="286">
      <c r="A286" s="49" t="n">
        <v>279</v>
      </c>
      <c r="B286" s="47" t="n"/>
      <c r="C286" s="49" t="inlineStr"/>
      <c r="D286" s="48" t="inlineStr">
        <is>
          <t>(blank)</t>
        </is>
      </c>
      <c r="E286" s="48" t="inlineStr">
        <is>
          <t>(blank)</t>
        </is>
      </c>
      <c r="F286" s="47" t="n"/>
    </row>
    <row r="287">
      <c r="A287" s="49" t="n">
        <v>280</v>
      </c>
      <c r="B287" s="47" t="n"/>
      <c r="C287" s="49" t="inlineStr"/>
      <c r="D287" s="48" t="inlineStr">
        <is>
          <t>(blank)</t>
        </is>
      </c>
      <c r="E287" s="48" t="inlineStr">
        <is>
          <t>(blank)</t>
        </is>
      </c>
      <c r="F287" s="47" t="n"/>
    </row>
    <row r="288">
      <c r="A288" s="49" t="n">
        <v>281</v>
      </c>
      <c r="B288" s="38" t="n"/>
      <c r="C288" s="69" t="inlineStr">
        <is>
          <t>yes</t>
        </is>
      </c>
      <c r="D288" s="40" t="inlineStr">
        <is>
          <t>N</t>
        </is>
      </c>
      <c r="E288" s="40" t="inlineStr">
        <is>
          <t>N</t>
        </is>
      </c>
      <c r="F288" s="38" t="n"/>
    </row>
    <row r="289">
      <c r="A289" s="49" t="n">
        <v>282</v>
      </c>
      <c r="B289" s="47" t="n"/>
      <c r="C289" s="49" t="inlineStr"/>
      <c r="D289" s="48" t="inlineStr">
        <is>
          <t>(blank)</t>
        </is>
      </c>
      <c r="E289" s="48" t="inlineStr">
        <is>
          <t>(blank)</t>
        </is>
      </c>
      <c r="F289" s="47" t="n"/>
    </row>
    <row r="290">
      <c r="A290" s="49" t="n">
        <v>283</v>
      </c>
      <c r="B290" s="47" t="n"/>
      <c r="C290" s="49" t="inlineStr"/>
      <c r="D290" s="48" t="inlineStr">
        <is>
          <t>(blank)</t>
        </is>
      </c>
      <c r="E290" s="48" t="inlineStr">
        <is>
          <t>(blank)</t>
        </is>
      </c>
      <c r="F290" s="47" t="n"/>
    </row>
    <row r="291">
      <c r="A291" s="49" t="n">
        <v>284</v>
      </c>
      <c r="B291" s="47" t="n"/>
      <c r="C291" s="49" t="inlineStr"/>
      <c r="D291" s="48" t="inlineStr">
        <is>
          <t>(blank)</t>
        </is>
      </c>
      <c r="E291" s="48" t="inlineStr">
        <is>
          <t>(blank)</t>
        </is>
      </c>
      <c r="F291" s="47" t="n"/>
    </row>
    <row r="292">
      <c r="A292" s="49" t="n">
        <v>285</v>
      </c>
      <c r="B292" s="47" t="n"/>
      <c r="C292" s="49" t="inlineStr"/>
      <c r="D292" s="48" t="inlineStr">
        <is>
          <t>(blank)</t>
        </is>
      </c>
      <c r="E292" s="48" t="inlineStr">
        <is>
          <t>(blank)</t>
        </is>
      </c>
      <c r="F292" s="47" t="n"/>
    </row>
    <row r="293">
      <c r="A293" s="49" t="n">
        <v>286</v>
      </c>
      <c r="B293" s="47" t="n"/>
      <c r="C293" s="49" t="inlineStr"/>
      <c r="D293" s="48" t="inlineStr">
        <is>
          <t>(blank)</t>
        </is>
      </c>
      <c r="E293" s="48" t="inlineStr">
        <is>
          <t>(blank)</t>
        </is>
      </c>
      <c r="F293" s="47" t="n"/>
    </row>
    <row r="294">
      <c r="A294" s="49" t="n">
        <v>287</v>
      </c>
      <c r="B294" s="47" t="n"/>
      <c r="C294" s="49" t="inlineStr"/>
      <c r="D294" s="48" t="inlineStr">
        <is>
          <t>(blank)</t>
        </is>
      </c>
      <c r="E294" s="48" t="inlineStr">
        <is>
          <t>(blank)</t>
        </is>
      </c>
      <c r="F294" s="47" t="n"/>
    </row>
    <row r="295">
      <c r="A295" s="49" t="n">
        <v>288</v>
      </c>
      <c r="B295" s="47" t="n"/>
      <c r="C295" s="49" t="inlineStr"/>
      <c r="D295" s="48" t="inlineStr">
        <is>
          <t>(blank)</t>
        </is>
      </c>
      <c r="E295" s="48" t="inlineStr">
        <is>
          <t>(blank)</t>
        </is>
      </c>
      <c r="F295" s="47" t="n"/>
    </row>
    <row r="296">
      <c r="A296" s="49" t="n">
        <v>289</v>
      </c>
      <c r="B296" s="47" t="n"/>
      <c r="C296" s="49" t="inlineStr"/>
      <c r="D296" s="48" t="inlineStr">
        <is>
          <t>(blank)</t>
        </is>
      </c>
      <c r="E296" s="48" t="inlineStr">
        <is>
          <t>(blank)</t>
        </is>
      </c>
      <c r="F296" s="47" t="n"/>
    </row>
    <row r="297">
      <c r="A297" s="49" t="n">
        <v>290</v>
      </c>
      <c r="B297" s="47" t="n"/>
      <c r="C297" s="49" t="inlineStr"/>
      <c r="D297" s="48" t="inlineStr">
        <is>
          <t>(blank)</t>
        </is>
      </c>
      <c r="E297" s="48" t="inlineStr">
        <is>
          <t>(blank)</t>
        </is>
      </c>
      <c r="F297" s="47" t="n"/>
    </row>
    <row r="298">
      <c r="A298" s="49" t="n">
        <v>291</v>
      </c>
      <c r="B298" s="47" t="n"/>
      <c r="C298" s="49" t="inlineStr"/>
      <c r="D298" s="48" t="inlineStr">
        <is>
          <t>(blank)</t>
        </is>
      </c>
      <c r="E298" s="48" t="inlineStr">
        <is>
          <t>(blank)</t>
        </is>
      </c>
      <c r="F298" s="47" t="n"/>
    </row>
    <row r="299">
      <c r="A299" s="49" t="n">
        <v>292</v>
      </c>
      <c r="B299" s="47" t="n"/>
      <c r="C299" s="49" t="inlineStr"/>
      <c r="D299" s="48" t="inlineStr">
        <is>
          <t>(blank)</t>
        </is>
      </c>
      <c r="E299" s="48" t="inlineStr">
        <is>
          <t>(blank)</t>
        </is>
      </c>
      <c r="F299" s="47" t="n"/>
    </row>
    <row r="300">
      <c r="A300" s="49" t="n">
        <v>293</v>
      </c>
      <c r="B300" s="47" t="n"/>
      <c r="C300" s="49" t="inlineStr"/>
      <c r="D300" s="48" t="inlineStr">
        <is>
          <t>(blank)</t>
        </is>
      </c>
      <c r="E300" s="48" t="inlineStr">
        <is>
          <t>(blank)</t>
        </is>
      </c>
      <c r="F300" s="47" t="n"/>
    </row>
    <row r="301">
      <c r="A301" s="49" t="n">
        <v>294</v>
      </c>
      <c r="B301" s="47" t="n"/>
      <c r="C301" s="49" t="inlineStr"/>
      <c r="D301" s="48" t="inlineStr">
        <is>
          <t>(blank)</t>
        </is>
      </c>
      <c r="E301" s="48" t="inlineStr">
        <is>
          <t>(blank)</t>
        </is>
      </c>
      <c r="F301" s="47" t="n"/>
    </row>
    <row r="302">
      <c r="A302" s="49" t="n">
        <v>295</v>
      </c>
      <c r="B302" s="47" t="n"/>
      <c r="C302" s="49" t="inlineStr"/>
      <c r="D302" s="48" t="inlineStr">
        <is>
          <t>(blank)</t>
        </is>
      </c>
      <c r="E302" s="48" t="inlineStr">
        <is>
          <t>(blank)</t>
        </is>
      </c>
      <c r="F302" s="47" t="n"/>
    </row>
    <row r="303">
      <c r="A303" s="49" t="n">
        <v>296</v>
      </c>
      <c r="B303" s="47" t="n"/>
      <c r="C303" s="49" t="inlineStr"/>
      <c r="D303" s="48" t="inlineStr">
        <is>
          <t>(blank)</t>
        </is>
      </c>
      <c r="E303" s="48" t="inlineStr">
        <is>
          <t>(blank)</t>
        </is>
      </c>
      <c r="F303" s="47" t="n"/>
    </row>
    <row r="304">
      <c r="A304" s="49" t="n">
        <v>297</v>
      </c>
      <c r="B304" s="47" t="n"/>
      <c r="C304" s="49" t="inlineStr"/>
      <c r="D304" s="48" t="inlineStr">
        <is>
          <t>(blank)</t>
        </is>
      </c>
      <c r="E304" s="48" t="inlineStr">
        <is>
          <t>(blank)</t>
        </is>
      </c>
      <c r="F304" s="47" t="n"/>
    </row>
    <row r="305">
      <c r="A305" s="49" t="n">
        <v>298</v>
      </c>
      <c r="B305" s="47" t="n"/>
      <c r="C305" s="49" t="inlineStr"/>
      <c r="D305" s="48" t="inlineStr">
        <is>
          <t>(blank)</t>
        </is>
      </c>
      <c r="E305" s="48" t="inlineStr">
        <is>
          <t>(blank)</t>
        </is>
      </c>
      <c r="F305" s="47" t="n"/>
    </row>
    <row r="306">
      <c r="A306" s="49" t="n">
        <v>299</v>
      </c>
      <c r="B306" s="47" t="n"/>
      <c r="C306" s="49" t="inlineStr"/>
      <c r="D306" s="48" t="inlineStr">
        <is>
          <t>(blank)</t>
        </is>
      </c>
      <c r="E306" s="48" t="inlineStr">
        <is>
          <t>(blank)</t>
        </is>
      </c>
      <c r="F306" s="47" t="n"/>
    </row>
    <row r="307">
      <c r="A307" s="49" t="n">
        <v>300</v>
      </c>
      <c r="B307" s="47" t="n"/>
      <c r="C307" s="49" t="inlineStr"/>
      <c r="D307" s="48" t="inlineStr">
        <is>
          <t>(blank)</t>
        </is>
      </c>
      <c r="E307" s="48" t="inlineStr">
        <is>
          <t>(blank)</t>
        </is>
      </c>
      <c r="F307" s="47" t="n"/>
    </row>
    <row r="308">
      <c r="A308" s="49" t="n">
        <v>301</v>
      </c>
      <c r="B308" s="47" t="n"/>
      <c r="C308" s="49" t="inlineStr"/>
      <c r="D308" s="48" t="inlineStr">
        <is>
          <t>(blank)</t>
        </is>
      </c>
      <c r="E308" s="48" t="inlineStr">
        <is>
          <t>(blank)</t>
        </is>
      </c>
      <c r="F308" s="47" t="n"/>
    </row>
    <row r="309">
      <c r="A309" s="49" t="n">
        <v>302</v>
      </c>
      <c r="B309" s="47" t="n"/>
      <c r="C309" s="49" t="inlineStr"/>
      <c r="D309" s="48" t="inlineStr">
        <is>
          <t>(blank)</t>
        </is>
      </c>
      <c r="E309" s="48" t="inlineStr">
        <is>
          <t>(blank)</t>
        </is>
      </c>
      <c r="F309" s="47" t="n"/>
    </row>
    <row r="310">
      <c r="A310" s="49" t="n">
        <v>303</v>
      </c>
      <c r="B310" s="47" t="n"/>
      <c r="C310" s="49" t="inlineStr"/>
      <c r="D310" s="48" t="inlineStr">
        <is>
          <t>(blank)</t>
        </is>
      </c>
      <c r="E310" s="48" t="inlineStr">
        <is>
          <t>(blank)</t>
        </is>
      </c>
      <c r="F310" s="47" t="n"/>
    </row>
    <row r="311">
      <c r="A311" s="49" t="n">
        <v>304</v>
      </c>
      <c r="B311" s="47" t="n"/>
      <c r="C311" s="49" t="inlineStr"/>
      <c r="D311" s="48" t="inlineStr">
        <is>
          <t>(blank)</t>
        </is>
      </c>
      <c r="E311" s="48" t="inlineStr">
        <is>
          <t>(blank)</t>
        </is>
      </c>
      <c r="F311" s="47" t="n"/>
    </row>
    <row r="312">
      <c r="A312" s="49" t="n">
        <v>305</v>
      </c>
      <c r="B312" s="47" t="n"/>
      <c r="C312" s="49" t="inlineStr"/>
      <c r="D312" s="48" t="inlineStr">
        <is>
          <t>(blank)</t>
        </is>
      </c>
      <c r="E312" s="48" t="inlineStr">
        <is>
          <t>(blank)</t>
        </is>
      </c>
      <c r="F312" s="47" t="n"/>
    </row>
    <row r="313">
      <c r="A313" s="49" t="n">
        <v>306</v>
      </c>
      <c r="B313" s="47" t="n"/>
      <c r="C313" s="49" t="inlineStr"/>
      <c r="D313" s="48" t="inlineStr">
        <is>
          <t>(blank)</t>
        </is>
      </c>
      <c r="E313" s="48" t="inlineStr">
        <is>
          <t>(blank)</t>
        </is>
      </c>
      <c r="F313" s="47" t="n"/>
    </row>
    <row r="314">
      <c r="A314" s="49" t="n">
        <v>307</v>
      </c>
      <c r="B314" s="47" t="n"/>
      <c r="C314" s="49" t="inlineStr"/>
      <c r="D314" s="48" t="inlineStr">
        <is>
          <t>(blank)</t>
        </is>
      </c>
      <c r="E314" s="48" t="inlineStr">
        <is>
          <t>(blank)</t>
        </is>
      </c>
      <c r="F314" s="47" t="n"/>
    </row>
    <row r="315">
      <c r="A315" s="49" t="n">
        <v>308</v>
      </c>
      <c r="B315" s="47" t="n"/>
      <c r="C315" s="49" t="inlineStr"/>
      <c r="D315" s="48" t="inlineStr">
        <is>
          <t>(blank)</t>
        </is>
      </c>
      <c r="E315" s="48" t="inlineStr">
        <is>
          <t>(blank)</t>
        </is>
      </c>
      <c r="F315" s="47" t="n"/>
    </row>
    <row r="316">
      <c r="A316" s="49" t="n">
        <v>309</v>
      </c>
      <c r="B316" s="47" t="n"/>
      <c r="C316" s="49" t="inlineStr"/>
      <c r="D316" s="48" t="inlineStr">
        <is>
          <t>(blank)</t>
        </is>
      </c>
      <c r="E316" s="48" t="inlineStr">
        <is>
          <t>(blank)</t>
        </is>
      </c>
      <c r="F316" s="47" t="n"/>
    </row>
    <row r="317">
      <c r="A317" s="49" t="n">
        <v>310</v>
      </c>
      <c r="B317" s="47" t="n"/>
      <c r="C317" s="49" t="inlineStr"/>
      <c r="D317" s="48" t="inlineStr">
        <is>
          <t>(blank)</t>
        </is>
      </c>
      <c r="E317" s="48" t="inlineStr">
        <is>
          <t>(blank)</t>
        </is>
      </c>
      <c r="F317" s="47" t="n"/>
    </row>
    <row r="318">
      <c r="A318" s="49" t="n">
        <v>311</v>
      </c>
      <c r="B318" s="38" t="n"/>
      <c r="C318" s="69" t="inlineStr">
        <is>
          <t>yes</t>
        </is>
      </c>
      <c r="D318" s="40" t="inlineStr">
        <is>
          <t>0.0000</t>
        </is>
      </c>
      <c r="E318" s="40" t="inlineStr">
        <is>
          <t>0.0000</t>
        </is>
      </c>
      <c r="F318" s="38" t="n"/>
    </row>
    <row r="319">
      <c r="A319" s="49" t="n">
        <v>312</v>
      </c>
      <c r="B319" s="38" t="n"/>
      <c r="C319" s="69" t="inlineStr">
        <is>
          <t>yes</t>
        </is>
      </c>
      <c r="D319" s="40" t="inlineStr">
        <is>
          <t>16009.9800</t>
        </is>
      </c>
      <c r="E319" s="40" t="inlineStr">
        <is>
          <t>48906.3100</t>
        </is>
      </c>
      <c r="F319" s="38" t="n"/>
    </row>
    <row r="320">
      <c r="A320" s="49" t="n">
        <v>313</v>
      </c>
      <c r="B320" s="38" t="n"/>
      <c r="C320" s="69" t="inlineStr">
        <is>
          <t>yes</t>
        </is>
      </c>
      <c r="D320" s="40" t="inlineStr">
        <is>
          <t>16009.9800</t>
        </is>
      </c>
      <c r="E320" s="40" t="inlineStr">
        <is>
          <t>1025.0000</t>
        </is>
      </c>
      <c r="F320" s="38" t="n"/>
    </row>
    <row r="321">
      <c r="A321" s="49" t="n">
        <v>314</v>
      </c>
      <c r="B321" s="38" t="n"/>
      <c r="C321" s="69" t="inlineStr">
        <is>
          <t>yes</t>
        </is>
      </c>
      <c r="D321" s="40" t="inlineStr">
        <is>
          <t>0.0000</t>
        </is>
      </c>
      <c r="E321" s="40" t="inlineStr">
        <is>
          <t>47881.3100</t>
        </is>
      </c>
      <c r="F321" s="38" t="n"/>
    </row>
    <row r="322">
      <c r="A322" s="49" t="n">
        <v>315</v>
      </c>
      <c r="B322" s="38" t="n"/>
      <c r="C322" s="69" t="inlineStr">
        <is>
          <t>yes</t>
        </is>
      </c>
      <c r="D322" s="40" t="inlineStr">
        <is>
          <t>0.0000</t>
        </is>
      </c>
      <c r="E322" s="40" t="inlineStr">
        <is>
          <t>0.0000</t>
        </is>
      </c>
      <c r="F322" s="38" t="n"/>
    </row>
    <row r="323">
      <c r="A323" s="49" t="n">
        <v>316</v>
      </c>
      <c r="B323" s="38" t="n"/>
      <c r="C323" s="69" t="inlineStr">
        <is>
          <t>yes</t>
        </is>
      </c>
      <c r="D323" s="40" t="inlineStr">
        <is>
          <t>0.0000</t>
        </is>
      </c>
      <c r="E323" s="40" t="inlineStr">
        <is>
          <t>0.0000</t>
        </is>
      </c>
      <c r="F323" s="38" t="n"/>
    </row>
    <row r="324">
      <c r="A324" s="49" t="n">
        <v>317</v>
      </c>
      <c r="B324" s="38" t="n"/>
      <c r="C324" s="69" t="inlineStr">
        <is>
          <t>yes</t>
        </is>
      </c>
      <c r="D324" s="40" t="inlineStr">
        <is>
          <t>0.0000</t>
        </is>
      </c>
      <c r="E324" s="40" t="inlineStr">
        <is>
          <t>0.0000</t>
        </is>
      </c>
      <c r="F324" s="38" t="n"/>
    </row>
    <row r="325">
      <c r="A325" s="49" t="n">
        <v>318</v>
      </c>
      <c r="B325" s="38" t="n"/>
      <c r="C325" s="69" t="inlineStr">
        <is>
          <t>yes</t>
        </is>
      </c>
      <c r="D325" s="40" t="inlineStr">
        <is>
          <t>0.0000</t>
        </is>
      </c>
      <c r="E325" s="40" t="inlineStr">
        <is>
          <t>0.0000</t>
        </is>
      </c>
      <c r="F325" s="38" t="n"/>
    </row>
    <row r="326">
      <c r="A326" s="49" t="n">
        <v>319</v>
      </c>
      <c r="B326" s="38" t="n"/>
      <c r="C326" s="69" t="inlineStr">
        <is>
          <t>yes</t>
        </is>
      </c>
      <c r="D326" s="40" t="inlineStr">
        <is>
          <t>16009.9800</t>
        </is>
      </c>
      <c r="E326" s="40" t="inlineStr">
        <is>
          <t>1025.0000</t>
        </is>
      </c>
      <c r="F326" s="38" t="n"/>
    </row>
    <row r="327">
      <c r="A327" s="49" t="n">
        <v>320</v>
      </c>
      <c r="B327" s="38" t="n"/>
      <c r="C327" s="69" t="inlineStr">
        <is>
          <t>yes</t>
        </is>
      </c>
      <c r="D327" s="40" t="inlineStr">
        <is>
          <t>0.0000</t>
        </is>
      </c>
      <c r="E327" s="40" t="inlineStr">
        <is>
          <t>47881.3100</t>
        </is>
      </c>
      <c r="F327" s="38" t="n"/>
    </row>
    <row r="328">
      <c r="A328" s="49" t="n">
        <v>321</v>
      </c>
      <c r="B328" s="47" t="n"/>
      <c r="C328" s="49" t="inlineStr"/>
      <c r="D328" s="48" t="inlineStr">
        <is>
          <t>(blank)</t>
        </is>
      </c>
      <c r="E328" s="48" t="inlineStr">
        <is>
          <t>(blank)</t>
        </is>
      </c>
      <c r="F328" s="47" t="n"/>
    </row>
    <row r="329">
      <c r="A329" s="49" t="n">
        <v>322</v>
      </c>
      <c r="B329" s="38" t="n"/>
      <c r="C329" s="69" t="inlineStr">
        <is>
          <t>yes</t>
        </is>
      </c>
      <c r="D329" s="40" t="inlineStr">
        <is>
          <t>201.5500</t>
        </is>
      </c>
      <c r="E329" s="40" t="inlineStr">
        <is>
          <t>1215.3900</t>
        </is>
      </c>
      <c r="F329" s="38" t="n"/>
    </row>
    <row r="330">
      <c r="A330" s="49" t="n">
        <v>323</v>
      </c>
      <c r="B330" s="38" t="n"/>
      <c r="C330" s="69" t="inlineStr">
        <is>
          <t>yes</t>
        </is>
      </c>
      <c r="D330" s="40" t="inlineStr">
        <is>
          <t>1259.7000</t>
        </is>
      </c>
      <c r="E330" s="40" t="inlineStr">
        <is>
          <t>7596.2100</t>
        </is>
      </c>
      <c r="F330" s="38" t="n"/>
    </row>
    <row r="331">
      <c r="A331" s="49" t="n">
        <v>324</v>
      </c>
      <c r="B331" s="47" t="n"/>
      <c r="C331" s="49" t="inlineStr"/>
      <c r="D331" s="48" t="inlineStr">
        <is>
          <t>(blank)</t>
        </is>
      </c>
      <c r="E331" s="48" t="inlineStr">
        <is>
          <t>(blank)</t>
        </is>
      </c>
      <c r="F331" s="47" t="n"/>
    </row>
    <row r="332">
      <c r="A332" s="49" t="n">
        <v>325</v>
      </c>
      <c r="B332" s="47" t="n"/>
      <c r="C332" s="49" t="inlineStr"/>
      <c r="D332" s="48" t="inlineStr">
        <is>
          <t>(blank)</t>
        </is>
      </c>
      <c r="E332" s="48" t="inlineStr">
        <is>
          <t>(blank)</t>
        </is>
      </c>
      <c r="F332" s="47" t="n"/>
    </row>
    <row r="333">
      <c r="A333" s="49" t="n">
        <v>326</v>
      </c>
      <c r="B333" s="47" t="n"/>
      <c r="C333" s="49" t="inlineStr"/>
      <c r="D333" s="48" t="inlineStr">
        <is>
          <t>(blank)</t>
        </is>
      </c>
      <c r="E333" s="48" t="inlineStr">
        <is>
          <t>(blank)</t>
        </is>
      </c>
      <c r="F333" s="47" t="n"/>
    </row>
    <row r="334">
      <c r="A334" s="49" t="n">
        <v>327</v>
      </c>
      <c r="B334" s="38" t="n"/>
      <c r="C334" s="69" t="inlineStr">
        <is>
          <t>yes</t>
        </is>
      </c>
      <c r="D334" s="40" t="inlineStr">
        <is>
          <t>0.0000</t>
        </is>
      </c>
      <c r="E334" s="40" t="inlineStr">
        <is>
          <t>0.0000</t>
        </is>
      </c>
      <c r="F334" s="38" t="n"/>
    </row>
    <row r="335">
      <c r="A335" s="49" t="n">
        <v>328</v>
      </c>
      <c r="B335" s="47" t="n"/>
      <c r="C335" s="49" t="inlineStr"/>
      <c r="D335" s="48" t="inlineStr">
        <is>
          <t>(blank)</t>
        </is>
      </c>
      <c r="E335" s="48" t="inlineStr">
        <is>
          <t>(blank)</t>
        </is>
      </c>
      <c r="F335" s="47" t="n"/>
    </row>
    <row r="336">
      <c r="A336" s="49" t="n">
        <v>329</v>
      </c>
      <c r="B336" s="38" t="n"/>
      <c r="C336" s="69" t="inlineStr">
        <is>
          <t>yes</t>
        </is>
      </c>
      <c r="D336" s="40" t="inlineStr">
        <is>
          <t>0.0000</t>
        </is>
      </c>
      <c r="E336" s="40" t="inlineStr">
        <is>
          <t>0.0000</t>
        </is>
      </c>
      <c r="F336" s="38" t="n"/>
    </row>
    <row r="337">
      <c r="A337" s="49" t="n">
        <v>330</v>
      </c>
      <c r="B337" s="47" t="n"/>
      <c r="C337" s="49" t="inlineStr"/>
      <c r="D337" s="48" t="inlineStr">
        <is>
          <t>(blank)</t>
        </is>
      </c>
      <c r="E337" s="48" t="inlineStr">
        <is>
          <t>(blank)</t>
        </is>
      </c>
      <c r="F337" s="47" t="n"/>
    </row>
    <row r="338">
      <c r="A338" s="49" t="n">
        <v>331</v>
      </c>
      <c r="B338" s="47" t="n"/>
      <c r="C338" s="49" t="inlineStr"/>
      <c r="D338" s="48" t="inlineStr">
        <is>
          <t>(blank)</t>
        </is>
      </c>
      <c r="E338" s="48" t="inlineStr">
        <is>
          <t>(blank)</t>
        </is>
      </c>
      <c r="F338" s="47" t="n"/>
    </row>
    <row r="339">
      <c r="A339" s="49" t="n">
        <v>332</v>
      </c>
      <c r="B339" s="47" t="n"/>
      <c r="C339" s="49" t="inlineStr"/>
      <c r="D339" s="48" t="inlineStr">
        <is>
          <t>(blank)</t>
        </is>
      </c>
      <c r="E339" s="48" t="inlineStr">
        <is>
          <t>(blank)</t>
        </is>
      </c>
      <c r="F339" s="47" t="n"/>
    </row>
    <row r="340">
      <c r="A340" s="49" t="n">
        <v>333</v>
      </c>
      <c r="B340" s="47" t="n"/>
      <c r="C340" s="49" t="inlineStr"/>
      <c r="D340" s="48" t="inlineStr">
        <is>
          <t>(blank)</t>
        </is>
      </c>
      <c r="E340" s="48" t="inlineStr">
        <is>
          <t>(blank)</t>
        </is>
      </c>
      <c r="F340" s="47" t="n"/>
    </row>
    <row r="341">
      <c r="A341" s="49" t="n">
        <v>334</v>
      </c>
      <c r="B341" s="38" t="n"/>
      <c r="C341" s="69" t="inlineStr">
        <is>
          <t>yes</t>
        </is>
      </c>
      <c r="D341" s="40" t="inlineStr">
        <is>
          <t>San Nicolás de los Garza</t>
        </is>
      </c>
      <c r="E341" s="40" t="inlineStr">
        <is>
          <t>Los Cabos</t>
        </is>
      </c>
      <c r="F341" s="38" t="n"/>
    </row>
    <row r="342">
      <c r="A342" s="49" t="n">
        <v>335</v>
      </c>
      <c r="B342" s="38" t="n"/>
      <c r="C342" s="69" t="inlineStr">
        <is>
          <t>yes</t>
        </is>
      </c>
      <c r="D342" s="40" t="inlineStr">
        <is>
          <t>N</t>
        </is>
      </c>
      <c r="E342" s="40" t="inlineStr">
        <is>
          <t>N</t>
        </is>
      </c>
      <c r="F342" s="38" t="n"/>
    </row>
    <row r="343">
      <c r="A343" s="49" t="n">
        <v>336</v>
      </c>
      <c r="B343" s="47" t="n"/>
      <c r="C343" s="49" t="inlineStr"/>
      <c r="D343" s="48" t="inlineStr">
        <is>
          <t>(blank)</t>
        </is>
      </c>
      <c r="E343" s="48" t="inlineStr">
        <is>
          <t>(blank)</t>
        </is>
      </c>
      <c r="F343" s="47" t="n"/>
    </row>
    <row r="344">
      <c r="A344" s="49" t="n">
        <v>337</v>
      </c>
      <c r="B344" s="47" t="n"/>
      <c r="C344" s="49" t="inlineStr"/>
      <c r="D344" s="48" t="inlineStr">
        <is>
          <t>(blank)</t>
        </is>
      </c>
      <c r="E344" s="48" t="inlineStr">
        <is>
          <t>(blank)</t>
        </is>
      </c>
      <c r="F344" s="47" t="n"/>
    </row>
    <row r="345">
      <c r="A345" s="49" t="n">
        <v>338</v>
      </c>
      <c r="B345" s="38" t="n"/>
      <c r="C345" s="69" t="inlineStr">
        <is>
          <t>yes</t>
        </is>
      </c>
      <c r="D345" s="40" t="inlineStr">
        <is>
          <t>San Nicolás de los Garza</t>
        </is>
      </c>
      <c r="E345" s="40" t="inlineStr">
        <is>
          <t>Los Cabos</t>
        </is>
      </c>
      <c r="F345" s="38" t="n"/>
    </row>
    <row r="346">
      <c r="A346" s="49" t="n">
        <v>339</v>
      </c>
      <c r="B346" s="38" t="n"/>
      <c r="C346" s="69" t="inlineStr">
        <is>
          <t>yes</t>
        </is>
      </c>
      <c r="D346" s="40" t="inlineStr">
        <is>
          <t>MX</t>
        </is>
      </c>
      <c r="E346" s="40" t="inlineStr">
        <is>
          <t>MX</t>
        </is>
      </c>
      <c r="F346" s="38" t="n"/>
    </row>
    <row r="347">
      <c r="A347" s="49" t="n">
        <v>340</v>
      </c>
      <c r="B347" s="38" t="n"/>
      <c r="C347" s="69" t="inlineStr">
        <is>
          <t>yes</t>
        </is>
      </c>
      <c r="D347" s="40" t="inlineStr">
        <is>
          <t>MX-NLE</t>
        </is>
      </c>
      <c r="E347" s="40" t="inlineStr">
        <is>
          <t>MX-BCS</t>
        </is>
      </c>
      <c r="F347" s="38" t="n"/>
    </row>
    <row r="348">
      <c r="A348" s="49" t="n">
        <v>341</v>
      </c>
      <c r="B348" s="38" t="n"/>
      <c r="C348" s="69" t="inlineStr">
        <is>
          <t>yes</t>
        </is>
      </c>
      <c r="D348" s="40" t="inlineStr">
        <is>
          <t>F42DDC61-5A41-418B-87EF-DAE9136C38C5</t>
        </is>
      </c>
      <c r="E348" s="40" t="inlineStr">
        <is>
          <t>525239A2-9066-4FFE-98F6-7BE93BE42875</t>
        </is>
      </c>
      <c r="F348" s="38" t="n"/>
    </row>
    <row r="349">
      <c r="A349" s="49" t="n">
        <v>342</v>
      </c>
      <c r="B349" s="47" t="n"/>
      <c r="C349" s="49" t="inlineStr"/>
      <c r="D349" s="48" t="inlineStr">
        <is>
          <t>(blank)</t>
        </is>
      </c>
      <c r="E349" s="48" t="inlineStr">
        <is>
          <t>(blank)</t>
        </is>
      </c>
      <c r="F349" s="47" t="n"/>
    </row>
    <row r="350">
      <c r="A350" s="49" t="n">
        <v>343</v>
      </c>
      <c r="B350" s="47" t="n"/>
      <c r="C350" s="49" t="inlineStr"/>
      <c r="D350" s="48" t="inlineStr">
        <is>
          <t>(blank)</t>
        </is>
      </c>
      <c r="E350" s="48" t="inlineStr">
        <is>
          <t>(blank)</t>
        </is>
      </c>
      <c r="F350" s="47" t="n"/>
    </row>
    <row r="351">
      <c r="A351" s="49" t="n">
        <v>344</v>
      </c>
      <c r="B351" s="47" t="n"/>
      <c r="C351" s="49" t="inlineStr"/>
      <c r="D351" s="48" t="inlineStr">
        <is>
          <t>(blank)</t>
        </is>
      </c>
      <c r="E351" s="48" t="inlineStr">
        <is>
          <t>(blank)</t>
        </is>
      </c>
      <c r="F351" s="47" t="n"/>
    </row>
    <row r="352">
      <c r="A352" s="49" t="n">
        <v>345</v>
      </c>
      <c r="B352" s="47" t="n"/>
      <c r="C352" s="49" t="inlineStr"/>
      <c r="D352" s="48" t="inlineStr">
        <is>
          <t>(blank)</t>
        </is>
      </c>
      <c r="E352" s="48" t="inlineStr">
        <is>
          <t>(blank)</t>
        </is>
      </c>
      <c r="F352" s="47" t="n"/>
    </row>
    <row r="353">
      <c r="A353" s="49" t="n">
        <v>346</v>
      </c>
      <c r="B353" s="47" t="n"/>
      <c r="C353" s="49" t="inlineStr"/>
      <c r="D353" s="48" t="inlineStr">
        <is>
          <t>(blank)</t>
        </is>
      </c>
      <c r="E353" s="48" t="inlineStr">
        <is>
          <t>(blank)</t>
        </is>
      </c>
      <c r="F353" s="47" t="n"/>
    </row>
    <row r="354">
      <c r="A354" s="49" t="n">
        <v>347</v>
      </c>
      <c r="B354" s="38" t="n"/>
      <c r="C354" s="69" t="inlineStr">
        <is>
          <t>yes</t>
        </is>
      </c>
      <c r="D354" s="40" t="inlineStr">
        <is>
          <t>201.5500</t>
        </is>
      </c>
      <c r="E354" s="40" t="inlineStr">
        <is>
          <t>1215.3900</t>
        </is>
      </c>
      <c r="F354" s="38" t="n"/>
    </row>
    <row r="355">
      <c r="A355" s="49" t="n">
        <v>348</v>
      </c>
      <c r="B355" s="38" t="n"/>
      <c r="C355" s="69" t="inlineStr">
        <is>
          <t>yes</t>
        </is>
      </c>
      <c r="D355" s="40" t="inlineStr">
        <is>
          <t>201.5500</t>
        </is>
      </c>
      <c r="E355" s="40" t="inlineStr">
        <is>
          <t>1215.3900</t>
        </is>
      </c>
      <c r="F355" s="38" t="n"/>
    </row>
    <row r="356">
      <c r="A356" s="49" t="n">
        <v>349</v>
      </c>
      <c r="B356" s="38" t="n"/>
      <c r="C356" s="69" t="inlineStr">
        <is>
          <t>yes</t>
        </is>
      </c>
      <c r="D356" s="40" t="inlineStr">
        <is>
          <t>201.5500</t>
        </is>
      </c>
      <c r="E356" s="40" t="inlineStr">
        <is>
          <t>1215.3900</t>
        </is>
      </c>
      <c r="F356" s="38" t="n"/>
    </row>
    <row r="357">
      <c r="A357" s="49" t="n">
        <v>350</v>
      </c>
      <c r="B357" s="38" t="n"/>
      <c r="C357" s="69" t="inlineStr">
        <is>
          <t>yes</t>
        </is>
      </c>
      <c r="D357" s="40" t="inlineStr">
        <is>
          <t>201.5500</t>
        </is>
      </c>
      <c r="E357" s="40" t="inlineStr">
        <is>
          <t>1215.3900</t>
        </is>
      </c>
      <c r="F357" s="38" t="n"/>
    </row>
    <row r="358">
      <c r="A358" s="49" t="n">
        <v>351</v>
      </c>
      <c r="B358" s="38" t="n"/>
      <c r="C358" s="69" t="inlineStr">
        <is>
          <t>yes</t>
        </is>
      </c>
      <c r="D358" s="40" t="inlineStr">
        <is>
          <t>201.5500</t>
        </is>
      </c>
      <c r="E358" s="40" t="inlineStr">
        <is>
          <t>1215.3900</t>
        </is>
      </c>
      <c r="F358" s="38" t="n"/>
    </row>
    <row r="359">
      <c r="A359" s="49" t="n">
        <v>352</v>
      </c>
      <c r="B359" s="47" t="n"/>
      <c r="C359" s="49" t="inlineStr"/>
      <c r="D359" s="48" t="inlineStr">
        <is>
          <t>(blank)</t>
        </is>
      </c>
      <c r="E359" s="48" t="inlineStr">
        <is>
          <t>(blank)</t>
        </is>
      </c>
      <c r="F359" s="47" t="n"/>
    </row>
    <row r="360">
      <c r="A360" s="49" t="n">
        <v>353</v>
      </c>
      <c r="B360" s="47" t="n"/>
      <c r="C360" s="49" t="inlineStr"/>
      <c r="D360" s="48" t="inlineStr">
        <is>
          <t>(blank)</t>
        </is>
      </c>
      <c r="E360" s="48" t="inlineStr">
        <is>
          <t>(blank)</t>
        </is>
      </c>
      <c r="F360" s="47" t="n"/>
    </row>
    <row r="361">
      <c r="A361" s="49" t="n">
        <v>354</v>
      </c>
      <c r="B361" s="47" t="n"/>
      <c r="C361" s="49" t="inlineStr"/>
      <c r="D361" s="48" t="inlineStr">
        <is>
          <t>(blank)</t>
        </is>
      </c>
      <c r="E361" s="48" t="inlineStr">
        <is>
          <t>(blank)</t>
        </is>
      </c>
      <c r="F361" s="47" t="n"/>
    </row>
    <row r="362">
      <c r="A362" s="49" t="n">
        <v>355</v>
      </c>
      <c r="B362" s="47" t="n"/>
      <c r="C362" s="49" t="inlineStr"/>
      <c r="D362" s="48" t="inlineStr">
        <is>
          <t>(blank)</t>
        </is>
      </c>
      <c r="E362" s="48" t="inlineStr">
        <is>
          <t>(blank)</t>
        </is>
      </c>
      <c r="F362" s="47" t="n"/>
    </row>
    <row r="363">
      <c r="A363" s="49" t="n">
        <v>356</v>
      </c>
      <c r="B363" s="47" t="n"/>
      <c r="C363" s="49" t="inlineStr"/>
      <c r="D363" s="48" t="inlineStr">
        <is>
          <t>(blank)</t>
        </is>
      </c>
      <c r="E363" s="48" t="inlineStr">
        <is>
          <t>(blank)</t>
        </is>
      </c>
      <c r="F363" s="47" t="n"/>
    </row>
    <row r="364">
      <c r="A364" s="49" t="n">
        <v>357</v>
      </c>
      <c r="B364" s="47" t="n"/>
      <c r="C364" s="49" t="inlineStr"/>
      <c r="D364" s="48" t="inlineStr">
        <is>
          <t>(blank)</t>
        </is>
      </c>
      <c r="E364" s="48" t="inlineStr">
        <is>
          <t>(blank)</t>
        </is>
      </c>
      <c r="F364" s="47" t="n"/>
    </row>
    <row r="365">
      <c r="A365" s="49" t="n">
        <v>358</v>
      </c>
      <c r="B365" s="47" t="n"/>
      <c r="C365" s="49" t="inlineStr"/>
      <c r="D365" s="48" t="inlineStr">
        <is>
          <t>(blank)</t>
        </is>
      </c>
      <c r="E365" s="48" t="inlineStr">
        <is>
          <t>(blank)</t>
        </is>
      </c>
      <c r="F365" s="47" t="n"/>
    </row>
    <row r="366">
      <c r="A366" s="49" t="n">
        <v>359</v>
      </c>
      <c r="B366" s="47" t="n"/>
      <c r="C366" s="49" t="inlineStr"/>
      <c r="D366" s="48" t="inlineStr">
        <is>
          <t>(blank)</t>
        </is>
      </c>
      <c r="E366" s="48" t="inlineStr">
        <is>
          <t>(blank)</t>
        </is>
      </c>
      <c r="F366" s="47" t="n"/>
    </row>
    <row r="367">
      <c r="A367" s="49" t="n">
        <v>360</v>
      </c>
      <c r="B367" s="47" t="n"/>
      <c r="C367" s="49" t="inlineStr"/>
      <c r="D367" s="48" t="inlineStr">
        <is>
          <t>(blank)</t>
        </is>
      </c>
      <c r="E367" s="48" t="inlineStr">
        <is>
          <t>(blank)</t>
        </is>
      </c>
      <c r="F367" s="47" t="n"/>
    </row>
    <row r="368">
      <c r="A368" s="49" t="n">
        <v>361</v>
      </c>
      <c r="B368" s="47" t="n"/>
      <c r="C368" s="49" t="inlineStr"/>
      <c r="D368" s="48" t="inlineStr">
        <is>
          <t>(blank)</t>
        </is>
      </c>
      <c r="E368" s="48" t="inlineStr">
        <is>
          <t>(blank)</t>
        </is>
      </c>
      <c r="F368" s="47" t="n"/>
    </row>
    <row r="369">
      <c r="A369" s="49" t="n">
        <v>362</v>
      </c>
      <c r="B369" s="47" t="n"/>
      <c r="C369" s="49" t="inlineStr"/>
      <c r="D369" s="48" t="inlineStr">
        <is>
          <t>(blank)</t>
        </is>
      </c>
      <c r="E369" s="48" t="inlineStr">
        <is>
          <t>(blank)</t>
        </is>
      </c>
      <c r="F369" s="47" t="n"/>
    </row>
    <row r="370">
      <c r="A370" s="49" t="n">
        <v>363</v>
      </c>
      <c r="B370" s="47" t="n"/>
      <c r="C370" s="49" t="inlineStr"/>
      <c r="D370" s="48" t="inlineStr">
        <is>
          <t>(blank)</t>
        </is>
      </c>
      <c r="E370" s="48" t="inlineStr">
        <is>
          <t>(blank)</t>
        </is>
      </c>
      <c r="F370" s="47" t="n"/>
    </row>
    <row r="371">
      <c r="A371" s="49" t="n">
        <v>364</v>
      </c>
      <c r="B371" s="47" t="n"/>
      <c r="C371" s="49" t="inlineStr"/>
      <c r="D371" s="48" t="inlineStr">
        <is>
          <t>(blank)</t>
        </is>
      </c>
      <c r="E371" s="48" t="inlineStr">
        <is>
          <t>(blank)</t>
        </is>
      </c>
      <c r="F371" s="47" t="n"/>
    </row>
    <row r="372">
      <c r="A372" s="49" t="n">
        <v>365</v>
      </c>
      <c r="B372" s="47" t="n"/>
      <c r="C372" s="49" t="inlineStr"/>
      <c r="D372" s="48" t="inlineStr">
        <is>
          <t>(blank)</t>
        </is>
      </c>
      <c r="E372" s="48" t="inlineStr">
        <is>
          <t>(blank)</t>
        </is>
      </c>
      <c r="F372" s="47" t="n"/>
    </row>
    <row r="373">
      <c r="A373" s="49" t="n">
        <v>366</v>
      </c>
      <c r="B373" s="47" t="n"/>
      <c r="C373" s="49" t="inlineStr"/>
      <c r="D373" s="48" t="inlineStr">
        <is>
          <t>(blank)</t>
        </is>
      </c>
      <c r="E373" s="48" t="inlineStr">
        <is>
          <t>(blank)</t>
        </is>
      </c>
      <c r="F373" s="47" t="n"/>
    </row>
    <row r="374">
      <c r="A374" s="49" t="n">
        <v>367</v>
      </c>
      <c r="B374" s="47" t="n"/>
      <c r="C374" s="49" t="inlineStr"/>
      <c r="D374" s="48" t="inlineStr">
        <is>
          <t>(blank)</t>
        </is>
      </c>
      <c r="E374" s="48" t="inlineStr">
        <is>
          <t>(blank)</t>
        </is>
      </c>
      <c r="F374" s="47" t="n"/>
    </row>
    <row r="375">
      <c r="A375" s="49" t="n">
        <v>368</v>
      </c>
      <c r="B375" s="47" t="n"/>
      <c r="C375" s="49" t="inlineStr"/>
      <c r="D375" s="48" t="inlineStr">
        <is>
          <t>(blank)</t>
        </is>
      </c>
      <c r="E375" s="48" t="inlineStr">
        <is>
          <t>(blank)</t>
        </is>
      </c>
      <c r="F375" s="47" t="n"/>
    </row>
    <row r="376">
      <c r="A376" s="49" t="n">
        <v>369</v>
      </c>
      <c r="B376" s="47" t="n"/>
      <c r="C376" s="49" t="inlineStr"/>
      <c r="D376" s="48" t="inlineStr">
        <is>
          <t>(blank)</t>
        </is>
      </c>
      <c r="E376" s="48" t="inlineStr">
        <is>
          <t>(blank)</t>
        </is>
      </c>
      <c r="F376" s="47" t="n"/>
    </row>
    <row r="377">
      <c r="A377" s="49" t="n">
        <v>370</v>
      </c>
      <c r="B377" s="47" t="n"/>
      <c r="C377" s="49" t="inlineStr"/>
      <c r="D377" s="48" t="inlineStr">
        <is>
          <t>(blank)</t>
        </is>
      </c>
      <c r="E377" s="48" t="inlineStr">
        <is>
          <t>(blank)</t>
        </is>
      </c>
      <c r="F377" s="47" t="n"/>
    </row>
    <row r="378">
      <c r="A378" s="49" t="n">
        <v>371</v>
      </c>
      <c r="B378" s="47" t="n"/>
      <c r="C378" s="49" t="inlineStr"/>
      <c r="D378" s="48" t="inlineStr">
        <is>
          <t>(blank)</t>
        </is>
      </c>
      <c r="E378" s="48" t="inlineStr">
        <is>
          <t>(blank)</t>
        </is>
      </c>
      <c r="F378" s="47" t="n"/>
    </row>
    <row r="379">
      <c r="A379" s="49" t="n">
        <v>372</v>
      </c>
      <c r="B379" s="47" t="n"/>
      <c r="C379" s="49" t="inlineStr"/>
      <c r="D379" s="48" t="inlineStr">
        <is>
          <t>(blank)</t>
        </is>
      </c>
      <c r="E379" s="48" t="inlineStr">
        <is>
          <t>(blank)</t>
        </is>
      </c>
      <c r="F379" s="47" t="n"/>
    </row>
    <row r="380">
      <c r="A380" s="49" t="n">
        <v>373</v>
      </c>
      <c r="B380" s="47" t="n"/>
      <c r="C380" s="49" t="inlineStr"/>
      <c r="D380" s="48" t="inlineStr">
        <is>
          <t>(blank)</t>
        </is>
      </c>
      <c r="E380" s="48" t="inlineStr">
        <is>
          <t>(blank)</t>
        </is>
      </c>
      <c r="F380" s="47" t="n"/>
    </row>
    <row r="381">
      <c r="A381" s="49" t="n">
        <v>374</v>
      </c>
      <c r="B381" s="47" t="n"/>
      <c r="C381" s="49" t="inlineStr"/>
      <c r="D381" s="48" t="inlineStr">
        <is>
          <t>(blank)</t>
        </is>
      </c>
      <c r="E381" s="48" t="inlineStr">
        <is>
          <t>(blank)</t>
        </is>
      </c>
      <c r="F381" s="47" t="n"/>
    </row>
    <row r="382">
      <c r="A382" s="49" t="n">
        <v>375</v>
      </c>
      <c r="B382" s="47" t="n"/>
      <c r="C382" s="49" t="inlineStr"/>
      <c r="D382" s="48" t="inlineStr">
        <is>
          <t>(blank)</t>
        </is>
      </c>
      <c r="E382" s="48" t="inlineStr">
        <is>
          <t>(blank)</t>
        </is>
      </c>
      <c r="F382" s="47" t="n"/>
    </row>
    <row r="383">
      <c r="A383" s="49" t="n">
        <v>376</v>
      </c>
      <c r="B383" s="47" t="n"/>
      <c r="C383" s="49" t="inlineStr"/>
      <c r="D383" s="48" t="inlineStr">
        <is>
          <t>(blank)</t>
        </is>
      </c>
      <c r="E383" s="48" t="inlineStr">
        <is>
          <t>(blank)</t>
        </is>
      </c>
      <c r="F383" s="47" t="n"/>
    </row>
    <row r="384">
      <c r="A384" s="49" t="n">
        <v>377</v>
      </c>
      <c r="B384" s="47" t="n"/>
      <c r="C384" s="49" t="inlineStr"/>
      <c r="D384" s="48" t="inlineStr">
        <is>
          <t>(blank)</t>
        </is>
      </c>
      <c r="E384" s="48" t="inlineStr">
        <is>
          <t>(blank)</t>
        </is>
      </c>
      <c r="F384" s="47" t="n"/>
    </row>
    <row r="385">
      <c r="A385" s="49" t="n">
        <v>378</v>
      </c>
      <c r="B385" s="47" t="n"/>
      <c r="C385" s="49" t="inlineStr"/>
      <c r="D385" s="48" t="inlineStr">
        <is>
          <t>(blank)</t>
        </is>
      </c>
      <c r="E385" s="48" t="inlineStr">
        <is>
          <t>(blank)</t>
        </is>
      </c>
      <c r="F385" s="47" t="n"/>
    </row>
    <row r="386">
      <c r="A386" s="49" t="n">
        <v>379</v>
      </c>
      <c r="B386" s="47" t="n"/>
      <c r="C386" s="49" t="inlineStr"/>
      <c r="D386" s="48" t="inlineStr">
        <is>
          <t>(blank)</t>
        </is>
      </c>
      <c r="E386" s="48" t="inlineStr">
        <is>
          <t>(blank)</t>
        </is>
      </c>
      <c r="F386" s="47" t="n"/>
    </row>
    <row r="387">
      <c r="A387" s="49" t="n">
        <v>380</v>
      </c>
      <c r="B387" s="47" t="n"/>
      <c r="C387" s="49" t="inlineStr"/>
      <c r="D387" s="48" t="inlineStr">
        <is>
          <t>(blank)</t>
        </is>
      </c>
      <c r="E387" s="48" t="inlineStr">
        <is>
          <t>(blank)</t>
        </is>
      </c>
      <c r="F387" s="47" t="n"/>
    </row>
    <row r="388">
      <c r="A388" s="49" t="n">
        <v>381</v>
      </c>
      <c r="B388" s="47" t="n"/>
      <c r="C388" s="49" t="inlineStr"/>
      <c r="D388" s="48" t="inlineStr">
        <is>
          <t>(blank)</t>
        </is>
      </c>
      <c r="E388" s="48" t="inlineStr">
        <is>
          <t>(blank)</t>
        </is>
      </c>
      <c r="F388" s="47" t="n"/>
    </row>
    <row r="389">
      <c r="A389" s="49" t="n">
        <v>382</v>
      </c>
      <c r="B389" s="47" t="n"/>
      <c r="C389" s="49" t="inlineStr"/>
      <c r="D389" s="48" t="inlineStr">
        <is>
          <t>(blank)</t>
        </is>
      </c>
      <c r="E389" s="48" t="inlineStr">
        <is>
          <t>(blank)</t>
        </is>
      </c>
      <c r="F389" s="47" t="n"/>
    </row>
    <row r="390">
      <c r="A390" s="49" t="n">
        <v>383</v>
      </c>
      <c r="B390" s="47" t="n"/>
      <c r="C390" s="49" t="inlineStr"/>
      <c r="D390" s="48" t="inlineStr">
        <is>
          <t>(blank)</t>
        </is>
      </c>
      <c r="E390" s="48" t="inlineStr">
        <is>
          <t>(blank)</t>
        </is>
      </c>
      <c r="F390" s="47" t="n"/>
    </row>
    <row r="391">
      <c r="A391" s="49" t="n">
        <v>384</v>
      </c>
      <c r="B391" s="47" t="n"/>
      <c r="C391" s="49" t="inlineStr"/>
      <c r="D391" s="48" t="inlineStr">
        <is>
          <t>(blank)</t>
        </is>
      </c>
      <c r="E391" s="48" t="inlineStr">
        <is>
          <t>(blank)</t>
        </is>
      </c>
      <c r="F391" s="47" t="n"/>
    </row>
    <row r="392">
      <c r="A392" s="49" t="n">
        <v>385</v>
      </c>
      <c r="B392" s="47" t="n"/>
      <c r="C392" s="49" t="inlineStr"/>
      <c r="D392" s="48" t="inlineStr">
        <is>
          <t>(blank)</t>
        </is>
      </c>
      <c r="E392" s="48" t="inlineStr">
        <is>
          <t>(blank)</t>
        </is>
      </c>
      <c r="F392" s="47" t="n"/>
    </row>
    <row r="393">
      <c r="A393" s="49" t="n">
        <v>386</v>
      </c>
      <c r="B393" s="47" t="n"/>
      <c r="C393" s="49" t="inlineStr"/>
      <c r="D393" s="48" t="inlineStr">
        <is>
          <t>(blank)</t>
        </is>
      </c>
      <c r="E393" s="48" t="inlineStr">
        <is>
          <t>(blank)</t>
        </is>
      </c>
      <c r="F393" s="47" t="n"/>
    </row>
    <row r="394">
      <c r="A394" s="49" t="n">
        <v>387</v>
      </c>
      <c r="B394" s="47" t="n"/>
      <c r="C394" s="49" t="inlineStr"/>
      <c r="D394" s="48" t="inlineStr">
        <is>
          <t>(blank)</t>
        </is>
      </c>
      <c r="E394" s="48" t="inlineStr">
        <is>
          <t>(blank)</t>
        </is>
      </c>
      <c r="F394" s="47" t="n"/>
    </row>
    <row r="395">
      <c r="A395" s="49" t="n">
        <v>388</v>
      </c>
      <c r="B395" s="47" t="n"/>
      <c r="C395" s="49" t="inlineStr"/>
      <c r="D395" s="48" t="inlineStr">
        <is>
          <t>(blank)</t>
        </is>
      </c>
      <c r="E395" s="48" t="inlineStr">
        <is>
          <t>(blank)</t>
        </is>
      </c>
      <c r="F395" s="47" t="n"/>
    </row>
    <row r="396">
      <c r="A396" s="49" t="n">
        <v>389</v>
      </c>
      <c r="B396" s="47" t="n"/>
      <c r="C396" s="49" t="inlineStr"/>
      <c r="D396" s="48" t="inlineStr">
        <is>
          <t>(blank)</t>
        </is>
      </c>
      <c r="E396" s="48" t="inlineStr">
        <is>
          <t>(blank)</t>
        </is>
      </c>
      <c r="F396" s="47" t="n"/>
    </row>
    <row r="397">
      <c r="A397" s="49" t="n">
        <v>390</v>
      </c>
      <c r="B397" s="47" t="n"/>
      <c r="C397" s="49" t="inlineStr"/>
      <c r="D397" s="48" t="inlineStr">
        <is>
          <t>(blank)</t>
        </is>
      </c>
      <c r="E397" s="48" t="inlineStr">
        <is>
          <t>(blank)</t>
        </is>
      </c>
      <c r="F397" s="47" t="n"/>
    </row>
    <row r="398">
      <c r="A398" s="49" t="n">
        <v>391</v>
      </c>
      <c r="B398" s="47" t="n"/>
      <c r="C398" s="49" t="inlineStr"/>
      <c r="D398" s="48" t="inlineStr">
        <is>
          <t>(blank)</t>
        </is>
      </c>
      <c r="E398" s="48" t="inlineStr">
        <is>
          <t>(blank)</t>
        </is>
      </c>
      <c r="F398" s="47" t="n"/>
    </row>
    <row r="399">
      <c r="A399" s="49" t="n">
        <v>392</v>
      </c>
      <c r="B399" s="47" t="n"/>
      <c r="C399" s="49" t="inlineStr"/>
      <c r="D399" s="48" t="inlineStr">
        <is>
          <t>(blank)</t>
        </is>
      </c>
      <c r="E399" s="48" t="inlineStr">
        <is>
          <t>(blank)</t>
        </is>
      </c>
      <c r="F399" s="47" t="n"/>
    </row>
    <row r="400">
      <c r="A400" s="49" t="n">
        <v>393</v>
      </c>
      <c r="B400" s="47" t="n"/>
      <c r="C400" s="49" t="inlineStr"/>
      <c r="D400" s="48" t="inlineStr">
        <is>
          <t>(blank)</t>
        </is>
      </c>
      <c r="E400" s="48" t="inlineStr">
        <is>
          <t>(blank)</t>
        </is>
      </c>
      <c r="F400" s="47" t="n"/>
    </row>
    <row r="401">
      <c r="A401" s="49" t="n">
        <v>394</v>
      </c>
      <c r="B401" s="47" t="n"/>
      <c r="C401" s="49" t="inlineStr"/>
      <c r="D401" s="48" t="inlineStr">
        <is>
          <t>(blank)</t>
        </is>
      </c>
      <c r="E401" s="48" t="inlineStr">
        <is>
          <t>(blank)</t>
        </is>
      </c>
      <c r="F401" s="47" t="n"/>
    </row>
    <row r="402">
      <c r="A402" s="49" t="n">
        <v>395</v>
      </c>
      <c r="B402" s="47" t="n"/>
      <c r="C402" s="49" t="inlineStr"/>
      <c r="D402" s="48" t="inlineStr">
        <is>
          <t>(blank)</t>
        </is>
      </c>
      <c r="E402" s="48" t="inlineStr">
        <is>
          <t>(blank)</t>
        </is>
      </c>
      <c r="F402" s="47" t="n"/>
    </row>
    <row r="403">
      <c r="A403" s="49" t="n">
        <v>396</v>
      </c>
      <c r="B403" s="47" t="n"/>
      <c r="C403" s="49" t="inlineStr"/>
      <c r="D403" s="48" t="inlineStr">
        <is>
          <t>(blank)</t>
        </is>
      </c>
      <c r="E403" s="48" t="inlineStr">
        <is>
          <t>(blank)</t>
        </is>
      </c>
      <c r="F403" s="47" t="n"/>
    </row>
    <row r="404">
      <c r="A404" s="49" t="n">
        <v>397</v>
      </c>
      <c r="B404" s="47" t="n"/>
      <c r="C404" s="49" t="inlineStr"/>
      <c r="D404" s="48" t="inlineStr">
        <is>
          <t>(blank)</t>
        </is>
      </c>
      <c r="E404" s="48" t="inlineStr">
        <is>
          <t>(blank)</t>
        </is>
      </c>
      <c r="F404" s="47" t="n"/>
    </row>
    <row r="405">
      <c r="A405" s="49" t="n">
        <v>398</v>
      </c>
      <c r="B405" s="47" t="n"/>
      <c r="C405" s="49" t="inlineStr"/>
      <c r="D405" s="48" t="inlineStr">
        <is>
          <t>(blank)</t>
        </is>
      </c>
      <c r="E405" s="48" t="inlineStr">
        <is>
          <t>(blank)</t>
        </is>
      </c>
      <c r="F405" s="47" t="n"/>
    </row>
    <row r="406">
      <c r="A406" s="49" t="n">
        <v>399</v>
      </c>
      <c r="B406" s="47" t="n"/>
      <c r="C406" s="49" t="inlineStr"/>
      <c r="D406" s="48" t="inlineStr">
        <is>
          <t>(blank)</t>
        </is>
      </c>
      <c r="E406" s="48" t="inlineStr">
        <is>
          <t>(blank)</t>
        </is>
      </c>
      <c r="F406" s="47" t="n"/>
    </row>
    <row r="407">
      <c r="A407" s="49" t="n">
        <v>400</v>
      </c>
      <c r="B407" s="47" t="n"/>
      <c r="C407" s="49" t="inlineStr"/>
      <c r="D407" s="48" t="inlineStr">
        <is>
          <t>(blank)</t>
        </is>
      </c>
      <c r="E407" s="48" t="inlineStr">
        <is>
          <t>(blank)</t>
        </is>
      </c>
      <c r="F407" s="47" t="n"/>
    </row>
  </sheetData>
  <autoFilter ref="A7:F407"/>
  <hyperlinks>
    <hyperlink ref="A5" location="Index!A1" display="Back to Index"/>
  </hyperlinks>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D20"/>
  <sheetViews>
    <sheetView showGridLines="0" workbookViewId="0">
      <pane ySplit="7" topLeftCell="A8" activePane="bottomLeft" state="frozen"/>
      <selection pane="bottomLeft" activeCell="A1" sqref="A1"/>
    </sheetView>
  </sheetViews>
  <sheetFormatPr baseColWidth="8" defaultRowHeight="15"/>
  <cols>
    <col width="6" customWidth="1" min="1" max="1"/>
    <col width="34" customWidth="1" min="2" max="2"/>
    <col width="46" customWidth="1" min="3" max="3"/>
    <col width="96" customWidth="1" min="4" max="4"/>
  </cols>
  <sheetData>
    <row r="1">
      <c r="A1" s="28" t="inlineStr">
        <is>
          <t>Concur invoice → ERP: the run, step by step</t>
        </is>
      </c>
    </row>
    <row r="2">
      <c r="A2" s="61" t="inlineStr">
        <is>
          <t>Direction: Concur  -&gt;  M3 and JBA Aurora</t>
        </is>
      </c>
    </row>
    <row r="3">
      <c r="A3" s="32" t="inlineStr">
        <is>
          <t>Invoice_Import.dtsx orchestrates; InvoicePost_Aurora.dtsx, InvoicePost_Raymond.dtsx and InvoicePost_ASRM3.dtsx do the posting.</t>
        </is>
      </c>
    </row>
    <row r="5" ht="18" customHeight="1">
      <c r="A5" s="12" t="inlineStr">
        <is>
          <t>◀  Back to Index</t>
        </is>
      </c>
    </row>
    <row r="7" ht="22" customHeight="1">
      <c r="A7" s="13" t="inlineStr">
        <is>
          <t>#</t>
        </is>
      </c>
      <c r="B7" s="13" t="inlineStr">
        <is>
          <t>Step</t>
        </is>
      </c>
      <c r="C7" s="13" t="inlineStr">
        <is>
          <t>What runs</t>
        </is>
      </c>
      <c r="D7" s="13" t="inlineStr">
        <is>
          <t>Notes</t>
        </is>
      </c>
    </row>
    <row r="8">
      <c r="A8" s="63" t="inlineStr">
        <is>
          <t>1</t>
        </is>
      </c>
      <c r="B8" s="65" t="inlineStr">
        <is>
          <t>Check If files exist</t>
        </is>
      </c>
      <c r="C8" s="70" t="inlineStr">
        <is>
          <t>Invoice_Import.dtsx</t>
        </is>
      </c>
      <c r="D8" s="65" t="inlineStr">
        <is>
          <t>Looks for the two Concur files in Folder_InvoiceImport. On failure: 'File Does Not Exists Notification' and a Fail Package task that runs raiserror('Concur invoice files do not exist', 16, 1).</t>
        </is>
      </c>
    </row>
    <row r="9">
      <c r="A9" s="66" t="inlineStr">
        <is>
          <t>2</t>
        </is>
      </c>
      <c r="B9" s="67" t="inlineStr">
        <is>
          <t>Truncate Invoice Tables</t>
        </is>
      </c>
      <c r="C9" s="71" t="inlineStr">
        <is>
          <t>p_archive_invoice_tables, then DELETE both tables</t>
        </is>
      </c>
      <c r="D9" s="67" t="inlineStr">
        <is>
          <t>Archives the previous run, then deletes dbo.Invoice_Header and dbo.Invoice_Detail. The staging tables hold ONE run at a time — anything not posted before the next run is archived, not reprocessed.</t>
        </is>
      </c>
    </row>
    <row r="10">
      <c r="A10" s="63" t="inlineStr">
        <is>
          <t>3</t>
        </is>
      </c>
      <c r="B10" s="65" t="inlineStr">
        <is>
          <t>Load the flat files</t>
        </is>
      </c>
      <c r="C10" s="70" t="inlineStr">
        <is>
          <t>FlatFile_InvoiceHeader -&gt; dbo.Invoice_Header  /  FlatFile_InvoiceDetail.txt -&gt; dbo.Invoice_Detail</t>
        </is>
      </c>
      <c r="D10" s="65" t="inlineStr">
        <is>
          <t>21 header columns and 20 detail columns, positional. See the EXT - Payment GL tabs for the layout.</t>
        </is>
      </c>
    </row>
    <row r="11">
      <c r="A11" s="66" t="inlineStr">
        <is>
          <t>4</t>
        </is>
      </c>
      <c r="B11" s="67" t="inlineStr">
        <is>
          <t>Remove Leading Zeros</t>
        </is>
      </c>
      <c r="C11" s="71" t="inlineStr">
        <is>
          <t>p_concur_invoice_header_removing_leading_zero</t>
        </is>
      </c>
      <c r="D11" s="67" t="inlineStr">
        <is>
          <t>Strips leading zeros on the header. Concur emits entity-padded values (0096, 0096231375); the AS400 and M3 keys are not padded the same way.</t>
        </is>
      </c>
    </row>
    <row r="12">
      <c r="A12" s="63" t="inlineStr">
        <is>
          <t>5</t>
        </is>
      </c>
      <c r="B12" s="65" t="inlineStr">
        <is>
          <t>Set Vendor</t>
        </is>
      </c>
      <c r="C12" s="70" t="inlineStr">
        <is>
          <t>p_concur_invoice_header_set_vendor</t>
        </is>
      </c>
      <c r="D12" s="65" t="inlineStr">
        <is>
          <t>Resolves the vendor. The file's VSEQ91 arrives empty, so the vendor sequence has to be derived here.</t>
        </is>
      </c>
    </row>
    <row r="13">
      <c r="A13" s="66" t="inlineStr">
        <is>
          <t>6</t>
        </is>
      </c>
      <c r="B13" s="67" t="inlineStr">
        <is>
          <t>Update Surcharges and Set Po Numbers</t>
        </is>
      </c>
      <c r="C13" s="71" t="inlineStr">
        <is>
          <t>p_concur_invoice_update_surcharges_set_po_numbers</t>
        </is>
      </c>
      <c r="D13" s="67" t="inlineStr">
        <is>
          <t>Moves the surcharge amounts into the T*91 totals and sets the PO line numbers. This is where the file's ExtraCol1 / ExtraCol3 values become POLN92 — they are placeholders in the file only, not in the table.</t>
        </is>
      </c>
    </row>
    <row r="14">
      <c r="A14" s="63" t="inlineStr">
        <is>
          <t>7</t>
        </is>
      </c>
      <c r="B14" s="65" t="inlineStr">
        <is>
          <t>Create Count Batch</t>
        </is>
      </c>
      <c r="C14" s="70" t="inlineStr">
        <is>
          <t>select count_batch = cast(datediff("n", '01/01/2007', getdate()) as int)</t>
        </is>
      </c>
      <c r="D14" s="65" t="inlineStr">
        <is>
          <t>Batch id = minutes elapsed since 2007-01-01. ⚠ Two runs inside the same minute would collide on the same batch id.</t>
        </is>
      </c>
    </row>
    <row r="15">
      <c r="A15" s="66" t="inlineStr">
        <is>
          <t>8</t>
        </is>
      </c>
      <c r="B15" s="67" t="inlineStr">
        <is>
          <t>Invoice Post Aurora</t>
        </is>
      </c>
      <c r="C15" s="71" t="inlineStr">
        <is>
          <t>InvoicePost_Aurora.dtsx</t>
        </is>
      </c>
      <c r="D15" s="67" t="inlineStr">
        <is>
          <t>Child package. Two pipelines call p_concur_invoice_header_jba_aurora and p_concur_invoice_detail_jba_aurora and fast-load the results into AS400 BI_PLP91U / BI_PLP92U.</t>
        </is>
      </c>
    </row>
    <row r="16">
      <c r="A16" s="63" t="inlineStr">
        <is>
          <t>9</t>
        </is>
      </c>
      <c r="B16" s="65" t="inlineStr">
        <is>
          <t>Invoice Post Raymond</t>
        </is>
      </c>
      <c r="C16" s="70" t="inlineStr">
        <is>
          <t>InvoicePost_Raymond.dtsx</t>
        </is>
      </c>
      <c r="D16" s="58" t="inlineStr">
        <is>
          <t>⚠ Child package — NOT supplied. A third posting target alongside Aurora and ASRM3; the M3 source procs are named ..._m3_raymond, so confirm how this one differs from InvoicePost_ASRM3.</t>
        </is>
      </c>
    </row>
    <row r="17">
      <c r="A17" s="66" t="inlineStr">
        <is>
          <t>10</t>
        </is>
      </c>
      <c r="B17" s="67" t="inlineStr">
        <is>
          <t>Invoice Post ASRM3</t>
        </is>
      </c>
      <c r="C17" s="71" t="inlineStr">
        <is>
          <t>InvoicePost_ASRM3.dtsx</t>
        </is>
      </c>
      <c r="D17" s="67" t="inlineStr">
        <is>
          <t>Child package. A Script Task ('Create XML Document') reads p_get_concur_invoice_headers_m3_raymond and p_get_concur_invoice_details_m3_raymond and writes one Infor ION LoadSupplierInvoice BOD per invoice into ASRM3_Xml_Directory, with a copy to ASRM3_Xml_BackupDirectory.</t>
        </is>
      </c>
    </row>
    <row r="18">
      <c r="A18" s="63" t="inlineStr">
        <is>
          <t>11</t>
        </is>
      </c>
      <c r="B18" s="65" t="inlineStr">
        <is>
          <t>Update Concur Invoice Records</t>
        </is>
      </c>
      <c r="C18" s="70" t="inlineStr">
        <is>
          <t>p_concur_invoice_update_records</t>
        </is>
      </c>
      <c r="D18" s="65" t="inlineStr">
        <is>
          <t>Marks the staged rows as processed.</t>
        </is>
      </c>
    </row>
    <row r="19">
      <c r="A19" s="66" t="inlineStr">
        <is>
          <t>12</t>
        </is>
      </c>
      <c r="B19" s="67" t="inlineStr">
        <is>
          <t>Save Counts</t>
        </is>
      </c>
      <c r="C19" s="71" t="inlineStr">
        <is>
          <t>p_concur_invoice_save_import_counts ?</t>
        </is>
      </c>
      <c r="D19" s="67" t="inlineStr">
        <is>
          <t>Takes the batch id as a parameter and records the run counts.</t>
        </is>
      </c>
    </row>
    <row r="20">
      <c r="A20" s="63" t="inlineStr">
        <is>
          <t>13</t>
        </is>
      </c>
      <c r="B20" s="65" t="inlineStr">
        <is>
          <t>Archive Files / Distribution Summary Notification</t>
        </is>
      </c>
      <c r="C20" s="70" t="inlineStr">
        <is>
          <t>Invoice_Import.dtsx</t>
        </is>
      </c>
      <c r="D20" s="65" t="inlineStr">
        <is>
          <t>Moves the input files aside and sends the run summary.</t>
        </is>
      </c>
    </row>
  </sheetData>
  <autoFilter ref="A7:D20"/>
  <hyperlinks>
    <hyperlink ref="A5" location="Index!A1" display="Back to Index"/>
  </hyperlinks>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D36"/>
  <sheetViews>
    <sheetView showGridLines="0" workbookViewId="0">
      <pane ySplit="7" topLeftCell="A8" activePane="bottomLeft" state="frozen"/>
      <selection pane="bottomLeft" activeCell="A1" sqref="A1"/>
    </sheetView>
  </sheetViews>
  <sheetFormatPr baseColWidth="8" defaultRowHeight="15"/>
  <cols>
    <col width="16" customWidth="1" min="1" max="1"/>
    <col width="14" customWidth="1" min="2" max="2"/>
    <col width="22" customWidth="1" min="3" max="3"/>
    <col width="104" customWidth="1" min="4" max="4"/>
  </cols>
  <sheetData>
    <row r="1">
      <c r="A1" s="28" t="inlineStr">
        <is>
          <t>JBA Aurora posting — BI_PLP91U (invoice header)</t>
        </is>
      </c>
    </row>
    <row r="2">
      <c r="A2" s="61" t="inlineStr">
        <is>
          <t>Direction: Concur  -&gt;  JBA Aurora (AS400)</t>
        </is>
      </c>
    </row>
    <row r="3">
      <c r="A3" s="32" t="inlineStr">
        <is>
          <t>dbo.Invoice_Header  -&gt;  p_concur_invoice_header_jba_aurora  -&gt;  OLE DB fast load into $Package::BI_PLP91U via AS400_OLEDB_BI_PCSRVR2  (BR posts through AS400_OLEDB_BR_ASRDW)</t>
        </is>
      </c>
    </row>
    <row r="5" ht="18" customHeight="1">
      <c r="A5" s="12" t="inlineStr">
        <is>
          <t>◀  Back to Index</t>
        </is>
      </c>
    </row>
    <row r="7" ht="22" customHeight="1">
      <c r="A7" s="13" t="inlineStr">
        <is>
          <t>AS400 Column</t>
        </is>
      </c>
      <c r="B7" s="13" t="inlineStr">
        <is>
          <t>Table</t>
        </is>
      </c>
      <c r="C7" s="13" t="inlineStr">
        <is>
          <t>Source</t>
        </is>
      </c>
      <c r="D7" s="13" t="inlineStr">
        <is>
          <t>Notes</t>
        </is>
      </c>
    </row>
    <row r="8">
      <c r="A8" s="70" t="inlineStr">
        <is>
          <t>PCNO91</t>
        </is>
      </c>
      <c r="B8" s="65" t="inlineStr">
        <is>
          <t>BI_PLP91U</t>
        </is>
      </c>
      <c r="C8" s="65" t="inlineStr">
        <is>
          <t>file col 1</t>
        </is>
      </c>
      <c r="D8" s="65" t="inlineStr">
        <is>
          <t>Company prefix, 'BI'. OpenRowsetVariable $Package::BI_PLP91U, so the target table name is a package variable — the BR variant posts through AS400_OLEDB_BR_ASRDW.</t>
        </is>
      </c>
    </row>
    <row r="9">
      <c r="A9" s="71" t="inlineStr">
        <is>
          <t>CONO91</t>
        </is>
      </c>
      <c r="B9" s="67" t="inlineStr">
        <is>
          <t>BI_PLP91U</t>
        </is>
      </c>
      <c r="C9" s="67" t="inlineStr">
        <is>
          <t>file col 2</t>
        </is>
      </c>
      <c r="D9" s="67" t="inlineStr">
        <is>
          <t>Concur entity_id, after step 4 strips leading zeros.</t>
        </is>
      </c>
    </row>
    <row r="10">
      <c r="A10" s="70" t="inlineStr">
        <is>
          <t>VEND91</t>
        </is>
      </c>
      <c r="B10" s="65" t="inlineStr">
        <is>
          <t>BI_PLP91U</t>
        </is>
      </c>
      <c r="C10" s="65" t="inlineStr">
        <is>
          <t>file col 3</t>
        </is>
      </c>
      <c r="D10" s="65" t="inlineStr">
        <is>
          <t>Vendor code.</t>
        </is>
      </c>
    </row>
    <row r="11">
      <c r="A11" s="71" t="inlineStr">
        <is>
          <t>VSEQ91</t>
        </is>
      </c>
      <c r="B11" s="67" t="inlineStr">
        <is>
          <t>BI_PLP91U</t>
        </is>
      </c>
      <c r="C11" s="67" t="inlineStr">
        <is>
          <t>set in step 5</t>
        </is>
      </c>
      <c r="D11" s="58" t="inlineStr">
        <is>
          <t>⚠ Empty in the file; p_concur_invoice_header_set_vendor has to supply it. The PO import matches a vendor on vendor_code + vendor_address_code, so this has to land right.</t>
        </is>
      </c>
    </row>
    <row r="12">
      <c r="A12" s="70" t="inlineStr">
        <is>
          <t>PONO91</t>
        </is>
      </c>
      <c r="B12" s="65" t="inlineStr">
        <is>
          <t>BI_PLP91U</t>
        </is>
      </c>
      <c r="C12" s="65" t="inlineStr">
        <is>
          <t>file col 5</t>
        </is>
      </c>
      <c r="D12" s="65" t="inlineStr">
        <is>
          <t>Purchase order number.</t>
        </is>
      </c>
    </row>
    <row r="13">
      <c r="A13" s="71" t="inlineStr">
        <is>
          <t>TYPE91</t>
        </is>
      </c>
      <c r="B13" s="67" t="inlineStr">
        <is>
          <t>BI_PLP91U</t>
        </is>
      </c>
      <c r="C13" s="67" t="inlineStr">
        <is>
          <t>file col 6</t>
        </is>
      </c>
      <c r="D13" s="67" t="inlineStr">
        <is>
          <t>Invoice type, 'IN'.</t>
        </is>
      </c>
    </row>
    <row r="14">
      <c r="A14" s="70" t="inlineStr">
        <is>
          <t>INDT91</t>
        </is>
      </c>
      <c r="B14" s="65" t="inlineStr">
        <is>
          <t>BI_PLP91U</t>
        </is>
      </c>
      <c r="C14" s="65" t="inlineStr">
        <is>
          <t>file col 7</t>
        </is>
      </c>
      <c r="D14" s="65" t="inlineStr">
        <is>
          <t>Invoice date, YYYYMMDD.</t>
        </is>
      </c>
    </row>
    <row r="15">
      <c r="A15" s="71" t="inlineStr">
        <is>
          <t>INVN91</t>
        </is>
      </c>
      <c r="B15" s="67" t="inlineStr">
        <is>
          <t>BI_PLP91U</t>
        </is>
      </c>
      <c r="C15" s="67" t="inlineStr">
        <is>
          <t>file col 8</t>
        </is>
      </c>
      <c r="D15" s="67" t="inlineStr">
        <is>
          <t>Invoice number.</t>
        </is>
      </c>
    </row>
    <row r="16">
      <c r="A16" s="70" t="inlineStr">
        <is>
          <t>TINV91</t>
        </is>
      </c>
      <c r="B16" s="65" t="inlineStr">
        <is>
          <t>BI_PLP91U</t>
        </is>
      </c>
      <c r="C16" s="65" t="inlineStr">
        <is>
          <t>file col 9</t>
        </is>
      </c>
      <c r="D16" s="65" t="inlineStr">
        <is>
          <t>Total invoice amount.</t>
        </is>
      </c>
    </row>
    <row r="17">
      <c r="A17" s="71" t="inlineStr">
        <is>
          <t>CURC91</t>
        </is>
      </c>
      <c r="B17" s="67" t="inlineStr">
        <is>
          <t>BI_PLP91U</t>
        </is>
      </c>
      <c r="C17" s="67" t="inlineStr">
        <is>
          <t>file col 10</t>
        </is>
      </c>
      <c r="D17" s="67" t="inlineStr">
        <is>
          <t>Currency.</t>
        </is>
      </c>
    </row>
    <row r="18">
      <c r="A18" s="70" t="inlineStr">
        <is>
          <t>TFRT91</t>
        </is>
      </c>
      <c r="B18" s="65" t="inlineStr">
        <is>
          <t>BI_PLP91U</t>
        </is>
      </c>
      <c r="C18" s="65" t="inlineStr">
        <is>
          <t>file col 11 + step 6</t>
        </is>
      </c>
      <c r="D18" s="65" t="inlineStr">
        <is>
          <t>Total freight — empty in the file; set from the surcharges.</t>
        </is>
      </c>
    </row>
    <row r="19">
      <c r="A19" s="71" t="inlineStr">
        <is>
          <t>TTAX91</t>
        </is>
      </c>
      <c r="B19" s="67" t="inlineStr">
        <is>
          <t>BI_PLP91U</t>
        </is>
      </c>
      <c r="C19" s="67" t="inlineStr">
        <is>
          <t>file col 12 + step 6</t>
        </is>
      </c>
      <c r="D19" s="58" t="inlineStr">
        <is>
          <t>⚠ Total tax — empty in the file even though the detail carries a tax line. Step 6 is the only chance to populate it.</t>
        </is>
      </c>
    </row>
    <row r="20">
      <c r="A20" s="70" t="inlineStr">
        <is>
          <t>TFUL91</t>
        </is>
      </c>
      <c r="B20" s="65" t="inlineStr">
        <is>
          <t>BI_PLP91U</t>
        </is>
      </c>
      <c r="C20" s="65" t="inlineStr">
        <is>
          <t>file col 13</t>
        </is>
      </c>
      <c r="D20" s="65" t="inlineStr">
        <is>
          <t>Total fuel surcharge.</t>
        </is>
      </c>
    </row>
    <row r="21">
      <c r="A21" s="71" t="inlineStr">
        <is>
          <t>TMAT91</t>
        </is>
      </c>
      <c r="B21" s="67" t="inlineStr">
        <is>
          <t>BI_PLP91U</t>
        </is>
      </c>
      <c r="C21" s="67" t="inlineStr">
        <is>
          <t>file col 14</t>
        </is>
      </c>
      <c r="D21" s="67" t="inlineStr">
        <is>
          <t>Total material surcharge.</t>
        </is>
      </c>
    </row>
    <row r="22">
      <c r="A22" s="70" t="inlineStr">
        <is>
          <t>TOTH91</t>
        </is>
      </c>
      <c r="B22" s="65" t="inlineStr">
        <is>
          <t>BI_PLP91U</t>
        </is>
      </c>
      <c r="C22" s="65" t="inlineStr">
        <is>
          <t>file col 15</t>
        </is>
      </c>
      <c r="D22" s="65" t="inlineStr">
        <is>
          <t>Total other charges.</t>
        </is>
      </c>
    </row>
    <row r="23">
      <c r="A23" s="71" t="inlineStr">
        <is>
          <t>TFUT91</t>
        </is>
      </c>
      <c r="B23" s="67" t="inlineStr">
        <is>
          <t>BI_PLP91U</t>
        </is>
      </c>
      <c r="C23" s="67" t="inlineStr">
        <is>
          <t>file col 16</t>
        </is>
      </c>
      <c r="D23" s="67" t="inlineStr">
        <is>
          <t>Total future use.</t>
        </is>
      </c>
    </row>
    <row r="24">
      <c r="A24" s="70" t="inlineStr">
        <is>
          <t>AINV91</t>
        </is>
      </c>
      <c r="B24" s="65" t="inlineStr">
        <is>
          <t>BI_PLP91U</t>
        </is>
      </c>
      <c r="C24" s="65" t="inlineStr">
        <is>
          <t>file col 17</t>
        </is>
      </c>
      <c r="D24" s="65" t="inlineStr">
        <is>
          <t>Approved invoice flag.</t>
        </is>
      </c>
    </row>
    <row r="25">
      <c r="A25" s="71" t="inlineStr">
        <is>
          <t>PYMT91</t>
        </is>
      </c>
      <c r="B25" s="67" t="inlineStr">
        <is>
          <t>BI_PLP91U</t>
        </is>
      </c>
      <c r="C25" s="67" t="inlineStr">
        <is>
          <t>file col 18</t>
        </is>
      </c>
      <c r="D25" s="67" t="inlineStr">
        <is>
          <t>Payment reference.</t>
        </is>
      </c>
    </row>
    <row r="26">
      <c r="A26" s="70" t="inlineStr">
        <is>
          <t>DESC91</t>
        </is>
      </c>
      <c r="B26" s="65" t="inlineStr">
        <is>
          <t>BI_PLP91U</t>
        </is>
      </c>
      <c r="C26" s="65" t="inlineStr">
        <is>
          <t>file col 19</t>
        </is>
      </c>
      <c r="D26" s="65" t="inlineStr">
        <is>
          <t>Description.</t>
        </is>
      </c>
    </row>
    <row r="27">
      <c r="A27" s="71" t="inlineStr">
        <is>
          <t>PTYP91</t>
        </is>
      </c>
      <c r="B27" s="67" t="inlineStr">
        <is>
          <t>BI_PLP91U</t>
        </is>
      </c>
      <c r="C27" s="67" t="inlineStr">
        <is>
          <t>file col 20</t>
        </is>
      </c>
      <c r="D27" s="67" t="inlineStr">
        <is>
          <t>Payment type. 'M' in the sample — the same value the M3 side reads as BatchType to choose its BOD scenario.</t>
        </is>
      </c>
    </row>
    <row r="28">
      <c r="A28" s="70" t="inlineStr">
        <is>
          <t>CIDN91</t>
        </is>
      </c>
      <c r="B28" s="65" t="inlineStr">
        <is>
          <t>BI_PLP91U</t>
        </is>
      </c>
      <c r="C28" s="65" t="inlineStr">
        <is>
          <t>file col 21</t>
        </is>
      </c>
      <c r="D28" s="65" t="inlineStr">
        <is>
          <t>Concur id; joins to CIDN92.</t>
        </is>
      </c>
    </row>
    <row r="29">
      <c r="A29" s="71" t="inlineStr">
        <is>
          <t>CODE91</t>
        </is>
      </c>
      <c r="B29" s="67" t="inlineStr">
        <is>
          <t>BI_PLP91U</t>
        </is>
      </c>
      <c r="C29" s="67" t="inlineStr">
        <is>
          <t>added by the proc</t>
        </is>
      </c>
      <c r="D29" s="67" t="inlineStr">
        <is>
          <t>Editing status code — not in the file.</t>
        </is>
      </c>
    </row>
    <row r="30">
      <c r="A30" s="70" t="inlineStr">
        <is>
          <t>PDAT91</t>
        </is>
      </c>
      <c r="B30" s="65" t="inlineStr">
        <is>
          <t>BI_PLP91U</t>
        </is>
      </c>
      <c r="C30" s="65" t="inlineStr">
        <is>
          <t>added by the proc</t>
        </is>
      </c>
      <c r="D30" s="65" t="inlineStr">
        <is>
          <t>Import date — not in the file.</t>
        </is>
      </c>
    </row>
    <row r="31">
      <c r="A31" s="71" t="inlineStr">
        <is>
          <t>PTIM91</t>
        </is>
      </c>
      <c r="B31" s="67" t="inlineStr">
        <is>
          <t>BI_PLP91U</t>
        </is>
      </c>
      <c r="C31" s="67" t="inlineStr">
        <is>
          <t>added by the proc</t>
        </is>
      </c>
      <c r="D31" s="67" t="inlineStr">
        <is>
          <t>Import time — not in the file.</t>
        </is>
      </c>
    </row>
    <row r="32">
      <c r="A32" s="70" t="inlineStr">
        <is>
          <t>EDAT91</t>
        </is>
      </c>
      <c r="B32" s="65" t="inlineStr">
        <is>
          <t>BI_PLP91U</t>
        </is>
      </c>
      <c r="C32" s="65" t="inlineStr">
        <is>
          <t>added by the proc</t>
        </is>
      </c>
      <c r="D32" s="65" t="inlineStr">
        <is>
          <t>Edit date — not in the file.</t>
        </is>
      </c>
    </row>
    <row r="33">
      <c r="A33" s="71" t="inlineStr">
        <is>
          <t>ETIM91</t>
        </is>
      </c>
      <c r="B33" s="67" t="inlineStr">
        <is>
          <t>BI_PLP91U</t>
        </is>
      </c>
      <c r="C33" s="67" t="inlineStr">
        <is>
          <t>added by the proc</t>
        </is>
      </c>
      <c r="D33" s="67" t="inlineStr">
        <is>
          <t>Edit time — not in the file.</t>
        </is>
      </c>
    </row>
    <row r="34">
      <c r="A34" s="70" t="inlineStr">
        <is>
          <t>APBT91</t>
        </is>
      </c>
      <c r="B34" s="65" t="inlineStr">
        <is>
          <t>BI_PLP91U</t>
        </is>
      </c>
      <c r="C34" s="65" t="inlineStr">
        <is>
          <t>added by the proc</t>
        </is>
      </c>
      <c r="D34" s="65" t="inlineStr">
        <is>
          <t>AP batch number — not in the file.</t>
        </is>
      </c>
    </row>
    <row r="35">
      <c r="A35" s="71" t="inlineStr">
        <is>
          <t>GLBT91</t>
        </is>
      </c>
      <c r="B35" s="67" t="inlineStr">
        <is>
          <t>BI_PLP91U</t>
        </is>
      </c>
      <c r="C35" s="67" t="inlineStr">
        <is>
          <t>added by the proc</t>
        </is>
      </c>
      <c r="D35" s="67" t="inlineStr">
        <is>
          <t>GL batch number — not in the file.</t>
        </is>
      </c>
    </row>
    <row r="36">
      <c r="A36" s="70" t="inlineStr">
        <is>
          <t>VCHR91</t>
        </is>
      </c>
      <c r="B36" s="65" t="inlineStr">
        <is>
          <t>BI_PLP91U</t>
        </is>
      </c>
      <c r="C36" s="65" t="inlineStr">
        <is>
          <t>added by the proc</t>
        </is>
      </c>
      <c r="D36" s="65" t="inlineStr">
        <is>
          <t>AP voucher number — not in the file.</t>
        </is>
      </c>
    </row>
  </sheetData>
  <autoFilter ref="A7:D36"/>
  <hyperlinks>
    <hyperlink ref="A5" location="Index!A1" display="Back to Index"/>
  </hyperlinks>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D28"/>
  <sheetViews>
    <sheetView showGridLines="0" workbookViewId="0">
      <pane ySplit="7" topLeftCell="A8" activePane="bottomLeft" state="frozen"/>
      <selection pane="bottomLeft" activeCell="A1" sqref="A1"/>
    </sheetView>
  </sheetViews>
  <sheetFormatPr baseColWidth="8" defaultRowHeight="15"/>
  <cols>
    <col width="16" customWidth="1" min="1" max="1"/>
    <col width="14" customWidth="1" min="2" max="2"/>
    <col width="22" customWidth="1" min="3" max="3"/>
    <col width="104" customWidth="1" min="4" max="4"/>
  </cols>
  <sheetData>
    <row r="1">
      <c r="A1" s="28" t="inlineStr">
        <is>
          <t>JBA Aurora posting — BI_PLP92U (invoice detail)</t>
        </is>
      </c>
    </row>
    <row r="2">
      <c r="A2" s="61" t="inlineStr">
        <is>
          <t>Direction: Concur  -&gt;  JBA Aurora (AS400)</t>
        </is>
      </c>
    </row>
    <row r="3">
      <c r="A3" s="32" t="inlineStr">
        <is>
          <t>dbo.Invoice_Detail  -&gt;  p_concur_invoice_detail_jba_aurora  -&gt;  OLE DB fast load into $Package::BI_PLP92U via AS400_OLEDB_BI_PCSRVR2</t>
        </is>
      </c>
    </row>
    <row r="5" ht="18" customHeight="1">
      <c r="A5" s="12" t="inlineStr">
        <is>
          <t>◀  Back to Index</t>
        </is>
      </c>
    </row>
    <row r="7" ht="22" customHeight="1">
      <c r="A7" s="13" t="inlineStr">
        <is>
          <t>AS400 Column</t>
        </is>
      </c>
      <c r="B7" s="13" t="inlineStr">
        <is>
          <t>Table</t>
        </is>
      </c>
      <c r="C7" s="13" t="inlineStr">
        <is>
          <t>Source</t>
        </is>
      </c>
      <c r="D7" s="13" t="inlineStr">
        <is>
          <t>Notes</t>
        </is>
      </c>
    </row>
    <row r="8">
      <c r="A8" s="70" t="inlineStr">
        <is>
          <t>PCNO92</t>
        </is>
      </c>
      <c r="B8" s="65" t="inlineStr">
        <is>
          <t>BI_PLP92U</t>
        </is>
      </c>
      <c r="C8" s="65" t="inlineStr">
        <is>
          <t>file col 1</t>
        </is>
      </c>
      <c r="D8" s="65" t="inlineStr">
        <is>
          <t>Company prefix.</t>
        </is>
      </c>
    </row>
    <row r="9">
      <c r="A9" s="71" t="inlineStr">
        <is>
          <t>CONO92</t>
        </is>
      </c>
      <c r="B9" s="67" t="inlineStr">
        <is>
          <t>BI_PLP92U</t>
        </is>
      </c>
      <c r="C9" s="67" t="inlineStr">
        <is>
          <t>file col 2</t>
        </is>
      </c>
      <c r="D9" s="67" t="inlineStr">
        <is>
          <t>Concur entity_id.</t>
        </is>
      </c>
    </row>
    <row r="10">
      <c r="A10" s="70" t="inlineStr">
        <is>
          <t>BOLN92</t>
        </is>
      </c>
      <c r="B10" s="65" t="inlineStr">
        <is>
          <t>BI_PLP92U</t>
        </is>
      </c>
      <c r="C10" s="65" t="inlineStr">
        <is>
          <t>file col 3</t>
        </is>
      </c>
      <c r="D10" s="65" t="inlineStr">
        <is>
          <t>Bill of lading — empty in the sample.</t>
        </is>
      </c>
    </row>
    <row r="11">
      <c r="A11" s="71" t="inlineStr">
        <is>
          <t>INVL92</t>
        </is>
      </c>
      <c r="B11" s="67" t="inlineStr">
        <is>
          <t>BI_PLP92U</t>
        </is>
      </c>
      <c r="C11" s="67" t="inlineStr">
        <is>
          <t>file col 4</t>
        </is>
      </c>
      <c r="D11" s="67" t="inlineStr">
        <is>
          <t>Invoice line number.</t>
        </is>
      </c>
    </row>
    <row r="12">
      <c r="A12" s="70" t="inlineStr">
        <is>
          <t>PONO92</t>
        </is>
      </c>
      <c r="B12" s="65" t="inlineStr">
        <is>
          <t>BI_PLP92U</t>
        </is>
      </c>
      <c r="C12" s="65" t="inlineStr">
        <is>
          <t>file col 5</t>
        </is>
      </c>
      <c r="D12" s="65" t="inlineStr">
        <is>
          <t>Purchase order number.</t>
        </is>
      </c>
    </row>
    <row r="13">
      <c r="A13" s="71" t="inlineStr">
        <is>
          <t>POLN92</t>
        </is>
      </c>
      <c r="B13" s="67" t="inlineStr">
        <is>
          <t>BI_PLP92U</t>
        </is>
      </c>
      <c r="C13" s="67" t="inlineStr">
        <is>
          <t>set in step 6</t>
        </is>
      </c>
      <c r="D13" s="67" t="inlineStr">
        <is>
          <t>PO line number. Empty in the file — p_concur_invoice_update_surcharges_set_po_numbers fills it, which is what the file's ExtraCol1 (40/90/120) and ExtraCol3 (76771042501) are feeding.</t>
        </is>
      </c>
    </row>
    <row r="14">
      <c r="A14" s="70" t="inlineStr">
        <is>
          <t>POLS92</t>
        </is>
      </c>
      <c r="B14" s="65" t="inlineStr">
        <is>
          <t>BI_PLP92U</t>
        </is>
      </c>
      <c r="C14" s="65" t="inlineStr">
        <is>
          <t>file col 7 / step 6</t>
        </is>
      </c>
      <c r="D14" s="65" t="inlineStr">
        <is>
          <t>PO line sequence — empty in the file.</t>
        </is>
      </c>
    </row>
    <row r="15">
      <c r="A15" s="71" t="inlineStr">
        <is>
          <t>QTYI92</t>
        </is>
      </c>
      <c r="B15" s="67" t="inlineStr">
        <is>
          <t>BI_PLP92U</t>
        </is>
      </c>
      <c r="C15" s="67" t="inlineStr">
        <is>
          <t>file col 8</t>
        </is>
      </c>
      <c r="D15" s="67" t="inlineStr">
        <is>
          <t>Invoiced quantity.</t>
        </is>
      </c>
    </row>
    <row r="16">
      <c r="A16" s="70" t="inlineStr">
        <is>
          <t>IPRC92</t>
        </is>
      </c>
      <c r="B16" s="65" t="inlineStr">
        <is>
          <t>BI_PLP92U</t>
        </is>
      </c>
      <c r="C16" s="65" t="inlineStr">
        <is>
          <t>file col 9</t>
        </is>
      </c>
      <c r="D16" s="65" t="inlineStr">
        <is>
          <t>Invoiced unit price.</t>
        </is>
      </c>
    </row>
    <row r="17">
      <c r="A17" s="71" t="inlineStr">
        <is>
          <t>IAMT92</t>
        </is>
      </c>
      <c r="B17" s="67" t="inlineStr">
        <is>
          <t>BI_PLP92U</t>
        </is>
      </c>
      <c r="C17" s="67" t="inlineStr">
        <is>
          <t>file col 10</t>
        </is>
      </c>
      <c r="D17" s="67" t="inlineStr">
        <is>
          <t>Invoice amount.</t>
        </is>
      </c>
    </row>
    <row r="18">
      <c r="A18" s="70" t="inlineStr">
        <is>
          <t>QTYR92</t>
        </is>
      </c>
      <c r="B18" s="65" t="inlineStr">
        <is>
          <t>BI_PLP92U</t>
        </is>
      </c>
      <c r="C18" s="65" t="inlineStr">
        <is>
          <t>file col 11</t>
        </is>
      </c>
      <c r="D18" s="65" t="inlineStr">
        <is>
          <t>Received quantity — empty in the sample.</t>
        </is>
      </c>
    </row>
    <row r="19">
      <c r="A19" s="71" t="inlineStr">
        <is>
          <t>ITEM92</t>
        </is>
      </c>
      <c r="B19" s="67" t="inlineStr">
        <is>
          <t>BI_PLP92U</t>
        </is>
      </c>
      <c r="C19" s="67" t="inlineStr">
        <is>
          <t>file col 12</t>
        </is>
      </c>
      <c r="D19" s="58" t="inlineStr">
        <is>
          <t>⚠ Carries a description ('Office Supplies', 'Tax'), not a part number, so it will not join to the PO import's Supplier Part ID.</t>
        </is>
      </c>
    </row>
    <row r="20">
      <c r="A20" s="70" t="inlineStr">
        <is>
          <t>UOM92</t>
        </is>
      </c>
      <c r="B20" s="65" t="inlineStr">
        <is>
          <t>BI_PLP92U</t>
        </is>
      </c>
      <c r="C20" s="65" t="inlineStr">
        <is>
          <t>added by the proc</t>
        </is>
      </c>
      <c r="D20" s="58" t="inlineStr">
        <is>
          <t>⚠ Unit of measure exists in the TABLE but not in the file — the 20-column detail file has no UOM. The M3 BOD does send one (line.UnitOfMeasure), so the two targets disagree on whether UOM is available.</t>
        </is>
      </c>
    </row>
    <row r="21">
      <c r="A21" s="71" t="inlineStr">
        <is>
          <t>ACCT92</t>
        </is>
      </c>
      <c r="B21" s="67" t="inlineStr">
        <is>
          <t>BI_PLP92U</t>
        </is>
      </c>
      <c r="C21" s="67" t="inlineStr">
        <is>
          <t>file col 13</t>
        </is>
      </c>
      <c r="D21" s="67" t="inlineStr">
        <is>
          <t>Account code — 43 on goods lines, 5555 on the tax line.</t>
        </is>
      </c>
    </row>
    <row r="22">
      <c r="A22" s="70" t="inlineStr">
        <is>
          <t>DEPT92</t>
        </is>
      </c>
      <c r="B22" s="65" t="inlineStr">
        <is>
          <t>BI_PLP92U</t>
        </is>
      </c>
      <c r="C22" s="65" t="inlineStr">
        <is>
          <t>file col 14</t>
        </is>
      </c>
      <c r="D22" s="58" t="inlineStr">
        <is>
          <t>⚠ Department. The tax line carries the literal text 'Blank' rather than an empty field.</t>
        </is>
      </c>
    </row>
    <row r="23">
      <c r="A23" s="71" t="inlineStr">
        <is>
          <t>CIDN92</t>
        </is>
      </c>
      <c r="B23" s="67" t="inlineStr">
        <is>
          <t>BI_PLP92U</t>
        </is>
      </c>
      <c r="C23" s="67" t="inlineStr">
        <is>
          <t>file col 15</t>
        </is>
      </c>
      <c r="D23" s="67" t="inlineStr">
        <is>
          <t>Concur id; joins to CIDN91.</t>
        </is>
      </c>
    </row>
    <row r="24">
      <c r="A24" s="70" t="inlineStr">
        <is>
          <t>CODE92</t>
        </is>
      </c>
      <c r="B24" s="65" t="inlineStr">
        <is>
          <t>BI_PLP92U</t>
        </is>
      </c>
      <c r="C24" s="65" t="inlineStr">
        <is>
          <t>added by the proc</t>
        </is>
      </c>
      <c r="D24" s="65" t="inlineStr">
        <is>
          <t>Editing status code.</t>
        </is>
      </c>
    </row>
    <row r="25">
      <c r="A25" s="71" t="inlineStr">
        <is>
          <t>PDAT92</t>
        </is>
      </c>
      <c r="B25" s="67" t="inlineStr">
        <is>
          <t>BI_PLP92U</t>
        </is>
      </c>
      <c r="C25" s="67" t="inlineStr">
        <is>
          <t>added by the proc</t>
        </is>
      </c>
      <c r="D25" s="67" t="inlineStr">
        <is>
          <t>Import date.</t>
        </is>
      </c>
    </row>
    <row r="26">
      <c r="A26" s="70" t="inlineStr">
        <is>
          <t>PTIM92</t>
        </is>
      </c>
      <c r="B26" s="65" t="inlineStr">
        <is>
          <t>BI_PLP92U</t>
        </is>
      </c>
      <c r="C26" s="65" t="inlineStr">
        <is>
          <t>added by the proc</t>
        </is>
      </c>
      <c r="D26" s="65" t="inlineStr">
        <is>
          <t>Import time.</t>
        </is>
      </c>
    </row>
    <row r="27">
      <c r="A27" s="71" t="inlineStr">
        <is>
          <t>EDAT92</t>
        </is>
      </c>
      <c r="B27" s="67" t="inlineStr">
        <is>
          <t>BI_PLP92U</t>
        </is>
      </c>
      <c r="C27" s="67" t="inlineStr">
        <is>
          <t>added by the proc</t>
        </is>
      </c>
      <c r="D27" s="67" t="inlineStr">
        <is>
          <t>Edit date.</t>
        </is>
      </c>
    </row>
    <row r="28">
      <c r="A28" s="70" t="inlineStr">
        <is>
          <t>ETIM92</t>
        </is>
      </c>
      <c r="B28" s="65" t="inlineStr">
        <is>
          <t>BI_PLP92U</t>
        </is>
      </c>
      <c r="C28" s="65" t="inlineStr">
        <is>
          <t>added by the proc</t>
        </is>
      </c>
      <c r="D28" s="65" t="inlineStr">
        <is>
          <t>Edit time.</t>
        </is>
      </c>
    </row>
  </sheetData>
  <autoFilter ref="A7:D28"/>
  <hyperlinks>
    <hyperlink ref="A5" location="Index!A1" display="Back to Index"/>
  </hyperlinks>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D44"/>
  <sheetViews>
    <sheetView showGridLines="0" workbookViewId="0">
      <pane ySplit="7" topLeftCell="A8" activePane="bottomLeft" state="frozen"/>
      <selection pane="bottomLeft" activeCell="A1" sqref="A1"/>
    </sheetView>
  </sheetViews>
  <sheetFormatPr baseColWidth="8" defaultRowHeight="15"/>
  <cols>
    <col width="50" customWidth="1" min="1" max="1"/>
    <col width="13" customWidth="1" min="2" max="2"/>
    <col width="34" customWidth="1" min="3" max="3"/>
    <col width="92" customWidth="1" min="4" max="4"/>
  </cols>
  <sheetData>
    <row r="1">
      <c r="A1" s="28" t="inlineStr">
        <is>
          <t>M3 posting — Infor ION LoadSupplierInvoice BOD</t>
        </is>
      </c>
    </row>
    <row r="2">
      <c r="A2" s="61" t="inlineStr">
        <is>
          <t>Direction: Concur  -&gt;  M3 (ASRM3)</t>
        </is>
      </c>
    </row>
    <row r="3">
      <c r="A3" s="32" t="inlineStr">
        <is>
          <t>p_get_concur_invoice_headers_m3_raymond / p_get_concur_invoice_details_m3_raymond  -&gt;  Script Task 'Create XML Document'  -&gt;  one XML per invoice named {entityId}_{invoice}_{BatchType}_{timestamp}.xml in ASRM3_Xml_Directory, copied to ASRM3_Xml_BackupDirectory</t>
        </is>
      </c>
    </row>
    <row r="5" ht="18" customHeight="1">
      <c r="A5" s="12" t="inlineStr">
        <is>
          <t>◀  Back to Index</t>
        </is>
      </c>
    </row>
    <row r="7" ht="22" customHeight="1">
      <c r="A7" s="13" t="inlineStr">
        <is>
          <t>XML path</t>
        </is>
      </c>
      <c r="B7" s="13" t="inlineStr">
        <is>
          <t>Scenario</t>
        </is>
      </c>
      <c r="C7" s="13" t="inlineStr">
        <is>
          <t>Source</t>
        </is>
      </c>
      <c r="D7" s="13" t="inlineStr">
        <is>
          <t>Notes</t>
        </is>
      </c>
    </row>
    <row r="8">
      <c r="A8" s="70" t="inlineStr">
        <is>
          <t>LoadSupplierInvoice</t>
        </is>
      </c>
      <c r="B8" s="65" t="inlineStr">
        <is>
          <t>both</t>
        </is>
      </c>
      <c r="C8" s="65" t="inlineStr">
        <is>
          <t>(root)</t>
        </is>
      </c>
      <c r="D8" s="65" t="inlineStr">
        <is>
          <t>Infor OAGIS BOD, namespace http://schema.infor.com/InforOAGIS/2, schema LoadSupplierInvoice.xsd. releaseID 9.2, versionID 2.13.0, systemEnvironmentCode 'production', languageCode 'GB'.</t>
        </is>
      </c>
    </row>
    <row r="9">
      <c r="A9" s="71" t="inlineStr">
        <is>
          <t>ApplicationArea/Sender/LogicalID</t>
        </is>
      </c>
      <c r="B9" s="67" t="inlineStr">
        <is>
          <t>both</t>
        </is>
      </c>
      <c r="C9" s="67" t="inlineStr">
        <is>
          <t>literal</t>
        </is>
      </c>
      <c r="D9" s="67" t="inlineStr">
        <is>
          <t>lid://infor.m3.m3</t>
        </is>
      </c>
    </row>
    <row r="10">
      <c r="A10" s="70" t="inlineStr">
        <is>
          <t>ApplicationArea/Sender/ComponentID</t>
        </is>
      </c>
      <c r="B10" s="65" t="inlineStr">
        <is>
          <t>both</t>
        </is>
      </c>
      <c r="C10" s="65" t="inlineStr">
        <is>
          <t>literal</t>
        </is>
      </c>
      <c r="D10" s="65" t="inlineStr">
        <is>
          <t>M3BE</t>
        </is>
      </c>
    </row>
    <row r="11">
      <c r="A11" s="71" t="inlineStr">
        <is>
          <t>ApplicationArea/Sender/ConfirmationCode</t>
        </is>
      </c>
      <c r="B11" s="67" t="inlineStr">
        <is>
          <t>both</t>
        </is>
      </c>
      <c r="C11" s="67" t="inlineStr">
        <is>
          <t>literal</t>
        </is>
      </c>
      <c r="D11" s="67" t="inlineStr">
        <is>
          <t>OnError</t>
        </is>
      </c>
    </row>
    <row r="12">
      <c r="A12" s="70" t="inlineStr">
        <is>
          <t>ApplicationArea/CreationDateTime</t>
        </is>
      </c>
      <c r="B12" s="65" t="inlineStr">
        <is>
          <t>both</t>
        </is>
      </c>
      <c r="C12" s="65" t="inlineStr">
        <is>
          <t>DateTime.Now (UTC)</t>
        </is>
      </c>
      <c r="D12" s="65" t="inlineStr">
        <is>
          <t>yyyy-MM-ddTHH:mm:ss.fffZ</t>
        </is>
      </c>
    </row>
    <row r="13">
      <c r="A13" s="71" t="inlineStr">
        <is>
          <t>ApplicationArea/BODID</t>
        </is>
      </c>
      <c r="B13" s="67" t="inlineStr">
        <is>
          <t>both</t>
        </is>
      </c>
      <c r="C13" s="67" t="inlineStr">
        <is>
          <t>literal</t>
        </is>
      </c>
      <c r="D13" s="58" t="inlineStr">
        <is>
          <t>⚠ A FIXED GUID (0a02464c-db28-459f-83c6-9b8e6bd97723) on every document. BODID is meant to uniquely identify each BOD; a constant defeats any downstream de-duplication or traceability.</t>
        </is>
      </c>
    </row>
    <row r="14">
      <c r="A14" s="70" t="inlineStr">
        <is>
          <t>DataArea/Load/AccountingEntityID</t>
        </is>
      </c>
      <c r="B14" s="65" t="inlineStr">
        <is>
          <t>both</t>
        </is>
      </c>
      <c r="C14" s="65" t="inlineStr">
        <is>
          <t>Company + '_' + Division</t>
        </is>
      </c>
      <c r="D14" s="65" t="inlineStr">
        <is>
          <t>e.g. the M3 company and division.</t>
        </is>
      </c>
    </row>
    <row r="15">
      <c r="A15" s="71" t="inlineStr">
        <is>
          <t>DataArea/Load/ActionCriteria/ActionExpression@actionCode</t>
        </is>
      </c>
      <c r="B15" s="67" t="inlineStr">
        <is>
          <t>accounting</t>
        </is>
      </c>
      <c r="C15" s="67" t="inlineStr">
        <is>
          <t>literal</t>
        </is>
      </c>
      <c r="D15" s="67" t="inlineStr">
        <is>
          <t>Replace</t>
        </is>
      </c>
    </row>
    <row r="16">
      <c r="A16" s="70" t="inlineStr">
        <is>
          <t>SupplierInvoice@type</t>
        </is>
      </c>
      <c r="B16" s="65" t="inlineStr">
        <is>
          <t>both</t>
        </is>
      </c>
      <c r="C16" s="65" t="inlineStr">
        <is>
          <t>literal</t>
        </is>
      </c>
      <c r="D16" s="65" t="inlineStr">
        <is>
          <t>Invoice</t>
        </is>
      </c>
    </row>
    <row r="17">
      <c r="A17" s="71" t="inlineStr">
        <is>
          <t>SupplierInvoiceHeader/DocumentID/ID</t>
        </is>
      </c>
      <c r="B17" s="67" t="inlineStr">
        <is>
          <t>both</t>
        </is>
      </c>
      <c r="C17" s="67" t="inlineStr">
        <is>
          <t>Invoice.InvoiceNumber</t>
        </is>
      </c>
      <c r="D17" s="67" t="inlineStr">
        <is>
          <t>Carries @accountingEntity = entityId and @lid = lid://infor.m3.m3.</t>
        </is>
      </c>
    </row>
    <row r="18">
      <c r="A18" s="70" t="inlineStr">
        <is>
          <t>SupplierInvoiceHeader/DocumentDateTime</t>
        </is>
      </c>
      <c r="B18" s="65" t="inlineStr">
        <is>
          <t>both</t>
        </is>
      </c>
      <c r="C18" s="65" t="inlineStr">
        <is>
          <t>Invoice.InvoiceDate</t>
        </is>
      </c>
      <c r="D18" s="65" t="n"/>
    </row>
    <row r="19">
      <c r="A19" s="71" t="inlineStr">
        <is>
          <t>SupplierInvoiceHeader/TotalAmount</t>
        </is>
      </c>
      <c r="B19" s="67" t="inlineStr">
        <is>
          <t>both</t>
        </is>
      </c>
      <c r="C19" s="67" t="inlineStr">
        <is>
          <t>Invoice.TotalInvoiceAmount</t>
        </is>
      </c>
      <c r="D19" s="67" t="inlineStr">
        <is>
          <t>@currencyID = Invoice.Currency.</t>
        </is>
      </c>
    </row>
    <row r="20">
      <c r="A20" s="70" t="inlineStr">
        <is>
          <t>SupplierInvoiceHeader/SupplierParty/PartyIDs/ID</t>
        </is>
      </c>
      <c r="B20" s="65" t="inlineStr">
        <is>
          <t>both</t>
        </is>
      </c>
      <c r="C20" s="65" t="inlineStr">
        <is>
          <t>Invoice.SupplierNumber</t>
        </is>
      </c>
      <c r="D20" s="65" t="inlineStr">
        <is>
          <t>@schemeName = 'SupplierNumber'.</t>
        </is>
      </c>
    </row>
    <row r="21">
      <c r="A21" s="71" t="inlineStr">
        <is>
          <t>SupplierInvoiceHeader/CustomerParty/Contact/ID</t>
        </is>
      </c>
      <c r="B21" s="67" t="inlineStr">
        <is>
          <t>both</t>
        </is>
      </c>
      <c r="C21" s="67" t="inlineStr">
        <is>
          <t>Invoice.Contact</t>
        </is>
      </c>
      <c r="D21" s="67" t="n"/>
    </row>
    <row r="22">
      <c r="A22" s="70" t="inlineStr">
        <is>
          <t>SupplierInvoiceHeader/UserArea/Property[scenario]</t>
        </is>
      </c>
      <c r="B22" s="65" t="inlineStr">
        <is>
          <t>both</t>
        </is>
      </c>
      <c r="C22" s="65" t="inlineStr">
        <is>
          <t>Invoice.BatchType</t>
        </is>
      </c>
      <c r="D22" s="65" t="inlineStr">
        <is>
          <t>The same value as PTYP91 on the JBA side.</t>
        </is>
      </c>
    </row>
    <row r="23">
      <c r="A23" s="71" t="inlineStr">
        <is>
          <t>SupplierInvoiceHeader/UserArea/Property[AccountingLine]</t>
        </is>
      </c>
      <c r="B23" s="67" t="inlineStr">
        <is>
          <t>accounting</t>
        </is>
      </c>
      <c r="C23" s="67" t="inlineStr">
        <is>
          <t>literal 'True'</t>
        </is>
      </c>
      <c r="D23" s="67" t="inlineStr">
        <is>
          <t>Only in the non-match scenario.</t>
        </is>
      </c>
    </row>
    <row r="24">
      <c r="A24" s="70" t="inlineStr">
        <is>
          <t>SupplierInvoiceHeader/UserArea/Property[ext_ref_number]</t>
        </is>
      </c>
      <c r="B24" s="65" t="inlineStr">
        <is>
          <t>match</t>
        </is>
      </c>
      <c r="C24" s="65" t="inlineStr">
        <is>
          <t>Invoice.CatalystIdNumber</t>
        </is>
      </c>
      <c r="D24" s="65" t="inlineStr">
        <is>
          <t>Only in the match scenario — this is the Concur id (CIDN91), the link back to the source record.</t>
        </is>
      </c>
    </row>
    <row r="25">
      <c r="A25" s="71" t="inlineStr">
        <is>
          <t>SupplierInvoiceHeader/Charge</t>
        </is>
      </c>
      <c r="B25" s="67" t="inlineStr">
        <is>
          <t>match</t>
        </is>
      </c>
      <c r="C25" s="67" t="inlineStr">
        <is>
          <t>Invoice.HeaderCharges</t>
        </is>
      </c>
      <c r="D25" s="67" t="inlineStr">
        <is>
          <t>@type = ChargeType, @sequence = ChargeSequence; children ID, Description, Amount.</t>
        </is>
      </c>
    </row>
    <row r="26">
      <c r="A26" s="70" t="inlineStr">
        <is>
          <t>SupplierInvoiceLine/ExtendedAmount</t>
        </is>
      </c>
      <c r="B26" s="65" t="inlineStr">
        <is>
          <t>accounting</t>
        </is>
      </c>
      <c r="C26" s="65" t="inlineStr">
        <is>
          <t>InvoiceDetails.InvoiceLineAmount</t>
        </is>
      </c>
      <c r="D26" s="65" t="n"/>
    </row>
    <row r="27">
      <c r="A27" s="71" t="inlineStr">
        <is>
          <t>SupplierInvoiceLine/UserArea/Property[AccountingLine_Dim1]</t>
        </is>
      </c>
      <c r="B27" s="67" t="inlineStr">
        <is>
          <t>accounting</t>
        </is>
      </c>
      <c r="C27" s="67" t="inlineStr">
        <is>
          <t>InvoiceDetails.AccountNumber</t>
        </is>
      </c>
      <c r="D27" s="67" t="n"/>
    </row>
    <row r="28">
      <c r="A28" s="70" t="inlineStr">
        <is>
          <t>SupplierInvoiceLine/UserArea/Property[AccountingLine_Dim2]</t>
        </is>
      </c>
      <c r="B28" s="65" t="inlineStr">
        <is>
          <t>accounting</t>
        </is>
      </c>
      <c r="C28" s="65" t="inlineStr">
        <is>
          <t>InvoiceDetails.DepartmentCode</t>
        </is>
      </c>
      <c r="D28" s="65" t="n"/>
    </row>
    <row r="29">
      <c r="A29" s="71" t="inlineStr">
        <is>
          <t>SupplierInvoiceLine/UserArea/Property[AccountingLine_Dim3..Dim6]</t>
        </is>
      </c>
      <c r="B29" s="67" t="inlineStr">
        <is>
          <t>accounting</t>
        </is>
      </c>
      <c r="C29" s="67" t="inlineStr">
        <is>
          <t>literal ''</t>
        </is>
      </c>
      <c r="D29" s="67" t="inlineStr">
        <is>
          <t>Always empty.</t>
        </is>
      </c>
    </row>
    <row r="30">
      <c r="A30" s="70" t="inlineStr">
        <is>
          <t>SupplierInvoiceLine/UserArea/Property[AccountingLine_Dim7]</t>
        </is>
      </c>
      <c r="B30" s="65" t="inlineStr">
        <is>
          <t>accounting</t>
        </is>
      </c>
      <c r="C30" s="65" t="inlineStr">
        <is>
          <t>literal 'AP50200'</t>
        </is>
      </c>
      <c r="D30" s="58" t="inlineStr">
        <is>
          <t>⚠ Hardcoded accounting dimension 7. If that account ever changes, it changes in C# inside the package.</t>
        </is>
      </c>
    </row>
    <row r="31">
      <c r="A31" s="71" t="inlineStr">
        <is>
          <t>SupplierInvoiceLine/PurchaseOrderReference/LineNumber</t>
        </is>
      </c>
      <c r="B31" s="67" t="inlineStr">
        <is>
          <t>match</t>
        </is>
      </c>
      <c r="C31" s="67" t="inlineStr">
        <is>
          <t>InvoiceDetails.PurchaseOrderLineNumber</t>
        </is>
      </c>
      <c r="D31" s="58" t="inlineStr">
        <is>
          <t>⚠ Present ONLY in the match scenario — in the accounting scenario the whole PurchaseOrderReference, Quantity, UnitPrice and Item block is commented out, so those invoices post with no PO link at all.</t>
        </is>
      </c>
    </row>
    <row r="32">
      <c r="A32" s="70" t="inlineStr">
        <is>
          <t>SupplierInvoiceLine/PurchaseOrderReference/DocumentID/ID</t>
        </is>
      </c>
      <c r="B32" s="65" t="inlineStr">
        <is>
          <t>match</t>
        </is>
      </c>
      <c r="C32" s="65" t="inlineStr">
        <is>
          <t>InvoiceDetails.PurchaseOrderNumber</t>
        </is>
      </c>
      <c r="D32" s="65" t="n"/>
    </row>
    <row r="33">
      <c r="A33" s="71" t="inlineStr">
        <is>
          <t>SupplierInvoiceLine/Quantity</t>
        </is>
      </c>
      <c r="B33" s="67" t="inlineStr">
        <is>
          <t>match</t>
        </is>
      </c>
      <c r="C33" s="67" t="inlineStr">
        <is>
          <t>InvoiceDetails.QuantityInvoice</t>
        </is>
      </c>
      <c r="D33" s="67" t="inlineStr">
        <is>
          <t>@unitCode = UnitOfMeasure.</t>
        </is>
      </c>
    </row>
    <row r="34">
      <c r="A34" s="70" t="inlineStr">
        <is>
          <t>SupplierInvoiceLine/UnitPrice/Amount</t>
        </is>
      </c>
      <c r="B34" s="65" t="inlineStr">
        <is>
          <t>match</t>
        </is>
      </c>
      <c r="C34" s="65" t="inlineStr">
        <is>
          <t>InvoiceDetails.InvoicedUnitPrice</t>
        </is>
      </c>
      <c r="D34" s="65" t="n"/>
    </row>
    <row r="35">
      <c r="A35" s="71" t="inlineStr">
        <is>
          <t>SupplierInvoiceLine/UnitPrice/PerQuantity</t>
        </is>
      </c>
      <c r="B35" s="67" t="inlineStr">
        <is>
          <t>match</t>
        </is>
      </c>
      <c r="C35" s="67" t="inlineStr">
        <is>
          <t>(empty)</t>
        </is>
      </c>
      <c r="D35" s="67" t="inlineStr">
        <is>
          <t>@unitCode = UnitOfMeasure.</t>
        </is>
      </c>
    </row>
    <row r="36">
      <c r="A36" s="70" t="inlineStr">
        <is>
          <t>SupplierInvoiceLine/Item/ItemID/ID</t>
        </is>
      </c>
      <c r="B36" s="65" t="inlineStr">
        <is>
          <t>match</t>
        </is>
      </c>
      <c r="C36" s="65" t="inlineStr">
        <is>
          <t>InvoiceDetails.ItemReceived</t>
        </is>
      </c>
      <c r="D36" s="58" t="inlineStr">
        <is>
          <t>⚠ This is ITEM92, which carries a description rather than a part number — so the M3 ItemID will be 'Office Supplies' rather than an item code.</t>
        </is>
      </c>
    </row>
    <row r="37">
      <c r="A37" s="71" t="inlineStr">
        <is>
          <t>SupplierInvoiceLine/InvoiceCharge</t>
        </is>
      </c>
      <c r="B37" s="67" t="inlineStr">
        <is>
          <t>match</t>
        </is>
      </c>
      <c r="C37" s="67" t="inlineStr">
        <is>
          <t>InvoiceDetails.LineCharges</t>
        </is>
      </c>
      <c r="D37" s="67" t="inlineStr">
        <is>
          <t>A SEPARATE SupplierInvoiceLine per line charge, with PurchaseOrderReference/LineNumber = LineCharges.ChargeLineNumber and @sequence = ChargeSequence; children ID and Amount.</t>
        </is>
      </c>
    </row>
    <row r="40">
      <c r="A40" s="24" t="inlineStr">
        <is>
          <t>What to watch in the M3 builder</t>
        </is>
      </c>
    </row>
    <row r="41">
      <c r="A41" s="25" t="inlineStr">
        <is>
          <t>⚠ The XML declaration says encoding UTF-9</t>
        </is>
      </c>
      <c r="B41" s="72" t="n"/>
      <c r="C41" s="27" t="inlineStr">
        <is>
          <t>Both scenarios build the document with new XDeclaration('1.0', 'UTF-9', null). UTF-9 is not a real encoding. XDocument.Save writes that declaration into every file, and a conforming parser will reject it. If M3 is accepting these today it is because something downstream ignores or rewrites the declaration.</t>
        </is>
      </c>
      <c r="D41" s="72" t="n"/>
    </row>
    <row r="42">
      <c r="A42" s="25" t="inlineStr">
        <is>
          <t>⚠ Scenario is chosen by BatchType == 'M'</t>
        </is>
      </c>
      <c r="B42" s="72" t="n"/>
      <c r="C42" s="27" t="inlineStr">
        <is>
          <t>if (item.BatchType.ToUpper() == 'M') the package builds the PO-matched BOD; anything else builds the accounting-line BOD with no PO reference. BatchType is the file's PTYP91, which is 'M' in the sample — so one character in the Concur extract decides whether the invoice posts against a purchase order.</t>
        </is>
      </c>
      <c r="D42" s="72" t="n"/>
    </row>
    <row r="43">
      <c r="A43" s="25" t="inlineStr">
        <is>
          <t>⚠ A third posting package was not supplied</t>
        </is>
      </c>
      <c r="B43" s="72" t="n"/>
      <c r="C43" s="27" t="inlineStr">
        <is>
          <t>Invoice_Import.dtsx calls InvoicePost_Aurora, InvoicePost_Raymond AND InvoicePost_ASRM3. Only two of the three are here, and the M3 source procs are named p_get_concur_invoice_headers_m3_raymond / ..._details_m3_raymond — so Raymond and ASRM3 are related but distinct. Worth confirming what the third one posts and where.</t>
        </is>
      </c>
      <c r="D43" s="72" t="n"/>
    </row>
    <row r="44">
      <c r="A44" s="18" t="inlineStr">
        <is>
          <t>Line charges become their own invoice lines</t>
        </is>
      </c>
      <c r="B44" s="72" t="n"/>
      <c r="C44" s="27" t="inlineStr">
        <is>
          <t>In the match scenario each LineCharges entry is emitted as an additional SupplierInvoiceLine carrying an InvoiceCharge block, keyed on ChargeLineNumber rather than the goods line number. The details query also filters on delete_from_line_details == false, and a commented-out version of that filter excluded quantity '0.000' and PO line numbers starting '99' — the '99' prefix being the charge line convention from the PO line proc.</t>
        </is>
      </c>
      <c r="D44" s="72" t="n"/>
    </row>
  </sheetData>
  <autoFilter ref="A7:D37"/>
  <mergeCells count="8">
    <mergeCell ref="C43:D43"/>
    <mergeCell ref="A43:B43"/>
    <mergeCell ref="A41:B41"/>
    <mergeCell ref="C41:D41"/>
    <mergeCell ref="C42:D42"/>
    <mergeCell ref="A42:B42"/>
    <mergeCell ref="C44:D44"/>
    <mergeCell ref="A44:B44"/>
  </mergeCells>
  <hyperlinks>
    <hyperlink ref="A5" location="Index!A1" display="Back to Index"/>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2026-09-16T03:02:11Z</dcterms:created>
  <dcterms:modified xmlns:dcterms="http://purl.org/dc/terms/" xmlns:xsi="http://www.w3.org/2001/XMLSchema-instance" xsi:type="dcterms:W3CDTF">2026-09-16T22:34:45Z</dcterms:modified>
</cp:coreProperties>
</file>