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barnesgroup.sharepoint.com/sites/BGI-IT-DevelopmentTeam/Shared Documents/ASR M3 Integrations/"/>
    </mc:Choice>
  </mc:AlternateContent>
  <xr:revisionPtr revIDLastSave="1530" documentId="13_ncr:1_{54113CBD-6B05-4EDD-9B96-5690BFD20D99}" xr6:coauthVersionLast="47" xr6:coauthVersionMax="47" xr10:uidLastSave="{8656A45B-D7FD-4B23-8894-3C1B400FD57E}"/>
  <bookViews>
    <workbookView xWindow="-120" yWindow="-13620" windowWidth="24240" windowHeight="13020" tabRatio="641" firstSheet="1" xr2:uid="{F39D8208-4AB6-4EED-B71D-D1D1B2DBBE64}"/>
  </bookViews>
  <sheets>
    <sheet name="Status" sheetId="11" r:id="rId1"/>
    <sheet name="Servers" sheetId="1" r:id="rId2"/>
    <sheet name="Service Accounts-Emails" sheetId="2" r:id="rId3"/>
    <sheet name="PNC" sheetId="5" r:id="rId4"/>
    <sheet name="Optimizely" sheetId="3" r:id="rId5"/>
    <sheet name="UPS-FedEx" sheetId="4" r:id="rId6"/>
    <sheet name="Concur Env Switch" sheetId="9" r:id="rId7"/>
    <sheet name="SIT Info" sheetId="6" r:id="rId8"/>
    <sheet name="GO LIVE" sheetId="12" r:id="rId9"/>
    <sheet name="UAT Action List" sheetId="10" r:id="rId10"/>
    <sheet name="DropDowns" sheetId="8" r:id="rId11"/>
  </sheets>
  <definedNames>
    <definedName name="_xlnm._FilterDatabase" localSheetId="8" hidden="1">'GO LIVE'!$A$1:$J$1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2" l="1"/>
  <c r="G47" i="12"/>
  <c r="G31" i="12"/>
  <c r="G4" i="12"/>
  <c r="G15" i="10"/>
  <c r="A4" i="9"/>
  <c r="A5" i="9"/>
  <c r="A6" i="9" s="1"/>
  <c r="A7" i="9" s="1"/>
  <c r="A8" i="9" s="1"/>
  <c r="A9" i="9" s="1"/>
  <c r="A10" i="9" s="1"/>
  <c r="A11" i="9" s="1"/>
  <c r="A12" i="9" s="1"/>
  <c r="A19" i="9"/>
  <c r="A20" i="9" s="1"/>
  <c r="A21" i="9" s="1"/>
  <c r="A22" i="9" s="1"/>
  <c r="A23" i="9" s="1"/>
  <c r="A24" i="9" s="1"/>
  <c r="A25" i="9" s="1"/>
  <c r="A26" i="9" s="1"/>
  <c r="A27" i="9" s="1"/>
  <c r="G47" i="6"/>
  <c r="G46" i="6"/>
  <c r="G31" i="6"/>
  <c r="G4" i="6"/>
</calcChain>
</file>

<file path=xl/sharedStrings.xml><?xml version="1.0" encoding="utf-8"?>
<sst xmlns="http://schemas.openxmlformats.org/spreadsheetml/2006/main" count="1010" uniqueCount="281">
  <si>
    <t>Interface</t>
  </si>
  <si>
    <t>Comment Date</t>
  </si>
  <si>
    <t>Comment</t>
  </si>
  <si>
    <t>Avalara</t>
  </si>
  <si>
    <t>Geocode lookup code being removed for web orders</t>
  </si>
  <si>
    <t>Bank of America</t>
  </si>
  <si>
    <t>Bill from address missing name, review line 1/2/3 on supplier address</t>
  </si>
  <si>
    <t>Bartender</t>
  </si>
  <si>
    <t>Waiting for Infor developers to test</t>
  </si>
  <si>
    <t>CenPOS</t>
  </si>
  <si>
    <t>No issues reported</t>
  </si>
  <si>
    <t>Curbstone</t>
  </si>
  <si>
    <t>Waiting for migrated open orders to test</t>
  </si>
  <si>
    <t>Concur Invoice</t>
  </si>
  <si>
    <t>Meeting with Shared services today to confirm any open issues</t>
  </si>
  <si>
    <t>Concur Travel &amp; Expense</t>
  </si>
  <si>
    <t>Kevin sent request to Dan Tuller and Jesse Keech for test data to be submitted on Jun-05</t>
  </si>
  <si>
    <t>Data Warehouse / Power BI</t>
  </si>
  <si>
    <t>Loading sales account mapping and setting up test environment</t>
  </si>
  <si>
    <t>High Radius (Cforia)</t>
  </si>
  <si>
    <t>Optimizely</t>
  </si>
  <si>
    <t>Stock logic being updated and Avalara issue discussed above</t>
  </si>
  <si>
    <t>PNC</t>
  </si>
  <si>
    <t>Salesforce</t>
  </si>
  <si>
    <t>Meeting Monday to have a first review with team</t>
  </si>
  <si>
    <t>SPS Commerce (EDI)</t>
  </si>
  <si>
    <t>Test data provided, customer service team will be testing</t>
  </si>
  <si>
    <t>UPS</t>
  </si>
  <si>
    <t>No feedback</t>
  </si>
  <si>
    <t>FedEx</t>
  </si>
  <si>
    <t>Enterprise Connector Server</t>
  </si>
  <si>
    <t>Used to exchage files and data with Infor M3 (BODs, flat files, etc.)</t>
  </si>
  <si>
    <t>Test Server name:</t>
  </si>
  <si>
    <t>RAUSMSRV0002.RA.BG1857.NET</t>
  </si>
  <si>
    <t>\\RAUSMSRV0002.RA.BG1857.NET\asr\Concur\IN</t>
  </si>
  <si>
    <t>Production Server name:</t>
  </si>
  <si>
    <t>RAUSMSRV0001.RA.BG187.NET</t>
  </si>
  <si>
    <t>Concur Invoice Production:</t>
  </si>
  <si>
    <t>\\RAUSMSRV0001.RA.BG1857.NET\asr\Concur_Invoice\IN</t>
  </si>
  <si>
    <t>\\RAUSMSRV0001.RA.BG1857.NET\asr\Concur\IN</t>
  </si>
  <si>
    <t>Concur Travel Expense Production</t>
  </si>
  <si>
    <t>\\RAUSMSRV0001.RA.BG1857.NET\asr\Concur_TE\IN</t>
  </si>
  <si>
    <t>Database Server</t>
  </si>
  <si>
    <t>Test Server</t>
  </si>
  <si>
    <t>ngeumsmi0001.382a44b6e9bc.database.windows.net</t>
  </si>
  <si>
    <t>Test Database</t>
  </si>
  <si>
    <t>DI_STAGING_W8DY5WFWZLXDHJPA_TST</t>
  </si>
  <si>
    <t>Admin Login:</t>
  </si>
  <si>
    <t>azure_admin</t>
  </si>
  <si>
    <t>Admin Password:</t>
  </si>
  <si>
    <t>NGEU01D &gt; ngeumrsg0003d &gt; ngeumkva0003 &gt; Secrets &gt; ngeumsmi0001</t>
  </si>
  <si>
    <t>Production Server:</t>
  </si>
  <si>
    <t>ngeumsmi0002.d44d2f32ac81.database.windows.net</t>
  </si>
  <si>
    <t>Production Database:</t>
  </si>
  <si>
    <t>di_staging_prd_us</t>
  </si>
  <si>
    <t>NGEU01 &gt; ngeumrsg0003 &gt; ngeumkva0004 &gt; Secrets &gt; M3-SQL-ngeumsmi0002-sysadmin</t>
  </si>
  <si>
    <t>Application</t>
  </si>
  <si>
    <t>Account/Email</t>
  </si>
  <si>
    <t>Password</t>
  </si>
  <si>
    <t>Note</t>
  </si>
  <si>
    <t>CenPos Credit Card</t>
  </si>
  <si>
    <t>DL_ASR_CenPos_Admin@onebarnes.com</t>
  </si>
  <si>
    <t>Used on CenPos integration account for MFA, currently damo and jfinch are members</t>
  </si>
  <si>
    <t>RA\M0010</t>
  </si>
  <si>
    <t>MibyncOF3g13sa1Q2yu2</t>
  </si>
  <si>
    <t>Used for Barnes processes (Continous lock from Ivanti server??)</t>
  </si>
  <si>
    <t>RA\M0011</t>
  </si>
  <si>
    <t>rAdr2wFFKqkrlJqhrFhp</t>
  </si>
  <si>
    <t>M3 Enterprise connector file share access account</t>
  </si>
  <si>
    <t>RA\M0012</t>
  </si>
  <si>
    <t>#2@xM's@oeMvHgD0£8zlxc5]a6</t>
  </si>
  <si>
    <t>Used for Barnes processes</t>
  </si>
  <si>
    <t>Test DB:</t>
  </si>
  <si>
    <t>Data Source=ngeumsmi0001.382a44b6e9bc.database.windows.net;User ID=SM0005;Initial Catalog=M3_Extension;</t>
  </si>
  <si>
    <t>SQL Account</t>
  </si>
  <si>
    <t>SM0005</t>
  </si>
  <si>
    <t>Password:</t>
  </si>
  <si>
    <t>#DTRdxHtx3lbE1U0Dtnvv</t>
  </si>
  <si>
    <t>PNC SFTP</t>
  </si>
  <si>
    <t>Host:</t>
  </si>
  <si>
    <t>efx-uat.pnc.com</t>
  </si>
  <si>
    <t>User:</t>
  </si>
  <si>
    <t>asrymond0t</t>
  </si>
  <si>
    <t>(case sensitive)</t>
  </si>
  <si>
    <t>gsnnz2f-</t>
  </si>
  <si>
    <t>Filename:</t>
  </si>
  <si>
    <t>vic.778905.asr.in.yyyymmdd.hhmmss</t>
  </si>
  <si>
    <t>Sites</t>
  </si>
  <si>
    <t>Integration</t>
  </si>
  <si>
    <t>https://stab01mstrj2g84inte.dxcloud.episerver.net/</t>
  </si>
  <si>
    <t>Pre-Production</t>
  </si>
  <si>
    <t>https://stab01mstrj2g84prep.dxcloud.episerver.net/</t>
  </si>
  <si>
    <t>Optimizely Storage Account</t>
  </si>
  <si>
    <t>Used to exchange data with Optimizely</t>
  </si>
  <si>
    <t>Storage account:</t>
  </si>
  <si>
    <t>rausmsta0004</t>
  </si>
  <si>
    <t>Test Drop Off</t>
  </si>
  <si>
    <t>\\RAUSMSRV0002.RA.BG1857.NET\asr\eCommerce-Orders\IN</t>
  </si>
  <si>
    <t>Production Drop Off</t>
  </si>
  <si>
    <t>\\RAUSMSRV0001.RA.BG1857.NET\asr\eCommerce-Orders\IN</t>
  </si>
  <si>
    <t>Both reachable from bgusmsrv0032</t>
  </si>
  <si>
    <t>UPS Test PC</t>
  </si>
  <si>
    <t>RAUSC1473.ra.bg1857.net</t>
  </si>
  <si>
    <t>FedEx Test PC</t>
  </si>
  <si>
    <t xml:space="preserve"> </t>
  </si>
  <si>
    <t>FedEx / UPS ODBC Test</t>
  </si>
  <si>
    <t>Server:</t>
  </si>
  <si>
    <t>Database:</t>
  </si>
  <si>
    <t>M3_Extension</t>
  </si>
  <si>
    <t>SQL User:</t>
  </si>
  <si>
    <t>SM0004</t>
  </si>
  <si>
    <t>R0HbkqKcHOWyPC2xOHds</t>
  </si>
  <si>
    <t>UPS Shipments XML:</t>
  </si>
  <si>
    <t>\\RAUSMSRV0002.RA.BG1857.NET\asr\UPS\IN</t>
  </si>
  <si>
    <t>FedEx Shipments XML:</t>
  </si>
  <si>
    <t>\\RAUSMSRV0002.RA.BG1857.NET\asr\FedEx\IN</t>
  </si>
  <si>
    <t>FedEx / UPS ODBC Production</t>
  </si>
  <si>
    <t>U91cq1MplG3cp1QNgF3h</t>
  </si>
  <si>
    <t>\\RAUSMSRV0001.RA.BG1857.NET\asr\UPS\IN</t>
  </si>
  <si>
    <t>\\RAUSMSRV0001.RA.BG1857.NET\asr\FedEx\IN</t>
  </si>
  <si>
    <t>Concur Invoice To M3 Prod</t>
  </si>
  <si>
    <t>Steps</t>
  </si>
  <si>
    <t>To Do</t>
  </si>
  <si>
    <t xml:space="preserve">Server </t>
  </si>
  <si>
    <t>Process</t>
  </si>
  <si>
    <t>Enable</t>
  </si>
  <si>
    <t>BGUSMSRV0030</t>
  </si>
  <si>
    <t>SQL JOB : _ConcurImport-InvoicePost_ASRM3</t>
  </si>
  <si>
    <t>SQL JOB : _ConcurExtracts-ASRM3</t>
  </si>
  <si>
    <t>BGUSMSRV0019</t>
  </si>
  <si>
    <t>Schedule Task : ASRM3-ConcurInvoice_SendXML</t>
  </si>
  <si>
    <t>Schedule Task : ASRM3-ConcurInvoice_SendCSV</t>
  </si>
  <si>
    <t>*Disable*</t>
  </si>
  <si>
    <t>Schedule Task : Concur-ImportInvoice</t>
  </si>
  <si>
    <t>Copies production files to dev environment(BGUSMSRV0019-TE) [keep enabled if further testing is needed]</t>
  </si>
  <si>
    <t>Schedule Task : ConcurTravelAndExpenseFileCopy</t>
  </si>
  <si>
    <t>Copies Concur T&amp;E to Development Sever  BGUSMSRV0019-TE [keep enabled if futher testing is needed]</t>
  </si>
  <si>
    <t>Disable</t>
  </si>
  <si>
    <t>BGUSMSRV0031</t>
  </si>
  <si>
    <t>SQL JOB : _ConcurImport-InvoiceImport</t>
  </si>
  <si>
    <t>BGUSMSRV0019-TE</t>
  </si>
  <si>
    <t>Concur Invoice To M3 Test</t>
  </si>
  <si>
    <t>To manually run jobs can be executed using SQL JOB : _ConcurImport-InvoicePost_ASRM3</t>
  </si>
  <si>
    <t xml:space="preserve">Enable </t>
  </si>
  <si>
    <t>Copies Production Invoice Header and Invoice Detail files to Development Server BGUSMSRV0019-TE</t>
  </si>
  <si>
    <t>Copies Concur T&amp;E to Development Sever  BGUSMSRV0019-TE</t>
  </si>
  <si>
    <t>Step</t>
  </si>
  <si>
    <t>Test Description</t>
  </si>
  <si>
    <t>Production Server</t>
  </si>
  <si>
    <t>Production Description</t>
  </si>
  <si>
    <t>Apr-End-To-End Pointed to PRD</t>
  </si>
  <si>
    <t>Production Owner</t>
  </si>
  <si>
    <t>SQL Job</t>
  </si>
  <si>
    <t>bgusmsrv0031</t>
  </si>
  <si>
    <t>_23:00_Wednesday_ASRM3BoA</t>
  </si>
  <si>
    <t>bgusmsrv0030</t>
  </si>
  <si>
    <t>_21:35_Wednesday_ASR_M3_BoA_CheckRun</t>
  </si>
  <si>
    <t>Complete</t>
  </si>
  <si>
    <t>Jane</t>
  </si>
  <si>
    <t>SSIS Package</t>
  </si>
  <si>
    <t>/ASR BoA/ASR M3 BoA/ASR M3 APCheckACH.dtsx</t>
  </si>
  <si>
    <t>Source Location</t>
  </si>
  <si>
    <t>DevOps</t>
  </si>
  <si>
    <t>https://dev.azure.com/bgi-corporate/SSIS_Integrations/_git/FMC_ASR_M3_CheckRun</t>
  </si>
  <si>
    <t>FMC_ASR_M3_CheckRun - Repos</t>
  </si>
  <si>
    <t>Validation</t>
  </si>
  <si>
    <t>App_Monitor</t>
  </si>
  <si>
    <t>Credit Card Processing</t>
  </si>
  <si>
    <t>See doc CenPOS - Infor Test Site Setup</t>
  </si>
  <si>
    <t>Cforia</t>
  </si>
  <si>
    <t>_04:55_CForiaExtracts_Raymond</t>
  </si>
  <si>
    <t>_04:52_CforiaExtracts_ASR_M3_Prod</t>
  </si>
  <si>
    <t>Kevin</t>
  </si>
  <si>
    <t>BGI Packages/Cforia Extracts/RaymondExtracts.dtsx</t>
  </si>
  <si>
    <t>BGI Packages\ASR_M3_CforiaExtracts\RaymondExtracts.dtsx</t>
  </si>
  <si>
    <t>CforiaExtracts - Repos</t>
  </si>
  <si>
    <t>RoboFTP Script Task</t>
  </si>
  <si>
    <t>bgusmsrv0019</t>
  </si>
  <si>
    <t>Dev-CforiaExtracts</t>
  </si>
  <si>
    <t>\\bgusmsrv0019.bg.bg1857.net\Stage\CForia\GPCOMP4\</t>
  </si>
  <si>
    <t>Concur Invoice (Extract)</t>
  </si>
  <si>
    <t>ConcurExtracts-ASRM3</t>
  </si>
  <si>
    <t>BGI Packages/ConcurExtracts/ASRM3Extracts.dtsx</t>
  </si>
  <si>
    <t>Extract Drop Off</t>
  </si>
  <si>
    <t>bgusmsrv0019-te</t>
  </si>
  <si>
    <t>\\bgusmsrsv0019\Concur Import Aurora</t>
  </si>
  <si>
    <t>DataSource</t>
  </si>
  <si>
    <t>bgusmsmi0004</t>
  </si>
  <si>
    <t>DW_BGI_OpData -&gt; App_Concur</t>
  </si>
  <si>
    <t>bguss0012</t>
  </si>
  <si>
    <t>Source Control</t>
  </si>
  <si>
    <t>ConcurExtracts - Repos</t>
  </si>
  <si>
    <t>Concur Invoice (Inbound)</t>
  </si>
  <si>
    <t>ConcurImport-InvoicePost_ASRM3</t>
  </si>
  <si>
    <t>BGI Packages/ConcurImport/InvoicePost_ASRM3.dtsx</t>
  </si>
  <si>
    <t>ConcurImport</t>
  </si>
  <si>
    <t>ngeumsmi0001</t>
  </si>
  <si>
    <t>ngeumsmi0002</t>
  </si>
  <si>
    <t>ConcurImport - Repos</t>
  </si>
  <si>
    <t>Devops</t>
  </si>
  <si>
    <t>Powershell Scheduled Task</t>
  </si>
  <si>
    <t>ConcurImportInvoice - Copies production files to 19-te for SSIS</t>
  </si>
  <si>
    <t>(not needed in production)</t>
  </si>
  <si>
    <t>SendXml</t>
  </si>
  <si>
    <t>E:\AppScripts\asrm3-concurinvoice_sendxml.ps1</t>
  </si>
  <si>
    <t>Concur T&amp;E</t>
  </si>
  <si>
    <t>ConcurImport-TravelAndExpense_Distribution</t>
  </si>
  <si>
    <t>bguss0014</t>
  </si>
  <si>
    <t>Concur_SSIS</t>
  </si>
  <si>
    <t>**Jesse provides file with test data manually</t>
  </si>
  <si>
    <t>TravelAndExpense_Distribution.dtsx</t>
  </si>
  <si>
    <t>Concur Data Import Redist.dtsx</t>
  </si>
  <si>
    <t>ConcurTravelandExpenseFileCopy</t>
  </si>
  <si>
    <t>SendCSV</t>
  </si>
  <si>
    <t>E:\AppScripts\asrm3-concurinvoice_sendcsv.ps1</t>
  </si>
  <si>
    <t>Dropoff Folder</t>
  </si>
  <si>
    <t>rausmsrv0002</t>
  </si>
  <si>
    <t>\\RAUSMSRV0002.ra.bg1857.net\ASR\Concur_TE\IN</t>
  </si>
  <si>
    <t>rausmsrv0001</t>
  </si>
  <si>
    <t>Data Warehouse</t>
  </si>
  <si>
    <t>_02:00_BGIDW_ASRM3_Daily</t>
  </si>
  <si>
    <t>_23:45_BGIDW_ASR_M3</t>
  </si>
  <si>
    <t>Dean - BGUSS0012</t>
  </si>
  <si>
    <t>BGIDW\BGI_DW_M3\BGIDW_ASR_M3_Daily.dtsx</t>
  </si>
  <si>
    <t>/SSISDB/BGI_DW/BGIDW_ASR_M3\BGIDW_ASR_M3_Daily.dtsx</t>
  </si>
  <si>
    <t>Dean - BGUSS0030</t>
  </si>
  <si>
    <t>** JOE PUSHING LATEST VERSION</t>
  </si>
  <si>
    <t>https://dev.azure.com/bgi-corporate/SSIS_Integrations/_git/BGI_DW_M3</t>
  </si>
  <si>
    <t>Dean</t>
  </si>
  <si>
    <t>FedEx_Shipment_Processing</t>
  </si>
  <si>
    <t>Jerry</t>
  </si>
  <si>
    <t>https://dev.azure.com/bgi-corporate/SSIS_Integrations/_git/Fed_Ex_Shipment_Processing</t>
  </si>
  <si>
    <t>\\RAUSMSRV0002.ra.bg1857.net\ASR\UPS\IN</t>
  </si>
  <si>
    <t>\\RAUSMSRV0001.ra.bg1857.net\ASR\UPS\IN</t>
  </si>
  <si>
    <t>_05:30_Monday_Optimizely_ASR_M3</t>
  </si>
  <si>
    <t>system_id=33, system_entity_id = 910088, entity_id='0088T'</t>
  </si>
  <si>
    <t>Optimizely_Extract_Full_ASR_M3.dtsx</t>
  </si>
  <si>
    <t>SSIS Target Azure File Storage</t>
  </si>
  <si>
    <t>Optimizely/DEV/</t>
  </si>
  <si>
    <t>_09:10-17:10_Optimizely_ASR_M3_InventoryUpdate</t>
  </si>
  <si>
    <t>Optimizely_ASR - Repos</t>
  </si>
  <si>
    <t>Python Order Intake</t>
  </si>
  <si>
    <t>Scheduled task (Every 10 minutes)</t>
  </si>
  <si>
    <t>Don</t>
  </si>
  <si>
    <t>Python Order Intake - File dropoff</t>
  </si>
  <si>
    <t>\\RAUSMSRV0002.ra.bg1857.net\ASR\eCommerce_Orders\IN</t>
  </si>
  <si>
    <t>\\RAUSMSRV0001.ra.bg1857.net\ASR\eCommerce_Orders\IN</t>
  </si>
  <si>
    <t>Web Site</t>
  </si>
  <si>
    <t>https://www.asraymond.com/</t>
  </si>
  <si>
    <t>PNC Bank - Matcher</t>
  </si>
  <si>
    <t>_15:40 PNC_Bank-ASR M3-Matcher_File</t>
  </si>
  <si>
    <t>BGI Packages/ASR_M3_ARMatcher/ASR_M3_ARMatcher.dtsx</t>
  </si>
  <si>
    <t>M3_ARMatcher - Repos</t>
  </si>
  <si>
    <t>\\bgusmsrv0019\PncBank\dev\barnesasraymondM3</t>
  </si>
  <si>
    <t>SPS Commerce</t>
  </si>
  <si>
    <t>High Radius</t>
  </si>
  <si>
    <t>CurbStone</t>
  </si>
  <si>
    <t>_Curbstone_M3_Process</t>
  </si>
  <si>
    <t>_3:00_ASR_M3_BoA_CheckRun_Daily</t>
  </si>
  <si>
    <t>_18:30_BGIDW_ASRM3_Daily</t>
  </si>
  <si>
    <t>Optimizely Orders In</t>
  </si>
  <si>
    <t>UAT 1 - May</t>
  </si>
  <si>
    <t>End to End</t>
  </si>
  <si>
    <t>Ready</t>
  </si>
  <si>
    <t>Dean/Joe</t>
  </si>
  <si>
    <t>N/A</t>
  </si>
  <si>
    <t xml:space="preserve"> _ConcurExtracts-ASRM3</t>
  </si>
  <si>
    <t>_ConcurImport-InvoicePost_ASRM3</t>
  </si>
  <si>
    <t>Turn on job</t>
  </si>
  <si>
    <t>?</t>
  </si>
  <si>
    <t>High Radius (Invoice)</t>
  </si>
  <si>
    <t>_02:30_HighRadius-InvoiceExtract</t>
  </si>
  <si>
    <t>Not ready to test based on Ellen Style</t>
  </si>
  <si>
    <t>_02:30_HighRadius-Extracts</t>
  </si>
  <si>
    <t>remaining open orders needs</t>
  </si>
  <si>
    <t>Manual</t>
  </si>
  <si>
    <t>Automated integration printing</t>
  </si>
  <si>
    <t>Shaun</t>
  </si>
  <si>
    <t>Status</t>
  </si>
  <si>
    <t>Open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</si>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</sst>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242424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"/>
      <charset val="1"/>
    </font>
    <font>
      <u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0" fillId="0" borderId="0" xfId="0" quotePrefix="1"/>
    <xf numFmtId="0" fontId="3" fillId="0" borderId="0" xfId="0" applyFont="1"/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4" borderId="0" xfId="0" applyFill="1" applyAlignment="1">
      <alignment vertical="top"/>
    </xf>
    <xf numFmtId="0" fontId="0" fillId="3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1" applyAlignment="1">
      <alignment horizontal="center" vertical="top" wrapText="1"/>
    </xf>
    <xf numFmtId="0" fontId="4" fillId="0" borderId="0" xfId="0" applyFont="1" applyAlignment="1">
      <alignment horizontal="left"/>
    </xf>
    <xf numFmtId="0" fontId="0" fillId="5" borderId="0" xfId="0" applyFill="1"/>
    <xf numFmtId="0" fontId="5" fillId="6" borderId="0" xfId="0" applyFont="1" applyFill="1"/>
    <xf numFmtId="0" fontId="0" fillId="6" borderId="0" xfId="0" applyFill="1"/>
    <xf numFmtId="0" fontId="1" fillId="6" borderId="0" xfId="0" applyFont="1" applyFill="1"/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/>
    </xf>
    <xf numFmtId="0" fontId="0" fillId="10" borderId="0" xfId="0" applyFill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8" borderId="0" xfId="0" applyFill="1" applyAlignment="1">
      <alignment horizontal="center" vertical="top" wrapText="1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center"/>
    </xf>
    <xf numFmtId="0" fontId="6" fillId="11" borderId="0" xfId="0" applyFont="1" applyFill="1"/>
    <xf numFmtId="0" fontId="7" fillId="12" borderId="0" xfId="1" applyFont="1" applyFill="1"/>
    <xf numFmtId="0" fontId="0" fillId="4" borderId="0" xfId="0" applyFill="1" applyAlignment="1">
      <alignment vertical="top" wrapText="1"/>
    </xf>
    <xf numFmtId="0" fontId="2" fillId="4" borderId="0" xfId="1" applyFill="1" applyAlignment="1">
      <alignment vertical="top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RAUSMSRV0001.RA.BG1857.NET/asr/Concur_Invoice/IN" TargetMode="External"/><Relationship Id="rId2" Type="http://schemas.openxmlformats.org/officeDocument/2006/relationships/hyperlink" Target="file://RAUSMSRV0001.RA.BG1857.NET/asr/Concur/IN" TargetMode="External"/><Relationship Id="rId1" Type="http://schemas.openxmlformats.org/officeDocument/2006/relationships/hyperlink" Target="file://\\RAUSMSRV0002.RA.BG1857.NET\asr\Concur\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file://RAUSMSRV0001.RA.BG1857.NET/asr/Concur_TE/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#2@xM's@oeMvHgD0&#163;8zlxc5]a6" TargetMode="External"/><Relationship Id="rId1" Type="http://schemas.openxmlformats.org/officeDocument/2006/relationships/hyperlink" Target="mailto:DL_ASR_CenPos_Admin@onebarne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file://RAUSMSRV0001.RA.BG1857.NET/asr/eCommerce-Orders/IN" TargetMode="External"/><Relationship Id="rId2" Type="http://schemas.openxmlformats.org/officeDocument/2006/relationships/hyperlink" Target="file://RAUSMSRV0002.RA.BG1857.NET/asr/eCommerce-Orders/IN" TargetMode="External"/><Relationship Id="rId1" Type="http://schemas.openxmlformats.org/officeDocument/2006/relationships/hyperlink" Target="https://stab01mstrj2g84prep.dxcloud.episerver.net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file://RAUSMSRV0001.RA.BG1857.NET/asr/UPS/IN" TargetMode="External"/><Relationship Id="rId2" Type="http://schemas.openxmlformats.org/officeDocument/2006/relationships/hyperlink" Target="file://RAUSMSRV0002.RA.BG1857.NET/asr/FedEx/IN" TargetMode="External"/><Relationship Id="rId1" Type="http://schemas.openxmlformats.org/officeDocument/2006/relationships/hyperlink" Target="file://RAUSMSRV0002.RA.BG1857.NET/asr/UPS/IN" TargetMode="External"/><Relationship Id="rId4" Type="http://schemas.openxmlformats.org/officeDocument/2006/relationships/hyperlink" Target="file://RAUSMSRV0001.RA.BG1857.NET/asr/FedEx/IN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bgi-corporate/SSIS_Integrations/_git/Optimizely_ASR?path=%2F&amp;version=GBNoSplitNewPrice&amp;_a=contents" TargetMode="External"/><Relationship Id="rId13" Type="http://schemas.openxmlformats.org/officeDocument/2006/relationships/hyperlink" Target="file://RAUSMSRV0001.ra.bg1857.net/ASR/eCommerce_Orders/IN" TargetMode="External"/><Relationship Id="rId18" Type="http://schemas.openxmlformats.org/officeDocument/2006/relationships/hyperlink" Target="file://bgusmsrsv0019/Concur%20Import%20Aurora" TargetMode="External"/><Relationship Id="rId3" Type="http://schemas.openxmlformats.org/officeDocument/2006/relationships/hyperlink" Target="https://dev.azure.com/bgi-corporate/SSIS_Integrations/_git/ConcurExtracts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file://RAUSMSRV0002.ra.bg1857.net/ASR/UPS/IN" TargetMode="External"/><Relationship Id="rId12" Type="http://schemas.openxmlformats.org/officeDocument/2006/relationships/hyperlink" Target="file://RAUSMSRV0002.ra.bg1857.net/ASR/eCommerce_Orders/IN" TargetMode="External"/><Relationship Id="rId17" Type="http://schemas.openxmlformats.org/officeDocument/2006/relationships/hyperlink" Target="file://RAUSMSRV0001.ra.bg1857.net/ASR/UPS/IN" TargetMode="External"/><Relationship Id="rId2" Type="http://schemas.openxmlformats.org/officeDocument/2006/relationships/hyperlink" Target="https://dev.azure.com/bgi-corporate/SSIS_Integrations/_git/CforiaExtracts" TargetMode="External"/><Relationship Id="rId16" Type="http://schemas.openxmlformats.org/officeDocument/2006/relationships/hyperlink" Target="https://dev.azure.com/bgi-corporate/SSIS_Integrations/_git/FMC_ASR_M3_CheckRun" TargetMode="External"/><Relationship Id="rId20" Type="http://schemas.openxmlformats.org/officeDocument/2006/relationships/hyperlink" Target="https://dev.azure.com/bgi-corporate/SSIS_Integrations/_git/Fed_Ex_Shipment_Processing" TargetMode="External"/><Relationship Id="rId1" Type="http://schemas.openxmlformats.org/officeDocument/2006/relationships/hyperlink" Target="https://dev.azure.com/bgi-corporate/SSIS_Integrations/_git/Fed_Ex_Shipment_Processing" TargetMode="External"/><Relationship Id="rId6" Type="http://schemas.openxmlformats.org/officeDocument/2006/relationships/hyperlink" Target="https://dev.azure.com/bgi-corporate/SSIS_Integrations/_git/BGI_DW_M3" TargetMode="External"/><Relationship Id="rId11" Type="http://schemas.openxmlformats.org/officeDocument/2006/relationships/hyperlink" Target="file://RAUSMSRV0002.ra.bg1857.net/ASR/Concur_TE/IN" TargetMode="External"/><Relationship Id="rId5" Type="http://schemas.openxmlformats.org/officeDocument/2006/relationships/hyperlink" Target="https://dev.azure.com/bgi-corporate/SSIS_Integrations/_git/ConcurImport" TargetMode="External"/><Relationship Id="rId15" Type="http://schemas.openxmlformats.org/officeDocument/2006/relationships/hyperlink" Target="https://dev.azure.com/bgi-corporate/SSIS_Integrations/_git/FMC_ASR_M3_CheckRun" TargetMode="External"/><Relationship Id="rId10" Type="http://schemas.openxmlformats.org/officeDocument/2006/relationships/hyperlink" Target="file://bgusmsrv0019/PncBank/dev/barnesasraymondM3" TargetMode="External"/><Relationship Id="rId19" Type="http://schemas.openxmlformats.org/officeDocument/2006/relationships/hyperlink" Target="https://stab01mstrj2g84inte.dxcloud.episerver.net/" TargetMode="External"/><Relationship Id="rId4" Type="http://schemas.openxmlformats.org/officeDocument/2006/relationships/hyperlink" Target="https://dev.azure.com/bgi-corporate/SSIS_Integrations/_git/ConcurImport" TargetMode="External"/><Relationship Id="rId9" Type="http://schemas.openxmlformats.org/officeDocument/2006/relationships/hyperlink" Target="https://dev.azure.com/bgi-corporate/SSIS_Integrations/_git/M3_ARMatcher" TargetMode="External"/><Relationship Id="rId14" Type="http://schemas.openxmlformats.org/officeDocument/2006/relationships/hyperlink" Target="file://bgusmsrv0019.bg.bg1857.net/Stage/CForia/GPCOMP4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azure.com/bgi-corporate/SSIS_Integrations/_git/Optimizely_ASR?path=%2F&amp;version=GBNoSplitNewPrice&amp;_a=contents" TargetMode="External"/><Relationship Id="rId13" Type="http://schemas.openxmlformats.org/officeDocument/2006/relationships/hyperlink" Target="file://RAUSMSRV0001.ra.bg1857.net/ASR/eCommerce_Orders/IN" TargetMode="External"/><Relationship Id="rId18" Type="http://schemas.openxmlformats.org/officeDocument/2006/relationships/hyperlink" Target="file://bgusmsrsv0019/Concur%20Import%20Aurora" TargetMode="External"/><Relationship Id="rId3" Type="http://schemas.openxmlformats.org/officeDocument/2006/relationships/hyperlink" Target="https://dev.azure.com/bgi-corporate/SSIS_Integrations/_git/ConcurExtracts" TargetMode="External"/><Relationship Id="rId21" Type="http://schemas.openxmlformats.org/officeDocument/2006/relationships/printerSettings" Target="../printerSettings/printerSettings4.bin"/><Relationship Id="rId7" Type="http://schemas.openxmlformats.org/officeDocument/2006/relationships/hyperlink" Target="file://RAUSMSRV0002.ra.bg1857.net/ASR/UPS/IN" TargetMode="External"/><Relationship Id="rId12" Type="http://schemas.openxmlformats.org/officeDocument/2006/relationships/hyperlink" Target="file://RAUSMSRV0002.ra.bg1857.net/ASR/eCommerce_Orders/IN" TargetMode="External"/><Relationship Id="rId17" Type="http://schemas.openxmlformats.org/officeDocument/2006/relationships/hyperlink" Target="file://RAUSMSRV0001.ra.bg1857.net/ASR/UPS/IN" TargetMode="External"/><Relationship Id="rId2" Type="http://schemas.openxmlformats.org/officeDocument/2006/relationships/hyperlink" Target="https://dev.azure.com/bgi-corporate/SSIS_Integrations/_git/CforiaExtracts" TargetMode="External"/><Relationship Id="rId16" Type="http://schemas.openxmlformats.org/officeDocument/2006/relationships/hyperlink" Target="https://dev.azure.com/bgi-corporate/SSIS_Integrations/_git/FMC_ASR_M3_CheckRun" TargetMode="External"/><Relationship Id="rId20" Type="http://schemas.openxmlformats.org/officeDocument/2006/relationships/hyperlink" Target="https://dev.azure.com/bgi-corporate/SSIS_Integrations/_git/Fed_Ex_Shipment_Processing" TargetMode="External"/><Relationship Id="rId1" Type="http://schemas.openxmlformats.org/officeDocument/2006/relationships/hyperlink" Target="https://dev.azure.com/bgi-corporate/SSIS_Integrations/_git/Fed_Ex_Shipment_Processing" TargetMode="External"/><Relationship Id="rId6" Type="http://schemas.openxmlformats.org/officeDocument/2006/relationships/hyperlink" Target="https://dev.azure.com/bgi-corporate/SSIS_Integrations/_git/BGI_DW_M3" TargetMode="External"/><Relationship Id="rId11" Type="http://schemas.openxmlformats.org/officeDocument/2006/relationships/hyperlink" Target="file://RAUSMSRV0002.ra.bg1857.net/ASR/Concur_TE/IN" TargetMode="External"/><Relationship Id="rId5" Type="http://schemas.openxmlformats.org/officeDocument/2006/relationships/hyperlink" Target="https://dev.azure.com/bgi-corporate/SSIS_Integrations/_git/ConcurImport" TargetMode="External"/><Relationship Id="rId15" Type="http://schemas.openxmlformats.org/officeDocument/2006/relationships/hyperlink" Target="https://dev.azure.com/bgi-corporate/SSIS_Integrations/_git/FMC_ASR_M3_CheckRun" TargetMode="External"/><Relationship Id="rId10" Type="http://schemas.openxmlformats.org/officeDocument/2006/relationships/hyperlink" Target="file://bgusmsrv0019/PncBank/dev/barnesasraymondM3" TargetMode="External"/><Relationship Id="rId19" Type="http://schemas.openxmlformats.org/officeDocument/2006/relationships/hyperlink" Target="https://stab01mstrj2g84inte.dxcloud.episerver.net/" TargetMode="External"/><Relationship Id="rId4" Type="http://schemas.openxmlformats.org/officeDocument/2006/relationships/hyperlink" Target="https://dev.azure.com/bgi-corporate/SSIS_Integrations/_git/ConcurImport" TargetMode="External"/><Relationship Id="rId9" Type="http://schemas.openxmlformats.org/officeDocument/2006/relationships/hyperlink" Target="https://dev.azure.com/bgi-corporate/SSIS_Integrations/_git/M3_ARMatcher" TargetMode="External"/><Relationship Id="rId14" Type="http://schemas.openxmlformats.org/officeDocument/2006/relationships/hyperlink" Target="file://bgusmsrv0019.bg.bg1857.net/Stage/CForia/GPCOMP4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file://RAUSMSRV0002.ra.bg1857.net/ASR/Concur_TE/IN" TargetMode="External"/><Relationship Id="rId2" Type="http://schemas.openxmlformats.org/officeDocument/2006/relationships/hyperlink" Target="file://bgusmsrv0019/PncBank/dev/barnesasraymondM3" TargetMode="External"/><Relationship Id="rId1" Type="http://schemas.openxmlformats.org/officeDocument/2006/relationships/hyperlink" Target="file://RAUSMSRV0002.ra.bg1857.net/ASR/UPS/IN" TargetMode="External"/><Relationship Id="rId5" Type="http://schemas.openxmlformats.org/officeDocument/2006/relationships/hyperlink" Target="file://bgusmsrsv0019/Concur%20Import%20Aurora" TargetMode="External"/><Relationship Id="rId4" Type="http://schemas.openxmlformats.org/officeDocument/2006/relationships/hyperlink" Target="file://RAUSMSRV0001.ra.bg1857.net/ASR/UPS/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4B77-1C37-48BA-BF6F-60D3DB76848C}">
  <dimension ref="B1:D16"/>
  <sheetViews>
    <sheetView tabSelected="1" workbookViewId="0">
      <pane xSplit="1" ySplit="1" topLeftCell="B2" activePane="bottomRight" state="frozen"/>
      <selection pane="bottomRight" activeCell="B14" sqref="B14"/>
      <selection pane="bottomLeft" activeCell="A2" sqref="A2"/>
      <selection pane="topRight" activeCell="B1" sqref="B1"/>
    </sheetView>
  </sheetViews>
  <sheetFormatPr defaultRowHeight="14.45"/>
  <cols>
    <col min="2" max="2" width="24.7109375" bestFit="1" customWidth="1"/>
    <col min="3" max="3" width="18.5703125" style="28" customWidth="1"/>
    <col min="4" max="4" width="71.85546875" bestFit="1" customWidth="1"/>
  </cols>
  <sheetData>
    <row r="1" spans="2:4">
      <c r="B1" s="3" t="s">
        <v>0</v>
      </c>
      <c r="C1" s="30" t="s">
        <v>1</v>
      </c>
      <c r="D1" s="3" t="s">
        <v>2</v>
      </c>
    </row>
    <row r="2" spans="2:4">
      <c r="B2" s="4" t="s">
        <v>3</v>
      </c>
      <c r="C2" s="29">
        <v>45814</v>
      </c>
      <c r="D2" t="s">
        <v>4</v>
      </c>
    </row>
    <row r="3" spans="2:4">
      <c r="B3" t="s">
        <v>5</v>
      </c>
      <c r="C3" s="29">
        <v>45814</v>
      </c>
      <c r="D3" t="s">
        <v>6</v>
      </c>
    </row>
    <row r="4" spans="2:4">
      <c r="B4" t="s">
        <v>7</v>
      </c>
      <c r="C4" s="29">
        <v>45814</v>
      </c>
      <c r="D4" t="s">
        <v>8</v>
      </c>
    </row>
    <row r="5" spans="2:4">
      <c r="B5" t="s">
        <v>9</v>
      </c>
      <c r="C5" s="29">
        <v>45814</v>
      </c>
      <c r="D5" t="s">
        <v>10</v>
      </c>
    </row>
    <row r="6" spans="2:4">
      <c r="B6" s="8" t="s">
        <v>11</v>
      </c>
      <c r="C6" s="29">
        <v>45814</v>
      </c>
      <c r="D6" t="s">
        <v>12</v>
      </c>
    </row>
    <row r="7" spans="2:4">
      <c r="B7" t="s">
        <v>13</v>
      </c>
      <c r="C7" s="29">
        <v>45814</v>
      </c>
      <c r="D7" t="s">
        <v>14</v>
      </c>
    </row>
    <row r="8" spans="2:4">
      <c r="B8" t="s">
        <v>15</v>
      </c>
      <c r="C8" s="29">
        <v>45814</v>
      </c>
      <c r="D8" t="s">
        <v>16</v>
      </c>
    </row>
    <row r="9" spans="2:4">
      <c r="B9" t="s">
        <v>17</v>
      </c>
      <c r="C9" s="29">
        <v>45814</v>
      </c>
      <c r="D9" t="s">
        <v>18</v>
      </c>
    </row>
    <row r="10" spans="2:4">
      <c r="B10" s="8" t="s">
        <v>19</v>
      </c>
      <c r="C10" s="29">
        <v>45814</v>
      </c>
      <c r="D10" t="s">
        <v>14</v>
      </c>
    </row>
    <row r="11" spans="2:4">
      <c r="B11" t="s">
        <v>20</v>
      </c>
      <c r="C11" s="29">
        <v>45814</v>
      </c>
      <c r="D11" t="s">
        <v>21</v>
      </c>
    </row>
    <row r="12" spans="2:4">
      <c r="B12" t="s">
        <v>22</v>
      </c>
      <c r="C12" s="29">
        <v>45814</v>
      </c>
      <c r="D12" t="s">
        <v>14</v>
      </c>
    </row>
    <row r="13" spans="2:4">
      <c r="B13" s="8" t="s">
        <v>23</v>
      </c>
      <c r="C13" s="29">
        <v>45814</v>
      </c>
      <c r="D13" t="s">
        <v>24</v>
      </c>
    </row>
    <row r="14" spans="2:4">
      <c r="B14" s="8" t="s">
        <v>25</v>
      </c>
      <c r="C14" s="29">
        <v>45814</v>
      </c>
      <c r="D14" t="s">
        <v>26</v>
      </c>
    </row>
    <row r="15" spans="2:4">
      <c r="B15" t="s">
        <v>27</v>
      </c>
      <c r="C15" s="29">
        <v>45814</v>
      </c>
      <c r="D15" t="s">
        <v>28</v>
      </c>
    </row>
    <row r="16" spans="2:4">
      <c r="B16" t="s">
        <v>29</v>
      </c>
      <c r="C16" s="29">
        <v>45814</v>
      </c>
      <c r="D1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FE51-83A6-44D2-B45D-F2EABDF9D8B1}">
  <dimension ref="B2:D24"/>
  <sheetViews>
    <sheetView workbookViewId="0">
      <selection activeCell="C4" sqref="C4"/>
    </sheetView>
  </sheetViews>
  <sheetFormatPr defaultRowHeight="14.45"/>
  <cols>
    <col min="1" max="1" width="5.85546875" customWidth="1"/>
    <col min="2" max="2" width="31.42578125" bestFit="1" customWidth="1"/>
    <col min="3" max="3" width="68.85546875" bestFit="1" customWidth="1"/>
    <col min="4" max="4" width="51.5703125" bestFit="1" customWidth="1"/>
  </cols>
  <sheetData>
    <row r="2" spans="2:4">
      <c r="B2" s="1" t="s">
        <v>30</v>
      </c>
      <c r="C2" t="s">
        <v>31</v>
      </c>
    </row>
    <row r="3" spans="2:4">
      <c r="B3" t="s">
        <v>32</v>
      </c>
      <c r="C3" t="s">
        <v>33</v>
      </c>
    </row>
    <row r="4" spans="2:4" ht="15">
      <c r="B4" t="s">
        <v>13</v>
      </c>
      <c r="C4" s="2" t="s">
        <v>34</v>
      </c>
    </row>
    <row r="9" spans="2:4">
      <c r="B9" t="s">
        <v>35</v>
      </c>
      <c r="C9" t="s">
        <v>36</v>
      </c>
    </row>
    <row r="10" spans="2:4">
      <c r="B10" t="s">
        <v>37</v>
      </c>
      <c r="C10" s="2" t="s">
        <v>38</v>
      </c>
      <c r="D10" s="32" t="s">
        <v>39</v>
      </c>
    </row>
    <row r="11" spans="2:4">
      <c r="B11" t="s">
        <v>40</v>
      </c>
      <c r="C11" s="2" t="s">
        <v>41</v>
      </c>
    </row>
    <row r="14" spans="2:4">
      <c r="B14" s="1" t="s">
        <v>42</v>
      </c>
    </row>
    <row r="16" spans="2:4">
      <c r="B16" t="s">
        <v>43</v>
      </c>
      <c r="C16" t="s">
        <v>44</v>
      </c>
    </row>
    <row r="17" spans="2:3">
      <c r="B17" t="s">
        <v>45</v>
      </c>
      <c r="C17" t="s">
        <v>46</v>
      </c>
    </row>
    <row r="18" spans="2:3">
      <c r="B18" t="s">
        <v>47</v>
      </c>
      <c r="C18" t="s">
        <v>48</v>
      </c>
    </row>
    <row r="19" spans="2:3">
      <c r="B19" t="s">
        <v>49</v>
      </c>
      <c r="C19" t="s">
        <v>50</v>
      </c>
    </row>
    <row r="21" spans="2:3">
      <c r="B21" t="s">
        <v>51</v>
      </c>
      <c r="C21" t="s">
        <v>52</v>
      </c>
    </row>
    <row r="22" spans="2:3">
      <c r="B22" t="s">
        <v>53</v>
      </c>
      <c r="C22" t="s">
        <v>54</v>
      </c>
    </row>
    <row r="23" spans="2:3">
      <c r="B23" t="s">
        <v>47</v>
      </c>
      <c r="C23" t="s">
        <v>48</v>
      </c>
    </row>
    <row r="24" spans="2:3">
      <c r="B24" t="s">
        <v>49</v>
      </c>
      <c r="C24" t="s">
        <v>55</v>
      </c>
    </row>
  </sheetData>
  <hyperlinks>
    <hyperlink ref="C4" r:id="rId1" xr:uid="{7FB3923C-FC3A-45FC-AFB1-50E3EA98154E}"/>
    <hyperlink ref="D10" r:id="rId2" xr:uid="{0C4D12F9-7F79-4269-B0EE-48BC7495A3F3}"/>
    <hyperlink ref="C10" r:id="rId3" xr:uid="{A04B8A66-A90C-4D0E-815B-6A5D37BCCD0B}"/>
    <hyperlink ref="C11" r:id="rId4" xr:uid="{6A66704C-4837-49B8-8FC1-811A184D0960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45AF-0816-4D4B-8096-589AD80DE648}">
  <dimension ref="B2:E6"/>
  <sheetViews>
    <sheetView workbookViewId="0">
      <selection activeCell="C11" sqref="C11"/>
    </sheetView>
  </sheetViews>
  <sheetFormatPr defaultRowHeight="14.45"/>
  <cols>
    <col min="1" max="1" width="5.42578125" customWidth="1"/>
    <col min="2" max="2" width="19.140625" customWidth="1"/>
    <col min="3" max="3" width="35" bestFit="1" customWidth="1"/>
    <col min="4" max="4" width="45.42578125" customWidth="1"/>
    <col min="5" max="5" width="69.5703125" bestFit="1" customWidth="1"/>
  </cols>
  <sheetData>
    <row r="2" spans="2:5">
      <c r="B2" s="3" t="s">
        <v>56</v>
      </c>
      <c r="C2" s="3" t="s">
        <v>57</v>
      </c>
      <c r="D2" s="3" t="s">
        <v>58</v>
      </c>
      <c r="E2" s="3" t="s">
        <v>59</v>
      </c>
    </row>
    <row r="3" spans="2:5">
      <c r="B3" t="s">
        <v>60</v>
      </c>
      <c r="C3" s="2" t="s">
        <v>61</v>
      </c>
      <c r="E3" t="s">
        <v>62</v>
      </c>
    </row>
    <row r="4" spans="2:5">
      <c r="B4" s="5" t="s">
        <v>63</v>
      </c>
      <c r="C4" s="5"/>
      <c r="D4" s="5" t="s">
        <v>64</v>
      </c>
      <c r="E4" s="5" t="s">
        <v>65</v>
      </c>
    </row>
    <row r="5" spans="2:5">
      <c r="B5" t="s">
        <v>66</v>
      </c>
      <c r="D5" t="s">
        <v>67</v>
      </c>
      <c r="E5" t="s">
        <v>68</v>
      </c>
    </row>
    <row r="6" spans="2:5">
      <c r="B6" t="s">
        <v>69</v>
      </c>
      <c r="D6" s="2" t="s">
        <v>70</v>
      </c>
      <c r="E6" t="s">
        <v>71</v>
      </c>
    </row>
  </sheetData>
  <hyperlinks>
    <hyperlink ref="C3" r:id="rId1" xr:uid="{E968A296-24A1-4890-B198-AA0C2E5D4728}"/>
    <hyperlink ref="D6" r:id="rId2" xr:uid="{88CAB290-AF63-403E-9D1C-FA4EF8FCB83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A495-A631-4634-A35F-7A4800291DF1}">
  <dimension ref="B2:K15"/>
  <sheetViews>
    <sheetView workbookViewId="0">
      <selection activeCell="C4" sqref="C4"/>
    </sheetView>
  </sheetViews>
  <sheetFormatPr defaultRowHeight="14.45"/>
  <cols>
    <col min="2" max="2" width="41.5703125" customWidth="1"/>
    <col min="3" max="3" width="45.42578125" bestFit="1" customWidth="1"/>
  </cols>
  <sheetData>
    <row r="2" spans="2:11">
      <c r="B2" t="s">
        <v>72</v>
      </c>
      <c r="C2" t="s">
        <v>44</v>
      </c>
      <c r="E2" t="s">
        <v>73</v>
      </c>
    </row>
    <row r="3" spans="2:11">
      <c r="B3" t="s">
        <v>74</v>
      </c>
      <c r="C3" t="s">
        <v>75</v>
      </c>
    </row>
    <row r="4" spans="2:11">
      <c r="B4" t="s">
        <v>76</v>
      </c>
      <c r="C4" t="s">
        <v>77</v>
      </c>
      <c r="K4" t="s">
        <v>77</v>
      </c>
    </row>
    <row r="7" spans="2:11">
      <c r="B7" s="1" t="s">
        <v>78</v>
      </c>
    </row>
    <row r="8" spans="2:11">
      <c r="B8" t="s">
        <v>79</v>
      </c>
      <c r="C8" t="s">
        <v>80</v>
      </c>
    </row>
    <row r="9" spans="2:11">
      <c r="B9" t="s">
        <v>81</v>
      </c>
      <c r="C9" t="s">
        <v>82</v>
      </c>
      <c r="D9" t="s">
        <v>83</v>
      </c>
    </row>
    <row r="10" spans="2:11">
      <c r="B10" t="s">
        <v>76</v>
      </c>
      <c r="C10" s="4" t="s">
        <v>84</v>
      </c>
    </row>
    <row r="12" spans="2:11">
      <c r="B12" t="s">
        <v>85</v>
      </c>
      <c r="C12" t="s">
        <v>86</v>
      </c>
    </row>
    <row r="14" spans="2:11">
      <c r="B14" s="31" t="s">
        <v>51</v>
      </c>
      <c r="C14" s="31" t="s">
        <v>52</v>
      </c>
    </row>
    <row r="15" spans="2:11">
      <c r="B15" s="31" t="s">
        <v>53</v>
      </c>
      <c r="C15" s="31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ED9C-99B2-4710-817C-348D05696105}">
  <dimension ref="B2:C13"/>
  <sheetViews>
    <sheetView workbookViewId="0">
      <selection activeCell="C4" sqref="C4"/>
    </sheetView>
  </sheetViews>
  <sheetFormatPr defaultRowHeight="14.45"/>
  <cols>
    <col min="2" max="2" width="24.42578125" bestFit="1" customWidth="1"/>
    <col min="3" max="3" width="45.42578125" customWidth="1"/>
  </cols>
  <sheetData>
    <row r="2" spans="2:3">
      <c r="B2" t="s">
        <v>87</v>
      </c>
    </row>
    <row r="3" spans="2:3">
      <c r="B3" t="s">
        <v>88</v>
      </c>
      <c r="C3" t="s">
        <v>89</v>
      </c>
    </row>
    <row r="4" spans="2:3">
      <c r="B4" t="s">
        <v>90</v>
      </c>
      <c r="C4" s="2" t="s">
        <v>91</v>
      </c>
    </row>
    <row r="8" spans="2:3">
      <c r="B8" s="1" t="s">
        <v>92</v>
      </c>
      <c r="C8" t="s">
        <v>93</v>
      </c>
    </row>
    <row r="9" spans="2:3">
      <c r="B9" t="s">
        <v>94</v>
      </c>
      <c r="C9" t="s">
        <v>95</v>
      </c>
    </row>
    <row r="12" spans="2:3">
      <c r="B12" t="s">
        <v>96</v>
      </c>
      <c r="C12" s="2" t="s">
        <v>97</v>
      </c>
    </row>
    <row r="13" spans="2:3">
      <c r="B13" t="s">
        <v>98</v>
      </c>
      <c r="C13" s="2" t="s">
        <v>99</v>
      </c>
    </row>
  </sheetData>
  <hyperlinks>
    <hyperlink ref="C4" r:id="rId1" xr:uid="{3E8B758E-7035-415B-A5C3-9DD98CF385A6}"/>
    <hyperlink ref="C12" r:id="rId2" xr:uid="{07A7547F-52DF-483D-87F2-D8317D926298}"/>
    <hyperlink ref="C13" r:id="rId3" xr:uid="{DCB59AD8-30E0-4F59-936A-138A731AC18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054C-1505-410A-979C-AD022F16BD13}">
  <dimension ref="B2:C23"/>
  <sheetViews>
    <sheetView zoomScaleNormal="100" workbookViewId="0">
      <selection activeCell="B2" sqref="B2"/>
    </sheetView>
  </sheetViews>
  <sheetFormatPr defaultRowHeight="14.45"/>
  <cols>
    <col min="2" max="2" width="21.5703125" customWidth="1"/>
    <col min="3" max="3" width="47.42578125" customWidth="1"/>
  </cols>
  <sheetData>
    <row r="2" spans="2:3">
      <c r="B2" t="s">
        <v>100</v>
      </c>
    </row>
    <row r="4" spans="2:3">
      <c r="B4" t="s">
        <v>101</v>
      </c>
      <c r="C4" t="s">
        <v>102</v>
      </c>
    </row>
    <row r="5" spans="2:3">
      <c r="B5" t="s">
        <v>103</v>
      </c>
      <c r="C5" t="s">
        <v>104</v>
      </c>
    </row>
    <row r="7" spans="2:3">
      <c r="B7" t="s">
        <v>105</v>
      </c>
    </row>
    <row r="8" spans="2:3">
      <c r="B8" t="s">
        <v>106</v>
      </c>
      <c r="C8" t="s">
        <v>44</v>
      </c>
    </row>
    <row r="9" spans="2:3">
      <c r="B9" t="s">
        <v>107</v>
      </c>
      <c r="C9" t="s">
        <v>108</v>
      </c>
    </row>
    <row r="10" spans="2:3">
      <c r="B10" t="s">
        <v>109</v>
      </c>
      <c r="C10" t="s">
        <v>110</v>
      </c>
    </row>
    <row r="11" spans="2:3">
      <c r="B11" t="s">
        <v>76</v>
      </c>
      <c r="C11" t="s">
        <v>111</v>
      </c>
    </row>
    <row r="13" spans="2:3">
      <c r="B13" t="s">
        <v>112</v>
      </c>
      <c r="C13" s="2" t="s">
        <v>113</v>
      </c>
    </row>
    <row r="14" spans="2:3">
      <c r="B14" t="s">
        <v>114</v>
      </c>
      <c r="C14" s="2" t="s">
        <v>115</v>
      </c>
    </row>
    <row r="16" spans="2:3">
      <c r="B16" t="s">
        <v>116</v>
      </c>
    </row>
    <row r="17" spans="2:3">
      <c r="B17" t="s">
        <v>106</v>
      </c>
      <c r="C17" t="s">
        <v>52</v>
      </c>
    </row>
    <row r="18" spans="2:3">
      <c r="B18" t="s">
        <v>107</v>
      </c>
      <c r="C18" t="s">
        <v>108</v>
      </c>
    </row>
    <row r="19" spans="2:3">
      <c r="B19" t="s">
        <v>109</v>
      </c>
      <c r="C19" t="s">
        <v>110</v>
      </c>
    </row>
    <row r="20" spans="2:3">
      <c r="B20" t="s">
        <v>76</v>
      </c>
      <c r="C20" t="s">
        <v>117</v>
      </c>
    </row>
    <row r="22" spans="2:3">
      <c r="B22" t="s">
        <v>112</v>
      </c>
      <c r="C22" s="2" t="s">
        <v>118</v>
      </c>
    </row>
    <row r="23" spans="2:3">
      <c r="B23" t="s">
        <v>114</v>
      </c>
      <c r="C23" s="2" t="s">
        <v>119</v>
      </c>
    </row>
  </sheetData>
  <hyperlinks>
    <hyperlink ref="C13" r:id="rId1" xr:uid="{D303FA4B-2CA5-4BD0-9DB4-289D0F2D01BC}"/>
    <hyperlink ref="C14" r:id="rId2" xr:uid="{28FABD0F-A3DE-4274-AFDA-AA6A7D4673A9}"/>
    <hyperlink ref="C22" r:id="rId3" xr:uid="{43C9BBA4-2C0D-49C9-B6E1-46DEA4644EAA}"/>
    <hyperlink ref="C23" r:id="rId4" xr:uid="{F5631D39-7E88-4070-A114-6F2ADC42B52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695C-ED59-4DC4-B0B9-9A417D921CAF}">
  <dimension ref="A1:E27"/>
  <sheetViews>
    <sheetView workbookViewId="0">
      <selection activeCell="E3" sqref="E3"/>
    </sheetView>
  </sheetViews>
  <sheetFormatPr defaultRowHeight="14.45"/>
  <cols>
    <col min="3" max="3" width="17.85546875" bestFit="1" customWidth="1"/>
    <col min="4" max="4" width="44.5703125" bestFit="1" customWidth="1"/>
    <col min="5" max="5" width="98.28515625" bestFit="1" customWidth="1"/>
  </cols>
  <sheetData>
    <row r="1" spans="1:5">
      <c r="B1" s="35" t="s">
        <v>120</v>
      </c>
      <c r="C1" s="35"/>
      <c r="D1" s="35"/>
      <c r="E1" s="35"/>
    </row>
    <row r="2" spans="1:5">
      <c r="A2" s="1" t="s">
        <v>121</v>
      </c>
      <c r="B2" s="1" t="s">
        <v>122</v>
      </c>
      <c r="C2" s="1" t="s">
        <v>123</v>
      </c>
      <c r="D2" s="1" t="s">
        <v>124</v>
      </c>
      <c r="E2" s="1" t="s">
        <v>59</v>
      </c>
    </row>
    <row r="3" spans="1:5">
      <c r="A3">
        <v>1</v>
      </c>
      <c r="B3" t="s">
        <v>125</v>
      </c>
      <c r="C3" t="s">
        <v>126</v>
      </c>
      <c r="D3" t="s">
        <v>127</v>
      </c>
    </row>
    <row r="4" spans="1:5">
      <c r="A4">
        <f t="shared" ref="A4:A12" si="0">A3+1</f>
        <v>2</v>
      </c>
      <c r="B4" t="s">
        <v>125</v>
      </c>
      <c r="C4" t="s">
        <v>126</v>
      </c>
      <c r="D4" t="s">
        <v>128</v>
      </c>
    </row>
    <row r="5" spans="1:5">
      <c r="A5">
        <f t="shared" si="0"/>
        <v>3</v>
      </c>
      <c r="B5" t="s">
        <v>125</v>
      </c>
      <c r="C5" t="s">
        <v>129</v>
      </c>
      <c r="D5" t="s">
        <v>130</v>
      </c>
    </row>
    <row r="6" spans="1:5">
      <c r="A6">
        <f t="shared" si="0"/>
        <v>4</v>
      </c>
      <c r="B6" t="s">
        <v>125</v>
      </c>
      <c r="C6" t="s">
        <v>129</v>
      </c>
      <c r="D6" t="s">
        <v>131</v>
      </c>
    </row>
    <row r="7" spans="1:5">
      <c r="A7">
        <f t="shared" si="0"/>
        <v>5</v>
      </c>
      <c r="B7" s="19" t="s">
        <v>132</v>
      </c>
      <c r="C7" s="18" t="s">
        <v>129</v>
      </c>
      <c r="D7" s="18" t="s">
        <v>133</v>
      </c>
      <c r="E7" s="17" t="s">
        <v>134</v>
      </c>
    </row>
    <row r="8" spans="1:5">
      <c r="A8">
        <f t="shared" si="0"/>
        <v>6</v>
      </c>
      <c r="B8" s="19" t="s">
        <v>132</v>
      </c>
      <c r="C8" s="18" t="s">
        <v>129</v>
      </c>
      <c r="D8" s="18" t="s">
        <v>135</v>
      </c>
      <c r="E8" s="17" t="s">
        <v>136</v>
      </c>
    </row>
    <row r="9" spans="1:5">
      <c r="A9">
        <f t="shared" si="0"/>
        <v>7</v>
      </c>
      <c r="B9" t="s">
        <v>137</v>
      </c>
      <c r="C9" t="s">
        <v>138</v>
      </c>
      <c r="D9" t="s">
        <v>139</v>
      </c>
    </row>
    <row r="10" spans="1:5">
      <c r="A10">
        <f t="shared" si="0"/>
        <v>8</v>
      </c>
      <c r="B10" t="s">
        <v>137</v>
      </c>
      <c r="C10" t="s">
        <v>138</v>
      </c>
      <c r="D10" t="s">
        <v>128</v>
      </c>
    </row>
    <row r="11" spans="1:5">
      <c r="A11">
        <f t="shared" si="0"/>
        <v>9</v>
      </c>
      <c r="B11" t="s">
        <v>137</v>
      </c>
      <c r="C11" t="s">
        <v>140</v>
      </c>
      <c r="D11" t="s">
        <v>130</v>
      </c>
    </row>
    <row r="12" spans="1:5">
      <c r="A12">
        <f t="shared" si="0"/>
        <v>10</v>
      </c>
      <c r="B12" t="s">
        <v>137</v>
      </c>
      <c r="C12" t="s">
        <v>140</v>
      </c>
      <c r="D12" t="s">
        <v>131</v>
      </c>
    </row>
    <row r="14" spans="1:5" s="16" customFormat="1"/>
    <row r="16" spans="1:5">
      <c r="B16" s="35" t="s">
        <v>141</v>
      </c>
      <c r="C16" s="35"/>
      <c r="D16" s="35"/>
      <c r="E16" s="35"/>
    </row>
    <row r="17" spans="1:5">
      <c r="A17" s="1" t="s">
        <v>121</v>
      </c>
      <c r="B17" s="1" t="s">
        <v>122</v>
      </c>
      <c r="C17" s="1" t="s">
        <v>123</v>
      </c>
      <c r="D17" s="1" t="s">
        <v>124</v>
      </c>
      <c r="E17" s="1" t="s">
        <v>59</v>
      </c>
    </row>
    <row r="18" spans="1:5">
      <c r="A18">
        <v>1</v>
      </c>
      <c r="B18" t="s">
        <v>125</v>
      </c>
      <c r="C18" t="s">
        <v>138</v>
      </c>
      <c r="D18" t="s">
        <v>139</v>
      </c>
      <c r="E18" t="s">
        <v>142</v>
      </c>
    </row>
    <row r="19" spans="1:5">
      <c r="A19">
        <f t="shared" ref="A19:A27" si="1">A18+1</f>
        <v>2</v>
      </c>
      <c r="B19" t="s">
        <v>125</v>
      </c>
      <c r="C19" t="s">
        <v>138</v>
      </c>
      <c r="D19" t="s">
        <v>128</v>
      </c>
    </row>
    <row r="20" spans="1:5">
      <c r="A20">
        <f t="shared" si="1"/>
        <v>3</v>
      </c>
      <c r="B20" t="s">
        <v>125</v>
      </c>
      <c r="C20" t="s">
        <v>140</v>
      </c>
      <c r="D20" t="s">
        <v>130</v>
      </c>
    </row>
    <row r="21" spans="1:5">
      <c r="A21">
        <f t="shared" si="1"/>
        <v>4</v>
      </c>
      <c r="B21" t="s">
        <v>125</v>
      </c>
      <c r="C21" t="s">
        <v>140</v>
      </c>
      <c r="D21" t="s">
        <v>131</v>
      </c>
    </row>
    <row r="22" spans="1:5">
      <c r="A22">
        <f t="shared" si="1"/>
        <v>5</v>
      </c>
      <c r="B22" t="s">
        <v>143</v>
      </c>
      <c r="C22" t="s">
        <v>129</v>
      </c>
      <c r="D22" t="s">
        <v>133</v>
      </c>
      <c r="E22" t="s">
        <v>144</v>
      </c>
    </row>
    <row r="23" spans="1:5">
      <c r="A23">
        <f t="shared" si="1"/>
        <v>6</v>
      </c>
      <c r="B23" t="s">
        <v>125</v>
      </c>
      <c r="C23" t="s">
        <v>129</v>
      </c>
      <c r="D23" t="s">
        <v>135</v>
      </c>
      <c r="E23" t="s">
        <v>145</v>
      </c>
    </row>
    <row r="24" spans="1:5">
      <c r="A24">
        <f t="shared" si="1"/>
        <v>7</v>
      </c>
      <c r="B24" t="s">
        <v>137</v>
      </c>
      <c r="C24" t="s">
        <v>126</v>
      </c>
      <c r="D24" t="s">
        <v>127</v>
      </c>
    </row>
    <row r="25" spans="1:5">
      <c r="A25">
        <f t="shared" si="1"/>
        <v>8</v>
      </c>
      <c r="B25" t="s">
        <v>137</v>
      </c>
      <c r="C25" t="s">
        <v>126</v>
      </c>
      <c r="D25" t="s">
        <v>128</v>
      </c>
    </row>
    <row r="26" spans="1:5">
      <c r="A26">
        <f t="shared" si="1"/>
        <v>9</v>
      </c>
      <c r="B26" t="s">
        <v>137</v>
      </c>
      <c r="C26" t="s">
        <v>129</v>
      </c>
      <c r="D26" t="s">
        <v>130</v>
      </c>
    </row>
    <row r="27" spans="1:5">
      <c r="A27">
        <f t="shared" si="1"/>
        <v>10</v>
      </c>
      <c r="B27" t="s">
        <v>137</v>
      </c>
      <c r="C27" t="s">
        <v>129</v>
      </c>
      <c r="D27" t="s">
        <v>131</v>
      </c>
    </row>
  </sheetData>
  <mergeCells count="2">
    <mergeCell ref="B1:E1"/>
    <mergeCell ref="B16:E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630D-75F1-4ACB-BC13-B0919F90FC7C}">
  <dimension ref="B1:J52"/>
  <sheetViews>
    <sheetView workbookViewId="0">
      <pane xSplit="1" ySplit="1" topLeftCell="B2" activePane="bottomRight" state="frozen"/>
      <selection pane="bottomRight" activeCell="G12" sqref="G12"/>
      <selection pane="bottomLeft" activeCell="A2" sqref="A2"/>
      <selection pane="topRight" activeCell="B1" sqref="B1"/>
    </sheetView>
  </sheetViews>
  <sheetFormatPr defaultColWidth="8.7109375" defaultRowHeight="15" customHeight="1"/>
  <cols>
    <col min="1" max="1" width="8.7109375" style="8"/>
    <col min="2" max="2" width="22.42578125" style="8" customWidth="1"/>
    <col min="3" max="3" width="28.85546875" style="8" customWidth="1"/>
    <col min="4" max="4" width="17.85546875" style="8" customWidth="1"/>
    <col min="5" max="5" width="52" style="9" customWidth="1"/>
    <col min="6" max="6" width="16.42578125" style="8" customWidth="1"/>
    <col min="7" max="7" width="54.28515625" style="9" customWidth="1"/>
    <col min="8" max="8" width="15.42578125" style="13" hidden="1" customWidth="1"/>
    <col min="9" max="9" width="19.42578125" style="11" customWidth="1"/>
    <col min="10" max="16384" width="8.7109375" style="8"/>
  </cols>
  <sheetData>
    <row r="1" spans="2:9" ht="29.1">
      <c r="B1" s="6" t="s">
        <v>88</v>
      </c>
      <c r="C1" s="6" t="s">
        <v>146</v>
      </c>
      <c r="D1" s="6" t="s">
        <v>43</v>
      </c>
      <c r="E1" s="7" t="s">
        <v>147</v>
      </c>
      <c r="F1" s="6" t="s">
        <v>148</v>
      </c>
      <c r="G1" s="7" t="s">
        <v>149</v>
      </c>
      <c r="H1" s="12" t="s">
        <v>150</v>
      </c>
      <c r="I1" s="7" t="s">
        <v>151</v>
      </c>
    </row>
    <row r="2" spans="2:9" ht="14.45">
      <c r="I2" s="9"/>
    </row>
    <row r="3" spans="2:9" ht="14.45">
      <c r="B3" s="8" t="s">
        <v>5</v>
      </c>
      <c r="C3" s="8" t="s">
        <v>152</v>
      </c>
      <c r="D3" s="8" t="s">
        <v>153</v>
      </c>
      <c r="E3" s="9" t="s">
        <v>154</v>
      </c>
      <c r="F3" s="8" t="s">
        <v>155</v>
      </c>
      <c r="G3" s="9" t="s">
        <v>156</v>
      </c>
      <c r="H3" s="13" t="s">
        <v>157</v>
      </c>
      <c r="I3" s="11" t="s">
        <v>158</v>
      </c>
    </row>
    <row r="4" spans="2:9" ht="14.45">
      <c r="B4" s="8" t="s">
        <v>5</v>
      </c>
      <c r="C4" s="8" t="s">
        <v>159</v>
      </c>
      <c r="D4" s="8" t="s">
        <v>153</v>
      </c>
      <c r="E4" s="9" t="s">
        <v>160</v>
      </c>
      <c r="F4" s="8" t="s">
        <v>155</v>
      </c>
      <c r="G4" s="9" t="str">
        <f>E4</f>
        <v>/ASR BoA/ASR M3 BoA/ASR M3 APCheckACH.dtsx</v>
      </c>
      <c r="H4" s="13" t="s">
        <v>157</v>
      </c>
      <c r="I4" s="11" t="s">
        <v>158</v>
      </c>
    </row>
    <row r="5" spans="2:9" ht="29.1">
      <c r="B5" s="8" t="s">
        <v>5</v>
      </c>
      <c r="C5" s="8" t="s">
        <v>161</v>
      </c>
      <c r="D5" s="8" t="s">
        <v>162</v>
      </c>
      <c r="E5" s="10" t="s">
        <v>163</v>
      </c>
      <c r="F5" s="8" t="s">
        <v>162</v>
      </c>
      <c r="G5" s="2" t="s">
        <v>164</v>
      </c>
      <c r="H5" s="13" t="s">
        <v>157</v>
      </c>
      <c r="I5" s="11" t="s">
        <v>158</v>
      </c>
    </row>
    <row r="6" spans="2:9" ht="14.45">
      <c r="B6" s="8" t="s">
        <v>5</v>
      </c>
      <c r="C6" s="8" t="s">
        <v>165</v>
      </c>
      <c r="D6" s="8" t="s">
        <v>153</v>
      </c>
      <c r="E6" s="9" t="s">
        <v>166</v>
      </c>
      <c r="F6" s="8" t="s">
        <v>165</v>
      </c>
      <c r="G6" s="9" t="s">
        <v>166</v>
      </c>
      <c r="H6" s="13" t="s">
        <v>157</v>
      </c>
      <c r="I6" s="11" t="s">
        <v>158</v>
      </c>
    </row>
    <row r="7" spans="2:9" ht="14.45">
      <c r="B7" s="8" t="s">
        <v>9</v>
      </c>
      <c r="C7" s="8" t="s">
        <v>167</v>
      </c>
      <c r="D7" s="15"/>
      <c r="E7" s="9" t="s">
        <v>168</v>
      </c>
    </row>
    <row r="8" spans="2:9" ht="14.45">
      <c r="B8" s="8" t="s">
        <v>169</v>
      </c>
      <c r="C8" s="8" t="s">
        <v>152</v>
      </c>
      <c r="D8" s="8" t="s">
        <v>153</v>
      </c>
      <c r="E8" s="9" t="s">
        <v>170</v>
      </c>
      <c r="F8" s="8" t="s">
        <v>155</v>
      </c>
      <c r="G8" s="9" t="s">
        <v>171</v>
      </c>
      <c r="I8" s="11" t="s">
        <v>172</v>
      </c>
    </row>
    <row r="9" spans="2:9" ht="14.45">
      <c r="B9" s="8" t="s">
        <v>169</v>
      </c>
      <c r="C9" s="8" t="s">
        <v>159</v>
      </c>
      <c r="D9" s="8" t="s">
        <v>153</v>
      </c>
      <c r="E9" s="9" t="s">
        <v>173</v>
      </c>
      <c r="F9" s="8" t="s">
        <v>155</v>
      </c>
      <c r="G9" s="9" t="s">
        <v>174</v>
      </c>
      <c r="I9" s="11" t="s">
        <v>172</v>
      </c>
    </row>
    <row r="10" spans="2:9" ht="14.45">
      <c r="B10" s="8" t="s">
        <v>169</v>
      </c>
      <c r="C10" s="8" t="s">
        <v>161</v>
      </c>
      <c r="D10" s="8" t="s">
        <v>153</v>
      </c>
      <c r="E10" s="10" t="s">
        <v>175</v>
      </c>
      <c r="I10" s="11" t="s">
        <v>172</v>
      </c>
    </row>
    <row r="11" spans="2:9" ht="14.45">
      <c r="B11" s="8" t="s">
        <v>169</v>
      </c>
      <c r="C11" s="8" t="s">
        <v>176</v>
      </c>
      <c r="D11" s="8" t="s">
        <v>177</v>
      </c>
      <c r="E11" s="9" t="s">
        <v>178</v>
      </c>
      <c r="F11" s="8" t="s">
        <v>177</v>
      </c>
      <c r="G11" s="10" t="s">
        <v>179</v>
      </c>
      <c r="H11" s="14"/>
      <c r="I11" s="11" t="s">
        <v>172</v>
      </c>
    </row>
    <row r="12" spans="2:9" ht="14.45">
      <c r="B12" s="8" t="s">
        <v>180</v>
      </c>
      <c r="C12" s="8" t="s">
        <v>152</v>
      </c>
      <c r="D12" s="8" t="s">
        <v>153</v>
      </c>
      <c r="E12" s="9" t="s">
        <v>181</v>
      </c>
      <c r="F12" s="8" t="s">
        <v>155</v>
      </c>
      <c r="G12" s="9" t="s">
        <v>181</v>
      </c>
      <c r="I12" s="11" t="s">
        <v>172</v>
      </c>
    </row>
    <row r="13" spans="2:9" ht="14.45">
      <c r="B13" s="8" t="s">
        <v>180</v>
      </c>
      <c r="C13" s="8" t="s">
        <v>159</v>
      </c>
      <c r="D13" s="8" t="s">
        <v>153</v>
      </c>
      <c r="E13" s="9" t="s">
        <v>182</v>
      </c>
      <c r="F13" s="8" t="s">
        <v>155</v>
      </c>
      <c r="I13" s="11" t="s">
        <v>172</v>
      </c>
    </row>
    <row r="14" spans="2:9" ht="14.45">
      <c r="B14" s="8" t="s">
        <v>180</v>
      </c>
      <c r="C14" s="8" t="s">
        <v>183</v>
      </c>
      <c r="D14" s="8" t="s">
        <v>184</v>
      </c>
      <c r="F14" s="8" t="s">
        <v>177</v>
      </c>
      <c r="G14" s="10" t="s">
        <v>185</v>
      </c>
    </row>
    <row r="15" spans="2:9" ht="14.45">
      <c r="B15" s="8" t="s">
        <v>180</v>
      </c>
      <c r="C15" s="8" t="s">
        <v>186</v>
      </c>
      <c r="D15" s="8" t="s">
        <v>187</v>
      </c>
      <c r="E15" s="9" t="s">
        <v>188</v>
      </c>
      <c r="F15" s="8" t="s">
        <v>189</v>
      </c>
      <c r="I15" s="11" t="s">
        <v>172</v>
      </c>
    </row>
    <row r="16" spans="2:9" ht="14.45">
      <c r="B16" s="8" t="s">
        <v>180</v>
      </c>
      <c r="C16" s="8" t="s">
        <v>190</v>
      </c>
      <c r="D16" s="8" t="s">
        <v>153</v>
      </c>
      <c r="E16" s="10" t="s">
        <v>191</v>
      </c>
      <c r="F16" s="8" t="s">
        <v>162</v>
      </c>
      <c r="I16" s="11" t="s">
        <v>172</v>
      </c>
    </row>
    <row r="17" spans="2:10" ht="14.45">
      <c r="B17" s="8" t="s">
        <v>192</v>
      </c>
      <c r="C17" s="8" t="s">
        <v>152</v>
      </c>
      <c r="D17" s="8" t="s">
        <v>153</v>
      </c>
      <c r="E17" s="9" t="s">
        <v>193</v>
      </c>
      <c r="F17" s="8" t="s">
        <v>155</v>
      </c>
      <c r="G17" s="9" t="s">
        <v>193</v>
      </c>
      <c r="I17" s="11" t="s">
        <v>172</v>
      </c>
    </row>
    <row r="18" spans="2:10" ht="14.45">
      <c r="B18" s="8" t="s">
        <v>192</v>
      </c>
      <c r="C18" s="8" t="s">
        <v>159</v>
      </c>
      <c r="D18" s="8" t="s">
        <v>153</v>
      </c>
      <c r="E18" s="9" t="s">
        <v>194</v>
      </c>
      <c r="F18" s="8" t="s">
        <v>195</v>
      </c>
      <c r="I18" s="11" t="s">
        <v>172</v>
      </c>
    </row>
    <row r="19" spans="2:10" ht="14.45">
      <c r="B19" s="8" t="s">
        <v>192</v>
      </c>
      <c r="C19" s="8" t="s">
        <v>186</v>
      </c>
      <c r="D19" s="8" t="s">
        <v>196</v>
      </c>
      <c r="F19" s="8" t="s">
        <v>197</v>
      </c>
      <c r="I19" s="11" t="s">
        <v>172</v>
      </c>
    </row>
    <row r="20" spans="2:10" ht="14.45">
      <c r="B20" s="8" t="s">
        <v>192</v>
      </c>
      <c r="C20" s="8" t="s">
        <v>190</v>
      </c>
      <c r="D20" s="8" t="s">
        <v>153</v>
      </c>
      <c r="E20" s="10" t="s">
        <v>198</v>
      </c>
      <c r="F20" s="8" t="s">
        <v>199</v>
      </c>
      <c r="I20" s="11" t="s">
        <v>172</v>
      </c>
    </row>
    <row r="21" spans="2:10" ht="29.1">
      <c r="B21" s="8" t="s">
        <v>192</v>
      </c>
      <c r="C21" s="8" t="s">
        <v>200</v>
      </c>
      <c r="D21" s="8" t="s">
        <v>177</v>
      </c>
      <c r="E21" s="9" t="s">
        <v>201</v>
      </c>
      <c r="F21" s="9" t="s">
        <v>202</v>
      </c>
      <c r="I21" s="11" t="s">
        <v>172</v>
      </c>
    </row>
    <row r="22" spans="2:10" ht="14.45">
      <c r="B22" s="8" t="s">
        <v>192</v>
      </c>
      <c r="C22" s="8" t="s">
        <v>200</v>
      </c>
      <c r="E22" s="9" t="s">
        <v>203</v>
      </c>
      <c r="F22" s="9" t="s">
        <v>177</v>
      </c>
      <c r="G22" s="9" t="s">
        <v>204</v>
      </c>
    </row>
    <row r="23" spans="2:10" ht="14.45">
      <c r="B23" s="8" t="s">
        <v>205</v>
      </c>
      <c r="C23" s="8" t="s">
        <v>152</v>
      </c>
      <c r="D23" s="8" t="s">
        <v>153</v>
      </c>
      <c r="E23" s="9" t="s">
        <v>206</v>
      </c>
      <c r="F23" s="8" t="s">
        <v>207</v>
      </c>
      <c r="G23" s="9" t="s">
        <v>208</v>
      </c>
      <c r="I23" s="11" t="s">
        <v>172</v>
      </c>
      <c r="J23" s="8" t="s">
        <v>209</v>
      </c>
    </row>
    <row r="24" spans="2:10" ht="14.45">
      <c r="B24" s="8" t="s">
        <v>205</v>
      </c>
      <c r="C24" s="8" t="s">
        <v>159</v>
      </c>
      <c r="D24" s="8" t="s">
        <v>153</v>
      </c>
      <c r="E24" s="9" t="s">
        <v>210</v>
      </c>
      <c r="F24" s="8" t="s">
        <v>207</v>
      </c>
      <c r="G24" s="9" t="s">
        <v>211</v>
      </c>
      <c r="I24" s="11" t="s">
        <v>172</v>
      </c>
    </row>
    <row r="25" spans="2:10" ht="14.45">
      <c r="B25" s="8" t="s">
        <v>205</v>
      </c>
      <c r="C25" s="8" t="s">
        <v>161</v>
      </c>
      <c r="D25" s="8" t="s">
        <v>153</v>
      </c>
      <c r="E25" s="10" t="s">
        <v>198</v>
      </c>
      <c r="I25" s="11" t="s">
        <v>172</v>
      </c>
    </row>
    <row r="26" spans="2:10" ht="29.1">
      <c r="B26" s="8" t="s">
        <v>205</v>
      </c>
      <c r="C26" s="8" t="s">
        <v>200</v>
      </c>
      <c r="D26" s="8" t="s">
        <v>177</v>
      </c>
      <c r="E26" s="9" t="s">
        <v>212</v>
      </c>
      <c r="F26" s="9" t="s">
        <v>202</v>
      </c>
      <c r="I26" s="11" t="s">
        <v>172</v>
      </c>
    </row>
    <row r="27" spans="2:10" ht="14.45">
      <c r="B27" s="8" t="s">
        <v>205</v>
      </c>
      <c r="C27" s="8" t="s">
        <v>200</v>
      </c>
      <c r="E27" s="9" t="s">
        <v>213</v>
      </c>
      <c r="F27" s="9" t="s">
        <v>177</v>
      </c>
      <c r="G27" s="9" t="s">
        <v>214</v>
      </c>
      <c r="I27" s="11" t="s">
        <v>172</v>
      </c>
    </row>
    <row r="28" spans="2:10" ht="14.45">
      <c r="B28" s="8" t="s">
        <v>205</v>
      </c>
      <c r="C28" s="8" t="s">
        <v>215</v>
      </c>
      <c r="D28" s="8" t="s">
        <v>216</v>
      </c>
      <c r="E28" s="10" t="s">
        <v>217</v>
      </c>
      <c r="F28" s="8" t="s">
        <v>218</v>
      </c>
      <c r="I28" s="11" t="s">
        <v>172</v>
      </c>
    </row>
    <row r="29" spans="2:10" ht="14.45">
      <c r="B29" s="8" t="s">
        <v>219</v>
      </c>
      <c r="C29" s="8" t="s">
        <v>152</v>
      </c>
      <c r="D29" s="8" t="s">
        <v>153</v>
      </c>
      <c r="E29" s="9" t="s">
        <v>220</v>
      </c>
      <c r="F29" s="8" t="s">
        <v>155</v>
      </c>
      <c r="G29" s="9" t="s">
        <v>221</v>
      </c>
      <c r="H29" s="13" t="s">
        <v>157</v>
      </c>
      <c r="I29" s="11" t="s">
        <v>222</v>
      </c>
    </row>
    <row r="30" spans="2:10" ht="14.45">
      <c r="B30" s="8" t="s">
        <v>219</v>
      </c>
      <c r="C30" s="8" t="s">
        <v>159</v>
      </c>
      <c r="D30" s="8" t="s">
        <v>153</v>
      </c>
      <c r="E30" s="9" t="s">
        <v>223</v>
      </c>
      <c r="F30" s="8" t="s">
        <v>155</v>
      </c>
      <c r="G30" s="9" t="s">
        <v>224</v>
      </c>
      <c r="I30" s="11" t="s">
        <v>225</v>
      </c>
      <c r="J30" s="8" t="s">
        <v>226</v>
      </c>
    </row>
    <row r="31" spans="2:10" ht="29.1">
      <c r="B31" s="8" t="s">
        <v>219</v>
      </c>
      <c r="C31" s="8" t="s">
        <v>161</v>
      </c>
      <c r="D31" s="8" t="s">
        <v>162</v>
      </c>
      <c r="E31" s="10" t="s">
        <v>227</v>
      </c>
      <c r="F31" s="8" t="s">
        <v>162</v>
      </c>
      <c r="G31" s="9" t="str">
        <f>E31</f>
        <v>https://dev.azure.com/bgi-corporate/SSIS_Integrations/_git/BGI_DW_M3</v>
      </c>
      <c r="H31" s="13" t="s">
        <v>157</v>
      </c>
      <c r="I31" s="11" t="s">
        <v>228</v>
      </c>
    </row>
    <row r="32" spans="2:10" ht="14.45">
      <c r="B32" s="8" t="s">
        <v>29</v>
      </c>
      <c r="C32" s="8" t="s">
        <v>152</v>
      </c>
      <c r="D32" s="8" t="s">
        <v>153</v>
      </c>
      <c r="E32" s="9" t="s">
        <v>229</v>
      </c>
      <c r="F32" s="8" t="s">
        <v>155</v>
      </c>
      <c r="G32" s="9" t="s">
        <v>229</v>
      </c>
      <c r="H32" s="13" t="s">
        <v>157</v>
      </c>
      <c r="I32" s="11" t="s">
        <v>230</v>
      </c>
    </row>
    <row r="33" spans="2:9" ht="14.45">
      <c r="B33" s="8" t="s">
        <v>29</v>
      </c>
      <c r="C33" s="8" t="s">
        <v>159</v>
      </c>
      <c r="D33" s="8" t="s">
        <v>153</v>
      </c>
      <c r="E33" s="9" t="s">
        <v>229</v>
      </c>
      <c r="F33" s="8" t="s">
        <v>155</v>
      </c>
      <c r="G33" s="9" t="s">
        <v>229</v>
      </c>
      <c r="H33" s="13" t="s">
        <v>157</v>
      </c>
      <c r="I33" s="11" t="s">
        <v>230</v>
      </c>
    </row>
    <row r="34" spans="2:9" ht="43.5">
      <c r="B34" s="8" t="s">
        <v>29</v>
      </c>
      <c r="C34" s="8" t="s">
        <v>161</v>
      </c>
      <c r="D34" s="8" t="s">
        <v>162</v>
      </c>
      <c r="E34" s="10" t="s">
        <v>231</v>
      </c>
      <c r="F34" s="8" t="s">
        <v>155</v>
      </c>
      <c r="G34" s="10" t="s">
        <v>231</v>
      </c>
      <c r="H34" s="13" t="s">
        <v>157</v>
      </c>
      <c r="I34" s="11" t="s">
        <v>230</v>
      </c>
    </row>
    <row r="35" spans="2:9" ht="14.45">
      <c r="B35" s="8" t="s">
        <v>27</v>
      </c>
      <c r="E35" s="10" t="s">
        <v>232</v>
      </c>
      <c r="G35" s="10" t="s">
        <v>233</v>
      </c>
      <c r="H35" s="13" t="s">
        <v>157</v>
      </c>
      <c r="I35" s="11" t="s">
        <v>228</v>
      </c>
    </row>
    <row r="36" spans="2:9" ht="14.45">
      <c r="B36" s="8" t="s">
        <v>20</v>
      </c>
      <c r="C36" s="8" t="s">
        <v>152</v>
      </c>
      <c r="D36" s="8" t="s">
        <v>153</v>
      </c>
      <c r="E36" s="9" t="s">
        <v>234</v>
      </c>
      <c r="F36" s="8" t="s">
        <v>155</v>
      </c>
      <c r="G36" s="9" t="s">
        <v>235</v>
      </c>
      <c r="H36" s="13" t="s">
        <v>157</v>
      </c>
      <c r="I36" s="11" t="s">
        <v>158</v>
      </c>
    </row>
    <row r="37" spans="2:9" ht="14.45">
      <c r="B37" s="8" t="s">
        <v>20</v>
      </c>
      <c r="C37" s="8" t="s">
        <v>159</v>
      </c>
      <c r="D37" s="8" t="s">
        <v>153</v>
      </c>
      <c r="E37" s="9" t="s">
        <v>236</v>
      </c>
      <c r="F37" s="8" t="s">
        <v>155</v>
      </c>
      <c r="G37" s="8" t="s">
        <v>189</v>
      </c>
      <c r="H37" s="13" t="s">
        <v>157</v>
      </c>
      <c r="I37" s="11" t="s">
        <v>158</v>
      </c>
    </row>
    <row r="38" spans="2:9" ht="14.45">
      <c r="B38" s="8" t="s">
        <v>20</v>
      </c>
      <c r="C38" s="8" t="s">
        <v>237</v>
      </c>
      <c r="D38" s="8" t="s">
        <v>95</v>
      </c>
      <c r="E38" s="9" t="s">
        <v>238</v>
      </c>
      <c r="F38" s="8" t="s">
        <v>95</v>
      </c>
      <c r="G38" s="9" t="s">
        <v>238</v>
      </c>
    </row>
    <row r="39" spans="2:9" ht="14.45">
      <c r="B39" s="8" t="s">
        <v>20</v>
      </c>
      <c r="C39" s="8" t="s">
        <v>159</v>
      </c>
      <c r="D39" s="8" t="s">
        <v>153</v>
      </c>
      <c r="E39" s="9" t="s">
        <v>239</v>
      </c>
      <c r="G39" s="8"/>
    </row>
    <row r="40" spans="2:9" ht="14.45">
      <c r="B40" s="8" t="s">
        <v>20</v>
      </c>
      <c r="C40" s="8" t="s">
        <v>161</v>
      </c>
      <c r="D40" s="8" t="s">
        <v>162</v>
      </c>
      <c r="E40" s="10" t="s">
        <v>240</v>
      </c>
      <c r="H40" s="13" t="s">
        <v>157</v>
      </c>
      <c r="I40" s="11" t="s">
        <v>158</v>
      </c>
    </row>
    <row r="41" spans="2:9" ht="14.45">
      <c r="B41" s="8" t="s">
        <v>20</v>
      </c>
      <c r="C41" s="8" t="s">
        <v>241</v>
      </c>
      <c r="D41" s="8" t="s">
        <v>184</v>
      </c>
      <c r="E41" s="9" t="s">
        <v>242</v>
      </c>
      <c r="F41" s="8" t="s">
        <v>177</v>
      </c>
      <c r="I41" s="11" t="s">
        <v>243</v>
      </c>
    </row>
    <row r="42" spans="2:9" ht="14.45">
      <c r="B42" s="8" t="s">
        <v>20</v>
      </c>
      <c r="C42" s="8" t="s">
        <v>244</v>
      </c>
      <c r="D42" s="8" t="s">
        <v>184</v>
      </c>
      <c r="E42" s="10" t="s">
        <v>245</v>
      </c>
      <c r="F42" s="8" t="s">
        <v>177</v>
      </c>
      <c r="G42" s="10" t="s">
        <v>246</v>
      </c>
      <c r="H42" s="14"/>
      <c r="I42" s="11" t="s">
        <v>243</v>
      </c>
    </row>
    <row r="43" spans="2:9" ht="14.45">
      <c r="B43" s="8" t="s">
        <v>20</v>
      </c>
      <c r="C43" s="8" t="s">
        <v>247</v>
      </c>
      <c r="E43" s="10" t="s">
        <v>89</v>
      </c>
      <c r="G43" s="10" t="s">
        <v>248</v>
      </c>
      <c r="H43" s="14"/>
    </row>
    <row r="44" spans="2:9" ht="14.45">
      <c r="B44" s="8" t="s">
        <v>249</v>
      </c>
      <c r="C44" s="8" t="s">
        <v>152</v>
      </c>
      <c r="D44" s="8" t="s">
        <v>153</v>
      </c>
      <c r="E44" s="9" t="s">
        <v>250</v>
      </c>
      <c r="F44" s="8" t="s">
        <v>155</v>
      </c>
      <c r="G44" s="9" t="s">
        <v>250</v>
      </c>
      <c r="H44" s="13" t="s">
        <v>157</v>
      </c>
      <c r="I44" s="11" t="s">
        <v>228</v>
      </c>
    </row>
    <row r="45" spans="2:9" ht="14.45">
      <c r="B45" s="8" t="s">
        <v>249</v>
      </c>
      <c r="C45" s="8" t="s">
        <v>159</v>
      </c>
      <c r="D45" s="8" t="s">
        <v>153</v>
      </c>
      <c r="E45" s="9" t="s">
        <v>251</v>
      </c>
      <c r="F45" s="8" t="s">
        <v>155</v>
      </c>
      <c r="G45" s="9" t="s">
        <v>251</v>
      </c>
      <c r="H45" s="13" t="s">
        <v>157</v>
      </c>
      <c r="I45" s="11" t="s">
        <v>228</v>
      </c>
    </row>
    <row r="46" spans="2:9" ht="14.45">
      <c r="B46" s="8" t="s">
        <v>249</v>
      </c>
      <c r="C46" s="8" t="s">
        <v>161</v>
      </c>
      <c r="D46" s="8" t="s">
        <v>162</v>
      </c>
      <c r="E46" s="10" t="s">
        <v>252</v>
      </c>
      <c r="F46" s="8" t="s">
        <v>162</v>
      </c>
      <c r="G46" s="9" t="str">
        <f>E46</f>
        <v>M3_ARMatcher - Repos</v>
      </c>
      <c r="H46" s="13" t="s">
        <v>157</v>
      </c>
      <c r="I46" s="11" t="s">
        <v>228</v>
      </c>
    </row>
    <row r="47" spans="2:9" ht="14.45">
      <c r="B47" s="8" t="s">
        <v>249</v>
      </c>
      <c r="C47" s="8" t="s">
        <v>215</v>
      </c>
      <c r="D47" s="8" t="s">
        <v>177</v>
      </c>
      <c r="E47" s="10" t="s">
        <v>253</v>
      </c>
      <c r="F47" s="8" t="s">
        <v>177</v>
      </c>
      <c r="G47" s="9" t="str">
        <f>E47</f>
        <v>\\bgusmsrv0019\PncBank\dev\barnesasraymondM3</v>
      </c>
      <c r="H47" s="13" t="s">
        <v>157</v>
      </c>
      <c r="I47" s="11" t="s">
        <v>228</v>
      </c>
    </row>
    <row r="48" spans="2:9" ht="14.45">
      <c r="B48" s="8" t="s">
        <v>249</v>
      </c>
      <c r="C48" s="8" t="s">
        <v>176</v>
      </c>
      <c r="D48" s="8" t="s">
        <v>177</v>
      </c>
      <c r="I48" s="11" t="s">
        <v>228</v>
      </c>
    </row>
    <row r="49" spans="2:9" ht="14.45">
      <c r="B49" s="8" t="s">
        <v>23</v>
      </c>
    </row>
    <row r="50" spans="2:9" ht="14.45">
      <c r="B50" s="8" t="s">
        <v>254</v>
      </c>
    </row>
    <row r="51" spans="2:9" ht="14.45">
      <c r="B51" s="8" t="s">
        <v>255</v>
      </c>
      <c r="I51" s="11" t="s">
        <v>172</v>
      </c>
    </row>
    <row r="52" spans="2:9" ht="15" customHeight="1">
      <c r="B52" s="8" t="s">
        <v>256</v>
      </c>
      <c r="F52" s="8" t="s">
        <v>155</v>
      </c>
      <c r="G52" s="9" t="s">
        <v>257</v>
      </c>
      <c r="I52" s="11" t="s">
        <v>158</v>
      </c>
    </row>
  </sheetData>
  <hyperlinks>
    <hyperlink ref="E34" r:id="rId1" xr:uid="{E7483A0E-5A37-4212-AEE2-85060E7C4DBD}"/>
    <hyperlink ref="E10" r:id="rId2" display="https://dev.azure.com/bgi-corporate/SSIS_Integrations/_git/CforiaExtracts" xr:uid="{C0757DCF-613A-4E3C-909F-9E04DF4B4032}"/>
    <hyperlink ref="E16" r:id="rId3" display="https://dev.azure.com/bgi-corporate/SSIS_Integrations/_git/ConcurExtracts" xr:uid="{7E9E7F6E-CE08-4F24-BBBB-F199ED7BA380}"/>
    <hyperlink ref="E20" r:id="rId4" display="https://dev.azure.com/bgi-corporate/SSIS_Integrations/_git/ConcurImport" xr:uid="{D63B07C0-799E-403F-81BE-A79460AE4093}"/>
    <hyperlink ref="E25" r:id="rId5" display="https://dev.azure.com/bgi-corporate/SSIS_Integrations/_git/ConcurImport" xr:uid="{4C061958-86A8-4D3F-8886-5B71E7C3DBDB}"/>
    <hyperlink ref="E31" r:id="rId6" xr:uid="{4893D62A-C2EF-4AB8-A045-3D9DC0DD72AE}"/>
    <hyperlink ref="E35" r:id="rId7" xr:uid="{D4D2C457-0167-4FCF-9E5C-DF78141A7EAF}"/>
    <hyperlink ref="E40" r:id="rId8" xr:uid="{61D9E34D-5A86-4D15-894A-9500DFCD4AA7}"/>
    <hyperlink ref="E46" r:id="rId9" display="https://dev.azure.com/bgi-corporate/SSIS_Integrations/_git/M3_ARMatcher" xr:uid="{B087A662-AD02-4ED1-B249-C3B6D85C493F}"/>
    <hyperlink ref="E47" r:id="rId10" xr:uid="{85550521-0438-42FF-A920-2F1CD375FD1D}"/>
    <hyperlink ref="E28" r:id="rId11" xr:uid="{B76B6BCD-BD14-43A0-AA1B-9F1E2C9C78F5}"/>
    <hyperlink ref="E42" r:id="rId12" xr:uid="{15F62EEF-52A4-4EA9-A8DD-EAFE3574F562}"/>
    <hyperlink ref="G42" r:id="rId13" xr:uid="{75320C1E-E597-453D-AFFA-68EC26F90450}"/>
    <hyperlink ref="G11" r:id="rId14" xr:uid="{8B4817DE-AE51-43A2-953E-19A1632F2719}"/>
    <hyperlink ref="E5" r:id="rId15" xr:uid="{77687345-0DCB-443D-B2A0-D19FE82D7E16}"/>
    <hyperlink ref="G5" r:id="rId16" xr:uid="{92B3C0D5-2491-4853-B26D-6F76ABA3B398}"/>
    <hyperlink ref="G35" r:id="rId17" xr:uid="{2B51D762-661C-4E30-B04A-014C6E57BFCF}"/>
    <hyperlink ref="G14" r:id="rId18" xr:uid="{2862341A-2620-4BD5-9F7A-2F52B17B0708}"/>
    <hyperlink ref="E43" r:id="rId19" xr:uid="{0AB3FA47-CDE2-41D4-A013-AD63E56AF921}"/>
    <hyperlink ref="G34" r:id="rId20" xr:uid="{F65D1A5A-E924-4E98-876A-5E2029ADE4E4}"/>
  </hyperlinks>
  <pageMargins left="0.7" right="0.7" top="0.75" bottom="0.75" header="0.3" footer="0.3"/>
  <pageSetup orientation="portrait" r:id="rId2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EF00-B173-4087-ACFF-8366D9E58454}">
  <dimension ref="B1:J53"/>
  <sheetViews>
    <sheetView workbookViewId="0">
      <pane xSplit="1" ySplit="1" topLeftCell="B38" activePane="bottomRight" state="frozen"/>
      <selection pane="bottomRight" activeCell="I4" sqref="I4:I17"/>
      <selection pane="bottomLeft" activeCell="A2" sqref="A2"/>
      <selection pane="topRight" activeCell="B1" sqref="B1"/>
    </sheetView>
  </sheetViews>
  <sheetFormatPr defaultColWidth="8.7109375" defaultRowHeight="15" customHeight="1"/>
  <cols>
    <col min="1" max="1" width="8.7109375" style="8"/>
    <col min="2" max="2" width="22.42578125" style="8" customWidth="1"/>
    <col min="3" max="3" width="28.85546875" style="8" customWidth="1"/>
    <col min="4" max="4" width="17.85546875" style="8" customWidth="1"/>
    <col min="5" max="5" width="52" style="9" customWidth="1"/>
    <col min="6" max="6" width="16.42578125" style="8" customWidth="1"/>
    <col min="7" max="7" width="54.28515625" style="9" customWidth="1"/>
    <col min="8" max="8" width="15.42578125" style="13" hidden="1" customWidth="1"/>
    <col min="9" max="9" width="19.42578125" style="11" customWidth="1"/>
    <col min="10" max="16384" width="8.7109375" style="8"/>
  </cols>
  <sheetData>
    <row r="1" spans="2:9" ht="29.1">
      <c r="B1" s="6" t="s">
        <v>88</v>
      </c>
      <c r="C1" s="6" t="s">
        <v>146</v>
      </c>
      <c r="D1" s="6" t="s">
        <v>43</v>
      </c>
      <c r="E1" s="7" t="s">
        <v>147</v>
      </c>
      <c r="F1" s="6" t="s">
        <v>148</v>
      </c>
      <c r="G1" s="7" t="s">
        <v>149</v>
      </c>
      <c r="H1" s="12" t="s">
        <v>150</v>
      </c>
      <c r="I1" s="7" t="s">
        <v>151</v>
      </c>
    </row>
    <row r="2" spans="2:9" ht="14.45">
      <c r="I2" s="9"/>
    </row>
    <row r="3" spans="2:9" ht="14.45">
      <c r="B3" s="8" t="s">
        <v>5</v>
      </c>
      <c r="C3" s="8" t="s">
        <v>152</v>
      </c>
      <c r="D3" s="8" t="s">
        <v>153</v>
      </c>
      <c r="E3" s="9" t="s">
        <v>154</v>
      </c>
      <c r="F3" s="8" t="s">
        <v>155</v>
      </c>
      <c r="G3" s="9" t="s">
        <v>258</v>
      </c>
      <c r="H3" s="13" t="s">
        <v>157</v>
      </c>
      <c r="I3" s="11" t="s">
        <v>158</v>
      </c>
    </row>
    <row r="4" spans="2:9" ht="14.45">
      <c r="B4" s="8" t="s">
        <v>5</v>
      </c>
      <c r="C4" s="8" t="s">
        <v>159</v>
      </c>
      <c r="D4" s="8" t="s">
        <v>153</v>
      </c>
      <c r="E4" s="9" t="s">
        <v>160</v>
      </c>
      <c r="F4" s="8" t="s">
        <v>155</v>
      </c>
      <c r="G4" s="9" t="str">
        <f>E4</f>
        <v>/ASR BoA/ASR M3 BoA/ASR M3 APCheckACH.dtsx</v>
      </c>
      <c r="H4" s="13" t="s">
        <v>157</v>
      </c>
      <c r="I4" s="11" t="s">
        <v>158</v>
      </c>
    </row>
    <row r="5" spans="2:9" ht="29.1">
      <c r="B5" s="8" t="s">
        <v>5</v>
      </c>
      <c r="C5" s="8" t="s">
        <v>161</v>
      </c>
      <c r="D5" s="8" t="s">
        <v>162</v>
      </c>
      <c r="E5" s="10" t="s">
        <v>163</v>
      </c>
      <c r="F5" s="8" t="s">
        <v>162</v>
      </c>
      <c r="G5" s="2" t="s">
        <v>164</v>
      </c>
      <c r="H5" s="13" t="s">
        <v>157</v>
      </c>
      <c r="I5" s="11" t="s">
        <v>158</v>
      </c>
    </row>
    <row r="6" spans="2:9" ht="14.45">
      <c r="B6" s="8" t="s">
        <v>5</v>
      </c>
      <c r="C6" s="8" t="s">
        <v>165</v>
      </c>
      <c r="D6" s="8" t="s">
        <v>153</v>
      </c>
      <c r="E6" s="9" t="s">
        <v>166</v>
      </c>
      <c r="F6" s="8" t="s">
        <v>165</v>
      </c>
      <c r="G6" s="9" t="s">
        <v>166</v>
      </c>
      <c r="H6" s="13" t="s">
        <v>157</v>
      </c>
      <c r="I6" s="11" t="s">
        <v>158</v>
      </c>
    </row>
    <row r="7" spans="2:9" ht="14.45">
      <c r="B7" s="8" t="s">
        <v>9</v>
      </c>
      <c r="C7" s="8" t="s">
        <v>167</v>
      </c>
      <c r="D7" s="15"/>
      <c r="E7" s="9" t="s">
        <v>168</v>
      </c>
    </row>
    <row r="8" spans="2:9" ht="14.45">
      <c r="B8" s="8" t="s">
        <v>169</v>
      </c>
      <c r="C8" s="8" t="s">
        <v>152</v>
      </c>
      <c r="D8" s="8" t="s">
        <v>153</v>
      </c>
      <c r="E8" s="9" t="s">
        <v>170</v>
      </c>
      <c r="F8" s="8" t="s">
        <v>155</v>
      </c>
      <c r="G8" s="9" t="s">
        <v>171</v>
      </c>
      <c r="I8" s="11" t="s">
        <v>172</v>
      </c>
    </row>
    <row r="9" spans="2:9" ht="14.45">
      <c r="B9" s="8" t="s">
        <v>169</v>
      </c>
      <c r="C9" s="8" t="s">
        <v>159</v>
      </c>
      <c r="D9" s="8" t="s">
        <v>153</v>
      </c>
      <c r="E9" s="9" t="s">
        <v>173</v>
      </c>
      <c r="F9" s="8" t="s">
        <v>155</v>
      </c>
      <c r="G9" s="9" t="s">
        <v>174</v>
      </c>
      <c r="I9" s="11" t="s">
        <v>172</v>
      </c>
    </row>
    <row r="10" spans="2:9" ht="14.45">
      <c r="B10" s="8" t="s">
        <v>169</v>
      </c>
      <c r="C10" s="8" t="s">
        <v>161</v>
      </c>
      <c r="D10" s="8" t="s">
        <v>153</v>
      </c>
      <c r="E10" s="10" t="s">
        <v>175</v>
      </c>
      <c r="I10" s="11" t="s">
        <v>172</v>
      </c>
    </row>
    <row r="11" spans="2:9" ht="14.45">
      <c r="B11" s="8" t="s">
        <v>169</v>
      </c>
      <c r="C11" s="8" t="s">
        <v>176</v>
      </c>
      <c r="D11" s="8" t="s">
        <v>177</v>
      </c>
      <c r="E11" s="9" t="s">
        <v>178</v>
      </c>
      <c r="F11" s="8" t="s">
        <v>177</v>
      </c>
      <c r="G11" s="10" t="s">
        <v>179</v>
      </c>
      <c r="H11" s="14"/>
      <c r="I11" s="11" t="s">
        <v>172</v>
      </c>
    </row>
    <row r="12" spans="2:9" ht="14.45">
      <c r="B12" s="8" t="s">
        <v>180</v>
      </c>
      <c r="C12" s="8" t="s">
        <v>152</v>
      </c>
      <c r="D12" s="8" t="s">
        <v>153</v>
      </c>
      <c r="E12" s="9" t="s">
        <v>181</v>
      </c>
      <c r="F12" s="8" t="s">
        <v>155</v>
      </c>
      <c r="G12" s="9" t="s">
        <v>181</v>
      </c>
      <c r="I12" s="11" t="s">
        <v>172</v>
      </c>
    </row>
    <row r="13" spans="2:9" ht="14.45">
      <c r="B13" s="8" t="s">
        <v>180</v>
      </c>
      <c r="C13" s="8" t="s">
        <v>159</v>
      </c>
      <c r="D13" s="8" t="s">
        <v>153</v>
      </c>
      <c r="E13" s="9" t="s">
        <v>182</v>
      </c>
      <c r="F13" s="8" t="s">
        <v>155</v>
      </c>
      <c r="I13" s="11" t="s">
        <v>172</v>
      </c>
    </row>
    <row r="14" spans="2:9" ht="14.45">
      <c r="B14" s="8" t="s">
        <v>180</v>
      </c>
      <c r="C14" s="8" t="s">
        <v>183</v>
      </c>
      <c r="D14" s="8" t="s">
        <v>184</v>
      </c>
      <c r="F14" s="8" t="s">
        <v>177</v>
      </c>
      <c r="G14" s="10" t="s">
        <v>185</v>
      </c>
    </row>
    <row r="15" spans="2:9" ht="14.45">
      <c r="B15" s="8" t="s">
        <v>180</v>
      </c>
      <c r="C15" s="8" t="s">
        <v>186</v>
      </c>
      <c r="D15" s="8" t="s">
        <v>187</v>
      </c>
      <c r="E15" s="9" t="s">
        <v>188</v>
      </c>
      <c r="F15" s="8" t="s">
        <v>189</v>
      </c>
      <c r="I15" s="11" t="s">
        <v>172</v>
      </c>
    </row>
    <row r="16" spans="2:9" ht="14.45">
      <c r="B16" s="8" t="s">
        <v>180</v>
      </c>
      <c r="C16" s="8" t="s">
        <v>190</v>
      </c>
      <c r="D16" s="8" t="s">
        <v>153</v>
      </c>
      <c r="E16" s="10" t="s">
        <v>191</v>
      </c>
      <c r="F16" s="8" t="s">
        <v>162</v>
      </c>
      <c r="I16" s="11" t="s">
        <v>172</v>
      </c>
    </row>
    <row r="17" spans="2:10" ht="14.45">
      <c r="B17" s="8" t="s">
        <v>192</v>
      </c>
      <c r="C17" s="8" t="s">
        <v>152</v>
      </c>
      <c r="D17" s="8" t="s">
        <v>153</v>
      </c>
      <c r="E17" s="9" t="s">
        <v>193</v>
      </c>
      <c r="F17" s="8" t="s">
        <v>155</v>
      </c>
      <c r="G17" s="9" t="s">
        <v>193</v>
      </c>
      <c r="I17" s="11" t="s">
        <v>172</v>
      </c>
    </row>
    <row r="18" spans="2:10" ht="14.45">
      <c r="B18" s="8" t="s">
        <v>192</v>
      </c>
      <c r="C18" s="8" t="s">
        <v>159</v>
      </c>
      <c r="D18" s="8" t="s">
        <v>153</v>
      </c>
      <c r="E18" s="9" t="s">
        <v>194</v>
      </c>
      <c r="F18" s="8" t="s">
        <v>195</v>
      </c>
      <c r="I18" s="11" t="s">
        <v>172</v>
      </c>
    </row>
    <row r="19" spans="2:10" ht="14.45">
      <c r="B19" s="8" t="s">
        <v>192</v>
      </c>
      <c r="C19" s="8" t="s">
        <v>186</v>
      </c>
      <c r="D19" s="8" t="s">
        <v>196</v>
      </c>
      <c r="F19" s="8" t="s">
        <v>197</v>
      </c>
      <c r="I19" s="11" t="s">
        <v>172</v>
      </c>
    </row>
    <row r="20" spans="2:10" ht="14.45">
      <c r="B20" s="8" t="s">
        <v>192</v>
      </c>
      <c r="C20" s="8" t="s">
        <v>190</v>
      </c>
      <c r="D20" s="8" t="s">
        <v>153</v>
      </c>
      <c r="E20" s="10" t="s">
        <v>198</v>
      </c>
      <c r="F20" s="8" t="s">
        <v>199</v>
      </c>
      <c r="I20" s="11" t="s">
        <v>172</v>
      </c>
    </row>
    <row r="21" spans="2:10" ht="29.1">
      <c r="B21" s="8" t="s">
        <v>192</v>
      </c>
      <c r="C21" s="8" t="s">
        <v>200</v>
      </c>
      <c r="D21" s="8" t="s">
        <v>177</v>
      </c>
      <c r="E21" s="9" t="s">
        <v>201</v>
      </c>
      <c r="F21" s="9" t="s">
        <v>202</v>
      </c>
      <c r="I21" s="11" t="s">
        <v>172</v>
      </c>
    </row>
    <row r="22" spans="2:10" ht="14.45">
      <c r="B22" s="8" t="s">
        <v>192</v>
      </c>
      <c r="C22" s="8" t="s">
        <v>200</v>
      </c>
      <c r="E22" s="9" t="s">
        <v>203</v>
      </c>
      <c r="F22" s="9" t="s">
        <v>177</v>
      </c>
      <c r="G22" s="9" t="s">
        <v>204</v>
      </c>
    </row>
    <row r="23" spans="2:10" ht="14.45">
      <c r="B23" s="8" t="s">
        <v>205</v>
      </c>
      <c r="C23" s="8" t="s">
        <v>152</v>
      </c>
      <c r="D23" s="8" t="s">
        <v>153</v>
      </c>
      <c r="E23" s="9" t="s">
        <v>206</v>
      </c>
      <c r="F23" s="8" t="s">
        <v>207</v>
      </c>
      <c r="G23" s="9" t="s">
        <v>208</v>
      </c>
      <c r="I23" s="11" t="s">
        <v>172</v>
      </c>
      <c r="J23" s="8" t="s">
        <v>209</v>
      </c>
    </row>
    <row r="24" spans="2:10" ht="14.45">
      <c r="B24" s="8" t="s">
        <v>205</v>
      </c>
      <c r="C24" s="8" t="s">
        <v>159</v>
      </c>
      <c r="D24" s="8" t="s">
        <v>153</v>
      </c>
      <c r="E24" s="9" t="s">
        <v>210</v>
      </c>
      <c r="F24" s="8" t="s">
        <v>207</v>
      </c>
      <c r="G24" s="9" t="s">
        <v>211</v>
      </c>
      <c r="I24" s="11" t="s">
        <v>172</v>
      </c>
    </row>
    <row r="25" spans="2:10" ht="14.45">
      <c r="B25" s="8" t="s">
        <v>205</v>
      </c>
      <c r="C25" s="8" t="s">
        <v>161</v>
      </c>
      <c r="D25" s="8" t="s">
        <v>153</v>
      </c>
      <c r="E25" s="10" t="s">
        <v>198</v>
      </c>
      <c r="I25" s="11" t="s">
        <v>172</v>
      </c>
    </row>
    <row r="26" spans="2:10" ht="29.1">
      <c r="B26" s="8" t="s">
        <v>205</v>
      </c>
      <c r="C26" s="8" t="s">
        <v>200</v>
      </c>
      <c r="D26" s="8" t="s">
        <v>177</v>
      </c>
      <c r="E26" s="9" t="s">
        <v>212</v>
      </c>
      <c r="F26" s="9" t="s">
        <v>202</v>
      </c>
      <c r="I26" s="11" t="s">
        <v>172</v>
      </c>
    </row>
    <row r="27" spans="2:10" ht="14.45">
      <c r="B27" s="8" t="s">
        <v>205</v>
      </c>
      <c r="C27" s="8" t="s">
        <v>200</v>
      </c>
      <c r="E27" s="9" t="s">
        <v>213</v>
      </c>
      <c r="F27" s="9" t="s">
        <v>177</v>
      </c>
      <c r="G27" s="9" t="s">
        <v>214</v>
      </c>
      <c r="I27" s="11" t="s">
        <v>172</v>
      </c>
    </row>
    <row r="28" spans="2:10" ht="14.45">
      <c r="B28" s="8" t="s">
        <v>205</v>
      </c>
      <c r="C28" s="8" t="s">
        <v>215</v>
      </c>
      <c r="D28" s="8" t="s">
        <v>216</v>
      </c>
      <c r="E28" s="10" t="s">
        <v>217</v>
      </c>
      <c r="F28" s="8" t="s">
        <v>218</v>
      </c>
      <c r="I28" s="11" t="s">
        <v>172</v>
      </c>
    </row>
    <row r="29" spans="2:10" ht="14.45">
      <c r="B29" s="11" t="s">
        <v>219</v>
      </c>
      <c r="C29" s="11" t="s">
        <v>152</v>
      </c>
      <c r="D29" s="11" t="s">
        <v>153</v>
      </c>
      <c r="E29" s="33" t="s">
        <v>259</v>
      </c>
      <c r="F29" s="8" t="s">
        <v>155</v>
      </c>
      <c r="G29" s="9" t="s">
        <v>221</v>
      </c>
      <c r="H29" s="13" t="s">
        <v>157</v>
      </c>
      <c r="I29" s="11" t="s">
        <v>222</v>
      </c>
    </row>
    <row r="30" spans="2:10" ht="14.45">
      <c r="B30" s="11" t="s">
        <v>219</v>
      </c>
      <c r="C30" s="11" t="s">
        <v>159</v>
      </c>
      <c r="D30" s="11" t="s">
        <v>153</v>
      </c>
      <c r="E30" s="33" t="s">
        <v>223</v>
      </c>
      <c r="F30" s="8" t="s">
        <v>155</v>
      </c>
      <c r="G30" s="9" t="s">
        <v>224</v>
      </c>
      <c r="I30" s="11" t="s">
        <v>225</v>
      </c>
      <c r="J30" s="8" t="s">
        <v>226</v>
      </c>
    </row>
    <row r="31" spans="2:10" ht="29.1">
      <c r="B31" s="11" t="s">
        <v>219</v>
      </c>
      <c r="C31" s="11" t="s">
        <v>161</v>
      </c>
      <c r="D31" s="11" t="s">
        <v>162</v>
      </c>
      <c r="E31" s="34" t="s">
        <v>227</v>
      </c>
      <c r="F31" s="8" t="s">
        <v>162</v>
      </c>
      <c r="G31" s="9" t="str">
        <f>E31</f>
        <v>https://dev.azure.com/bgi-corporate/SSIS_Integrations/_git/BGI_DW_M3</v>
      </c>
      <c r="H31" s="13" t="s">
        <v>157</v>
      </c>
      <c r="I31" s="11" t="s">
        <v>228</v>
      </c>
    </row>
    <row r="32" spans="2:10" ht="14.45">
      <c r="B32" s="8" t="s">
        <v>29</v>
      </c>
      <c r="C32" s="8" t="s">
        <v>152</v>
      </c>
      <c r="D32" s="8" t="s">
        <v>153</v>
      </c>
      <c r="E32" s="9" t="s">
        <v>229</v>
      </c>
      <c r="F32" s="8" t="s">
        <v>155</v>
      </c>
      <c r="G32" s="9" t="s">
        <v>229</v>
      </c>
      <c r="H32" s="13" t="s">
        <v>157</v>
      </c>
      <c r="I32" s="11" t="s">
        <v>230</v>
      </c>
    </row>
    <row r="33" spans="2:9" ht="14.45">
      <c r="B33" s="8" t="s">
        <v>29</v>
      </c>
      <c r="C33" s="8" t="s">
        <v>159</v>
      </c>
      <c r="D33" s="8" t="s">
        <v>153</v>
      </c>
      <c r="E33" s="9" t="s">
        <v>229</v>
      </c>
      <c r="F33" s="8" t="s">
        <v>155</v>
      </c>
      <c r="G33" s="9" t="s">
        <v>229</v>
      </c>
      <c r="H33" s="13" t="s">
        <v>157</v>
      </c>
      <c r="I33" s="11" t="s">
        <v>230</v>
      </c>
    </row>
    <row r="34" spans="2:9" ht="43.5">
      <c r="B34" s="8" t="s">
        <v>29</v>
      </c>
      <c r="C34" s="8" t="s">
        <v>161</v>
      </c>
      <c r="D34" s="8" t="s">
        <v>162</v>
      </c>
      <c r="E34" s="10" t="s">
        <v>231</v>
      </c>
      <c r="F34" s="8" t="s">
        <v>155</v>
      </c>
      <c r="G34" s="10" t="s">
        <v>231</v>
      </c>
      <c r="H34" s="13" t="s">
        <v>157</v>
      </c>
      <c r="I34" s="11" t="s">
        <v>230</v>
      </c>
    </row>
    <row r="35" spans="2:9" ht="14.45">
      <c r="B35" s="8" t="s">
        <v>27</v>
      </c>
      <c r="E35" s="10" t="s">
        <v>232</v>
      </c>
      <c r="G35" s="10" t="s">
        <v>233</v>
      </c>
      <c r="H35" s="13" t="s">
        <v>157</v>
      </c>
      <c r="I35" s="11" t="s">
        <v>228</v>
      </c>
    </row>
    <row r="36" spans="2:9" ht="14.45">
      <c r="B36" s="8" t="s">
        <v>20</v>
      </c>
      <c r="C36" s="8" t="s">
        <v>152</v>
      </c>
      <c r="D36" s="8" t="s">
        <v>153</v>
      </c>
      <c r="E36" s="9" t="s">
        <v>234</v>
      </c>
      <c r="F36" s="8" t="s">
        <v>155</v>
      </c>
      <c r="G36" s="9" t="s">
        <v>235</v>
      </c>
      <c r="H36" s="13" t="s">
        <v>157</v>
      </c>
      <c r="I36" s="11" t="s">
        <v>158</v>
      </c>
    </row>
    <row r="37" spans="2:9" ht="14.45">
      <c r="B37" s="8" t="s">
        <v>20</v>
      </c>
      <c r="C37" s="8" t="s">
        <v>159</v>
      </c>
      <c r="D37" s="8" t="s">
        <v>153</v>
      </c>
      <c r="E37" s="9" t="s">
        <v>236</v>
      </c>
      <c r="F37" s="8" t="s">
        <v>155</v>
      </c>
      <c r="G37" s="8" t="s">
        <v>189</v>
      </c>
      <c r="H37" s="13" t="s">
        <v>157</v>
      </c>
      <c r="I37" s="11" t="s">
        <v>158</v>
      </c>
    </row>
    <row r="38" spans="2:9" ht="14.45">
      <c r="B38" s="8" t="s">
        <v>20</v>
      </c>
      <c r="C38" s="8" t="s">
        <v>237</v>
      </c>
      <c r="D38" s="8" t="s">
        <v>95</v>
      </c>
      <c r="E38" s="9" t="s">
        <v>238</v>
      </c>
      <c r="F38" s="8" t="s">
        <v>95</v>
      </c>
      <c r="G38" s="9" t="s">
        <v>238</v>
      </c>
    </row>
    <row r="39" spans="2:9" ht="14.45">
      <c r="B39" s="8" t="s">
        <v>20</v>
      </c>
      <c r="C39" s="8" t="s">
        <v>159</v>
      </c>
      <c r="D39" s="8" t="s">
        <v>153</v>
      </c>
      <c r="E39" s="9" t="s">
        <v>239</v>
      </c>
      <c r="G39" s="8"/>
    </row>
    <row r="40" spans="2:9" ht="14.45">
      <c r="B40" s="8" t="s">
        <v>20</v>
      </c>
      <c r="C40" s="8" t="s">
        <v>161</v>
      </c>
      <c r="D40" s="8" t="s">
        <v>162</v>
      </c>
      <c r="E40" s="10" t="s">
        <v>240</v>
      </c>
      <c r="H40" s="13" t="s">
        <v>157</v>
      </c>
      <c r="I40" s="11" t="s">
        <v>158</v>
      </c>
    </row>
    <row r="41" spans="2:9" ht="14.45">
      <c r="B41" s="8" t="s">
        <v>20</v>
      </c>
      <c r="C41" s="8" t="s">
        <v>241</v>
      </c>
      <c r="D41" s="8" t="s">
        <v>184</v>
      </c>
      <c r="E41" s="9" t="s">
        <v>242</v>
      </c>
      <c r="F41" s="8" t="s">
        <v>177</v>
      </c>
      <c r="I41" s="11" t="s">
        <v>243</v>
      </c>
    </row>
    <row r="42" spans="2:9" ht="14.45">
      <c r="B42" s="8" t="s">
        <v>20</v>
      </c>
      <c r="C42" s="8" t="s">
        <v>244</v>
      </c>
      <c r="D42" s="8" t="s">
        <v>184</v>
      </c>
      <c r="E42" s="10" t="s">
        <v>245</v>
      </c>
      <c r="F42" s="8" t="s">
        <v>177</v>
      </c>
      <c r="G42" s="10" t="s">
        <v>246</v>
      </c>
      <c r="H42" s="14"/>
      <c r="I42" s="11" t="s">
        <v>243</v>
      </c>
    </row>
    <row r="43" spans="2:9" ht="14.45">
      <c r="B43" s="8" t="s">
        <v>20</v>
      </c>
      <c r="C43" s="8" t="s">
        <v>247</v>
      </c>
      <c r="E43" s="10" t="s">
        <v>89</v>
      </c>
      <c r="G43" s="10" t="s">
        <v>248</v>
      </c>
      <c r="H43" s="14"/>
    </row>
    <row r="44" spans="2:9" ht="14.45">
      <c r="B44" s="8" t="s">
        <v>260</v>
      </c>
      <c r="E44" s="10"/>
      <c r="G44" s="10"/>
      <c r="H44" s="14"/>
    </row>
    <row r="45" spans="2:9" ht="14.45">
      <c r="B45" s="8" t="s">
        <v>249</v>
      </c>
      <c r="C45" s="8" t="s">
        <v>152</v>
      </c>
      <c r="D45" s="8" t="s">
        <v>153</v>
      </c>
      <c r="E45" s="9" t="s">
        <v>250</v>
      </c>
      <c r="F45" s="8" t="s">
        <v>155</v>
      </c>
      <c r="G45" s="9" t="s">
        <v>250</v>
      </c>
      <c r="H45" s="13" t="s">
        <v>157</v>
      </c>
      <c r="I45" s="11" t="s">
        <v>228</v>
      </c>
    </row>
    <row r="46" spans="2:9" ht="14.45">
      <c r="B46" s="8" t="s">
        <v>249</v>
      </c>
      <c r="C46" s="8" t="s">
        <v>159</v>
      </c>
      <c r="D46" s="8" t="s">
        <v>153</v>
      </c>
      <c r="E46" s="9" t="s">
        <v>251</v>
      </c>
      <c r="F46" s="8" t="s">
        <v>155</v>
      </c>
      <c r="G46" s="9" t="s">
        <v>251</v>
      </c>
      <c r="H46" s="13" t="s">
        <v>157</v>
      </c>
      <c r="I46" s="11" t="s">
        <v>228</v>
      </c>
    </row>
    <row r="47" spans="2:9" ht="14.45">
      <c r="B47" s="8" t="s">
        <v>249</v>
      </c>
      <c r="C47" s="8" t="s">
        <v>161</v>
      </c>
      <c r="D47" s="8" t="s">
        <v>162</v>
      </c>
      <c r="E47" s="10" t="s">
        <v>252</v>
      </c>
      <c r="F47" s="8" t="s">
        <v>162</v>
      </c>
      <c r="G47" s="9" t="str">
        <f>E47</f>
        <v>M3_ARMatcher - Repos</v>
      </c>
      <c r="H47" s="13" t="s">
        <v>157</v>
      </c>
      <c r="I47" s="11" t="s">
        <v>228</v>
      </c>
    </row>
    <row r="48" spans="2:9" ht="14.45">
      <c r="B48" s="8" t="s">
        <v>249</v>
      </c>
      <c r="C48" s="8" t="s">
        <v>215</v>
      </c>
      <c r="D48" s="8" t="s">
        <v>177</v>
      </c>
      <c r="E48" s="10" t="s">
        <v>253</v>
      </c>
      <c r="F48" s="8" t="s">
        <v>177</v>
      </c>
      <c r="G48" s="9" t="str">
        <f>E48</f>
        <v>\\bgusmsrv0019\PncBank\dev\barnesasraymondM3</v>
      </c>
      <c r="H48" s="13" t="s">
        <v>157</v>
      </c>
      <c r="I48" s="11" t="s">
        <v>228</v>
      </c>
    </row>
    <row r="49" spans="2:9" ht="14.45">
      <c r="B49" s="8" t="s">
        <v>249</v>
      </c>
      <c r="C49" s="8" t="s">
        <v>176</v>
      </c>
      <c r="D49" s="8" t="s">
        <v>177</v>
      </c>
      <c r="I49" s="11" t="s">
        <v>228</v>
      </c>
    </row>
    <row r="50" spans="2:9" ht="14.45">
      <c r="B50" s="8" t="s">
        <v>23</v>
      </c>
    </row>
    <row r="51" spans="2:9" ht="14.45">
      <c r="B51" s="8" t="s">
        <v>254</v>
      </c>
    </row>
    <row r="52" spans="2:9" ht="14.45">
      <c r="B52" s="8" t="s">
        <v>255</v>
      </c>
      <c r="I52" s="11" t="s">
        <v>172</v>
      </c>
    </row>
    <row r="53" spans="2:9" ht="15" customHeight="1">
      <c r="B53" s="8" t="s">
        <v>256</v>
      </c>
      <c r="F53" s="8" t="s">
        <v>155</v>
      </c>
      <c r="G53" s="9" t="s">
        <v>257</v>
      </c>
      <c r="I53" s="11" t="s">
        <v>158</v>
      </c>
    </row>
  </sheetData>
  <autoFilter ref="A1:J1" xr:uid="{C55CEF00-B173-4087-ACFF-8366D9E58454}"/>
  <hyperlinks>
    <hyperlink ref="E34" r:id="rId1" xr:uid="{32BD7537-49A8-442C-B378-19D6574CA7F7}"/>
    <hyperlink ref="E10" r:id="rId2" display="https://dev.azure.com/bgi-corporate/SSIS_Integrations/_git/CforiaExtracts" xr:uid="{95CAFD23-4E85-41DA-8DEA-7D739DA73ED7}"/>
    <hyperlink ref="E16" r:id="rId3" display="https://dev.azure.com/bgi-corporate/SSIS_Integrations/_git/ConcurExtracts" xr:uid="{9C439B3A-A6D9-4047-BE5F-281AAC9EB329}"/>
    <hyperlink ref="E20" r:id="rId4" display="https://dev.azure.com/bgi-corporate/SSIS_Integrations/_git/ConcurImport" xr:uid="{333E4AC4-E23E-4A13-A2A8-E969DB464843}"/>
    <hyperlink ref="E25" r:id="rId5" display="https://dev.azure.com/bgi-corporate/SSIS_Integrations/_git/ConcurImport" xr:uid="{ECE0B9C1-23BF-4610-AEAD-CA5018DF095A}"/>
    <hyperlink ref="E31" r:id="rId6" xr:uid="{2C8AFED8-5E83-4C40-B5EC-62E41C78279F}"/>
    <hyperlink ref="E35" r:id="rId7" xr:uid="{551179A8-11D4-4B98-815F-CED9AC4847C7}"/>
    <hyperlink ref="E40" r:id="rId8" xr:uid="{3B86A38D-53BC-46F0-A833-B451D25096FD}"/>
    <hyperlink ref="E47" r:id="rId9" display="https://dev.azure.com/bgi-corporate/SSIS_Integrations/_git/M3_ARMatcher" xr:uid="{D1B81D50-1DA3-4694-A0C0-D0BF8E31B5F5}"/>
    <hyperlink ref="E48" r:id="rId10" xr:uid="{241DFF06-2241-49FD-88ED-782C6F07E993}"/>
    <hyperlink ref="E28" r:id="rId11" xr:uid="{A87C26E2-D0D5-450D-93C4-7F96F4A982B1}"/>
    <hyperlink ref="E42" r:id="rId12" xr:uid="{2132AABE-6FBD-4CF6-9CC5-C6CF77E2681F}"/>
    <hyperlink ref="G42" r:id="rId13" xr:uid="{E8719209-0845-47D8-8FC1-4626243C388D}"/>
    <hyperlink ref="G11" r:id="rId14" xr:uid="{F5CBEC29-21DA-4206-B5B0-B548253F9863}"/>
    <hyperlink ref="E5" r:id="rId15" xr:uid="{BDD53EC9-91F8-4F6B-B223-0C2C7F899ACE}"/>
    <hyperlink ref="G5" r:id="rId16" xr:uid="{177039A4-8BC7-4C6C-8961-570C97B89C16}"/>
    <hyperlink ref="G35" r:id="rId17" xr:uid="{7F05866A-9596-45F4-A0FD-E3478FD02221}"/>
    <hyperlink ref="G14" r:id="rId18" xr:uid="{0704B1FF-4A6A-4B5F-A730-1B9F399F9AF0}"/>
    <hyperlink ref="E43" r:id="rId19" xr:uid="{00ADBB85-FE79-440A-927C-F2068F52A740}"/>
    <hyperlink ref="G34" r:id="rId20" xr:uid="{FCCEB8A6-8418-49B6-ACCF-2486E0D9F855}"/>
  </hyperlinks>
  <pageMargins left="0.7" right="0.7" top="0.75" bottom="0.75" header="0.3" footer="0.3"/>
  <pageSetup orientation="portrait" r:id="rId2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C4C8-982C-4AFC-9235-EEFC071DA31C}">
  <dimension ref="B1:L22"/>
  <sheetViews>
    <sheetView workbookViewId="0">
      <pane xSplit="1" ySplit="1" topLeftCell="B2" activePane="bottomRight" state="frozen"/>
      <selection pane="bottomRight" activeCell="B23" sqref="B23"/>
      <selection pane="bottomLeft" activeCell="A2" sqref="A2"/>
      <selection pane="topRight" activeCell="B1" sqref="B1"/>
    </sheetView>
  </sheetViews>
  <sheetFormatPr defaultColWidth="8.7109375" defaultRowHeight="15" customHeight="1"/>
  <cols>
    <col min="1" max="1" width="8.7109375" style="8"/>
    <col min="2" max="2" width="22.42578125" style="8" customWidth="1"/>
    <col min="3" max="3" width="28.85546875" style="8" customWidth="1"/>
    <col min="4" max="4" width="17.85546875" style="8" hidden="1" customWidth="1"/>
    <col min="5" max="5" width="52" style="9" customWidth="1"/>
    <col min="6" max="6" width="16.42578125" style="8" customWidth="1"/>
    <col min="7" max="7" width="54.28515625" style="9" customWidth="1"/>
    <col min="8" max="8" width="19.42578125" style="23" customWidth="1"/>
    <col min="9" max="9" width="23.42578125" style="9" customWidth="1"/>
    <col min="10" max="10" width="15.42578125" style="13" customWidth="1"/>
    <col min="11" max="11" width="15.42578125" style="13" hidden="1" customWidth="1"/>
    <col min="12" max="12" width="9.140625" style="8"/>
    <col min="13" max="16384" width="8.7109375" style="8"/>
  </cols>
  <sheetData>
    <row r="1" spans="2:12" ht="29.1">
      <c r="B1" s="6" t="s">
        <v>88</v>
      </c>
      <c r="C1" s="6" t="s">
        <v>146</v>
      </c>
      <c r="D1" s="6" t="s">
        <v>43</v>
      </c>
      <c r="E1" s="7" t="s">
        <v>147</v>
      </c>
      <c r="F1" s="6" t="s">
        <v>148</v>
      </c>
      <c r="G1" s="7" t="s">
        <v>149</v>
      </c>
      <c r="H1" s="23" t="s">
        <v>151</v>
      </c>
      <c r="I1" s="20" t="s">
        <v>261</v>
      </c>
      <c r="J1" s="20" t="s">
        <v>262</v>
      </c>
      <c r="K1" s="12" t="s">
        <v>150</v>
      </c>
    </row>
    <row r="2" spans="2:12" ht="14.45">
      <c r="B2" s="8" t="s">
        <v>5</v>
      </c>
      <c r="C2" s="8" t="s">
        <v>152</v>
      </c>
      <c r="D2" s="8" t="s">
        <v>153</v>
      </c>
      <c r="E2" s="9" t="s">
        <v>154</v>
      </c>
      <c r="F2" s="8" t="s">
        <v>155</v>
      </c>
      <c r="G2" s="9" t="s">
        <v>258</v>
      </c>
      <c r="H2" s="23" t="s">
        <v>158</v>
      </c>
      <c r="I2" s="21" t="s">
        <v>263</v>
      </c>
      <c r="J2" s="24" t="s">
        <v>157</v>
      </c>
      <c r="K2" s="13" t="s">
        <v>157</v>
      </c>
    </row>
    <row r="3" spans="2:12" ht="14.45">
      <c r="B3" s="8" t="s">
        <v>9</v>
      </c>
      <c r="C3" s="8" t="s">
        <v>167</v>
      </c>
      <c r="D3" s="15"/>
      <c r="E3" s="9" t="s">
        <v>168</v>
      </c>
      <c r="H3" s="23" t="s">
        <v>264</v>
      </c>
      <c r="I3" s="21" t="s">
        <v>263</v>
      </c>
    </row>
    <row r="4" spans="2:12" ht="14.45">
      <c r="B4" s="25" t="s">
        <v>169</v>
      </c>
      <c r="C4" s="25" t="s">
        <v>152</v>
      </c>
      <c r="D4" s="25" t="s">
        <v>153</v>
      </c>
      <c r="E4" s="26" t="s">
        <v>170</v>
      </c>
      <c r="F4" s="25" t="s">
        <v>155</v>
      </c>
      <c r="G4" s="26" t="s">
        <v>171</v>
      </c>
      <c r="H4" s="23" t="s">
        <v>172</v>
      </c>
      <c r="I4" s="22" t="s">
        <v>265</v>
      </c>
    </row>
    <row r="5" spans="2:12" ht="14.45">
      <c r="B5" s="8" t="s">
        <v>180</v>
      </c>
      <c r="C5" s="8" t="s">
        <v>152</v>
      </c>
      <c r="D5" s="8" t="s">
        <v>153</v>
      </c>
      <c r="E5" s="9" t="s">
        <v>181</v>
      </c>
      <c r="F5" s="8" t="s">
        <v>155</v>
      </c>
      <c r="G5" s="9" t="s">
        <v>266</v>
      </c>
      <c r="H5" s="23" t="s">
        <v>172</v>
      </c>
      <c r="I5" s="21" t="s">
        <v>263</v>
      </c>
    </row>
    <row r="6" spans="2:12" ht="14.45">
      <c r="B6" s="8" t="s">
        <v>180</v>
      </c>
      <c r="C6" s="8" t="s">
        <v>183</v>
      </c>
      <c r="D6" s="8" t="s">
        <v>184</v>
      </c>
      <c r="F6" s="8" t="s">
        <v>177</v>
      </c>
      <c r="G6" s="10" t="s">
        <v>185</v>
      </c>
      <c r="H6" s="23" t="s">
        <v>172</v>
      </c>
      <c r="I6" s="21" t="s">
        <v>263</v>
      </c>
    </row>
    <row r="7" spans="2:12" ht="14.45">
      <c r="B7" s="8" t="s">
        <v>192</v>
      </c>
      <c r="C7" s="8" t="s">
        <v>152</v>
      </c>
      <c r="D7" s="8" t="s">
        <v>153</v>
      </c>
      <c r="E7" s="9" t="s">
        <v>193</v>
      </c>
      <c r="F7" s="8" t="s">
        <v>155</v>
      </c>
      <c r="G7" s="9" t="s">
        <v>267</v>
      </c>
      <c r="H7" s="23" t="s">
        <v>172</v>
      </c>
      <c r="I7" s="21" t="s">
        <v>263</v>
      </c>
    </row>
    <row r="8" spans="2:12" ht="14.45">
      <c r="B8" s="8" t="s">
        <v>205</v>
      </c>
      <c r="C8" s="8" t="s">
        <v>152</v>
      </c>
      <c r="D8" s="8" t="s">
        <v>153</v>
      </c>
      <c r="E8" s="9" t="s">
        <v>206</v>
      </c>
      <c r="F8" s="8" t="s">
        <v>207</v>
      </c>
      <c r="G8" s="9" t="s">
        <v>208</v>
      </c>
      <c r="H8" s="23" t="s">
        <v>172</v>
      </c>
      <c r="I8" s="21" t="s">
        <v>263</v>
      </c>
      <c r="L8" s="8" t="s">
        <v>209</v>
      </c>
    </row>
    <row r="9" spans="2:12" ht="14.45">
      <c r="B9" s="8" t="s">
        <v>205</v>
      </c>
      <c r="C9" s="8" t="s">
        <v>215</v>
      </c>
      <c r="D9" s="8" t="s">
        <v>216</v>
      </c>
      <c r="E9" s="10" t="s">
        <v>217</v>
      </c>
      <c r="F9" s="8" t="s">
        <v>218</v>
      </c>
      <c r="H9" s="23" t="s">
        <v>172</v>
      </c>
      <c r="I9" s="21" t="s">
        <v>263</v>
      </c>
    </row>
    <row r="10" spans="2:12" ht="14.45">
      <c r="B10" s="8" t="s">
        <v>219</v>
      </c>
      <c r="C10" s="8" t="s">
        <v>152</v>
      </c>
      <c r="D10" s="8" t="s">
        <v>153</v>
      </c>
      <c r="E10" s="9" t="s">
        <v>220</v>
      </c>
      <c r="F10" s="8" t="s">
        <v>155</v>
      </c>
      <c r="G10" s="9" t="s">
        <v>221</v>
      </c>
      <c r="H10" s="23" t="s">
        <v>264</v>
      </c>
      <c r="I10" s="21" t="s">
        <v>263</v>
      </c>
      <c r="J10" s="24" t="s">
        <v>157</v>
      </c>
      <c r="K10" s="13" t="s">
        <v>157</v>
      </c>
    </row>
    <row r="11" spans="2:12" ht="14.45">
      <c r="B11" s="8" t="s">
        <v>29</v>
      </c>
      <c r="C11" s="8" t="s">
        <v>152</v>
      </c>
      <c r="D11" s="8" t="s">
        <v>153</v>
      </c>
      <c r="E11" s="9" t="s">
        <v>229</v>
      </c>
      <c r="F11" s="8" t="s">
        <v>155</v>
      </c>
      <c r="G11" s="9" t="s">
        <v>229</v>
      </c>
      <c r="H11" s="23" t="s">
        <v>230</v>
      </c>
      <c r="I11" s="21" t="s">
        <v>263</v>
      </c>
      <c r="K11" s="13" t="s">
        <v>157</v>
      </c>
    </row>
    <row r="12" spans="2:12" ht="14.45">
      <c r="B12" s="8" t="s">
        <v>27</v>
      </c>
      <c r="E12" s="10" t="s">
        <v>232</v>
      </c>
      <c r="G12" s="10" t="s">
        <v>233</v>
      </c>
      <c r="H12" s="23" t="s">
        <v>228</v>
      </c>
      <c r="I12" s="21" t="s">
        <v>263</v>
      </c>
      <c r="K12" s="13" t="s">
        <v>157</v>
      </c>
    </row>
    <row r="13" spans="2:12" ht="14.45">
      <c r="B13" s="8" t="s">
        <v>20</v>
      </c>
      <c r="C13" s="8" t="s">
        <v>152</v>
      </c>
      <c r="D13" s="8" t="s">
        <v>153</v>
      </c>
      <c r="E13" s="9" t="s">
        <v>234</v>
      </c>
      <c r="F13" s="8" t="s">
        <v>155</v>
      </c>
      <c r="G13" s="9" t="s">
        <v>235</v>
      </c>
      <c r="H13" s="23" t="s">
        <v>158</v>
      </c>
      <c r="I13" s="21" t="s">
        <v>263</v>
      </c>
      <c r="J13" s="24" t="s">
        <v>157</v>
      </c>
      <c r="K13" s="13" t="s">
        <v>157</v>
      </c>
    </row>
    <row r="14" spans="2:12" ht="14.45">
      <c r="B14" s="8" t="s">
        <v>249</v>
      </c>
      <c r="C14" s="8" t="s">
        <v>152</v>
      </c>
      <c r="D14" s="8" t="s">
        <v>153</v>
      </c>
      <c r="E14" s="9" t="s">
        <v>250</v>
      </c>
      <c r="F14" s="8" t="s">
        <v>155</v>
      </c>
      <c r="G14" s="9" t="s">
        <v>250</v>
      </c>
      <c r="H14" s="23" t="s">
        <v>228</v>
      </c>
      <c r="I14" s="21" t="s">
        <v>268</v>
      </c>
      <c r="K14" s="13" t="s">
        <v>157</v>
      </c>
    </row>
    <row r="15" spans="2:12" ht="14.45">
      <c r="B15" s="8" t="s">
        <v>249</v>
      </c>
      <c r="C15" s="8" t="s">
        <v>215</v>
      </c>
      <c r="D15" s="8" t="s">
        <v>177</v>
      </c>
      <c r="E15" s="10" t="s">
        <v>253</v>
      </c>
      <c r="F15" s="8" t="s">
        <v>177</v>
      </c>
      <c r="G15" s="9" t="str">
        <f>E15</f>
        <v>\\bgusmsrv0019\PncBank\dev\barnesasraymondM3</v>
      </c>
      <c r="H15" s="23" t="s">
        <v>228</v>
      </c>
      <c r="I15" s="21"/>
      <c r="K15" s="13" t="s">
        <v>157</v>
      </c>
    </row>
    <row r="16" spans="2:12" ht="14.45">
      <c r="B16" s="8" t="s">
        <v>249</v>
      </c>
      <c r="C16" s="8" t="s">
        <v>176</v>
      </c>
      <c r="D16" s="8" t="s">
        <v>177</v>
      </c>
      <c r="H16" s="23" t="s">
        <v>228</v>
      </c>
      <c r="I16" s="21"/>
    </row>
    <row r="17" spans="2:10" ht="14.45">
      <c r="B17" s="8" t="s">
        <v>23</v>
      </c>
      <c r="H17" s="23" t="s">
        <v>269</v>
      </c>
      <c r="I17" s="21" t="s">
        <v>269</v>
      </c>
    </row>
    <row r="18" spans="2:10" ht="14.45">
      <c r="B18" s="8" t="s">
        <v>254</v>
      </c>
      <c r="H18" s="23" t="s">
        <v>269</v>
      </c>
      <c r="I18" s="21" t="s">
        <v>269</v>
      </c>
    </row>
    <row r="19" spans="2:10" ht="29.1">
      <c r="B19" s="8" t="s">
        <v>270</v>
      </c>
      <c r="F19" s="8" t="s">
        <v>155</v>
      </c>
      <c r="G19" s="9" t="s">
        <v>271</v>
      </c>
      <c r="H19" s="23" t="s">
        <v>172</v>
      </c>
      <c r="I19" s="21" t="s">
        <v>272</v>
      </c>
      <c r="J19" s="27" t="s">
        <v>265</v>
      </c>
    </row>
    <row r="20" spans="2:10" ht="14.45">
      <c r="B20" s="8" t="s">
        <v>255</v>
      </c>
      <c r="F20" s="8" t="s">
        <v>155</v>
      </c>
      <c r="G20" s="8" t="s">
        <v>273</v>
      </c>
      <c r="H20" s="23" t="s">
        <v>172</v>
      </c>
      <c r="I20" s="21"/>
      <c r="J20" s="27" t="s">
        <v>265</v>
      </c>
    </row>
    <row r="21" spans="2:10" ht="15" customHeight="1">
      <c r="B21" s="8" t="s">
        <v>256</v>
      </c>
      <c r="C21" s="8" t="s">
        <v>152</v>
      </c>
      <c r="E21" s="9" t="s">
        <v>274</v>
      </c>
      <c r="F21" s="8" t="s">
        <v>155</v>
      </c>
      <c r="G21" s="9" t="s">
        <v>257</v>
      </c>
      <c r="H21" s="23" t="s">
        <v>158</v>
      </c>
      <c r="I21" s="21" t="s">
        <v>275</v>
      </c>
    </row>
    <row r="22" spans="2:10" ht="15" customHeight="1">
      <c r="B22" s="8" t="s">
        <v>7</v>
      </c>
      <c r="C22" s="8" t="s">
        <v>177</v>
      </c>
      <c r="E22" s="9" t="s">
        <v>276</v>
      </c>
      <c r="H22" s="23" t="s">
        <v>277</v>
      </c>
    </row>
  </sheetData>
  <hyperlinks>
    <hyperlink ref="E12" r:id="rId1" xr:uid="{696B349F-E028-4243-8FA6-6BB4F2FF6F51}"/>
    <hyperlink ref="E15" r:id="rId2" xr:uid="{09C38709-FFFD-4785-9790-FB77BC32A0BD}"/>
    <hyperlink ref="E9" r:id="rId3" xr:uid="{37346600-02A4-4EB4-87FE-BF167324B5F3}"/>
    <hyperlink ref="G12" r:id="rId4" xr:uid="{62E42CC2-3534-4CEB-AB23-A61201839AAB}"/>
    <hyperlink ref="G6" r:id="rId5" xr:uid="{5D5C612C-8806-4B98-B126-D6A6C8E3FF3E}"/>
  </hyperlink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BE0D-4397-4CE3-B281-8351D289D9DC}">
  <dimension ref="A1:A4"/>
  <sheetViews>
    <sheetView workbookViewId="0"/>
  </sheetViews>
  <sheetFormatPr defaultRowHeight="14.45"/>
  <sheetData>
    <row r="1" spans="1:1">
      <c r="A1" t="s">
        <v>278</v>
      </c>
    </row>
    <row r="2" spans="1:1">
      <c r="A2" t="s">
        <v>279</v>
      </c>
    </row>
    <row r="3" spans="1:1">
      <c r="A3" t="s">
        <v>280</v>
      </c>
    </row>
    <row r="4" spans="1:1">
      <c r="A4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9C8BA2-9F57-46B0-823F-75964B290057}"/>
</file>

<file path=customXml/itemProps2.xml><?xml version="1.0" encoding="utf-8"?>
<ds:datastoreItem xmlns:ds="http://schemas.openxmlformats.org/officeDocument/2006/customXml" ds:itemID="{781261CF-6502-4D5F-85B4-6F5972A13045}"/>
</file>

<file path=customXml/itemProps3.xml><?xml version="1.0" encoding="utf-8"?>
<ds:datastoreItem xmlns:ds="http://schemas.openxmlformats.org/officeDocument/2006/customXml" ds:itemID="{264B0A14-7F11-436D-8D67-1F7ACFDE39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Dean Amo</dc:creator>
  <cp:keywords/>
  <dc:description/>
  <cp:lastModifiedBy>Pronovost1, Eric</cp:lastModifiedBy>
  <cp:revision/>
  <dcterms:created xsi:type="dcterms:W3CDTF">2024-09-30T12:00:20Z</dcterms:created>
  <dcterms:modified xsi:type="dcterms:W3CDTF">2026-09-29T20:22:27Z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  <property fmtid="{D5CDD505-2E9C-101B-9397-08002B2CF9AE}" pid="5" name="MSIP_Label_09fef5ea-23bc-46f0-a82c-ef3e79912e21_Enabled">
    <vt:lpwstr>true</vt:lpwstr>
  </property>
  <property fmtid="{D5CDD505-2E9C-101B-9397-08002B2CF9AE}" pid="6" name="MSIP_Label_09fef5ea-23bc-46f0-a82c-ef3e79912e21_SetDate">
    <vt:lpwstr>2024-09-30T12:51:57Z</vt:lpwstr>
  </property>
  <property fmtid="{D5CDD505-2E9C-101B-9397-08002B2CF9AE}" pid="7" name="MSIP_Label_09fef5ea-23bc-46f0-a82c-ef3e79912e21_Method">
    <vt:lpwstr>Privileged</vt:lpwstr>
  </property>
  <property fmtid="{D5CDD505-2E9C-101B-9397-08002B2CF9AE}" pid="8" name="MSIP_Label_09fef5ea-23bc-46f0-a82c-ef3e79912e21_Name">
    <vt:lpwstr>Restricted</vt:lpwstr>
  </property>
  <property fmtid="{D5CDD505-2E9C-101B-9397-08002B2CF9AE}" pid="9" name="MSIP_Label_09fef5ea-23bc-46f0-a82c-ef3e79912e21_SiteId">
    <vt:lpwstr>443614e2-ebe4-4568-8af0-66ca270d653f</vt:lpwstr>
  </property>
  <property fmtid="{D5CDD505-2E9C-101B-9397-08002B2CF9AE}" pid="10" name="MSIP_Label_09fef5ea-23bc-46f0-a82c-ef3e79912e21_ActionId">
    <vt:lpwstr>67c4a1d0-af69-4411-97b4-fa8fdb4f00ad</vt:lpwstr>
  </property>
  <property fmtid="{D5CDD505-2E9C-101B-9397-08002B2CF9AE}" pid="11" name="MSIP_Label_09fef5ea-23bc-46f0-a82c-ef3e79912e21_ContentBits">
    <vt:lpwstr>0</vt:lpwstr>
  </property>
  <property fmtid="{D5CDD505-2E9C-101B-9397-08002B2CF9AE}" pid="12" name="MediaServiceImageTags">
    <vt:lpwstr/>
  </property>
</Properties>
</file>