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arnesgroup-my.sharepoint.com/personal/udagc_bg_bg1857_net/Documents/2025 Projects/FMC- ASR to M3/Tax/"/>
    </mc:Choice>
  </mc:AlternateContent>
  <xr:revisionPtr revIDLastSave="0" documentId="8_{8D203ABB-E295-413D-AB01-2247ECCBA09A}" xr6:coauthVersionLast="47" xr6:coauthVersionMax="47" xr10:uidLastSave="{00000000-0000-0000-0000-000000000000}"/>
  <bookViews>
    <workbookView xWindow="12420" yWindow="-20220" windowWidth="24330" windowHeight="18105" activeTab="1" xr2:uid="{6240F406-0DE2-4EF8-9DCD-13CF0B35D045}"/>
  </bookViews>
  <sheets>
    <sheet name="Sheet1" sheetId="1" r:id="rId1"/>
    <sheet name="Sheet2" sheetId="2" r:id="rId2"/>
  </sheets>
  <definedNames>
    <definedName name="_xlnm._FilterDatabase" localSheetId="1" hidden="1">Sheet2!$A$2:$B$2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1" i="2" l="1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B1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1">
    <s v="pbiazure://api.powerbi.com e55cac87-3b7e-449a-abaa-a7924f817c3d Model"/>
    <s v="{[USSLSCUS].[MAJOR].[All]}"/>
    <s v="{[USSLSCUS].[CUST_AL4].[All]}"/>
    <s v="{[USSLSCUS].[ITEM_DESC].[All]}"/>
    <s v="{[USSLSCUS].[DATA-WeekNo].[All]}"/>
    <s v="{[USSLSCUS].[CUST_AL5].[All]}"/>
    <s v="{[USSLSCUS].[REL-USSLSCUS-ProductLine].[All]}"/>
    <s v="{[USSLSCUS].[REL-USSLSCUS-LeadTimeAVG].[All]}"/>
    <s v="{[USSLSCUS].[DATA-Yr/Mo].[All]}"/>
    <s v="{[USSLSCUS].[REL-USSLSCUS-ProductType].[All]}"/>
    <s v="{[USSLSCUS].[REL-USSLSCUS-BuyerName].[All]}"/>
    <s v="{[USSLSCUS].[INVDATE].[All]}"/>
    <s v="{[USSLSCUS].[CUST_NAME].[All]}"/>
    <s v="{[USSLSCUS].[MINOR].[All]}"/>
    <s v="{[USSLSCUS].[DATA-Month].[All]}"/>
    <s v="{[USSLSCUS].[REL-USSLSCUS-CustType].[All]}"/>
    <s v="{[USSLSCUS].[REL-USSLSCUS-MinorDesc].[All]}"/>
    <s v="{[USSLSCUS].[DATA-Day].[All]}"/>
    <s v="{[USSLSCUS].[CUST_NO].[All]}"/>
    <s v="{[USSLSCUS].[DATA-WeekDayName].[All]}"/>
    <s v="{[USSLSCUS].[SHIP_AL5].[All]}"/>
  </metadataStrings>
  <mdxMetadata count="20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  <mdx n="0" f="s">
      <ms ns="8" c="0"/>
    </mdx>
    <mdx n="0" f="s">
      <ms ns="9" c="0"/>
    </mdx>
    <mdx n="0" f="s">
      <ms ns="10" c="0"/>
    </mdx>
    <mdx n="0" f="s">
      <ms ns="11" c="0"/>
    </mdx>
    <mdx n="0" f="s">
      <ms ns="12" c="0"/>
    </mdx>
    <mdx n="0" f="s">
      <ms ns="13" c="0"/>
    </mdx>
    <mdx n="0" f="s">
      <ms ns="14" c="0"/>
    </mdx>
    <mdx n="0" f="s">
      <ms ns="15" c="0"/>
    </mdx>
    <mdx n="0" f="s">
      <ms ns="16" c="0"/>
    </mdx>
    <mdx n="0" f="s">
      <ms ns="17" c="0"/>
    </mdx>
    <mdx n="0" f="s">
      <ms ns="18" c="0"/>
    </mdx>
    <mdx n="0" f="s">
      <ms ns="19" c="0"/>
    </mdx>
    <mdx n="0" f="s">
      <ms ns="20" c="0"/>
    </mdx>
  </mdxMetadata>
  <valueMetadata count="20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</valueMetadata>
</metadata>
</file>

<file path=xl/sharedStrings.xml><?xml version="1.0" encoding="utf-8"?>
<sst xmlns="http://schemas.openxmlformats.org/spreadsheetml/2006/main" count="198" uniqueCount="113">
  <si>
    <t>MAJOR</t>
  </si>
  <si>
    <t>All</t>
  </si>
  <si>
    <t>CUST_AL4</t>
  </si>
  <si>
    <t>ITEM_DESC</t>
  </si>
  <si>
    <t>DATA-WeekNo</t>
  </si>
  <si>
    <t>CUST_AL5</t>
  </si>
  <si>
    <t>REL-USSLSCUS-ProductLine</t>
  </si>
  <si>
    <t>REL-USSLSCUS-LeadTimeAVG</t>
  </si>
  <si>
    <t>DATA-Yr/Mo</t>
  </si>
  <si>
    <t>REL-USSLSCUS-ProductType</t>
  </si>
  <si>
    <t>REL-USSLSCUS-BuyerName</t>
  </si>
  <si>
    <t>INVDATE</t>
  </si>
  <si>
    <t>CUST_NAME</t>
  </si>
  <si>
    <t>MINOR</t>
  </si>
  <si>
    <t>DATA-Month</t>
  </si>
  <si>
    <t>REL-USSLSCUS-CustType</t>
  </si>
  <si>
    <t>REL-USSLSCUS-MinorDesc</t>
  </si>
  <si>
    <t>DATA-Day</t>
  </si>
  <si>
    <t>CUST_NO</t>
  </si>
  <si>
    <t>SHIP_CODE2</t>
  </si>
  <si>
    <t>DATA-WeekDayName</t>
  </si>
  <si>
    <t>SHIP_AL5</t>
  </si>
  <si>
    <t>INVOICED SALES</t>
  </si>
  <si>
    <t>Distinct Count of INV_NO</t>
  </si>
  <si>
    <t>DATA-Year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</si>
  <si>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</si>
  <si>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</si>
  <si>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</si>
  <si>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</si>
  <si>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</si>
  <si>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</si>
  <si>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</si>
  <si>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</si>
  <si>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</si>
  <si>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</si>
  <si>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</si>
  <si>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</si>
  <si>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</si>
  <si>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</si>
  <si>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</si>
  <si>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</si>
  <si>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AE</t>
  </si>
  <si>
    <t>AN</t>
  </si>
  <si>
    <t>AR</t>
  </si>
  <si>
    <t>AU</t>
  </si>
  <si>
    <t>AUS</t>
  </si>
  <si>
    <t>BH</t>
  </si>
  <si>
    <t>BM</t>
  </si>
  <si>
    <t>BR</t>
  </si>
  <si>
    <t>CDN</t>
  </si>
  <si>
    <t>CH</t>
  </si>
  <si>
    <t>CL</t>
  </si>
  <si>
    <t>CN</t>
  </si>
  <si>
    <t>CO</t>
  </si>
  <si>
    <t>CR</t>
  </si>
  <si>
    <t>CZ</t>
  </si>
  <si>
    <t>DE</t>
  </si>
  <si>
    <t>DK</t>
  </si>
  <si>
    <t>EE</t>
  </si>
  <si>
    <t>ES</t>
  </si>
  <si>
    <t>FI</t>
  </si>
  <si>
    <t>FR</t>
  </si>
  <si>
    <t>GB</t>
  </si>
  <si>
    <t>H</t>
  </si>
  <si>
    <t>HK</t>
  </si>
  <si>
    <t>HU</t>
  </si>
  <si>
    <t>I</t>
  </si>
  <si>
    <t>IE</t>
  </si>
  <si>
    <t>IL</t>
  </si>
  <si>
    <t>IN</t>
  </si>
  <si>
    <t>IRL</t>
  </si>
  <si>
    <t>IS</t>
  </si>
  <si>
    <t>IT</t>
  </si>
  <si>
    <t>JP</t>
  </si>
  <si>
    <t>KR</t>
  </si>
  <si>
    <t>MEX</t>
  </si>
  <si>
    <t>MQ</t>
  </si>
  <si>
    <t>MT</t>
  </si>
  <si>
    <t>MX</t>
  </si>
  <si>
    <t>MY</t>
  </si>
  <si>
    <t>NL</t>
  </si>
  <si>
    <t>NO</t>
  </si>
  <si>
    <t>NZ</t>
  </si>
  <si>
    <t>PA</t>
  </si>
  <si>
    <t>PE</t>
  </si>
  <si>
    <t>PH</t>
  </si>
  <si>
    <t>PL</t>
  </si>
  <si>
    <t>PR</t>
  </si>
  <si>
    <t>PT</t>
  </si>
  <si>
    <t>RO</t>
  </si>
  <si>
    <t>SA</t>
  </si>
  <si>
    <t>SG</t>
  </si>
  <si>
    <t>SK</t>
  </si>
  <si>
    <t>TH</t>
  </si>
  <si>
    <t>TR</t>
  </si>
  <si>
    <t>TT</t>
  </si>
  <si>
    <t>TW</t>
  </si>
  <si>
    <t>USA</t>
  </si>
  <si>
    <t>VG</t>
  </si>
  <si>
    <t>VN</t>
  </si>
  <si>
    <t>Grand Total</t>
  </si>
  <si>
    <t>SHIP_CTRY</t>
  </si>
  <si>
    <t>SHIP_AL1</t>
  </si>
  <si>
    <t>SHIP_AL2</t>
  </si>
  <si>
    <t>SHIP_AL3</t>
  </si>
  <si>
    <t>SHIP_AL4</t>
  </si>
  <si>
    <t>SHIP_CODE1</t>
  </si>
  <si>
    <t>BE</t>
  </si>
  <si>
    <t>DO</t>
  </si>
  <si>
    <t>J</t>
  </si>
  <si>
    <t>MAL</t>
  </si>
  <si>
    <t>T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</si>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</sst>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6" formatCode="_(* #,##0_);_(* \(#,##0\);_(* &quot;-&quot;??_);_(@_)"/>
    <numFmt numFmtId="167" formatCode="0.0%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1" fillId="2" borderId="2" xfId="0" applyFont="1" applyFill="1" applyBorder="1"/>
    <xf numFmtId="0" fontId="0" fillId="2" borderId="0" xfId="0" applyFill="1"/>
    <xf numFmtId="0" fontId="0" fillId="2" borderId="1" xfId="0" applyFill="1" applyBorder="1"/>
    <xf numFmtId="0" fontId="1" fillId="0" borderId="1" xfId="0" applyFont="1" applyBorder="1"/>
    <xf numFmtId="166" fontId="0" fillId="0" borderId="0" xfId="1" applyNumberFormat="1" applyFont="1"/>
    <xf numFmtId="166" fontId="1" fillId="2" borderId="1" xfId="1" applyNumberFormat="1" applyFont="1" applyFill="1" applyBorder="1"/>
    <xf numFmtId="167" fontId="1" fillId="3" borderId="0" xfId="2" applyNumberFormat="1" applyFont="1" applyFill="1" applyAlignment="1">
      <alignment horizontal="center"/>
    </xf>
    <xf numFmtId="167" fontId="0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20B4-8B42-4A38-995D-E457119C88C0}">
  <dimension ref="A1:W75"/>
  <sheetViews>
    <sheetView showGridLines="0" workbookViewId="0">
      <pane ySplit="10" topLeftCell="A11" activePane="bottomLeft" state="frozen"/>
      <selection pane="bottomLeft" activeCell="I74" sqref="A10:I74"/>
    </sheetView>
  </sheetViews>
  <sheetFormatPr defaultRowHeight="14.5" x14ac:dyDescent="0.35"/>
  <sheetData>
    <row r="1" spans="1:23" x14ac:dyDescent="0.35">
      <c r="A1" s="5" t="s">
        <v>0</v>
      </c>
      <c r="B1" s="5" t="s" vm="1">
        <v>1</v>
      </c>
      <c r="D1" s="5" t="s">
        <v>5</v>
      </c>
      <c r="E1" s="5" t="s" vm="5">
        <v>1</v>
      </c>
      <c r="G1" s="5" t="s">
        <v>6</v>
      </c>
      <c r="H1" s="5" t="s" vm="6">
        <v>1</v>
      </c>
    </row>
    <row r="2" spans="1:23" x14ac:dyDescent="0.35">
      <c r="A2" s="5" t="s">
        <v>4</v>
      </c>
      <c r="B2" s="5" t="s" vm="4">
        <v>1</v>
      </c>
      <c r="D2" s="5" t="s">
        <v>8</v>
      </c>
      <c r="E2" s="5" t="s" vm="8">
        <v>1</v>
      </c>
      <c r="G2" s="5" t="s">
        <v>9</v>
      </c>
      <c r="H2" s="5" t="s" vm="9">
        <v>1</v>
      </c>
    </row>
    <row r="3" spans="1:23" x14ac:dyDescent="0.35">
      <c r="A3" s="5" t="s">
        <v>7</v>
      </c>
      <c r="B3" s="5" t="s" vm="7">
        <v>1</v>
      </c>
      <c r="D3" s="5" t="s">
        <v>11</v>
      </c>
      <c r="E3" s="5" t="s" vm="11">
        <v>1</v>
      </c>
      <c r="G3" s="5" t="s">
        <v>12</v>
      </c>
      <c r="H3" s="5" t="s" vm="12">
        <v>1</v>
      </c>
    </row>
    <row r="4" spans="1:23" x14ac:dyDescent="0.35">
      <c r="A4" s="5" t="s">
        <v>10</v>
      </c>
      <c r="B4" s="5" t="s" vm="10">
        <v>1</v>
      </c>
      <c r="D4" s="5" t="s">
        <v>14</v>
      </c>
      <c r="E4" s="5" t="s" vm="14">
        <v>1</v>
      </c>
      <c r="G4" s="5" t="s">
        <v>15</v>
      </c>
      <c r="H4" s="5" t="s" vm="15">
        <v>1</v>
      </c>
    </row>
    <row r="5" spans="1:23" x14ac:dyDescent="0.35">
      <c r="A5" s="5" t="s">
        <v>13</v>
      </c>
      <c r="B5" s="5" t="s" vm="13">
        <v>1</v>
      </c>
      <c r="D5" s="5" t="s">
        <v>17</v>
      </c>
      <c r="E5" s="5" t="s" vm="17">
        <v>1</v>
      </c>
      <c r="G5" s="5" t="s">
        <v>18</v>
      </c>
      <c r="H5" s="5" t="s" vm="18">
        <v>1</v>
      </c>
    </row>
    <row r="6" spans="1:23" x14ac:dyDescent="0.35">
      <c r="A6" s="5" t="s">
        <v>16</v>
      </c>
      <c r="B6" s="5" t="s" vm="16">
        <v>1</v>
      </c>
      <c r="D6" s="5" t="s">
        <v>20</v>
      </c>
      <c r="E6" s="5" t="s" vm="19">
        <v>1</v>
      </c>
      <c r="G6" s="5" t="s">
        <v>21</v>
      </c>
      <c r="H6" s="5" t="s" vm="20">
        <v>1</v>
      </c>
    </row>
    <row r="7" spans="1:23" x14ac:dyDescent="0.35">
      <c r="A7" s="6" t="s">
        <v>2</v>
      </c>
      <c r="B7" s="6" t="s" vm="2">
        <v>1</v>
      </c>
      <c r="D7" s="6" t="s">
        <v>3</v>
      </c>
      <c r="E7" s="6" t="s" vm="3">
        <v>1</v>
      </c>
    </row>
    <row r="8" spans="1:23" x14ac:dyDescent="0.35">
      <c r="A8" s="1" t="s">
        <v>22</v>
      </c>
    </row>
    <row r="9" spans="1:23" x14ac:dyDescent="0.35">
      <c r="A9" s="2" t="s">
        <v>23</v>
      </c>
      <c r="B9" s="2"/>
      <c r="C9" s="2"/>
      <c r="D9" s="2"/>
      <c r="E9" s="2"/>
      <c r="F9" s="2"/>
      <c r="G9" s="2"/>
      <c r="H9" s="2" t="s">
        <v>24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35">
      <c r="A10" s="3" t="s">
        <v>101</v>
      </c>
      <c r="B10" s="3" t="s">
        <v>102</v>
      </c>
      <c r="C10" s="3" t="s">
        <v>103</v>
      </c>
      <c r="D10" s="3" t="s">
        <v>104</v>
      </c>
      <c r="E10" s="3" t="s">
        <v>105</v>
      </c>
      <c r="F10" s="3" t="s">
        <v>106</v>
      </c>
      <c r="G10" s="3" t="s">
        <v>19</v>
      </c>
      <c r="H10" s="3" t="s">
        <v>25</v>
      </c>
      <c r="I10" s="3" t="s">
        <v>26</v>
      </c>
      <c r="J10" s="3" t="s">
        <v>27</v>
      </c>
      <c r="K10" s="3" t="s">
        <v>28</v>
      </c>
      <c r="L10" s="3" t="s">
        <v>29</v>
      </c>
      <c r="M10" s="3" t="s">
        <v>30</v>
      </c>
      <c r="N10" s="3" t="s">
        <v>31</v>
      </c>
      <c r="O10" s="3" t="s">
        <v>32</v>
      </c>
      <c r="P10" s="3" t="s">
        <v>33</v>
      </c>
      <c r="Q10" s="3" t="s">
        <v>34</v>
      </c>
      <c r="R10" s="3" t="s">
        <v>35</v>
      </c>
      <c r="S10" s="3" t="s">
        <v>36</v>
      </c>
      <c r="T10" s="3" t="s">
        <v>37</v>
      </c>
      <c r="U10" s="3" t="s">
        <v>38</v>
      </c>
      <c r="V10" s="3" t="s">
        <v>39</v>
      </c>
      <c r="W10" s="3" t="s">
        <v>40</v>
      </c>
    </row>
    <row r="11" spans="1:23" x14ac:dyDescent="0.35">
      <c r="A11" s="7" t="s">
        <v>41</v>
      </c>
      <c r="J11">
        <v>1</v>
      </c>
      <c r="K11">
        <v>3</v>
      </c>
      <c r="L11">
        <v>1</v>
      </c>
      <c r="M11">
        <v>1</v>
      </c>
      <c r="R11">
        <v>1</v>
      </c>
      <c r="S11">
        <v>1</v>
      </c>
      <c r="V11">
        <v>1</v>
      </c>
      <c r="W11">
        <v>3</v>
      </c>
    </row>
    <row r="12" spans="1:23" x14ac:dyDescent="0.35">
      <c r="A12" s="7" t="s">
        <v>42</v>
      </c>
      <c r="Q12">
        <v>1</v>
      </c>
      <c r="U12">
        <v>12</v>
      </c>
      <c r="V12">
        <v>5</v>
      </c>
    </row>
    <row r="13" spans="1:23" x14ac:dyDescent="0.35">
      <c r="A13" s="7" t="s">
        <v>43</v>
      </c>
      <c r="Q13">
        <v>13</v>
      </c>
      <c r="R13">
        <v>26</v>
      </c>
      <c r="S13">
        <v>7</v>
      </c>
      <c r="T13">
        <v>18</v>
      </c>
      <c r="U13">
        <v>19</v>
      </c>
      <c r="V13">
        <v>23</v>
      </c>
      <c r="W13">
        <v>24</v>
      </c>
    </row>
    <row r="14" spans="1:23" x14ac:dyDescent="0.35">
      <c r="A14" s="7" t="s">
        <v>44</v>
      </c>
      <c r="H14">
        <v>27</v>
      </c>
      <c r="I14">
        <v>146</v>
      </c>
      <c r="J14">
        <v>119</v>
      </c>
      <c r="K14">
        <v>125</v>
      </c>
      <c r="L14">
        <v>240</v>
      </c>
      <c r="M14">
        <v>204</v>
      </c>
      <c r="N14">
        <v>140</v>
      </c>
      <c r="O14">
        <v>141</v>
      </c>
      <c r="P14">
        <v>136</v>
      </c>
      <c r="Q14">
        <v>49</v>
      </c>
      <c r="R14">
        <v>18</v>
      </c>
      <c r="S14">
        <v>17</v>
      </c>
      <c r="T14">
        <v>36</v>
      </c>
      <c r="U14">
        <v>36</v>
      </c>
      <c r="V14">
        <v>29</v>
      </c>
      <c r="W14">
        <v>38</v>
      </c>
    </row>
    <row r="15" spans="1:23" x14ac:dyDescent="0.35">
      <c r="A15" s="7" t="s">
        <v>45</v>
      </c>
      <c r="I15">
        <v>5</v>
      </c>
      <c r="J15">
        <v>3</v>
      </c>
      <c r="K15">
        <v>7</v>
      </c>
      <c r="M15">
        <v>1</v>
      </c>
      <c r="N15">
        <v>1</v>
      </c>
      <c r="O15">
        <v>4</v>
      </c>
      <c r="P15">
        <v>2</v>
      </c>
      <c r="Q15">
        <v>3</v>
      </c>
      <c r="R15">
        <v>1</v>
      </c>
      <c r="S15">
        <v>2</v>
      </c>
      <c r="T15">
        <v>4</v>
      </c>
      <c r="U15">
        <v>9</v>
      </c>
      <c r="V15">
        <v>12</v>
      </c>
      <c r="W15">
        <v>8</v>
      </c>
    </row>
    <row r="16" spans="1:23" x14ac:dyDescent="0.35">
      <c r="A16" s="7" t="s">
        <v>107</v>
      </c>
      <c r="R16">
        <v>1</v>
      </c>
      <c r="V16">
        <v>5</v>
      </c>
      <c r="W16">
        <v>16</v>
      </c>
    </row>
    <row r="17" spans="1:23" x14ac:dyDescent="0.35">
      <c r="A17" s="7" t="s">
        <v>46</v>
      </c>
      <c r="I17">
        <v>2</v>
      </c>
      <c r="J17">
        <v>5</v>
      </c>
      <c r="L17">
        <v>3</v>
      </c>
      <c r="M17">
        <v>2</v>
      </c>
    </row>
    <row r="18" spans="1:23" x14ac:dyDescent="0.35">
      <c r="A18" s="7" t="s">
        <v>47</v>
      </c>
      <c r="I18">
        <v>1</v>
      </c>
      <c r="Q18">
        <v>1</v>
      </c>
      <c r="R18">
        <v>2</v>
      </c>
      <c r="W18">
        <v>1</v>
      </c>
    </row>
    <row r="19" spans="1:23" x14ac:dyDescent="0.35">
      <c r="A19" s="7" t="s">
        <v>48</v>
      </c>
      <c r="H19">
        <v>2</v>
      </c>
      <c r="J19">
        <v>1</v>
      </c>
      <c r="L19">
        <v>3</v>
      </c>
      <c r="M19">
        <v>1</v>
      </c>
      <c r="N19">
        <v>2</v>
      </c>
      <c r="P19">
        <v>1</v>
      </c>
      <c r="Q19">
        <v>2</v>
      </c>
      <c r="R19">
        <v>10</v>
      </c>
      <c r="S19">
        <v>6</v>
      </c>
      <c r="T19">
        <v>9</v>
      </c>
      <c r="U19">
        <v>7</v>
      </c>
      <c r="V19">
        <v>6</v>
      </c>
      <c r="W19">
        <v>20</v>
      </c>
    </row>
    <row r="20" spans="1:23" x14ac:dyDescent="0.35">
      <c r="A20" s="7" t="s">
        <v>49</v>
      </c>
      <c r="H20">
        <v>311</v>
      </c>
      <c r="I20">
        <v>1556</v>
      </c>
      <c r="J20">
        <v>1669</v>
      </c>
      <c r="K20">
        <v>1933</v>
      </c>
      <c r="L20">
        <v>2216</v>
      </c>
      <c r="M20">
        <v>1842</v>
      </c>
      <c r="N20">
        <v>2200</v>
      </c>
      <c r="O20">
        <v>2615</v>
      </c>
      <c r="P20">
        <v>2677</v>
      </c>
      <c r="Q20">
        <v>2696</v>
      </c>
      <c r="R20">
        <v>3281</v>
      </c>
      <c r="S20">
        <v>3269</v>
      </c>
      <c r="T20">
        <v>3301</v>
      </c>
      <c r="U20">
        <v>3297</v>
      </c>
      <c r="V20">
        <v>3684</v>
      </c>
      <c r="W20">
        <v>3490</v>
      </c>
    </row>
    <row r="21" spans="1:23" x14ac:dyDescent="0.35">
      <c r="A21" s="7" t="s">
        <v>50</v>
      </c>
      <c r="H21">
        <v>4</v>
      </c>
      <c r="I21">
        <v>9</v>
      </c>
      <c r="J21">
        <v>17</v>
      </c>
      <c r="K21">
        <v>12</v>
      </c>
      <c r="L21">
        <v>23</v>
      </c>
      <c r="M21">
        <v>11</v>
      </c>
      <c r="N21">
        <v>26</v>
      </c>
      <c r="O21">
        <v>5</v>
      </c>
      <c r="Q21">
        <v>2</v>
      </c>
      <c r="R21">
        <v>1</v>
      </c>
      <c r="S21">
        <v>2</v>
      </c>
      <c r="T21">
        <v>7</v>
      </c>
      <c r="U21">
        <v>16</v>
      </c>
      <c r="V21">
        <v>38</v>
      </c>
      <c r="W21">
        <v>21</v>
      </c>
    </row>
    <row r="22" spans="1:23" x14ac:dyDescent="0.35">
      <c r="A22" s="7" t="s">
        <v>51</v>
      </c>
      <c r="M22">
        <v>3</v>
      </c>
    </row>
    <row r="23" spans="1:23" x14ac:dyDescent="0.35">
      <c r="A23" s="7" t="s">
        <v>52</v>
      </c>
      <c r="H23">
        <v>25</v>
      </c>
      <c r="I23">
        <v>87</v>
      </c>
      <c r="J23">
        <v>65</v>
      </c>
      <c r="K23">
        <v>108</v>
      </c>
      <c r="L23">
        <v>131</v>
      </c>
      <c r="M23">
        <v>89</v>
      </c>
      <c r="N23">
        <v>96</v>
      </c>
      <c r="O23">
        <v>56</v>
      </c>
      <c r="P23">
        <v>19</v>
      </c>
      <c r="Q23">
        <v>33</v>
      </c>
      <c r="R23">
        <v>20</v>
      </c>
      <c r="S23">
        <v>22</v>
      </c>
      <c r="T23">
        <v>52</v>
      </c>
      <c r="U23">
        <v>26</v>
      </c>
      <c r="V23">
        <v>28</v>
      </c>
      <c r="W23">
        <v>14</v>
      </c>
    </row>
    <row r="24" spans="1:23" x14ac:dyDescent="0.35">
      <c r="A24" s="7" t="s">
        <v>53</v>
      </c>
      <c r="H24">
        <v>1</v>
      </c>
      <c r="Q24">
        <v>5</v>
      </c>
    </row>
    <row r="25" spans="1:23" x14ac:dyDescent="0.35">
      <c r="A25" s="7" t="s">
        <v>54</v>
      </c>
      <c r="I25">
        <v>6</v>
      </c>
      <c r="J25">
        <v>6</v>
      </c>
      <c r="K25">
        <v>8</v>
      </c>
      <c r="L25">
        <v>13</v>
      </c>
      <c r="M25">
        <v>7</v>
      </c>
      <c r="N25">
        <v>5</v>
      </c>
      <c r="O25">
        <v>6</v>
      </c>
      <c r="Q25">
        <v>1</v>
      </c>
      <c r="R25">
        <v>3</v>
      </c>
      <c r="U25">
        <v>5</v>
      </c>
      <c r="V25">
        <v>11</v>
      </c>
      <c r="W25">
        <v>8</v>
      </c>
    </row>
    <row r="26" spans="1:23" x14ac:dyDescent="0.35">
      <c r="A26" s="7" t="s">
        <v>55</v>
      </c>
      <c r="I26">
        <v>4</v>
      </c>
      <c r="J26">
        <v>4</v>
      </c>
      <c r="K26">
        <v>1</v>
      </c>
      <c r="L26">
        <v>1</v>
      </c>
    </row>
    <row r="27" spans="1:23" x14ac:dyDescent="0.35">
      <c r="A27" s="7" t="s">
        <v>56</v>
      </c>
      <c r="H27">
        <v>3</v>
      </c>
      <c r="I27">
        <v>2</v>
      </c>
      <c r="J27">
        <v>5</v>
      </c>
      <c r="K27">
        <v>1</v>
      </c>
      <c r="L27">
        <v>4</v>
      </c>
      <c r="N27">
        <v>9</v>
      </c>
      <c r="O27">
        <v>3</v>
      </c>
      <c r="P27">
        <v>4</v>
      </c>
      <c r="Q27">
        <v>2</v>
      </c>
      <c r="R27">
        <v>5</v>
      </c>
      <c r="S27">
        <v>16</v>
      </c>
      <c r="T27">
        <v>17</v>
      </c>
      <c r="U27">
        <v>12</v>
      </c>
      <c r="V27">
        <v>23</v>
      </c>
      <c r="W27">
        <v>13</v>
      </c>
    </row>
    <row r="28" spans="1:23" x14ac:dyDescent="0.35">
      <c r="A28" s="7" t="s">
        <v>57</v>
      </c>
      <c r="I28">
        <v>2</v>
      </c>
      <c r="V28">
        <v>1</v>
      </c>
    </row>
    <row r="29" spans="1:23" x14ac:dyDescent="0.35">
      <c r="A29" s="7" t="s">
        <v>108</v>
      </c>
      <c r="J29">
        <v>1</v>
      </c>
      <c r="W29">
        <v>3</v>
      </c>
    </row>
    <row r="30" spans="1:23" x14ac:dyDescent="0.35">
      <c r="A30" s="7" t="s">
        <v>58</v>
      </c>
      <c r="I30">
        <v>3</v>
      </c>
    </row>
    <row r="31" spans="1:23" x14ac:dyDescent="0.35">
      <c r="A31" s="7" t="s">
        <v>59</v>
      </c>
      <c r="I31">
        <v>4</v>
      </c>
      <c r="J31">
        <v>3</v>
      </c>
      <c r="K31">
        <v>130</v>
      </c>
      <c r="L31">
        <v>225</v>
      </c>
      <c r="M31">
        <v>203</v>
      </c>
      <c r="N31">
        <v>303</v>
      </c>
      <c r="O31">
        <v>1</v>
      </c>
      <c r="P31">
        <v>8</v>
      </c>
      <c r="Q31">
        <v>6</v>
      </c>
    </row>
    <row r="32" spans="1:23" x14ac:dyDescent="0.35">
      <c r="A32" s="7" t="s">
        <v>60</v>
      </c>
      <c r="O32">
        <v>1</v>
      </c>
    </row>
    <row r="33" spans="1:23" x14ac:dyDescent="0.35">
      <c r="A33" s="7" t="s">
        <v>61</v>
      </c>
      <c r="H33">
        <v>52</v>
      </c>
      <c r="I33">
        <v>314</v>
      </c>
      <c r="J33">
        <v>555</v>
      </c>
      <c r="K33">
        <v>418</v>
      </c>
      <c r="L33">
        <v>206</v>
      </c>
      <c r="M33">
        <v>245</v>
      </c>
      <c r="N33">
        <v>509</v>
      </c>
      <c r="O33">
        <v>37</v>
      </c>
      <c r="P33">
        <v>7</v>
      </c>
      <c r="Q33">
        <v>6</v>
      </c>
      <c r="R33">
        <v>3</v>
      </c>
      <c r="S33">
        <v>4</v>
      </c>
      <c r="T33">
        <v>5</v>
      </c>
      <c r="U33">
        <v>3</v>
      </c>
      <c r="W33">
        <v>2</v>
      </c>
    </row>
    <row r="34" spans="1:23" x14ac:dyDescent="0.35">
      <c r="A34" s="7" t="s">
        <v>62</v>
      </c>
      <c r="H34">
        <v>48</v>
      </c>
      <c r="I34">
        <v>381</v>
      </c>
      <c r="J34">
        <v>566</v>
      </c>
      <c r="K34">
        <v>797</v>
      </c>
      <c r="L34">
        <v>1068</v>
      </c>
      <c r="M34">
        <v>1224</v>
      </c>
      <c r="N34">
        <v>1506</v>
      </c>
      <c r="O34">
        <v>1473</v>
      </c>
      <c r="P34">
        <v>1655</v>
      </c>
      <c r="Q34">
        <v>2384</v>
      </c>
      <c r="R34">
        <v>1916</v>
      </c>
      <c r="S34">
        <v>1940</v>
      </c>
      <c r="T34">
        <v>1812</v>
      </c>
      <c r="U34">
        <v>1730</v>
      </c>
      <c r="V34">
        <v>1614</v>
      </c>
      <c r="W34">
        <v>1488</v>
      </c>
    </row>
    <row r="35" spans="1:23" x14ac:dyDescent="0.35">
      <c r="A35" s="7" t="s">
        <v>63</v>
      </c>
      <c r="T35">
        <v>1</v>
      </c>
    </row>
    <row r="36" spans="1:23" x14ac:dyDescent="0.35">
      <c r="A36" s="7" t="s">
        <v>64</v>
      </c>
      <c r="L36">
        <v>2</v>
      </c>
      <c r="M36">
        <v>4</v>
      </c>
      <c r="O36">
        <v>3</v>
      </c>
      <c r="P36">
        <v>1</v>
      </c>
      <c r="Q36">
        <v>3</v>
      </c>
      <c r="R36">
        <v>2</v>
      </c>
      <c r="S36">
        <v>8</v>
      </c>
      <c r="T36">
        <v>52</v>
      </c>
      <c r="U36">
        <v>30</v>
      </c>
      <c r="V36">
        <v>18</v>
      </c>
      <c r="W36">
        <v>10</v>
      </c>
    </row>
    <row r="37" spans="1:23" x14ac:dyDescent="0.35">
      <c r="A37" s="7" t="s">
        <v>65</v>
      </c>
      <c r="J37">
        <v>2</v>
      </c>
      <c r="M37">
        <v>2</v>
      </c>
      <c r="N37">
        <v>4</v>
      </c>
    </row>
    <row r="38" spans="1:23" x14ac:dyDescent="0.35">
      <c r="A38" s="7" t="s">
        <v>66</v>
      </c>
      <c r="U38">
        <v>1</v>
      </c>
    </row>
    <row r="39" spans="1:23" x14ac:dyDescent="0.35">
      <c r="A39" s="7" t="s">
        <v>67</v>
      </c>
      <c r="H39">
        <v>1</v>
      </c>
      <c r="I39">
        <v>1</v>
      </c>
      <c r="M39">
        <v>1</v>
      </c>
      <c r="O39">
        <v>2</v>
      </c>
      <c r="P39">
        <v>2</v>
      </c>
      <c r="W39">
        <v>1</v>
      </c>
    </row>
    <row r="40" spans="1:23" x14ac:dyDescent="0.35">
      <c r="A40" s="7" t="s">
        <v>68</v>
      </c>
      <c r="I40">
        <v>1</v>
      </c>
      <c r="J40">
        <v>8</v>
      </c>
      <c r="K40">
        <v>5</v>
      </c>
      <c r="L40">
        <v>1</v>
      </c>
      <c r="M40">
        <v>2</v>
      </c>
      <c r="N40">
        <v>3</v>
      </c>
      <c r="O40">
        <v>5</v>
      </c>
      <c r="P40">
        <v>3</v>
      </c>
      <c r="Q40">
        <v>7</v>
      </c>
      <c r="R40">
        <v>3</v>
      </c>
      <c r="U40">
        <v>1</v>
      </c>
      <c r="V40">
        <v>2</v>
      </c>
      <c r="W40">
        <v>3</v>
      </c>
    </row>
    <row r="41" spans="1:23" x14ac:dyDescent="0.35">
      <c r="A41" s="7" t="s">
        <v>69</v>
      </c>
      <c r="I41">
        <v>8</v>
      </c>
      <c r="J41">
        <v>10</v>
      </c>
      <c r="K41">
        <v>14</v>
      </c>
      <c r="L41">
        <v>31</v>
      </c>
      <c r="M41">
        <v>17</v>
      </c>
      <c r="N41">
        <v>32</v>
      </c>
      <c r="O41">
        <v>56</v>
      </c>
      <c r="P41">
        <v>72</v>
      </c>
      <c r="Q41">
        <v>43</v>
      </c>
      <c r="R41">
        <v>39</v>
      </c>
      <c r="S41">
        <v>49</v>
      </c>
      <c r="T41">
        <v>23</v>
      </c>
      <c r="V41">
        <v>1</v>
      </c>
      <c r="W41">
        <v>1</v>
      </c>
    </row>
    <row r="42" spans="1:23" x14ac:dyDescent="0.35">
      <c r="A42" s="7" t="s">
        <v>70</v>
      </c>
      <c r="I42">
        <v>3</v>
      </c>
      <c r="J42">
        <v>3</v>
      </c>
      <c r="K42">
        <v>3</v>
      </c>
      <c r="L42">
        <v>5</v>
      </c>
      <c r="N42">
        <v>1</v>
      </c>
      <c r="O42">
        <v>1</v>
      </c>
      <c r="R42">
        <v>1</v>
      </c>
      <c r="W42">
        <v>2</v>
      </c>
    </row>
    <row r="43" spans="1:23" x14ac:dyDescent="0.35">
      <c r="A43" s="7" t="s">
        <v>71</v>
      </c>
      <c r="M43">
        <v>1</v>
      </c>
      <c r="V43">
        <v>1</v>
      </c>
    </row>
    <row r="44" spans="1:23" x14ac:dyDescent="0.35">
      <c r="A44" s="7" t="s">
        <v>72</v>
      </c>
      <c r="H44">
        <v>4</v>
      </c>
      <c r="I44">
        <v>1</v>
      </c>
      <c r="K44">
        <v>9</v>
      </c>
      <c r="L44">
        <v>6</v>
      </c>
      <c r="M44">
        <v>8</v>
      </c>
      <c r="N44">
        <v>1</v>
      </c>
      <c r="P44">
        <v>1</v>
      </c>
      <c r="Q44">
        <v>3</v>
      </c>
      <c r="R44">
        <v>4</v>
      </c>
      <c r="S44">
        <v>2</v>
      </c>
      <c r="V44">
        <v>1</v>
      </c>
      <c r="W44">
        <v>1</v>
      </c>
    </row>
    <row r="45" spans="1:23" x14ac:dyDescent="0.35">
      <c r="A45" s="7" t="s">
        <v>109</v>
      </c>
      <c r="U45">
        <v>1</v>
      </c>
    </row>
    <row r="46" spans="1:23" x14ac:dyDescent="0.35">
      <c r="A46" s="7" t="s">
        <v>73</v>
      </c>
      <c r="I46">
        <v>5</v>
      </c>
      <c r="J46">
        <v>7</v>
      </c>
      <c r="K46">
        <v>12</v>
      </c>
      <c r="L46">
        <v>8</v>
      </c>
      <c r="M46">
        <v>1</v>
      </c>
      <c r="O46">
        <v>3</v>
      </c>
      <c r="P46">
        <v>1</v>
      </c>
      <c r="Q46">
        <v>1</v>
      </c>
      <c r="U46">
        <v>1</v>
      </c>
      <c r="V46">
        <v>1</v>
      </c>
      <c r="W46">
        <v>2</v>
      </c>
    </row>
    <row r="47" spans="1:23" x14ac:dyDescent="0.35">
      <c r="A47" s="7" t="s">
        <v>74</v>
      </c>
      <c r="H47">
        <v>26</v>
      </c>
      <c r="I47">
        <v>7</v>
      </c>
      <c r="L47">
        <v>1</v>
      </c>
      <c r="M47">
        <v>1</v>
      </c>
      <c r="Q47">
        <v>1</v>
      </c>
      <c r="R47">
        <v>1</v>
      </c>
      <c r="W47">
        <v>1</v>
      </c>
    </row>
    <row r="48" spans="1:23" x14ac:dyDescent="0.35">
      <c r="A48" s="7" t="s">
        <v>110</v>
      </c>
      <c r="H48">
        <v>1</v>
      </c>
      <c r="I48">
        <v>2</v>
      </c>
    </row>
    <row r="49" spans="1:23" x14ac:dyDescent="0.35">
      <c r="A49" s="7" t="s">
        <v>75</v>
      </c>
      <c r="I49">
        <v>7</v>
      </c>
      <c r="J49">
        <v>28</v>
      </c>
      <c r="K49">
        <v>23</v>
      </c>
      <c r="L49">
        <v>27</v>
      </c>
      <c r="M49">
        <v>23</v>
      </c>
      <c r="N49">
        <v>32</v>
      </c>
      <c r="O49">
        <v>43</v>
      </c>
      <c r="P49">
        <v>14</v>
      </c>
      <c r="Q49">
        <v>13</v>
      </c>
      <c r="R49">
        <v>11</v>
      </c>
      <c r="S49">
        <v>14</v>
      </c>
      <c r="T49">
        <v>25</v>
      </c>
      <c r="U49">
        <v>19</v>
      </c>
      <c r="V49">
        <v>31</v>
      </c>
      <c r="W49">
        <v>36</v>
      </c>
    </row>
    <row r="50" spans="1:23" x14ac:dyDescent="0.35">
      <c r="A50" s="7" t="s">
        <v>76</v>
      </c>
      <c r="Q50">
        <v>2</v>
      </c>
    </row>
    <row r="51" spans="1:23" x14ac:dyDescent="0.35">
      <c r="A51" s="7" t="s">
        <v>77</v>
      </c>
      <c r="J51">
        <v>1</v>
      </c>
    </row>
    <row r="52" spans="1:23" x14ac:dyDescent="0.35">
      <c r="A52" s="7" t="s">
        <v>78</v>
      </c>
      <c r="H52">
        <v>12</v>
      </c>
      <c r="I52">
        <v>55</v>
      </c>
      <c r="J52">
        <v>28</v>
      </c>
      <c r="K52">
        <v>25</v>
      </c>
      <c r="L52">
        <v>9</v>
      </c>
      <c r="M52">
        <v>14</v>
      </c>
      <c r="N52">
        <v>12</v>
      </c>
      <c r="O52">
        <v>15</v>
      </c>
      <c r="P52">
        <v>17</v>
      </c>
      <c r="Q52">
        <v>21</v>
      </c>
      <c r="R52">
        <v>18</v>
      </c>
      <c r="S52">
        <v>15</v>
      </c>
      <c r="T52">
        <v>23</v>
      </c>
      <c r="U52">
        <v>3</v>
      </c>
      <c r="V52">
        <v>1</v>
      </c>
      <c r="W52">
        <v>21</v>
      </c>
    </row>
    <row r="53" spans="1:23" x14ac:dyDescent="0.35">
      <c r="A53" s="7" t="s">
        <v>79</v>
      </c>
      <c r="H53">
        <v>6</v>
      </c>
      <c r="I53">
        <v>10</v>
      </c>
      <c r="J53">
        <v>4</v>
      </c>
      <c r="K53">
        <v>9</v>
      </c>
      <c r="L53">
        <v>2</v>
      </c>
      <c r="M53">
        <v>6</v>
      </c>
      <c r="N53">
        <v>3</v>
      </c>
      <c r="O53">
        <v>1</v>
      </c>
      <c r="P53">
        <v>1</v>
      </c>
      <c r="S53">
        <v>1</v>
      </c>
      <c r="U53">
        <v>1</v>
      </c>
      <c r="V53">
        <v>1</v>
      </c>
      <c r="W53">
        <v>17</v>
      </c>
    </row>
    <row r="54" spans="1:23" x14ac:dyDescent="0.35">
      <c r="A54" s="7" t="s">
        <v>80</v>
      </c>
      <c r="H54">
        <v>2</v>
      </c>
      <c r="J54">
        <v>1</v>
      </c>
      <c r="L54">
        <v>4</v>
      </c>
      <c r="M54">
        <v>1</v>
      </c>
      <c r="N54">
        <v>1</v>
      </c>
      <c r="O54">
        <v>1</v>
      </c>
      <c r="P54">
        <v>2</v>
      </c>
      <c r="Q54">
        <v>1</v>
      </c>
      <c r="R54">
        <v>1</v>
      </c>
      <c r="T54">
        <v>3</v>
      </c>
      <c r="U54">
        <v>6</v>
      </c>
      <c r="W54">
        <v>1</v>
      </c>
    </row>
    <row r="55" spans="1:23" x14ac:dyDescent="0.35">
      <c r="A55" s="7" t="s">
        <v>81</v>
      </c>
      <c r="I55">
        <v>2</v>
      </c>
    </row>
    <row r="56" spans="1:23" x14ac:dyDescent="0.35">
      <c r="A56" s="7" t="s">
        <v>82</v>
      </c>
      <c r="I56">
        <v>1</v>
      </c>
      <c r="J56">
        <v>1</v>
      </c>
      <c r="O56">
        <v>1</v>
      </c>
      <c r="T56">
        <v>1</v>
      </c>
      <c r="U56">
        <v>1</v>
      </c>
      <c r="V56">
        <v>3</v>
      </c>
      <c r="W56">
        <v>3</v>
      </c>
    </row>
    <row r="57" spans="1:23" x14ac:dyDescent="0.35">
      <c r="A57" s="7" t="s">
        <v>83</v>
      </c>
      <c r="W57">
        <v>1</v>
      </c>
    </row>
    <row r="58" spans="1:23" x14ac:dyDescent="0.35">
      <c r="A58" s="7" t="s">
        <v>84</v>
      </c>
      <c r="I58">
        <v>2</v>
      </c>
      <c r="J58">
        <v>2</v>
      </c>
      <c r="K58">
        <v>1</v>
      </c>
      <c r="L58">
        <v>1</v>
      </c>
      <c r="M58">
        <v>1</v>
      </c>
      <c r="N58">
        <v>5</v>
      </c>
      <c r="O58">
        <v>3</v>
      </c>
      <c r="P58">
        <v>1</v>
      </c>
      <c r="Q58">
        <v>5</v>
      </c>
    </row>
    <row r="59" spans="1:23" x14ac:dyDescent="0.35">
      <c r="A59" s="7" t="s">
        <v>85</v>
      </c>
      <c r="H59">
        <v>3</v>
      </c>
      <c r="I59">
        <v>12</v>
      </c>
      <c r="J59">
        <v>5</v>
      </c>
      <c r="K59">
        <v>13</v>
      </c>
      <c r="L59">
        <v>11</v>
      </c>
      <c r="M59">
        <v>10</v>
      </c>
      <c r="N59">
        <v>5</v>
      </c>
      <c r="O59">
        <v>9</v>
      </c>
      <c r="P59">
        <v>9</v>
      </c>
      <c r="Q59">
        <v>9</v>
      </c>
      <c r="R59">
        <v>6</v>
      </c>
      <c r="S59">
        <v>11</v>
      </c>
      <c r="T59">
        <v>3</v>
      </c>
      <c r="W59">
        <v>3</v>
      </c>
    </row>
    <row r="60" spans="1:23" x14ac:dyDescent="0.35">
      <c r="A60" s="7" t="s">
        <v>86</v>
      </c>
      <c r="I60">
        <v>2</v>
      </c>
      <c r="J60">
        <v>2</v>
      </c>
      <c r="K60">
        <v>5</v>
      </c>
      <c r="L60">
        <v>4</v>
      </c>
      <c r="M60">
        <v>1</v>
      </c>
    </row>
    <row r="61" spans="1:23" x14ac:dyDescent="0.35">
      <c r="A61" s="7" t="s">
        <v>87</v>
      </c>
      <c r="I61">
        <v>2</v>
      </c>
      <c r="J61">
        <v>3</v>
      </c>
      <c r="K61">
        <v>2</v>
      </c>
      <c r="L61">
        <v>1</v>
      </c>
      <c r="O61">
        <v>2</v>
      </c>
      <c r="P61">
        <v>4</v>
      </c>
      <c r="Q61">
        <v>2</v>
      </c>
      <c r="R61">
        <v>1</v>
      </c>
      <c r="S61">
        <v>3</v>
      </c>
      <c r="T61">
        <v>6</v>
      </c>
      <c r="U61">
        <v>5</v>
      </c>
      <c r="V61">
        <v>15</v>
      </c>
      <c r="W61">
        <v>4</v>
      </c>
    </row>
    <row r="62" spans="1:23" x14ac:dyDescent="0.35">
      <c r="A62" s="7" t="s">
        <v>88</v>
      </c>
      <c r="W62">
        <v>2</v>
      </c>
    </row>
    <row r="63" spans="1:23" x14ac:dyDescent="0.35">
      <c r="A63" s="7" t="s">
        <v>89</v>
      </c>
      <c r="I63">
        <v>2</v>
      </c>
      <c r="J63">
        <v>1</v>
      </c>
      <c r="Q63">
        <v>1</v>
      </c>
    </row>
    <row r="64" spans="1:23" x14ac:dyDescent="0.35">
      <c r="A64" s="7" t="s">
        <v>90</v>
      </c>
      <c r="I64">
        <v>6</v>
      </c>
      <c r="J64">
        <v>1</v>
      </c>
      <c r="O64">
        <v>1</v>
      </c>
      <c r="W64">
        <v>1</v>
      </c>
    </row>
    <row r="65" spans="1:23" x14ac:dyDescent="0.35">
      <c r="A65" s="7" t="s">
        <v>91</v>
      </c>
      <c r="H65">
        <v>3</v>
      </c>
      <c r="I65">
        <v>161</v>
      </c>
      <c r="J65">
        <v>166</v>
      </c>
      <c r="K65">
        <v>233</v>
      </c>
      <c r="L65">
        <v>253</v>
      </c>
      <c r="M65">
        <v>142</v>
      </c>
      <c r="N65">
        <v>193</v>
      </c>
      <c r="O65">
        <v>293</v>
      </c>
      <c r="P65">
        <v>322</v>
      </c>
      <c r="Q65">
        <v>311</v>
      </c>
      <c r="R65">
        <v>411</v>
      </c>
      <c r="S65">
        <v>398</v>
      </c>
      <c r="T65">
        <v>350</v>
      </c>
      <c r="U65">
        <v>220</v>
      </c>
      <c r="V65">
        <v>109</v>
      </c>
      <c r="W65">
        <v>78</v>
      </c>
    </row>
    <row r="66" spans="1:23" x14ac:dyDescent="0.35">
      <c r="A66" s="7" t="s">
        <v>92</v>
      </c>
      <c r="L66">
        <v>1</v>
      </c>
    </row>
    <row r="67" spans="1:23" x14ac:dyDescent="0.35">
      <c r="A67" s="7" t="s">
        <v>111</v>
      </c>
      <c r="V67">
        <v>2</v>
      </c>
    </row>
    <row r="68" spans="1:23" x14ac:dyDescent="0.35">
      <c r="A68" s="7" t="s">
        <v>93</v>
      </c>
      <c r="H68">
        <v>3</v>
      </c>
      <c r="I68">
        <v>4</v>
      </c>
    </row>
    <row r="69" spans="1:23" x14ac:dyDescent="0.35">
      <c r="A69" s="7" t="s">
        <v>94</v>
      </c>
      <c r="I69">
        <v>1</v>
      </c>
      <c r="R69">
        <v>3</v>
      </c>
    </row>
    <row r="70" spans="1:23" x14ac:dyDescent="0.35">
      <c r="A70" s="7" t="s">
        <v>95</v>
      </c>
      <c r="U70">
        <v>1</v>
      </c>
    </row>
    <row r="71" spans="1:23" x14ac:dyDescent="0.35">
      <c r="A71" s="7" t="s">
        <v>96</v>
      </c>
      <c r="H71">
        <v>5</v>
      </c>
      <c r="J71">
        <v>8</v>
      </c>
      <c r="K71">
        <v>40</v>
      </c>
      <c r="L71">
        <v>6</v>
      </c>
      <c r="M71">
        <v>7</v>
      </c>
      <c r="N71">
        <v>9</v>
      </c>
      <c r="O71">
        <v>8</v>
      </c>
      <c r="P71">
        <v>11</v>
      </c>
      <c r="Q71">
        <v>10</v>
      </c>
      <c r="R71">
        <v>18</v>
      </c>
      <c r="S71">
        <v>13</v>
      </c>
      <c r="T71">
        <v>16</v>
      </c>
      <c r="U71">
        <v>6</v>
      </c>
      <c r="V71">
        <v>23</v>
      </c>
      <c r="W71">
        <v>82</v>
      </c>
    </row>
    <row r="72" spans="1:23" x14ac:dyDescent="0.35">
      <c r="A72" s="7" t="s">
        <v>97</v>
      </c>
      <c r="H72">
        <v>12581</v>
      </c>
      <c r="I72">
        <v>62205</v>
      </c>
      <c r="J72">
        <v>61592</v>
      </c>
      <c r="K72">
        <v>73709</v>
      </c>
      <c r="L72">
        <v>65984</v>
      </c>
      <c r="M72">
        <v>50855</v>
      </c>
      <c r="N72">
        <v>61443</v>
      </c>
      <c r="O72">
        <v>67163</v>
      </c>
      <c r="P72">
        <v>65766</v>
      </c>
      <c r="Q72">
        <v>61139</v>
      </c>
      <c r="R72">
        <v>65874</v>
      </c>
      <c r="S72">
        <v>69562</v>
      </c>
      <c r="T72">
        <v>69532</v>
      </c>
      <c r="U72">
        <v>71969</v>
      </c>
      <c r="V72">
        <v>70134</v>
      </c>
      <c r="W72">
        <v>71425</v>
      </c>
    </row>
    <row r="73" spans="1:23" x14ac:dyDescent="0.35">
      <c r="A73" s="7" t="s">
        <v>98</v>
      </c>
      <c r="R73">
        <v>1</v>
      </c>
      <c r="W73">
        <v>1</v>
      </c>
    </row>
    <row r="74" spans="1:23" x14ac:dyDescent="0.35">
      <c r="A74" s="7" t="s">
        <v>99</v>
      </c>
      <c r="I74">
        <v>2</v>
      </c>
      <c r="P74">
        <v>1</v>
      </c>
    </row>
    <row r="75" spans="1:23" x14ac:dyDescent="0.35">
      <c r="A75" s="4" t="s">
        <v>100</v>
      </c>
      <c r="B75" s="4"/>
      <c r="C75" s="4"/>
      <c r="D75" s="4"/>
      <c r="E75" s="4"/>
      <c r="F75" s="4"/>
      <c r="G75" s="4"/>
      <c r="H75" s="4">
        <v>13120</v>
      </c>
      <c r="I75" s="4">
        <v>65024</v>
      </c>
      <c r="J75" s="4">
        <v>64893</v>
      </c>
      <c r="K75" s="4">
        <v>77646</v>
      </c>
      <c r="L75" s="4">
        <v>70491</v>
      </c>
      <c r="M75" s="4">
        <v>54930</v>
      </c>
      <c r="N75" s="4">
        <v>66541</v>
      </c>
      <c r="O75" s="4">
        <v>71952</v>
      </c>
      <c r="P75" s="4">
        <v>70737</v>
      </c>
      <c r="Q75" s="4">
        <v>66776</v>
      </c>
      <c r="R75" s="4">
        <v>71682</v>
      </c>
      <c r="S75" s="4">
        <v>75362</v>
      </c>
      <c r="T75" s="4">
        <v>75296</v>
      </c>
      <c r="U75" s="4">
        <v>77437</v>
      </c>
      <c r="V75" s="4">
        <v>75823</v>
      </c>
      <c r="W75" s="4">
        <v>76845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EE910-E60F-4A31-B4AC-2A40594726A7}">
  <dimension ref="A1:C66"/>
  <sheetViews>
    <sheetView tabSelected="1" workbookViewId="0">
      <selection activeCell="G14" sqref="G14"/>
    </sheetView>
  </sheetViews>
  <sheetFormatPr defaultRowHeight="14.5" x14ac:dyDescent="0.35"/>
  <cols>
    <col min="1" max="1" width="14.08984375" customWidth="1"/>
    <col min="2" max="2" width="11.1796875" style="8" bestFit="1" customWidth="1"/>
    <col min="3" max="3" width="8.7265625" style="11"/>
  </cols>
  <sheetData>
    <row r="1" spans="1:3" x14ac:dyDescent="0.35">
      <c r="B1" s="8">
        <f>SUM(B3:B66)</f>
        <v>65024</v>
      </c>
    </row>
    <row r="2" spans="1:3" x14ac:dyDescent="0.35">
      <c r="A2" s="3" t="s">
        <v>101</v>
      </c>
      <c r="B2" s="9" t="s">
        <v>26</v>
      </c>
      <c r="C2" s="10" t="s">
        <v>112</v>
      </c>
    </row>
    <row r="3" spans="1:3" x14ac:dyDescent="0.35">
      <c r="A3" s="7" t="s">
        <v>97</v>
      </c>
      <c r="B3" s="8">
        <v>62205</v>
      </c>
      <c r="C3" s="11">
        <f>$B3/$B$1</f>
        <v>0.95664677657480313</v>
      </c>
    </row>
    <row r="4" spans="1:3" x14ac:dyDescent="0.35">
      <c r="A4" s="7" t="s">
        <v>49</v>
      </c>
      <c r="B4" s="8">
        <v>1556</v>
      </c>
      <c r="C4" s="11">
        <f t="shared" ref="C4:C41" si="0">$B4/$B$1</f>
        <v>2.3929625984251968E-2</v>
      </c>
    </row>
    <row r="5" spans="1:3" x14ac:dyDescent="0.35">
      <c r="A5" s="7" t="s">
        <v>62</v>
      </c>
      <c r="B5" s="8">
        <v>381</v>
      </c>
      <c r="C5" s="11">
        <f t="shared" si="0"/>
        <v>5.859375E-3</v>
      </c>
    </row>
    <row r="6" spans="1:3" x14ac:dyDescent="0.35">
      <c r="A6" s="7" t="s">
        <v>61</v>
      </c>
      <c r="B6" s="8">
        <v>314</v>
      </c>
      <c r="C6" s="11">
        <f t="shared" si="0"/>
        <v>4.828986220472441E-3</v>
      </c>
    </row>
    <row r="7" spans="1:3" x14ac:dyDescent="0.35">
      <c r="A7" s="7" t="s">
        <v>91</v>
      </c>
      <c r="B7" s="8">
        <v>161</v>
      </c>
      <c r="C7" s="11">
        <f t="shared" si="0"/>
        <v>2.4760088582677165E-3</v>
      </c>
    </row>
    <row r="8" spans="1:3" x14ac:dyDescent="0.35">
      <c r="A8" s="7" t="s">
        <v>44</v>
      </c>
      <c r="B8" s="8">
        <v>146</v>
      </c>
      <c r="C8" s="11">
        <f t="shared" si="0"/>
        <v>2.2453248031496062E-3</v>
      </c>
    </row>
    <row r="9" spans="1:3" x14ac:dyDescent="0.35">
      <c r="A9" s="7" t="s">
        <v>52</v>
      </c>
      <c r="B9" s="8">
        <v>87</v>
      </c>
      <c r="C9" s="11">
        <f t="shared" si="0"/>
        <v>1.3379675196850394E-3</v>
      </c>
    </row>
    <row r="10" spans="1:3" x14ac:dyDescent="0.35">
      <c r="A10" s="7" t="s">
        <v>78</v>
      </c>
      <c r="B10" s="8">
        <v>55</v>
      </c>
      <c r="C10" s="11">
        <f t="shared" si="0"/>
        <v>8.4584153543307088E-4</v>
      </c>
    </row>
    <row r="11" spans="1:3" x14ac:dyDescent="0.35">
      <c r="A11" s="7" t="s">
        <v>85</v>
      </c>
      <c r="B11" s="8">
        <v>12</v>
      </c>
      <c r="C11" s="11">
        <f t="shared" si="0"/>
        <v>1.8454724409448819E-4</v>
      </c>
    </row>
    <row r="12" spans="1:3" x14ac:dyDescent="0.35">
      <c r="A12" s="7" t="s">
        <v>79</v>
      </c>
      <c r="B12" s="8">
        <v>10</v>
      </c>
      <c r="C12" s="11">
        <f t="shared" si="0"/>
        <v>1.5378937007874016E-4</v>
      </c>
    </row>
    <row r="13" spans="1:3" x14ac:dyDescent="0.35">
      <c r="A13" s="7" t="s">
        <v>50</v>
      </c>
      <c r="B13" s="8">
        <v>9</v>
      </c>
      <c r="C13" s="11">
        <f t="shared" si="0"/>
        <v>1.3841043307086614E-4</v>
      </c>
    </row>
    <row r="14" spans="1:3" x14ac:dyDescent="0.35">
      <c r="A14" s="7" t="s">
        <v>69</v>
      </c>
      <c r="B14" s="8">
        <v>8</v>
      </c>
      <c r="C14" s="11">
        <f t="shared" si="0"/>
        <v>1.2303149606299212E-4</v>
      </c>
    </row>
    <row r="15" spans="1:3" x14ac:dyDescent="0.35">
      <c r="A15" s="7" t="s">
        <v>74</v>
      </c>
      <c r="B15" s="8">
        <v>7</v>
      </c>
      <c r="C15" s="11">
        <f t="shared" si="0"/>
        <v>1.0765255905511811E-4</v>
      </c>
    </row>
    <row r="16" spans="1:3" x14ac:dyDescent="0.35">
      <c r="A16" s="7" t="s">
        <v>75</v>
      </c>
      <c r="B16" s="8">
        <v>7</v>
      </c>
      <c r="C16" s="11">
        <f t="shared" si="0"/>
        <v>1.0765255905511811E-4</v>
      </c>
    </row>
    <row r="17" spans="1:3" x14ac:dyDescent="0.35">
      <c r="A17" s="7" t="s">
        <v>54</v>
      </c>
      <c r="B17" s="8">
        <v>6</v>
      </c>
      <c r="C17" s="11">
        <f t="shared" si="0"/>
        <v>9.2273622047244093E-5</v>
      </c>
    </row>
    <row r="18" spans="1:3" x14ac:dyDescent="0.35">
      <c r="A18" s="7" t="s">
        <v>90</v>
      </c>
      <c r="B18" s="8">
        <v>6</v>
      </c>
      <c r="C18" s="11">
        <f t="shared" si="0"/>
        <v>9.2273622047244093E-5</v>
      </c>
    </row>
    <row r="19" spans="1:3" x14ac:dyDescent="0.35">
      <c r="A19" s="7" t="s">
        <v>45</v>
      </c>
      <c r="B19" s="8">
        <v>5</v>
      </c>
      <c r="C19" s="11">
        <f t="shared" si="0"/>
        <v>7.6894685039370078E-5</v>
      </c>
    </row>
    <row r="20" spans="1:3" x14ac:dyDescent="0.35">
      <c r="A20" s="7" t="s">
        <v>73</v>
      </c>
      <c r="B20" s="8">
        <v>5</v>
      </c>
      <c r="C20" s="11">
        <f t="shared" si="0"/>
        <v>7.6894685039370078E-5</v>
      </c>
    </row>
    <row r="21" spans="1:3" x14ac:dyDescent="0.35">
      <c r="A21" s="7" t="s">
        <v>55</v>
      </c>
      <c r="B21" s="8">
        <v>4</v>
      </c>
      <c r="C21" s="11">
        <f t="shared" si="0"/>
        <v>6.1515748031496062E-5</v>
      </c>
    </row>
    <row r="22" spans="1:3" x14ac:dyDescent="0.35">
      <c r="A22" s="7" t="s">
        <v>59</v>
      </c>
      <c r="B22" s="8">
        <v>4</v>
      </c>
      <c r="C22" s="11">
        <f t="shared" si="0"/>
        <v>6.1515748031496062E-5</v>
      </c>
    </row>
    <row r="23" spans="1:3" x14ac:dyDescent="0.35">
      <c r="A23" s="7" t="s">
        <v>93</v>
      </c>
      <c r="B23" s="8">
        <v>4</v>
      </c>
      <c r="C23" s="11">
        <f t="shared" si="0"/>
        <v>6.1515748031496062E-5</v>
      </c>
    </row>
    <row r="24" spans="1:3" x14ac:dyDescent="0.35">
      <c r="A24" s="7" t="s">
        <v>58</v>
      </c>
      <c r="B24" s="8">
        <v>3</v>
      </c>
      <c r="C24" s="11">
        <f t="shared" si="0"/>
        <v>4.6136811023622047E-5</v>
      </c>
    </row>
    <row r="25" spans="1:3" x14ac:dyDescent="0.35">
      <c r="A25" s="7" t="s">
        <v>70</v>
      </c>
      <c r="B25" s="8">
        <v>3</v>
      </c>
      <c r="C25" s="11">
        <f t="shared" si="0"/>
        <v>4.6136811023622047E-5</v>
      </c>
    </row>
    <row r="26" spans="1:3" x14ac:dyDescent="0.35">
      <c r="A26" s="7" t="s">
        <v>46</v>
      </c>
      <c r="B26" s="8">
        <v>2</v>
      </c>
      <c r="C26" s="11">
        <f t="shared" si="0"/>
        <v>3.0757874015748031E-5</v>
      </c>
    </row>
    <row r="27" spans="1:3" x14ac:dyDescent="0.35">
      <c r="A27" s="7" t="s">
        <v>56</v>
      </c>
      <c r="B27" s="8">
        <v>2</v>
      </c>
      <c r="C27" s="11">
        <f t="shared" si="0"/>
        <v>3.0757874015748031E-5</v>
      </c>
    </row>
    <row r="28" spans="1:3" x14ac:dyDescent="0.35">
      <c r="A28" s="7" t="s">
        <v>57</v>
      </c>
      <c r="B28" s="8">
        <v>2</v>
      </c>
      <c r="C28" s="11">
        <f t="shared" si="0"/>
        <v>3.0757874015748031E-5</v>
      </c>
    </row>
    <row r="29" spans="1:3" x14ac:dyDescent="0.35">
      <c r="A29" s="7" t="s">
        <v>110</v>
      </c>
      <c r="B29" s="8">
        <v>2</v>
      </c>
      <c r="C29" s="11">
        <f t="shared" si="0"/>
        <v>3.0757874015748031E-5</v>
      </c>
    </row>
    <row r="30" spans="1:3" x14ac:dyDescent="0.35">
      <c r="A30" s="7" t="s">
        <v>81</v>
      </c>
      <c r="B30" s="8">
        <v>2</v>
      </c>
      <c r="C30" s="11">
        <f t="shared" si="0"/>
        <v>3.0757874015748031E-5</v>
      </c>
    </row>
    <row r="31" spans="1:3" x14ac:dyDescent="0.35">
      <c r="A31" s="7" t="s">
        <v>84</v>
      </c>
      <c r="B31" s="8">
        <v>2</v>
      </c>
      <c r="C31" s="11">
        <f t="shared" si="0"/>
        <v>3.0757874015748031E-5</v>
      </c>
    </row>
    <row r="32" spans="1:3" x14ac:dyDescent="0.35">
      <c r="A32" s="7" t="s">
        <v>86</v>
      </c>
      <c r="B32" s="8">
        <v>2</v>
      </c>
      <c r="C32" s="11">
        <f t="shared" si="0"/>
        <v>3.0757874015748031E-5</v>
      </c>
    </row>
    <row r="33" spans="1:3" x14ac:dyDescent="0.35">
      <c r="A33" s="7" t="s">
        <v>87</v>
      </c>
      <c r="B33" s="8">
        <v>2</v>
      </c>
      <c r="C33" s="11">
        <f t="shared" si="0"/>
        <v>3.0757874015748031E-5</v>
      </c>
    </row>
    <row r="34" spans="1:3" x14ac:dyDescent="0.35">
      <c r="A34" s="7" t="s">
        <v>89</v>
      </c>
      <c r="B34" s="8">
        <v>2</v>
      </c>
      <c r="C34" s="11">
        <f t="shared" si="0"/>
        <v>3.0757874015748031E-5</v>
      </c>
    </row>
    <row r="35" spans="1:3" x14ac:dyDescent="0.35">
      <c r="A35" s="7" t="s">
        <v>99</v>
      </c>
      <c r="B35" s="8">
        <v>2</v>
      </c>
      <c r="C35" s="11">
        <f t="shared" si="0"/>
        <v>3.0757874015748031E-5</v>
      </c>
    </row>
    <row r="36" spans="1:3" x14ac:dyDescent="0.35">
      <c r="A36" s="7" t="s">
        <v>47</v>
      </c>
      <c r="B36" s="8">
        <v>1</v>
      </c>
      <c r="C36" s="11">
        <f t="shared" si="0"/>
        <v>1.5378937007874016E-5</v>
      </c>
    </row>
    <row r="37" spans="1:3" x14ac:dyDescent="0.35">
      <c r="A37" s="7" t="s">
        <v>67</v>
      </c>
      <c r="B37" s="8">
        <v>1</v>
      </c>
      <c r="C37" s="11">
        <f t="shared" si="0"/>
        <v>1.5378937007874016E-5</v>
      </c>
    </row>
    <row r="38" spans="1:3" x14ac:dyDescent="0.35">
      <c r="A38" s="7" t="s">
        <v>68</v>
      </c>
      <c r="B38" s="8">
        <v>1</v>
      </c>
      <c r="C38" s="11">
        <f t="shared" si="0"/>
        <v>1.5378937007874016E-5</v>
      </c>
    </row>
    <row r="39" spans="1:3" x14ac:dyDescent="0.35">
      <c r="A39" s="7" t="s">
        <v>72</v>
      </c>
      <c r="B39" s="8">
        <v>1</v>
      </c>
      <c r="C39" s="11">
        <f t="shared" si="0"/>
        <v>1.5378937007874016E-5</v>
      </c>
    </row>
    <row r="40" spans="1:3" x14ac:dyDescent="0.35">
      <c r="A40" s="7" t="s">
        <v>82</v>
      </c>
      <c r="B40" s="8">
        <v>1</v>
      </c>
      <c r="C40" s="11">
        <f t="shared" si="0"/>
        <v>1.5378937007874016E-5</v>
      </c>
    </row>
    <row r="41" spans="1:3" x14ac:dyDescent="0.35">
      <c r="A41" s="7" t="s">
        <v>94</v>
      </c>
      <c r="B41" s="8">
        <v>1</v>
      </c>
      <c r="C41" s="11">
        <f t="shared" si="0"/>
        <v>1.5378937007874016E-5</v>
      </c>
    </row>
    <row r="42" spans="1:3" x14ac:dyDescent="0.35">
      <c r="A42" s="7" t="s">
        <v>41</v>
      </c>
    </row>
    <row r="43" spans="1:3" x14ac:dyDescent="0.35">
      <c r="A43" s="7" t="s">
        <v>42</v>
      </c>
    </row>
    <row r="44" spans="1:3" x14ac:dyDescent="0.35">
      <c r="A44" s="7" t="s">
        <v>43</v>
      </c>
    </row>
    <row r="45" spans="1:3" x14ac:dyDescent="0.35">
      <c r="A45" s="7" t="s">
        <v>107</v>
      </c>
    </row>
    <row r="46" spans="1:3" x14ac:dyDescent="0.35">
      <c r="A46" s="7" t="s">
        <v>48</v>
      </c>
    </row>
    <row r="47" spans="1:3" x14ac:dyDescent="0.35">
      <c r="A47" s="7" t="s">
        <v>51</v>
      </c>
    </row>
    <row r="48" spans="1:3" x14ac:dyDescent="0.35">
      <c r="A48" s="7" t="s">
        <v>53</v>
      </c>
    </row>
    <row r="49" spans="1:1" x14ac:dyDescent="0.35">
      <c r="A49" s="7" t="s">
        <v>108</v>
      </c>
    </row>
    <row r="50" spans="1:1" x14ac:dyDescent="0.35">
      <c r="A50" s="7" t="s">
        <v>60</v>
      </c>
    </row>
    <row r="51" spans="1:1" x14ac:dyDescent="0.35">
      <c r="A51" s="7" t="s">
        <v>63</v>
      </c>
    </row>
    <row r="52" spans="1:1" x14ac:dyDescent="0.35">
      <c r="A52" s="7" t="s">
        <v>64</v>
      </c>
    </row>
    <row r="53" spans="1:1" x14ac:dyDescent="0.35">
      <c r="A53" s="7" t="s">
        <v>65</v>
      </c>
    </row>
    <row r="54" spans="1:1" x14ac:dyDescent="0.35">
      <c r="A54" s="7" t="s">
        <v>66</v>
      </c>
    </row>
    <row r="55" spans="1:1" x14ac:dyDescent="0.35">
      <c r="A55" s="7" t="s">
        <v>71</v>
      </c>
    </row>
    <row r="56" spans="1:1" x14ac:dyDescent="0.35">
      <c r="A56" s="7" t="s">
        <v>109</v>
      </c>
    </row>
    <row r="57" spans="1:1" x14ac:dyDescent="0.35">
      <c r="A57" s="7" t="s">
        <v>76</v>
      </c>
    </row>
    <row r="58" spans="1:1" x14ac:dyDescent="0.35">
      <c r="A58" s="7" t="s">
        <v>77</v>
      </c>
    </row>
    <row r="59" spans="1:1" x14ac:dyDescent="0.35">
      <c r="A59" s="7" t="s">
        <v>80</v>
      </c>
    </row>
    <row r="60" spans="1:1" x14ac:dyDescent="0.35">
      <c r="A60" s="7" t="s">
        <v>83</v>
      </c>
    </row>
    <row r="61" spans="1:1" x14ac:dyDescent="0.35">
      <c r="A61" s="7" t="s">
        <v>88</v>
      </c>
    </row>
    <row r="62" spans="1:1" x14ac:dyDescent="0.35">
      <c r="A62" s="7" t="s">
        <v>92</v>
      </c>
    </row>
    <row r="63" spans="1:1" x14ac:dyDescent="0.35">
      <c r="A63" s="7" t="s">
        <v>111</v>
      </c>
    </row>
    <row r="64" spans="1:1" x14ac:dyDescent="0.35">
      <c r="A64" s="7" t="s">
        <v>95</v>
      </c>
    </row>
    <row r="65" spans="1:1" x14ac:dyDescent="0.35">
      <c r="A65" s="7" t="s">
        <v>96</v>
      </c>
    </row>
    <row r="66" spans="1:1" x14ac:dyDescent="0.35">
      <c r="A66" s="7" t="s">
        <v>98</v>
      </c>
    </row>
  </sheetData>
  <autoFilter ref="A2:B2" xr:uid="{5D6EE910-E60F-4A31-B4AC-2A40594726A7}">
    <sortState xmlns:xlrd2="http://schemas.microsoft.com/office/spreadsheetml/2017/richdata2" ref="A3:B66">
      <sortCondition descending="1" ref="B2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23732848957A4F80D33BDA9DE5A9B7" ma:contentTypeVersion="14" ma:contentTypeDescription="Create a new document." ma:contentTypeScope="" ma:versionID="4fde21a92bd43d7121d179b458ceb954">
  <xsd:schema xmlns:xsd="http://www.w3.org/2001/XMLSchema" xmlns:xs="http://www.w3.org/2001/XMLSchema" xmlns:p="http://schemas.microsoft.com/office/2006/metadata/properties" xmlns:ns2="ef033816-a0e6-4509-a8e2-97b34c35c2ad" xmlns:ns3="3b112f34-7ebd-4978-ae81-c8ae32b04a7c" targetNamespace="http://schemas.microsoft.com/office/2006/metadata/properties" ma:root="true" ma:fieldsID="001a6cfb546aaf9b99c0c233e84765ce" ns2:_="" ns3:_="">
    <xsd:import namespace="ef033816-a0e6-4509-a8e2-97b34c35c2ad"/>
    <xsd:import namespace="3b112f34-7ebd-4978-ae81-c8ae32b04a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033816-a0e6-4509-a8e2-97b34c35c2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ffff582-5398-435b-be80-812982cbdd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12f34-7ebd-4978-ae81-c8ae32b04a7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0c92c1b-d0ac-4ab4-b7b6-64ad473a056e}" ma:internalName="TaxCatchAll" ma:showField="CatchAllData" ma:web="3b112f34-7ebd-4978-ae81-c8ae32b04a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112f34-7ebd-4978-ae81-c8ae32b04a7c" xsi:nil="true"/>
    <lcf76f155ced4ddcb4097134ff3c332f xmlns="ef033816-a0e6-4509-a8e2-97b34c35c2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C766B5-4FE7-4F35-A89C-6D20D6912A4E}"/>
</file>

<file path=customXml/itemProps2.xml><?xml version="1.0" encoding="utf-8"?>
<ds:datastoreItem xmlns:ds="http://schemas.openxmlformats.org/officeDocument/2006/customXml" ds:itemID="{ACBE2B65-F4AB-4466-927F-0B705EA5B65A}"/>
</file>

<file path=customXml/itemProps3.xml><?xml version="1.0" encoding="utf-8"?>
<ds:datastoreItem xmlns:ds="http://schemas.openxmlformats.org/officeDocument/2006/customXml" ds:itemID="{39FB69B8-9BC2-402F-B134-7FB770228449}"/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Tuller, Daniel</dc:creator>
  <cp:lastModifiedBy>Amo, Dean</cp:lastModifiedBy>
  <dcterms:created xsi:type="dcterms:W3CDTF">2025-03-13T15:43:31Z</dcterms:created>
  <dcterms:modified xsi:type="dcterms:W3CDTF">2025-03-18T19:13:03Z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0x010100EA23732848957A4F80D33BDA9DE5A9B7</vt:lpwstr>
  </property>
</Properties>
</file>