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Desktop/BoA Check Issue/"/>
    </mc:Choice>
  </mc:AlternateContent>
  <xr:revisionPtr revIDLastSave="286" documentId="8_{5A53B090-2602-4D33-8FFC-3C9F2591941A}" xr6:coauthVersionLast="47" xr6:coauthVersionMax="47" xr10:uidLastSave="{1B0EA5F9-FB2C-4F00-9733-60F148BE2939}"/>
  <bookViews>
    <workbookView xWindow="-110" yWindow="-110" windowWidth="25820" windowHeight="15500" xr2:uid="{00000000-000D-0000-FFFF-FFFF00000000}"/>
  </bookViews>
  <sheets>
    <sheet name="Header_NGPHDR" sheetId="1" r:id="rId1"/>
    <sheet name="Detail_NGPDT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3" i="2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4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H4" i="2" l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J4" i="1" l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</calcChain>
</file>

<file path=xl/sharedStrings.xml><?xml version="1.0" encoding="utf-8"?>
<sst xmlns="http://schemas.openxmlformats.org/spreadsheetml/2006/main" count="983" uniqueCount="349">
  <si>
    <t>AP Header</t>
  </si>
  <si>
    <t>M3 Fields: Check</t>
  </si>
  <si>
    <t>M3 Fields: ACH</t>
  </si>
  <si>
    <t>A/N</t>
  </si>
  <si>
    <t>Field</t>
  </si>
  <si>
    <t>Notes</t>
  </si>
  <si>
    <t>CHK- Check</t>
  </si>
  <si>
    <t>ACH-Corporate</t>
  </si>
  <si>
    <t>ACH-Personal</t>
  </si>
  <si>
    <t>Div-27-CHK</t>
  </si>
  <si>
    <t>Div 76 Chk</t>
  </si>
  <si>
    <t>Div 76 ACH</t>
  </si>
  <si>
    <t>Div 78 CHK</t>
  </si>
  <si>
    <t>Div 78 ACH</t>
  </si>
  <si>
    <t>Field Name</t>
  </si>
  <si>
    <t>Type</t>
  </si>
  <si>
    <t>Length</t>
  </si>
  <si>
    <t>Num.</t>
  </si>
  <si>
    <t>Description</t>
  </si>
  <si>
    <t>Hard Code</t>
  </si>
  <si>
    <t>RCID11</t>
  </si>
  <si>
    <t>"H"</t>
  </si>
  <si>
    <t>text</t>
  </si>
  <si>
    <t xml:space="preserve">A </t>
  </si>
  <si>
    <t xml:space="preserve">RECORD ID             </t>
  </si>
  <si>
    <t>H</t>
  </si>
  <si>
    <t>RCNR11</t>
  </si>
  <si>
    <t>"01"</t>
  </si>
  <si>
    <t>N 0 S</t>
  </si>
  <si>
    <t xml:space="preserve">RECORD NR                      </t>
  </si>
  <si>
    <t>STAT11</t>
  </si>
  <si>
    <t>""</t>
  </si>
  <si>
    <t xml:space="preserve">STATUS FLAG                    </t>
  </si>
  <si>
    <t xml:space="preserve"> </t>
  </si>
  <si>
    <t>BTCH11</t>
  </si>
  <si>
    <t>Batch no.</t>
  </si>
  <si>
    <t xml:space="preserve"> "0000000"</t>
  </si>
  <si>
    <t>TPID11</t>
  </si>
  <si>
    <t xml:space="preserve"> "BANKOFAMERICA"</t>
  </si>
  <si>
    <t xml:space="preserve">TRADING PART ID                </t>
  </si>
  <si>
    <t>BANKOFAMERICA</t>
  </si>
  <si>
    <t>BPR011</t>
  </si>
  <si>
    <t>"C"</t>
  </si>
  <si>
    <t xml:space="preserve">TRANS CODE                     </t>
  </si>
  <si>
    <t>C</t>
  </si>
  <si>
    <t>(C)</t>
  </si>
  <si>
    <t>D</t>
  </si>
  <si>
    <t>BPR021</t>
  </si>
  <si>
    <t>check amount</t>
  </si>
  <si>
    <t>Example of $650.00, no periods and no commas</t>
  </si>
  <si>
    <t>000000000065000</t>
  </si>
  <si>
    <t>ACH amount</t>
  </si>
  <si>
    <t>BPR031</t>
  </si>
  <si>
    <t>Debit/Credit code</t>
  </si>
  <si>
    <t>Just use Credit "C"</t>
  </si>
  <si>
    <t>BPR041</t>
  </si>
  <si>
    <t>"CHK"</t>
  </si>
  <si>
    <t>"ACH"</t>
  </si>
  <si>
    <t>Pay Method</t>
  </si>
  <si>
    <t>CHK</t>
  </si>
  <si>
    <t>ACH</t>
  </si>
  <si>
    <t>BPR051</t>
  </si>
  <si>
    <t>"PBC"</t>
  </si>
  <si>
    <t>pay format</t>
  </si>
  <si>
    <t>PBC</t>
  </si>
  <si>
    <t>(CTX)</t>
  </si>
  <si>
    <t>CTX</t>
  </si>
  <si>
    <t>BPR061</t>
  </si>
  <si>
    <t>Orig Bank Qual</t>
  </si>
  <si>
    <t xml:space="preserve"> "01"</t>
  </si>
  <si>
    <t>BPR071</t>
  </si>
  <si>
    <t xml:space="preserve"> "000000000"</t>
  </si>
  <si>
    <t>Orig Dep Bank No.</t>
  </si>
  <si>
    <t>**Need Raymond orig number</t>
  </si>
  <si>
    <t xml:space="preserve"> "061112788"</t>
  </si>
  <si>
    <t>BPR081</t>
  </si>
  <si>
    <t>"DA"</t>
  </si>
  <si>
    <t>Orig  acct nr qual</t>
  </si>
  <si>
    <t xml:space="preserve"> "DA"</t>
  </si>
  <si>
    <t>BPR091</t>
  </si>
  <si>
    <t>Orig acct nr</t>
  </si>
  <si>
    <t>**Need Raymond account number</t>
  </si>
  <si>
    <t>BPR0101</t>
  </si>
  <si>
    <t>Orig Company ID</t>
  </si>
  <si>
    <t>" " Is just all blanks</t>
  </si>
  <si>
    <t>" "</t>
  </si>
  <si>
    <t>4001145481</t>
  </si>
  <si>
    <t>BPR0111</t>
  </si>
  <si>
    <t>Orig Company nr</t>
  </si>
  <si>
    <t xml:space="preserve"> " "</t>
  </si>
  <si>
    <t>BPR121</t>
  </si>
  <si>
    <t>Recv Bank nr Qual</t>
  </si>
  <si>
    <t>BPR131</t>
  </si>
  <si>
    <t>Recv Dep Bank nu</t>
  </si>
  <si>
    <t>Vendor Bank No.</t>
  </si>
  <si>
    <t>BPR141</t>
  </si>
  <si>
    <t>Recv Acct nr qual</t>
  </si>
  <si>
    <t>Vendor Acct. type</t>
  </si>
  <si>
    <t>DA</t>
  </si>
  <si>
    <t>BPR151</t>
  </si>
  <si>
    <t>Recv Dep Acct nu</t>
  </si>
  <si>
    <t>Vendor Acct. No.</t>
  </si>
  <si>
    <t>BPR161</t>
  </si>
  <si>
    <t>AP check date</t>
  </si>
  <si>
    <t>YYYYMMDD  Format (20191031)</t>
  </si>
  <si>
    <t>Payment date</t>
  </si>
  <si>
    <t>Payment Date</t>
  </si>
  <si>
    <t>"201910319"</t>
  </si>
  <si>
    <t>TRN011</t>
  </si>
  <si>
    <t>"1"</t>
  </si>
  <si>
    <t>Trace type</t>
  </si>
  <si>
    <t xml:space="preserve"> "1 "</t>
  </si>
  <si>
    <t xml:space="preserve"> "1"</t>
  </si>
  <si>
    <t>TRN021</t>
  </si>
  <si>
    <t>Trace Number</t>
  </si>
  <si>
    <t xml:space="preserve">Check# or Payment reference begins with the two digit Division # currently 88 and is 8 digits and ends with An "A"  </t>
  </si>
  <si>
    <t>[AP check No] &amp; "A", Example: 88067555A</t>
  </si>
  <si>
    <t>Payment Ref No. Same as check example</t>
  </si>
  <si>
    <t>CUR011</t>
  </si>
  <si>
    <t>"PE"</t>
  </si>
  <si>
    <t>Entity Id Code</t>
  </si>
  <si>
    <t>CUR021</t>
  </si>
  <si>
    <t>Currency Code</t>
  </si>
  <si>
    <t>"USD"</t>
  </si>
  <si>
    <t>REF011</t>
  </si>
  <si>
    <t>"CK"</t>
  </si>
  <si>
    <t>Reference qualifier</t>
  </si>
  <si>
    <t xml:space="preserve"> "CK"</t>
  </si>
  <si>
    <t>REF021</t>
  </si>
  <si>
    <t>AP check No.</t>
  </si>
  <si>
    <t>Actual Check# without the "A"</t>
  </si>
  <si>
    <t>Example: 88067555</t>
  </si>
  <si>
    <t>N101PR</t>
  </si>
  <si>
    <t>"PR"</t>
  </si>
  <si>
    <t>Payer ID</t>
  </si>
  <si>
    <t xml:space="preserve"> "PR"</t>
  </si>
  <si>
    <t>N102PR</t>
  </si>
  <si>
    <t>Payer  Group Name</t>
  </si>
  <si>
    <t>Current Group Name for Div 76/27 See Column G</t>
  </si>
  <si>
    <t>Hyson Products - Associated Spring or Barnes Industrial - Nitrogen</t>
  </si>
  <si>
    <t>Hyson Products - Associated Spring</t>
  </si>
  <si>
    <t>BARNES INDUSTRIAL-NITROGEN</t>
  </si>
  <si>
    <t>Kaller Gas Springs-Assoc. Spring</t>
  </si>
  <si>
    <t>N201PR</t>
  </si>
  <si>
    <t>Payer division name</t>
  </si>
  <si>
    <t>division name</t>
  </si>
  <si>
    <t>N301PR</t>
  </si>
  <si>
    <t>Payer Address</t>
  </si>
  <si>
    <t>The address may change depending on who is handling check returns. This may need to go thru Corporate</t>
  </si>
  <si>
    <t>80 Scott Swamp Road</t>
  </si>
  <si>
    <t>80 SCOTT SWAMP ROAD</t>
  </si>
  <si>
    <t>N302PR</t>
  </si>
  <si>
    <t>N401PR</t>
  </si>
  <si>
    <t xml:space="preserve"> "Farmington"</t>
  </si>
  <si>
    <t xml:space="preserve">Payer city </t>
  </si>
  <si>
    <t>Farmington</t>
  </si>
  <si>
    <t>FARMINGTON</t>
  </si>
  <si>
    <t>N402PR</t>
  </si>
  <si>
    <t>Payer State</t>
  </si>
  <si>
    <t>"CT"</t>
  </si>
  <si>
    <t>CT</t>
  </si>
  <si>
    <t>N403PR</t>
  </si>
  <si>
    <t>"06032"</t>
  </si>
  <si>
    <t>Payer zip code</t>
  </si>
  <si>
    <t>N404PR</t>
  </si>
  <si>
    <t>"US"</t>
  </si>
  <si>
    <t>Payer country</t>
  </si>
  <si>
    <t>"US" or other country name</t>
  </si>
  <si>
    <t>US or other country name</t>
  </si>
  <si>
    <t>US</t>
  </si>
  <si>
    <t>N101PE</t>
  </si>
  <si>
    <t>Payee ID</t>
  </si>
  <si>
    <t>PE</t>
  </si>
  <si>
    <t>N102PE</t>
  </si>
  <si>
    <t>Payee name1</t>
  </si>
  <si>
    <t>Payee name</t>
  </si>
  <si>
    <t>BEAN CANADA</t>
  </si>
  <si>
    <t>XXXXX ROLL TECHNOLOGY &amp; SERVICES</t>
  </si>
  <si>
    <t>OSECO</t>
  </si>
  <si>
    <t>X.X. XXAINGER, INC</t>
  </si>
  <si>
    <t>CART TOOLING SOL, LLC-EXPENSES</t>
  </si>
  <si>
    <t>N201PE</t>
  </si>
  <si>
    <t>Payee name2</t>
  </si>
  <si>
    <t>ACCOUNT NUMBER 405 341 1341(066)</t>
  </si>
  <si>
    <t>N301PE</t>
  </si>
  <si>
    <t>Payee address 1</t>
  </si>
  <si>
    <t>Pay address 1</t>
  </si>
  <si>
    <t>P.O. BOX 9000</t>
  </si>
  <si>
    <t>3370 WINDYHILL ROAD</t>
  </si>
  <si>
    <t>PO BOX 777834</t>
  </si>
  <si>
    <t>DEPT. 232 - 840560528</t>
  </si>
  <si>
    <t>23740 MARSHALL</t>
  </si>
  <si>
    <t>N302PE</t>
  </si>
  <si>
    <t>Payee address 2</t>
  </si>
  <si>
    <t>Pay address 2</t>
  </si>
  <si>
    <t>STN DON MILLS</t>
  </si>
  <si>
    <t>N401PE</t>
  </si>
  <si>
    <t xml:space="preserve">Payee City </t>
  </si>
  <si>
    <t xml:space="preserve">City </t>
  </si>
  <si>
    <t>NORTH YORK</t>
  </si>
  <si>
    <t>CROWN POINT</t>
  </si>
  <si>
    <t>ST LOUIS</t>
  </si>
  <si>
    <t>PALATINE</t>
  </si>
  <si>
    <t>DEARBORN</t>
  </si>
  <si>
    <t>N402PE</t>
  </si>
  <si>
    <t>Payee state</t>
  </si>
  <si>
    <t>state</t>
  </si>
  <si>
    <t>ON</t>
  </si>
  <si>
    <t>IN</t>
  </si>
  <si>
    <t>MO</t>
  </si>
  <si>
    <t>IL</t>
  </si>
  <si>
    <t>MI</t>
  </si>
  <si>
    <t>N403PE</t>
  </si>
  <si>
    <t>Payee zip code</t>
  </si>
  <si>
    <t>zip code</t>
  </si>
  <si>
    <t>M3C 2X7</t>
  </si>
  <si>
    <t>"46307"</t>
  </si>
  <si>
    <t>63150-4834</t>
  </si>
  <si>
    <t>60038-0001</t>
  </si>
  <si>
    <t>48124</t>
  </si>
  <si>
    <t>N404PE</t>
  </si>
  <si>
    <t>Payee country</t>
  </si>
  <si>
    <t>country</t>
  </si>
  <si>
    <t>CA</t>
  </si>
  <si>
    <t>PER111</t>
  </si>
  <si>
    <t>"AR"</t>
  </si>
  <si>
    <t>Contact Funct-AR</t>
  </si>
  <si>
    <t>AR</t>
  </si>
  <si>
    <t>PER211</t>
  </si>
  <si>
    <t>PER311</t>
  </si>
  <si>
    <t>Mail Remit-TM</t>
  </si>
  <si>
    <t>"TM" for USA and NGP Canada uses "FM" for Foreign Mail</t>
  </si>
  <si>
    <t>"TM"</t>
  </si>
  <si>
    <t>PER411</t>
  </si>
  <si>
    <t>Comm Code-us/od</t>
  </si>
  <si>
    <t>"US" is used for Checks and "OD" for Returned Checks, "OG" = Return for Gammaflux and "  " for ACHS</t>
  </si>
  <si>
    <t>FM</t>
  </si>
  <si>
    <t>OD</t>
  </si>
  <si>
    <t>FLD111</t>
  </si>
  <si>
    <t>Field 1</t>
  </si>
  <si>
    <t>FLD211</t>
  </si>
  <si>
    <t>Field 2</t>
  </si>
  <si>
    <t>FLD311</t>
  </si>
  <si>
    <t>Field 3</t>
  </si>
  <si>
    <t>FLD411</t>
  </si>
  <si>
    <t xml:space="preserve"> "000000000000000"</t>
  </si>
  <si>
    <t>Field 4</t>
  </si>
  <si>
    <t>"000000000000000"</t>
  </si>
  <si>
    <t>AP Detail</t>
  </si>
  <si>
    <t>Check</t>
  </si>
  <si>
    <t>No.</t>
  </si>
  <si>
    <t xml:space="preserve">Description </t>
  </si>
  <si>
    <t>RCID02</t>
  </si>
  <si>
    <t xml:space="preserve"> "D"</t>
  </si>
  <si>
    <t xml:space="preserve">text </t>
  </si>
  <si>
    <t>A</t>
  </si>
  <si>
    <t>Record Id</t>
  </si>
  <si>
    <t>STAT02</t>
  </si>
  <si>
    <t>Status</t>
  </si>
  <si>
    <t>RCNR02</t>
  </si>
  <si>
    <t>Record number</t>
  </si>
  <si>
    <t>BTCH02</t>
  </si>
  <si>
    <t>Batch number</t>
  </si>
  <si>
    <t>TRN012</t>
  </si>
  <si>
    <t>Trace/Check type</t>
  </si>
  <si>
    <t>TRN022</t>
  </si>
  <si>
    <t>Trace/ Check number</t>
  </si>
  <si>
    <t xml:space="preserve">Check# or Payment reference begins with the two digit Division # currently 76/27 and is 8 digits and ends with An "A"  </t>
  </si>
  <si>
    <t>[AP check No] &amp; "A", Example: 76067555A</t>
  </si>
  <si>
    <t>SQNR02</t>
  </si>
  <si>
    <t xml:space="preserve"> "00000"</t>
  </si>
  <si>
    <t>"00000"</t>
  </si>
  <si>
    <t>Sequence number</t>
  </si>
  <si>
    <t>ENT012</t>
  </si>
  <si>
    <t xml:space="preserve"> "000000"</t>
  </si>
  <si>
    <t>Assigned number</t>
  </si>
  <si>
    <t>This currently is a sequential number for each Invoice. If Check is for 3 Invoices then the Invoices are numbered 1,2,3</t>
  </si>
  <si>
    <t>RMR012</t>
  </si>
  <si>
    <t xml:space="preserve"> "IV"</t>
  </si>
  <si>
    <t>Invoice Id</t>
  </si>
  <si>
    <t>RMR022</t>
  </si>
  <si>
    <t>Invoice No.</t>
  </si>
  <si>
    <t>Left justified</t>
  </si>
  <si>
    <t>RMR032</t>
  </si>
  <si>
    <t xml:space="preserve"> "PI"</t>
  </si>
  <si>
    <t>Payment type</t>
  </si>
  <si>
    <t>RMR042a</t>
  </si>
  <si>
    <t xml:space="preserve"> "+"</t>
  </si>
  <si>
    <t>"+"</t>
  </si>
  <si>
    <t>Net Credit</t>
  </si>
  <si>
    <t>RMR042</t>
  </si>
  <si>
    <t>N 2 S</t>
  </si>
  <si>
    <t>Net pay amount</t>
  </si>
  <si>
    <t>Includes a decimal point but no commas and leading zeros</t>
  </si>
  <si>
    <t>00000000000100.00</t>
  </si>
  <si>
    <t>Same see Check example</t>
  </si>
  <si>
    <t>RMR052a</t>
  </si>
  <si>
    <t>RMR052</t>
  </si>
  <si>
    <t>Gross Invoice amount</t>
  </si>
  <si>
    <t>00000000000110.00</t>
  </si>
  <si>
    <t>RMR062a</t>
  </si>
  <si>
    <t>RMR062</t>
  </si>
  <si>
    <t>Discount amount</t>
  </si>
  <si>
    <t>00000000000010.00</t>
  </si>
  <si>
    <t>REF012</t>
  </si>
  <si>
    <t>"PO"</t>
  </si>
  <si>
    <t>remark</t>
  </si>
  <si>
    <t xml:space="preserve">" " </t>
  </si>
  <si>
    <t>REF022</t>
  </si>
  <si>
    <t>Ref No.</t>
  </si>
  <si>
    <t>REF032</t>
  </si>
  <si>
    <t>Ref. No.</t>
  </si>
  <si>
    <t>DTMC01</t>
  </si>
  <si>
    <t xml:space="preserve"> "003"</t>
  </si>
  <si>
    <t>DTMC02</t>
  </si>
  <si>
    <t>Invoice Date</t>
  </si>
  <si>
    <t>YYYYMMDD Format see Check example for October 31, 2019</t>
  </si>
  <si>
    <t>Column</t>
  </si>
  <si>
    <t>"0000000"</t>
  </si>
  <si>
    <t>"000000000013516"</t>
  </si>
  <si>
    <t>"20250129"</t>
  </si>
  <si>
    <t>"88000140A"</t>
  </si>
  <si>
    <t>"88000140"</t>
  </si>
  <si>
    <t>"Barnes Group"</t>
  </si>
  <si>
    <t>"123 Main Street,"</t>
  </si>
  <si>
    <t>"Bristol"</t>
  </si>
  <si>
    <t>"06010"</t>
  </si>
  <si>
    <t>"W.W. GRAINGER, INC."</t>
  </si>
  <si>
    <t>PPD or CTX</t>
  </si>
  <si>
    <t>"000000000104438"</t>
  </si>
  <si>
    <t>"CTX"</t>
  </si>
  <si>
    <t>"87507002A"</t>
  </si>
  <si>
    <t>"QUALITY LIAISON SVCS OF N AM INC"</t>
  </si>
  <si>
    <t>"XXXXXXXX81XXXXXXX52"</t>
  </si>
  <si>
    <t>"XXXXXXX52"</t>
  </si>
  <si>
    <t>"XXXXXXXX36"</t>
  </si>
  <si>
    <t>"XXXXXXXX81"</t>
  </si>
  <si>
    <t>"XXXXXXX94"</t>
  </si>
  <si>
    <t>"XXXXXXXX34"</t>
  </si>
  <si>
    <t xml:space="preserve"> "000001"</t>
  </si>
  <si>
    <t>"SI 9253884366 A"</t>
  </si>
  <si>
    <t>"0000000135.16"</t>
  </si>
  <si>
    <t>"0000000000.00"</t>
  </si>
  <si>
    <t>"20240918"</t>
  </si>
  <si>
    <t>"003"</t>
  </si>
  <si>
    <t>"87507001A"</t>
  </si>
  <si>
    <t>"SI 35772 A"</t>
  </si>
  <si>
    <t>"0000004174.50"</t>
  </si>
  <si>
    <t>"20240916"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</si>
</sst>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.5"/>
      <color theme="1"/>
      <name val="Courier New"/>
      <family val="3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0" fillId="0" borderId="0" xfId="0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6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7" borderId="1" xfId="0" quotePrefix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0" borderId="0" xfId="0" applyAlignment="1">
      <alignment readingOrder="1"/>
    </xf>
    <xf numFmtId="0" fontId="5" fillId="2" borderId="1" xfId="0" quotePrefix="1" applyFont="1" applyFill="1" applyBorder="1" applyAlignment="1">
      <alignment wrapText="1"/>
    </xf>
    <xf numFmtId="0" fontId="9" fillId="0" borderId="0" xfId="0" applyFont="1"/>
    <xf numFmtId="0" fontId="9" fillId="8" borderId="0" xfId="0" applyFont="1" applyFill="1"/>
    <xf numFmtId="0" fontId="0" fillId="0" borderId="1" xfId="0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0" fillId="2" borderId="0" xfId="0" applyFill="1" applyAlignment="1">
      <alignment wrapText="1"/>
    </xf>
    <xf numFmtId="0" fontId="1" fillId="7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0" fillId="2" borderId="1" xfId="0" quotePrefix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5" x14ac:dyDescent="0.35"/>
  <cols>
    <col min="1" max="1" width="11.6328125" customWidth="1"/>
    <col min="2" max="4" width="11.453125" customWidth="1"/>
    <col min="5" max="5" width="29.6328125" style="13" customWidth="1"/>
    <col min="6" max="6" width="35.1796875" style="13" customWidth="1"/>
    <col min="7" max="7" width="6.1796875" style="13" customWidth="1"/>
    <col min="8" max="9" width="6.81640625" customWidth="1"/>
    <col min="10" max="10" width="5.81640625" customWidth="1"/>
    <col min="11" max="11" width="23.54296875" customWidth="1"/>
    <col min="12" max="12" width="29.453125" style="1" customWidth="1"/>
    <col min="13" max="13" width="24.453125" style="1" customWidth="1"/>
    <col min="14" max="14" width="21.453125" style="12" hidden="1" customWidth="1"/>
    <col min="15" max="15" width="22" style="1" customWidth="1"/>
    <col min="16" max="16" width="5.81640625" customWidth="1"/>
    <col min="17" max="17" width="23.54296875" customWidth="1"/>
    <col min="18" max="18" width="18.453125" customWidth="1"/>
    <col min="19" max="19" width="35" customWidth="1"/>
    <col min="20" max="20" width="32.1796875" customWidth="1"/>
    <col min="21" max="21" width="22.26953125" customWidth="1"/>
    <col min="22" max="22" width="31.1796875" customWidth="1"/>
  </cols>
  <sheetData>
    <row r="1" spans="1:22" s="9" customFormat="1" x14ac:dyDescent="0.35">
      <c r="A1" s="9" t="s">
        <v>317</v>
      </c>
      <c r="B1" s="9" t="s">
        <v>0</v>
      </c>
      <c r="E1" s="17" t="s">
        <v>1</v>
      </c>
      <c r="F1" s="18" t="s">
        <v>2</v>
      </c>
      <c r="G1" s="16"/>
      <c r="I1" s="9" t="s">
        <v>3</v>
      </c>
      <c r="J1" s="9" t="s">
        <v>4</v>
      </c>
      <c r="K1" s="9" t="s">
        <v>4</v>
      </c>
      <c r="L1" s="10" t="s">
        <v>5</v>
      </c>
      <c r="M1" s="10" t="s">
        <v>6</v>
      </c>
      <c r="N1" s="11" t="s">
        <v>7</v>
      </c>
      <c r="O1" s="6" t="s">
        <v>8</v>
      </c>
      <c r="P1" s="9" t="s">
        <v>4</v>
      </c>
      <c r="Q1" s="9" t="s">
        <v>4</v>
      </c>
      <c r="R1" s="9" t="s">
        <v>9</v>
      </c>
      <c r="S1" s="9" t="s">
        <v>10</v>
      </c>
      <c r="T1" s="37" t="s">
        <v>11</v>
      </c>
      <c r="U1" s="9" t="s">
        <v>12</v>
      </c>
      <c r="V1" s="38" t="s">
        <v>13</v>
      </c>
    </row>
    <row r="2" spans="1:22" s="9" customFormat="1" x14ac:dyDescent="0.35">
      <c r="B2" s="9" t="s">
        <v>14</v>
      </c>
      <c r="E2" s="19"/>
      <c r="F2" s="19"/>
      <c r="G2" s="16" t="s">
        <v>15</v>
      </c>
      <c r="H2" s="9" t="s">
        <v>16</v>
      </c>
      <c r="J2" s="9" t="s">
        <v>17</v>
      </c>
      <c r="K2" s="9" t="s">
        <v>18</v>
      </c>
      <c r="L2" s="10"/>
      <c r="M2" s="23" t="s">
        <v>19</v>
      </c>
      <c r="N2" s="24"/>
      <c r="O2" s="23"/>
      <c r="P2" s="9" t="s">
        <v>17</v>
      </c>
      <c r="Q2" s="9" t="s">
        <v>18</v>
      </c>
    </row>
    <row r="3" spans="1:22" x14ac:dyDescent="0.35">
      <c r="A3">
        <v>0</v>
      </c>
      <c r="B3" t="s">
        <v>20</v>
      </c>
      <c r="C3" t="b">
        <f>E3=M3</f>
        <v>1</v>
      </c>
      <c r="D3" t="b">
        <f>F3=O3</f>
        <v>1</v>
      </c>
      <c r="E3" s="32" t="s">
        <v>21</v>
      </c>
      <c r="F3" s="32" t="s">
        <v>21</v>
      </c>
      <c r="G3" s="13" t="s">
        <v>22</v>
      </c>
      <c r="H3">
        <v>1</v>
      </c>
      <c r="I3" t="s">
        <v>23</v>
      </c>
      <c r="J3">
        <v>1</v>
      </c>
      <c r="K3" t="s">
        <v>24</v>
      </c>
      <c r="L3" s="5"/>
      <c r="M3" s="25" t="s">
        <v>21</v>
      </c>
      <c r="N3" s="26" t="s">
        <v>21</v>
      </c>
      <c r="O3" s="25" t="s">
        <v>21</v>
      </c>
      <c r="P3">
        <v>1</v>
      </c>
      <c r="Q3" s="3" t="s">
        <v>24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</row>
    <row r="4" spans="1:22" x14ac:dyDescent="0.35">
      <c r="A4">
        <f>A3+1</f>
        <v>1</v>
      </c>
      <c r="B4" t="s">
        <v>26</v>
      </c>
      <c r="C4" t="b">
        <f t="shared" ref="C4:C55" si="0">E4=M4</f>
        <v>1</v>
      </c>
      <c r="D4" t="b">
        <f t="shared" ref="D4:D55" si="1">F4=O4</f>
        <v>1</v>
      </c>
      <c r="E4" s="32" t="s">
        <v>27</v>
      </c>
      <c r="F4" s="32" t="s">
        <v>27</v>
      </c>
      <c r="G4" s="13" t="s">
        <v>22</v>
      </c>
      <c r="H4">
        <v>2</v>
      </c>
      <c r="I4" t="s">
        <v>28</v>
      </c>
      <c r="J4">
        <f>J3+1</f>
        <v>2</v>
      </c>
      <c r="K4" t="s">
        <v>29</v>
      </c>
      <c r="L4" s="5"/>
      <c r="M4" s="25" t="s">
        <v>27</v>
      </c>
      <c r="N4" s="26" t="s">
        <v>27</v>
      </c>
      <c r="O4" s="25" t="s">
        <v>27</v>
      </c>
      <c r="P4">
        <f>P3+1</f>
        <v>2</v>
      </c>
      <c r="Q4" s="3" t="s">
        <v>29</v>
      </c>
      <c r="R4" s="25" t="s">
        <v>27</v>
      </c>
      <c r="S4" s="25" t="s">
        <v>27</v>
      </c>
      <c r="T4" s="25" t="s">
        <v>27</v>
      </c>
      <c r="U4" s="25" t="s">
        <v>27</v>
      </c>
      <c r="V4">
        <v>1</v>
      </c>
    </row>
    <row r="5" spans="1:22" x14ac:dyDescent="0.35">
      <c r="A5">
        <f t="shared" ref="A5:A55" si="2">A4+1</f>
        <v>2</v>
      </c>
      <c r="B5" t="s">
        <v>30</v>
      </c>
      <c r="C5" t="b">
        <f t="shared" si="0"/>
        <v>1</v>
      </c>
      <c r="D5" t="b">
        <f t="shared" si="1"/>
        <v>1</v>
      </c>
      <c r="E5" s="32" t="s">
        <v>31</v>
      </c>
      <c r="F5" s="32" t="s">
        <v>31</v>
      </c>
      <c r="G5" s="13" t="s">
        <v>22</v>
      </c>
      <c r="H5">
        <v>2</v>
      </c>
      <c r="I5" t="s">
        <v>23</v>
      </c>
      <c r="J5">
        <f t="shared" ref="J5:J55" si="3">J4+1</f>
        <v>3</v>
      </c>
      <c r="K5" t="s">
        <v>32</v>
      </c>
      <c r="L5" s="5"/>
      <c r="M5" s="25" t="s">
        <v>31</v>
      </c>
      <c r="N5" s="26" t="s">
        <v>31</v>
      </c>
      <c r="O5" s="25" t="s">
        <v>31</v>
      </c>
      <c r="P5">
        <f t="shared" ref="P5:P55" si="4">P4+1</f>
        <v>3</v>
      </c>
      <c r="Q5" s="3" t="s">
        <v>32</v>
      </c>
      <c r="R5" s="25" t="s">
        <v>31</v>
      </c>
      <c r="S5" t="s">
        <v>33</v>
      </c>
      <c r="T5" t="s">
        <v>33</v>
      </c>
      <c r="U5" t="s">
        <v>33</v>
      </c>
      <c r="V5" t="s">
        <v>33</v>
      </c>
    </row>
    <row r="6" spans="1:22" ht="25" customHeight="1" x14ac:dyDescent="0.35">
      <c r="A6">
        <f t="shared" si="2"/>
        <v>3</v>
      </c>
      <c r="B6" t="s">
        <v>34</v>
      </c>
      <c r="C6" t="b">
        <f t="shared" si="0"/>
        <v>0</v>
      </c>
      <c r="D6" t="b">
        <f t="shared" si="1"/>
        <v>0</v>
      </c>
      <c r="E6" s="32" t="s">
        <v>318</v>
      </c>
      <c r="F6" s="32" t="s">
        <v>318</v>
      </c>
      <c r="G6" s="13" t="s">
        <v>22</v>
      </c>
      <c r="H6">
        <v>7</v>
      </c>
      <c r="I6" t="s">
        <v>28</v>
      </c>
      <c r="J6">
        <f t="shared" si="3"/>
        <v>4</v>
      </c>
      <c r="K6" t="s">
        <v>35</v>
      </c>
      <c r="L6" s="5"/>
      <c r="M6" s="27" t="s">
        <v>36</v>
      </c>
      <c r="N6" s="27" t="s">
        <v>36</v>
      </c>
      <c r="O6" s="27" t="s">
        <v>36</v>
      </c>
      <c r="P6">
        <f t="shared" si="4"/>
        <v>4</v>
      </c>
      <c r="Q6" s="3" t="s">
        <v>35</v>
      </c>
      <c r="R6" s="27" t="s">
        <v>36</v>
      </c>
      <c r="S6" s="27" t="s">
        <v>36</v>
      </c>
      <c r="T6" s="27" t="s">
        <v>36</v>
      </c>
      <c r="U6" s="27" t="s">
        <v>36</v>
      </c>
      <c r="V6" s="27" t="s">
        <v>36</v>
      </c>
    </row>
    <row r="7" spans="1:22" x14ac:dyDescent="0.35">
      <c r="A7">
        <f t="shared" si="2"/>
        <v>4</v>
      </c>
      <c r="B7" t="s">
        <v>37</v>
      </c>
      <c r="C7" t="b">
        <f t="shared" si="0"/>
        <v>1</v>
      </c>
      <c r="D7" t="b">
        <f t="shared" si="1"/>
        <v>1</v>
      </c>
      <c r="E7" s="32" t="s">
        <v>38</v>
      </c>
      <c r="F7" s="32" t="s">
        <v>38</v>
      </c>
      <c r="G7" s="13" t="s">
        <v>22</v>
      </c>
      <c r="H7">
        <v>15</v>
      </c>
      <c r="I7" t="s">
        <v>23</v>
      </c>
      <c r="J7">
        <f t="shared" si="3"/>
        <v>5</v>
      </c>
      <c r="K7" t="s">
        <v>39</v>
      </c>
      <c r="L7" s="5"/>
      <c r="M7" s="25" t="s">
        <v>38</v>
      </c>
      <c r="N7" s="26" t="s">
        <v>38</v>
      </c>
      <c r="O7" s="25" t="s">
        <v>38</v>
      </c>
      <c r="P7">
        <f t="shared" si="4"/>
        <v>5</v>
      </c>
      <c r="Q7" s="3" t="s">
        <v>39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</row>
    <row r="8" spans="1:22" x14ac:dyDescent="0.35">
      <c r="A8">
        <f t="shared" si="2"/>
        <v>5</v>
      </c>
      <c r="B8" s="1" t="s">
        <v>41</v>
      </c>
      <c r="C8" t="b">
        <f t="shared" si="0"/>
        <v>0</v>
      </c>
      <c r="D8" t="b">
        <f t="shared" si="1"/>
        <v>0</v>
      </c>
      <c r="E8" s="34" t="s">
        <v>42</v>
      </c>
      <c r="F8" s="34" t="s">
        <v>42</v>
      </c>
      <c r="G8" s="13" t="s">
        <v>22</v>
      </c>
      <c r="H8">
        <v>1</v>
      </c>
      <c r="I8" t="s">
        <v>23</v>
      </c>
      <c r="J8">
        <f t="shared" si="3"/>
        <v>6</v>
      </c>
      <c r="K8" t="s">
        <v>43</v>
      </c>
      <c r="L8" s="5"/>
      <c r="M8" s="28" t="s">
        <v>44</v>
      </c>
      <c r="N8" s="14" t="s">
        <v>45</v>
      </c>
      <c r="O8" s="14" t="s">
        <v>46</v>
      </c>
      <c r="P8">
        <f t="shared" si="4"/>
        <v>6</v>
      </c>
      <c r="Q8" s="3" t="s">
        <v>43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</row>
    <row r="9" spans="1:22" ht="28" x14ac:dyDescent="0.35">
      <c r="A9">
        <f t="shared" si="2"/>
        <v>6</v>
      </c>
      <c r="B9" s="1" t="s">
        <v>47</v>
      </c>
      <c r="C9" t="b">
        <f t="shared" si="0"/>
        <v>0</v>
      </c>
      <c r="D9" t="b">
        <f t="shared" si="1"/>
        <v>0</v>
      </c>
      <c r="E9" s="33" t="s">
        <v>319</v>
      </c>
      <c r="F9" s="34" t="s">
        <v>329</v>
      </c>
      <c r="G9" s="13" t="s">
        <v>22</v>
      </c>
      <c r="H9">
        <v>15</v>
      </c>
      <c r="I9" t="s">
        <v>23</v>
      </c>
      <c r="J9">
        <f t="shared" si="3"/>
        <v>7</v>
      </c>
      <c r="K9" t="s">
        <v>48</v>
      </c>
      <c r="L9" s="5" t="s">
        <v>49</v>
      </c>
      <c r="M9" s="36" t="s">
        <v>50</v>
      </c>
      <c r="N9" s="26" t="s">
        <v>51</v>
      </c>
      <c r="O9" s="36" t="s">
        <v>50</v>
      </c>
      <c r="P9">
        <f t="shared" si="4"/>
        <v>7</v>
      </c>
      <c r="Q9" s="3" t="s">
        <v>48</v>
      </c>
      <c r="R9" s="36" t="s">
        <v>50</v>
      </c>
      <c r="S9" s="36" t="s">
        <v>50</v>
      </c>
      <c r="T9" s="36" t="s">
        <v>50</v>
      </c>
      <c r="U9" s="36" t="s">
        <v>50</v>
      </c>
      <c r="V9" s="36" t="s">
        <v>50</v>
      </c>
    </row>
    <row r="10" spans="1:22" x14ac:dyDescent="0.35">
      <c r="A10">
        <f t="shared" si="2"/>
        <v>7</v>
      </c>
      <c r="B10" s="1" t="s">
        <v>52</v>
      </c>
      <c r="C10" t="b">
        <f t="shared" si="0"/>
        <v>0</v>
      </c>
      <c r="D10" t="b">
        <f t="shared" si="1"/>
        <v>0</v>
      </c>
      <c r="E10" s="34" t="s">
        <v>42</v>
      </c>
      <c r="F10" s="34" t="s">
        <v>42</v>
      </c>
      <c r="G10" s="13" t="s">
        <v>22</v>
      </c>
      <c r="H10">
        <v>1</v>
      </c>
      <c r="I10" t="s">
        <v>23</v>
      </c>
      <c r="J10">
        <f t="shared" si="3"/>
        <v>8</v>
      </c>
      <c r="K10" t="s">
        <v>53</v>
      </c>
      <c r="L10" s="1" t="s">
        <v>54</v>
      </c>
      <c r="M10" s="28" t="s">
        <v>44</v>
      </c>
      <c r="N10" s="26" t="s">
        <v>44</v>
      </c>
      <c r="O10" s="28" t="s">
        <v>44</v>
      </c>
      <c r="P10">
        <f t="shared" si="4"/>
        <v>8</v>
      </c>
      <c r="Q10" s="3" t="s">
        <v>53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</row>
    <row r="11" spans="1:22" x14ac:dyDescent="0.35">
      <c r="A11">
        <f t="shared" si="2"/>
        <v>8</v>
      </c>
      <c r="B11" s="1" t="s">
        <v>55</v>
      </c>
      <c r="C11" t="b">
        <f t="shared" si="0"/>
        <v>0</v>
      </c>
      <c r="D11" t="b">
        <f t="shared" si="1"/>
        <v>0</v>
      </c>
      <c r="E11" s="34" t="s">
        <v>56</v>
      </c>
      <c r="F11" s="34" t="s">
        <v>57</v>
      </c>
      <c r="G11" s="13" t="s">
        <v>22</v>
      </c>
      <c r="H11">
        <v>3</v>
      </c>
      <c r="I11" t="s">
        <v>23</v>
      </c>
      <c r="J11">
        <f t="shared" si="3"/>
        <v>9</v>
      </c>
      <c r="K11" t="s">
        <v>58</v>
      </c>
      <c r="M11" s="28" t="s">
        <v>59</v>
      </c>
      <c r="N11" s="26" t="s">
        <v>60</v>
      </c>
      <c r="O11" s="28" t="s">
        <v>60</v>
      </c>
      <c r="P11">
        <f t="shared" si="4"/>
        <v>9</v>
      </c>
      <c r="Q11" s="3" t="s">
        <v>58</v>
      </c>
      <c r="R11" t="s">
        <v>59</v>
      </c>
      <c r="S11" t="s">
        <v>59</v>
      </c>
      <c r="T11" t="s">
        <v>60</v>
      </c>
      <c r="U11" t="s">
        <v>59</v>
      </c>
      <c r="V11" t="s">
        <v>60</v>
      </c>
    </row>
    <row r="12" spans="1:22" x14ac:dyDescent="0.35">
      <c r="A12">
        <f t="shared" si="2"/>
        <v>9</v>
      </c>
      <c r="B12" s="1" t="s">
        <v>61</v>
      </c>
      <c r="C12" t="b">
        <f t="shared" si="0"/>
        <v>0</v>
      </c>
      <c r="D12" t="b">
        <f t="shared" si="1"/>
        <v>0</v>
      </c>
      <c r="E12" s="34" t="s">
        <v>62</v>
      </c>
      <c r="F12" s="34" t="s">
        <v>330</v>
      </c>
      <c r="G12" s="13" t="s">
        <v>22</v>
      </c>
      <c r="H12">
        <v>10</v>
      </c>
      <c r="I12" t="s">
        <v>23</v>
      </c>
      <c r="J12">
        <f t="shared" si="3"/>
        <v>10</v>
      </c>
      <c r="K12" t="s">
        <v>63</v>
      </c>
      <c r="L12" s="5"/>
      <c r="M12" s="28" t="s">
        <v>64</v>
      </c>
      <c r="N12" s="14" t="s">
        <v>65</v>
      </c>
      <c r="O12" s="14" t="s">
        <v>328</v>
      </c>
      <c r="P12">
        <f t="shared" si="4"/>
        <v>10</v>
      </c>
      <c r="Q12" s="3" t="s">
        <v>63</v>
      </c>
      <c r="R12" t="s">
        <v>64</v>
      </c>
      <c r="S12" t="s">
        <v>64</v>
      </c>
      <c r="T12" t="s">
        <v>66</v>
      </c>
      <c r="U12" t="s">
        <v>64</v>
      </c>
      <c r="V12" t="s">
        <v>66</v>
      </c>
    </row>
    <row r="13" spans="1:22" x14ac:dyDescent="0.35">
      <c r="A13">
        <f t="shared" si="2"/>
        <v>10</v>
      </c>
      <c r="B13" s="2" t="s">
        <v>67</v>
      </c>
      <c r="C13" t="b">
        <f t="shared" si="0"/>
        <v>0</v>
      </c>
      <c r="D13" t="b">
        <f t="shared" si="1"/>
        <v>0</v>
      </c>
      <c r="E13" s="42" t="s">
        <v>27</v>
      </c>
      <c r="F13" s="42" t="s">
        <v>27</v>
      </c>
      <c r="G13" s="13" t="s">
        <v>22</v>
      </c>
      <c r="H13">
        <v>2</v>
      </c>
      <c r="I13" t="s">
        <v>23</v>
      </c>
      <c r="J13">
        <f t="shared" si="3"/>
        <v>11</v>
      </c>
      <c r="K13" t="s">
        <v>68</v>
      </c>
      <c r="M13" s="25" t="s">
        <v>69</v>
      </c>
      <c r="N13" s="26" t="s">
        <v>69</v>
      </c>
      <c r="O13" s="25" t="s">
        <v>69</v>
      </c>
      <c r="P13">
        <f t="shared" si="4"/>
        <v>11</v>
      </c>
      <c r="Q13" s="3" t="s">
        <v>68</v>
      </c>
      <c r="R13" s="25" t="s">
        <v>69</v>
      </c>
      <c r="S13" s="25" t="s">
        <v>69</v>
      </c>
      <c r="T13" s="25" t="s">
        <v>69</v>
      </c>
      <c r="U13" s="25" t="s">
        <v>69</v>
      </c>
      <c r="V13" s="25" t="s">
        <v>69</v>
      </c>
    </row>
    <row r="14" spans="1:22" x14ac:dyDescent="0.35">
      <c r="A14">
        <f t="shared" si="2"/>
        <v>11</v>
      </c>
      <c r="B14" s="1" t="s">
        <v>70</v>
      </c>
      <c r="C14" t="b">
        <f t="shared" si="0"/>
        <v>0</v>
      </c>
      <c r="D14" t="b">
        <f t="shared" si="1"/>
        <v>0</v>
      </c>
      <c r="E14" s="43" t="s">
        <v>333</v>
      </c>
      <c r="F14" s="20" t="s">
        <v>334</v>
      </c>
      <c r="G14" s="13" t="s">
        <v>22</v>
      </c>
      <c r="H14">
        <v>12</v>
      </c>
      <c r="I14" t="s">
        <v>23</v>
      </c>
      <c r="J14">
        <f t="shared" si="3"/>
        <v>12</v>
      </c>
      <c r="K14" t="s">
        <v>72</v>
      </c>
      <c r="L14" s="1" t="s">
        <v>73</v>
      </c>
      <c r="M14" s="39" t="s">
        <v>71</v>
      </c>
      <c r="N14" s="40" t="s">
        <v>74</v>
      </c>
      <c r="O14" s="39" t="s">
        <v>71</v>
      </c>
      <c r="P14">
        <f t="shared" si="4"/>
        <v>12</v>
      </c>
      <c r="Q14" s="3" t="s">
        <v>72</v>
      </c>
      <c r="R14" s="7"/>
    </row>
    <row r="15" spans="1:22" x14ac:dyDescent="0.35">
      <c r="A15">
        <f t="shared" si="2"/>
        <v>12</v>
      </c>
      <c r="B15" s="1" t="s">
        <v>75</v>
      </c>
      <c r="C15" t="b">
        <f t="shared" si="0"/>
        <v>0</v>
      </c>
      <c r="D15" t="b">
        <f t="shared" si="1"/>
        <v>0</v>
      </c>
      <c r="E15" s="34" t="s">
        <v>76</v>
      </c>
      <c r="F15" s="34" t="s">
        <v>76</v>
      </c>
      <c r="G15" s="13" t="s">
        <v>22</v>
      </c>
      <c r="H15">
        <v>3</v>
      </c>
      <c r="I15" t="s">
        <v>23</v>
      </c>
      <c r="J15">
        <f t="shared" si="3"/>
        <v>13</v>
      </c>
      <c r="K15" t="s">
        <v>77</v>
      </c>
      <c r="M15" s="25" t="s">
        <v>78</v>
      </c>
      <c r="N15" s="26" t="s">
        <v>78</v>
      </c>
      <c r="O15" s="25" t="s">
        <v>78</v>
      </c>
      <c r="P15">
        <f t="shared" si="4"/>
        <v>13</v>
      </c>
      <c r="Q15" s="3" t="s">
        <v>77</v>
      </c>
      <c r="R15" s="25" t="s">
        <v>78</v>
      </c>
      <c r="S15" s="25" t="s">
        <v>78</v>
      </c>
      <c r="T15" s="25" t="s">
        <v>78</v>
      </c>
      <c r="U15" s="25" t="s">
        <v>78</v>
      </c>
      <c r="V15" s="25" t="s">
        <v>78</v>
      </c>
    </row>
    <row r="16" spans="1:22" ht="15" customHeight="1" x14ac:dyDescent="0.35">
      <c r="A16">
        <f t="shared" si="2"/>
        <v>13</v>
      </c>
      <c r="B16" s="1" t="s">
        <v>79</v>
      </c>
      <c r="C16" t="b">
        <f t="shared" si="0"/>
        <v>0</v>
      </c>
      <c r="D16" t="b">
        <f t="shared" si="1"/>
        <v>0</v>
      </c>
      <c r="E16" s="20" t="s">
        <v>335</v>
      </c>
      <c r="F16" s="20" t="s">
        <v>335</v>
      </c>
      <c r="G16" s="13" t="s">
        <v>22</v>
      </c>
      <c r="H16">
        <v>35</v>
      </c>
      <c r="I16" t="s">
        <v>23</v>
      </c>
      <c r="J16">
        <f t="shared" si="3"/>
        <v>14</v>
      </c>
      <c r="K16" t="s">
        <v>80</v>
      </c>
      <c r="L16" s="1" t="s">
        <v>81</v>
      </c>
      <c r="M16" s="25"/>
      <c r="N16" s="26"/>
      <c r="O16" s="25"/>
      <c r="P16">
        <f t="shared" si="4"/>
        <v>14</v>
      </c>
      <c r="Q16" s="3" t="s">
        <v>80</v>
      </c>
      <c r="R16" s="7"/>
    </row>
    <row r="17" spans="1:22" x14ac:dyDescent="0.35">
      <c r="A17">
        <f t="shared" si="2"/>
        <v>14</v>
      </c>
      <c r="B17" s="1" t="s">
        <v>82</v>
      </c>
      <c r="C17" t="b">
        <f t="shared" si="0"/>
        <v>0</v>
      </c>
      <c r="D17" t="b">
        <f t="shared" si="1"/>
        <v>0</v>
      </c>
      <c r="E17" s="34" t="s">
        <v>31</v>
      </c>
      <c r="F17" s="45" t="s">
        <v>336</v>
      </c>
      <c r="G17" s="13" t="s">
        <v>22</v>
      </c>
      <c r="H17">
        <v>10</v>
      </c>
      <c r="I17" t="s">
        <v>23</v>
      </c>
      <c r="J17">
        <f t="shared" si="3"/>
        <v>15</v>
      </c>
      <c r="K17" t="s">
        <v>83</v>
      </c>
      <c r="L17" s="1" t="s">
        <v>84</v>
      </c>
      <c r="M17" s="25" t="s">
        <v>85</v>
      </c>
      <c r="N17" s="26" t="s">
        <v>86</v>
      </c>
      <c r="O17" s="27"/>
      <c r="P17">
        <f t="shared" si="4"/>
        <v>15</v>
      </c>
      <c r="Q17" s="3" t="s">
        <v>83</v>
      </c>
      <c r="R17" t="s">
        <v>33</v>
      </c>
      <c r="S17" t="s">
        <v>33</v>
      </c>
      <c r="T17" s="27"/>
      <c r="U17" t="s">
        <v>33</v>
      </c>
      <c r="V17" s="27"/>
    </row>
    <row r="18" spans="1:22" x14ac:dyDescent="0.35">
      <c r="A18">
        <f t="shared" si="2"/>
        <v>15</v>
      </c>
      <c r="B18" s="1" t="s">
        <v>87</v>
      </c>
      <c r="C18" t="b">
        <f t="shared" si="0"/>
        <v>0</v>
      </c>
      <c r="D18" t="b">
        <f t="shared" si="1"/>
        <v>0</v>
      </c>
      <c r="E18" s="34" t="s">
        <v>31</v>
      </c>
      <c r="F18" s="33" t="s">
        <v>31</v>
      </c>
      <c r="G18" s="13" t="s">
        <v>22</v>
      </c>
      <c r="H18">
        <v>9</v>
      </c>
      <c r="I18" t="s">
        <v>23</v>
      </c>
      <c r="J18">
        <f t="shared" si="3"/>
        <v>16</v>
      </c>
      <c r="K18" t="s">
        <v>88</v>
      </c>
      <c r="M18" s="25" t="s">
        <v>89</v>
      </c>
      <c r="N18" s="26"/>
      <c r="O18" s="30"/>
      <c r="P18">
        <f t="shared" si="4"/>
        <v>16</v>
      </c>
      <c r="Q18" s="3" t="s">
        <v>88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</row>
    <row r="19" spans="1:22" x14ac:dyDescent="0.35">
      <c r="A19">
        <f t="shared" si="2"/>
        <v>16</v>
      </c>
      <c r="B19" s="2" t="s">
        <v>90</v>
      </c>
      <c r="C19" t="b">
        <f t="shared" si="0"/>
        <v>0</v>
      </c>
      <c r="D19" t="b">
        <f t="shared" si="1"/>
        <v>1</v>
      </c>
      <c r="E19" s="42" t="s">
        <v>31</v>
      </c>
      <c r="F19" s="42" t="s">
        <v>27</v>
      </c>
      <c r="G19" s="13" t="s">
        <v>22</v>
      </c>
      <c r="H19">
        <v>2</v>
      </c>
      <c r="I19" t="s">
        <v>23</v>
      </c>
      <c r="J19">
        <f t="shared" si="3"/>
        <v>17</v>
      </c>
      <c r="K19" t="s">
        <v>91</v>
      </c>
      <c r="M19" s="25" t="s">
        <v>89</v>
      </c>
      <c r="N19" s="26" t="s">
        <v>27</v>
      </c>
      <c r="O19" s="25" t="s">
        <v>27</v>
      </c>
      <c r="P19">
        <f t="shared" si="4"/>
        <v>17</v>
      </c>
      <c r="Q19" s="3" t="s">
        <v>91</v>
      </c>
      <c r="R19" t="s">
        <v>33</v>
      </c>
      <c r="S19" t="s">
        <v>33</v>
      </c>
      <c r="T19" s="25" t="s">
        <v>27</v>
      </c>
      <c r="U19" t="s">
        <v>33</v>
      </c>
      <c r="V19" s="25" t="s">
        <v>27</v>
      </c>
    </row>
    <row r="20" spans="1:22" x14ac:dyDescent="0.35">
      <c r="A20">
        <f t="shared" si="2"/>
        <v>17</v>
      </c>
      <c r="B20" s="1" t="s">
        <v>92</v>
      </c>
      <c r="C20" t="b">
        <f t="shared" si="0"/>
        <v>0</v>
      </c>
      <c r="D20" t="b">
        <f t="shared" si="1"/>
        <v>0</v>
      </c>
      <c r="E20" s="34" t="s">
        <v>31</v>
      </c>
      <c r="F20" s="20" t="s">
        <v>337</v>
      </c>
      <c r="G20" s="13" t="s">
        <v>22</v>
      </c>
      <c r="H20">
        <v>12</v>
      </c>
      <c r="I20" t="s">
        <v>23</v>
      </c>
      <c r="J20">
        <f t="shared" si="3"/>
        <v>18</v>
      </c>
      <c r="K20" t="s">
        <v>93</v>
      </c>
      <c r="M20" s="25" t="s">
        <v>89</v>
      </c>
      <c r="N20" s="26" t="s">
        <v>94</v>
      </c>
      <c r="O20" s="25" t="s">
        <v>94</v>
      </c>
      <c r="P20">
        <f t="shared" si="4"/>
        <v>18</v>
      </c>
      <c r="Q20" s="3" t="s">
        <v>93</v>
      </c>
      <c r="R20" t="s">
        <v>33</v>
      </c>
      <c r="S20" t="s">
        <v>33</v>
      </c>
    </row>
    <row r="21" spans="1:22" x14ac:dyDescent="0.35">
      <c r="A21">
        <f t="shared" si="2"/>
        <v>18</v>
      </c>
      <c r="B21" s="1" t="s">
        <v>95</v>
      </c>
      <c r="C21" t="b">
        <f t="shared" si="0"/>
        <v>0</v>
      </c>
      <c r="D21" t="b">
        <f t="shared" si="1"/>
        <v>0</v>
      </c>
      <c r="E21" s="34" t="s">
        <v>31</v>
      </c>
      <c r="F21" s="33" t="s">
        <v>76</v>
      </c>
      <c r="G21" s="13" t="s">
        <v>22</v>
      </c>
      <c r="H21">
        <v>3</v>
      </c>
      <c r="I21" t="s">
        <v>23</v>
      </c>
      <c r="J21">
        <f t="shared" si="3"/>
        <v>19</v>
      </c>
      <c r="K21" t="s">
        <v>96</v>
      </c>
      <c r="M21" s="25" t="s">
        <v>89</v>
      </c>
      <c r="N21" s="26" t="s">
        <v>97</v>
      </c>
      <c r="O21" s="30" t="s">
        <v>97</v>
      </c>
      <c r="P21">
        <f t="shared" si="4"/>
        <v>19</v>
      </c>
      <c r="Q21" s="3" t="s">
        <v>96</v>
      </c>
      <c r="R21" t="s">
        <v>33</v>
      </c>
      <c r="S21" t="s">
        <v>33</v>
      </c>
      <c r="T21" s="25" t="s">
        <v>78</v>
      </c>
      <c r="U21" t="s">
        <v>33</v>
      </c>
      <c r="V21" t="s">
        <v>98</v>
      </c>
    </row>
    <row r="22" spans="1:22" x14ac:dyDescent="0.35">
      <c r="A22">
        <f t="shared" si="2"/>
        <v>19</v>
      </c>
      <c r="B22" s="1" t="s">
        <v>99</v>
      </c>
      <c r="C22" t="b">
        <f t="shared" si="0"/>
        <v>0</v>
      </c>
      <c r="D22" t="b">
        <f t="shared" si="1"/>
        <v>0</v>
      </c>
      <c r="E22" s="34" t="s">
        <v>31</v>
      </c>
      <c r="F22" s="20" t="s">
        <v>338</v>
      </c>
      <c r="G22" s="13" t="s">
        <v>22</v>
      </c>
      <c r="H22">
        <v>35</v>
      </c>
      <c r="I22" t="s">
        <v>23</v>
      </c>
      <c r="J22">
        <f t="shared" si="3"/>
        <v>20</v>
      </c>
      <c r="K22" t="s">
        <v>100</v>
      </c>
      <c r="M22" s="25" t="s">
        <v>85</v>
      </c>
      <c r="N22" s="26" t="s">
        <v>101</v>
      </c>
      <c r="O22" s="25" t="s">
        <v>101</v>
      </c>
      <c r="P22">
        <f t="shared" si="4"/>
        <v>20</v>
      </c>
      <c r="Q22" s="3" t="s">
        <v>100</v>
      </c>
      <c r="R22" t="s">
        <v>33</v>
      </c>
      <c r="S22" t="s">
        <v>33</v>
      </c>
    </row>
    <row r="23" spans="1:22" x14ac:dyDescent="0.35">
      <c r="A23">
        <f t="shared" si="2"/>
        <v>20</v>
      </c>
      <c r="B23" s="1" t="s">
        <v>102</v>
      </c>
      <c r="C23" t="b">
        <f t="shared" si="0"/>
        <v>0</v>
      </c>
      <c r="D23" t="b">
        <f t="shared" si="1"/>
        <v>0</v>
      </c>
      <c r="E23" s="34" t="s">
        <v>320</v>
      </c>
      <c r="F23" s="34" t="s">
        <v>320</v>
      </c>
      <c r="G23" s="13" t="s">
        <v>22</v>
      </c>
      <c r="H23">
        <v>8</v>
      </c>
      <c r="I23" t="s">
        <v>28</v>
      </c>
      <c r="J23">
        <f t="shared" si="3"/>
        <v>21</v>
      </c>
      <c r="K23" t="s">
        <v>103</v>
      </c>
      <c r="L23" s="1" t="s">
        <v>104</v>
      </c>
      <c r="M23" s="25" t="s">
        <v>105</v>
      </c>
      <c r="N23" s="26" t="s">
        <v>106</v>
      </c>
      <c r="O23" s="25" t="s">
        <v>106</v>
      </c>
      <c r="P23">
        <f t="shared" si="4"/>
        <v>21</v>
      </c>
      <c r="Q23" t="s">
        <v>103</v>
      </c>
      <c r="R23" s="35" t="s">
        <v>107</v>
      </c>
      <c r="S23" s="35" t="s">
        <v>107</v>
      </c>
      <c r="T23" s="35" t="s">
        <v>107</v>
      </c>
      <c r="U23" s="35" t="s">
        <v>107</v>
      </c>
      <c r="V23" s="35" t="s">
        <v>107</v>
      </c>
    </row>
    <row r="24" spans="1:22" x14ac:dyDescent="0.35">
      <c r="A24">
        <f t="shared" si="2"/>
        <v>21</v>
      </c>
      <c r="B24" s="1" t="s">
        <v>108</v>
      </c>
      <c r="C24" t="b">
        <f t="shared" si="0"/>
        <v>0</v>
      </c>
      <c r="D24" t="b">
        <f t="shared" si="1"/>
        <v>0</v>
      </c>
      <c r="E24" s="34" t="s">
        <v>109</v>
      </c>
      <c r="F24" s="34" t="s">
        <v>109</v>
      </c>
      <c r="G24" s="13" t="s">
        <v>22</v>
      </c>
      <c r="H24">
        <v>2</v>
      </c>
      <c r="I24" t="s">
        <v>23</v>
      </c>
      <c r="J24">
        <f t="shared" si="3"/>
        <v>22</v>
      </c>
      <c r="K24" t="s">
        <v>110</v>
      </c>
      <c r="M24" s="25" t="s">
        <v>111</v>
      </c>
      <c r="N24" s="26" t="s">
        <v>112</v>
      </c>
      <c r="O24" s="25" t="s">
        <v>111</v>
      </c>
      <c r="P24">
        <f t="shared" si="4"/>
        <v>22</v>
      </c>
      <c r="Q24" s="3" t="s">
        <v>110</v>
      </c>
      <c r="R24" s="25" t="s">
        <v>111</v>
      </c>
      <c r="S24" s="25" t="s">
        <v>111</v>
      </c>
      <c r="T24" s="25" t="s">
        <v>111</v>
      </c>
      <c r="U24" s="25" t="s">
        <v>111</v>
      </c>
      <c r="V24" s="25" t="s">
        <v>111</v>
      </c>
    </row>
    <row r="25" spans="1:22" ht="58" x14ac:dyDescent="0.35">
      <c r="A25">
        <f t="shared" si="2"/>
        <v>22</v>
      </c>
      <c r="B25" t="s">
        <v>113</v>
      </c>
      <c r="C25" t="b">
        <f t="shared" si="0"/>
        <v>0</v>
      </c>
      <c r="D25" t="b">
        <f t="shared" si="1"/>
        <v>0</v>
      </c>
      <c r="E25" s="44" t="s">
        <v>321</v>
      </c>
      <c r="F25" s="32" t="s">
        <v>331</v>
      </c>
      <c r="G25" s="13" t="s">
        <v>22</v>
      </c>
      <c r="H25">
        <v>30</v>
      </c>
      <c r="I25" t="s">
        <v>23</v>
      </c>
      <c r="J25">
        <f t="shared" si="3"/>
        <v>23</v>
      </c>
      <c r="K25" t="s">
        <v>114</v>
      </c>
      <c r="L25" s="41" t="s">
        <v>115</v>
      </c>
      <c r="M25" s="30" t="s">
        <v>116</v>
      </c>
      <c r="N25" s="26" t="s">
        <v>117</v>
      </c>
      <c r="O25" s="25" t="s">
        <v>117</v>
      </c>
      <c r="P25">
        <f t="shared" si="4"/>
        <v>23</v>
      </c>
      <c r="Q25" t="s">
        <v>114</v>
      </c>
    </row>
    <row r="26" spans="1:22" x14ac:dyDescent="0.35">
      <c r="A26">
        <f t="shared" si="2"/>
        <v>23</v>
      </c>
      <c r="B26" t="s">
        <v>118</v>
      </c>
      <c r="C26" t="b">
        <f t="shared" si="0"/>
        <v>0</v>
      </c>
      <c r="D26" t="b">
        <f t="shared" si="1"/>
        <v>1</v>
      </c>
      <c r="E26" s="34" t="s">
        <v>31</v>
      </c>
      <c r="F26" s="32" t="s">
        <v>119</v>
      </c>
      <c r="G26" s="13" t="s">
        <v>22</v>
      </c>
      <c r="H26">
        <v>2</v>
      </c>
      <c r="I26" t="s">
        <v>23</v>
      </c>
      <c r="J26">
        <f t="shared" si="3"/>
        <v>24</v>
      </c>
      <c r="K26" t="s">
        <v>120</v>
      </c>
      <c r="M26" s="25" t="s">
        <v>85</v>
      </c>
      <c r="N26" s="26" t="s">
        <v>119</v>
      </c>
      <c r="O26" s="25" t="s">
        <v>119</v>
      </c>
      <c r="P26">
        <f t="shared" si="4"/>
        <v>24</v>
      </c>
      <c r="Q26" s="3" t="s">
        <v>120</v>
      </c>
      <c r="R26" t="s">
        <v>33</v>
      </c>
      <c r="S26" t="s">
        <v>33</v>
      </c>
      <c r="T26" s="25" t="s">
        <v>119</v>
      </c>
      <c r="U26" t="s">
        <v>33</v>
      </c>
      <c r="V26" s="25" t="s">
        <v>119</v>
      </c>
    </row>
    <row r="27" spans="1:22" x14ac:dyDescent="0.35">
      <c r="A27">
        <f t="shared" si="2"/>
        <v>24</v>
      </c>
      <c r="B27" t="s">
        <v>121</v>
      </c>
      <c r="C27" t="b">
        <f t="shared" si="0"/>
        <v>0</v>
      </c>
      <c r="D27" t="b">
        <f t="shared" si="1"/>
        <v>1</v>
      </c>
      <c r="E27" s="20" t="s">
        <v>123</v>
      </c>
      <c r="F27" s="34" t="s">
        <v>123</v>
      </c>
      <c r="G27" s="13" t="s">
        <v>22</v>
      </c>
      <c r="H27">
        <v>3</v>
      </c>
      <c r="I27" t="s">
        <v>23</v>
      </c>
      <c r="J27">
        <f t="shared" si="3"/>
        <v>25</v>
      </c>
      <c r="K27" t="s">
        <v>122</v>
      </c>
      <c r="M27" s="25" t="s">
        <v>85</v>
      </c>
      <c r="N27" s="26" t="s">
        <v>123</v>
      </c>
      <c r="O27" s="25" t="s">
        <v>123</v>
      </c>
      <c r="P27">
        <f t="shared" si="4"/>
        <v>25</v>
      </c>
      <c r="Q27" t="s">
        <v>122</v>
      </c>
      <c r="R27" t="s">
        <v>33</v>
      </c>
      <c r="S27" t="s">
        <v>33</v>
      </c>
      <c r="T27" s="25" t="s">
        <v>123</v>
      </c>
      <c r="U27" t="s">
        <v>33</v>
      </c>
      <c r="V27" s="25" t="s">
        <v>123</v>
      </c>
    </row>
    <row r="28" spans="1:22" x14ac:dyDescent="0.35">
      <c r="A28">
        <f t="shared" si="2"/>
        <v>25</v>
      </c>
      <c r="B28" t="s">
        <v>124</v>
      </c>
      <c r="C28" t="b">
        <f t="shared" si="0"/>
        <v>0</v>
      </c>
      <c r="D28" t="b">
        <f t="shared" si="1"/>
        <v>0</v>
      </c>
      <c r="E28" s="34" t="s">
        <v>125</v>
      </c>
      <c r="F28" s="32" t="s">
        <v>31</v>
      </c>
      <c r="G28" s="13" t="s">
        <v>22</v>
      </c>
      <c r="H28">
        <v>2</v>
      </c>
      <c r="I28" t="s">
        <v>23</v>
      </c>
      <c r="J28">
        <f t="shared" si="3"/>
        <v>26</v>
      </c>
      <c r="K28" t="s">
        <v>126</v>
      </c>
      <c r="M28" s="25" t="s">
        <v>127</v>
      </c>
      <c r="N28" s="26" t="s">
        <v>85</v>
      </c>
      <c r="O28" s="25" t="s">
        <v>85</v>
      </c>
      <c r="P28">
        <f t="shared" si="4"/>
        <v>26</v>
      </c>
      <c r="Q28" s="3" t="s">
        <v>126</v>
      </c>
      <c r="R28" s="25" t="s">
        <v>127</v>
      </c>
      <c r="S28" s="25" t="s">
        <v>127</v>
      </c>
      <c r="T28" s="25" t="s">
        <v>85</v>
      </c>
      <c r="U28" s="25" t="s">
        <v>127</v>
      </c>
      <c r="V28" s="25" t="s">
        <v>85</v>
      </c>
    </row>
    <row r="29" spans="1:22" x14ac:dyDescent="0.35">
      <c r="A29">
        <f t="shared" si="2"/>
        <v>26</v>
      </c>
      <c r="B29" t="s">
        <v>128</v>
      </c>
      <c r="C29" t="b">
        <f t="shared" si="0"/>
        <v>0</v>
      </c>
      <c r="D29" t="b">
        <f t="shared" si="1"/>
        <v>0</v>
      </c>
      <c r="E29" s="44" t="s">
        <v>322</v>
      </c>
      <c r="F29" s="32" t="s">
        <v>31</v>
      </c>
      <c r="G29" s="13" t="s">
        <v>22</v>
      </c>
      <c r="H29">
        <v>8</v>
      </c>
      <c r="I29" t="s">
        <v>23</v>
      </c>
      <c r="J29">
        <f t="shared" si="3"/>
        <v>27</v>
      </c>
      <c r="K29" t="s">
        <v>129</v>
      </c>
      <c r="L29" s="1" t="s">
        <v>130</v>
      </c>
      <c r="M29" s="30" t="s">
        <v>131</v>
      </c>
      <c r="N29" s="26" t="s">
        <v>85</v>
      </c>
      <c r="O29" s="25" t="s">
        <v>85</v>
      </c>
      <c r="P29">
        <f t="shared" si="4"/>
        <v>27</v>
      </c>
      <c r="Q29" t="s">
        <v>129</v>
      </c>
      <c r="T29" s="25"/>
      <c r="V29" s="25"/>
    </row>
    <row r="30" spans="1:22" x14ac:dyDescent="0.35">
      <c r="A30">
        <f t="shared" si="2"/>
        <v>27</v>
      </c>
      <c r="B30" s="1" t="s">
        <v>132</v>
      </c>
      <c r="C30" t="b">
        <f t="shared" si="0"/>
        <v>0</v>
      </c>
      <c r="D30" t="b">
        <f t="shared" si="1"/>
        <v>0</v>
      </c>
      <c r="E30" s="34" t="s">
        <v>133</v>
      </c>
      <c r="F30" s="34" t="s">
        <v>133</v>
      </c>
      <c r="G30" s="13" t="s">
        <v>22</v>
      </c>
      <c r="H30">
        <v>3</v>
      </c>
      <c r="I30" t="s">
        <v>23</v>
      </c>
      <c r="J30">
        <f t="shared" si="3"/>
        <v>28</v>
      </c>
      <c r="K30" t="s">
        <v>134</v>
      </c>
      <c r="M30" s="25" t="s">
        <v>135</v>
      </c>
      <c r="N30" s="26" t="s">
        <v>135</v>
      </c>
      <c r="O30" s="25" t="s">
        <v>135</v>
      </c>
      <c r="P30">
        <f t="shared" si="4"/>
        <v>28</v>
      </c>
      <c r="Q30" s="3" t="s">
        <v>134</v>
      </c>
      <c r="R30" s="25" t="s">
        <v>135</v>
      </c>
      <c r="S30" s="25" t="s">
        <v>135</v>
      </c>
      <c r="T30" s="25" t="s">
        <v>135</v>
      </c>
      <c r="U30" s="25" t="s">
        <v>135</v>
      </c>
      <c r="V30" s="25" t="s">
        <v>135</v>
      </c>
    </row>
    <row r="31" spans="1:22" ht="43.5" x14ac:dyDescent="0.35">
      <c r="A31">
        <f t="shared" si="2"/>
        <v>28</v>
      </c>
      <c r="B31" s="1" t="s">
        <v>136</v>
      </c>
      <c r="C31" t="b">
        <f t="shared" si="0"/>
        <v>0</v>
      </c>
      <c r="D31" t="b">
        <f t="shared" si="1"/>
        <v>0</v>
      </c>
      <c r="E31" s="20" t="s">
        <v>323</v>
      </c>
      <c r="F31" s="20" t="s">
        <v>323</v>
      </c>
      <c r="G31" s="13" t="s">
        <v>22</v>
      </c>
      <c r="H31">
        <v>35</v>
      </c>
      <c r="I31" t="s">
        <v>23</v>
      </c>
      <c r="J31">
        <f t="shared" si="3"/>
        <v>29</v>
      </c>
      <c r="K31" t="s">
        <v>137</v>
      </c>
      <c r="L31" s="1" t="s">
        <v>138</v>
      </c>
      <c r="M31" s="29" t="s">
        <v>139</v>
      </c>
      <c r="N31" s="29" t="s">
        <v>140</v>
      </c>
      <c r="O31" s="29" t="s">
        <v>140</v>
      </c>
      <c r="P31">
        <f t="shared" si="4"/>
        <v>29</v>
      </c>
      <c r="Q31" t="s">
        <v>137</v>
      </c>
      <c r="R31" t="s">
        <v>141</v>
      </c>
      <c r="S31" t="s">
        <v>140</v>
      </c>
      <c r="T31" t="s">
        <v>140</v>
      </c>
      <c r="U31" t="s">
        <v>142</v>
      </c>
      <c r="V31" t="s">
        <v>142</v>
      </c>
    </row>
    <row r="32" spans="1:22" ht="15.75" customHeight="1" x14ac:dyDescent="0.35">
      <c r="A32">
        <f t="shared" si="2"/>
        <v>29</v>
      </c>
      <c r="B32" s="1" t="s">
        <v>143</v>
      </c>
      <c r="C32" t="b">
        <f t="shared" si="0"/>
        <v>0</v>
      </c>
      <c r="D32" t="b">
        <f t="shared" si="1"/>
        <v>0</v>
      </c>
      <c r="E32" s="20" t="s">
        <v>31</v>
      </c>
      <c r="F32" s="20" t="s">
        <v>31</v>
      </c>
      <c r="G32" s="13" t="s">
        <v>22</v>
      </c>
      <c r="H32">
        <v>35</v>
      </c>
      <c r="I32" t="s">
        <v>23</v>
      </c>
      <c r="J32">
        <f t="shared" si="3"/>
        <v>30</v>
      </c>
      <c r="K32" t="s">
        <v>144</v>
      </c>
      <c r="L32" s="15"/>
      <c r="M32" s="29" t="s">
        <v>85</v>
      </c>
      <c r="N32" s="29" t="s">
        <v>145</v>
      </c>
      <c r="O32" s="29" t="s">
        <v>85</v>
      </c>
      <c r="P32">
        <f t="shared" si="4"/>
        <v>30</v>
      </c>
      <c r="Q32" t="s">
        <v>144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</row>
    <row r="33" spans="1:22" ht="58" x14ac:dyDescent="0.35">
      <c r="A33">
        <f t="shared" si="2"/>
        <v>30</v>
      </c>
      <c r="B33" s="1" t="s">
        <v>146</v>
      </c>
      <c r="C33" t="b">
        <f t="shared" si="0"/>
        <v>0</v>
      </c>
      <c r="D33" t="b">
        <f t="shared" si="1"/>
        <v>0</v>
      </c>
      <c r="E33" s="20" t="s">
        <v>324</v>
      </c>
      <c r="F33" s="20" t="s">
        <v>324</v>
      </c>
      <c r="G33" s="13" t="s">
        <v>22</v>
      </c>
      <c r="H33">
        <v>35</v>
      </c>
      <c r="I33" t="s">
        <v>23</v>
      </c>
      <c r="J33">
        <f t="shared" si="3"/>
        <v>31</v>
      </c>
      <c r="K33" t="s">
        <v>147</v>
      </c>
      <c r="L33" s="1" t="s">
        <v>148</v>
      </c>
      <c r="M33" s="29" t="s">
        <v>149</v>
      </c>
      <c r="N33" s="29" t="s">
        <v>149</v>
      </c>
      <c r="O33" s="29" t="s">
        <v>149</v>
      </c>
      <c r="P33">
        <f t="shared" si="4"/>
        <v>31</v>
      </c>
      <c r="Q33" t="s">
        <v>147</v>
      </c>
      <c r="R33" t="s">
        <v>150</v>
      </c>
      <c r="S33" t="s">
        <v>150</v>
      </c>
      <c r="T33" t="s">
        <v>150</v>
      </c>
      <c r="U33" t="s">
        <v>150</v>
      </c>
      <c r="V33" t="s">
        <v>150</v>
      </c>
    </row>
    <row r="34" spans="1:22" x14ac:dyDescent="0.35">
      <c r="A34">
        <f t="shared" si="2"/>
        <v>31</v>
      </c>
      <c r="B34" s="1" t="s">
        <v>151</v>
      </c>
      <c r="C34" t="b">
        <f t="shared" si="0"/>
        <v>0</v>
      </c>
      <c r="D34" t="b">
        <f t="shared" si="1"/>
        <v>0</v>
      </c>
      <c r="E34" s="34" t="s">
        <v>31</v>
      </c>
      <c r="F34" s="34" t="s">
        <v>31</v>
      </c>
      <c r="G34" s="13" t="s">
        <v>22</v>
      </c>
      <c r="H34">
        <v>35</v>
      </c>
      <c r="I34" t="s">
        <v>23</v>
      </c>
      <c r="J34">
        <f t="shared" si="3"/>
        <v>32</v>
      </c>
      <c r="M34" s="29"/>
      <c r="N34" s="29"/>
      <c r="O34" s="29"/>
      <c r="P34">
        <f t="shared" si="4"/>
        <v>32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</row>
    <row r="35" spans="1:22" ht="58" x14ac:dyDescent="0.35">
      <c r="A35">
        <f t="shared" si="2"/>
        <v>32</v>
      </c>
      <c r="B35" s="1" t="s">
        <v>152</v>
      </c>
      <c r="C35" t="b">
        <f t="shared" si="0"/>
        <v>0</v>
      </c>
      <c r="D35" t="b">
        <f t="shared" si="1"/>
        <v>0</v>
      </c>
      <c r="E35" s="20" t="s">
        <v>325</v>
      </c>
      <c r="F35" s="20" t="s">
        <v>325</v>
      </c>
      <c r="G35" s="13" t="s">
        <v>22</v>
      </c>
      <c r="H35">
        <v>20</v>
      </c>
      <c r="I35" t="s">
        <v>23</v>
      </c>
      <c r="J35">
        <f t="shared" si="3"/>
        <v>33</v>
      </c>
      <c r="K35" t="s">
        <v>154</v>
      </c>
      <c r="L35" s="1" t="s">
        <v>148</v>
      </c>
      <c r="M35" s="29" t="s">
        <v>155</v>
      </c>
      <c r="N35" s="29" t="s">
        <v>153</v>
      </c>
      <c r="O35" s="29" t="s">
        <v>153</v>
      </c>
      <c r="P35">
        <f t="shared" si="4"/>
        <v>33</v>
      </c>
      <c r="Q35" t="s">
        <v>154</v>
      </c>
      <c r="R35" t="s">
        <v>156</v>
      </c>
      <c r="S35" t="s">
        <v>156</v>
      </c>
      <c r="T35" t="s">
        <v>156</v>
      </c>
      <c r="U35" t="s">
        <v>156</v>
      </c>
      <c r="V35" t="s">
        <v>156</v>
      </c>
    </row>
    <row r="36" spans="1:22" ht="58" x14ac:dyDescent="0.35">
      <c r="A36">
        <f t="shared" si="2"/>
        <v>33</v>
      </c>
      <c r="B36" s="1" t="s">
        <v>157</v>
      </c>
      <c r="C36" t="b">
        <f t="shared" si="0"/>
        <v>1</v>
      </c>
      <c r="D36" t="b">
        <f t="shared" si="1"/>
        <v>0</v>
      </c>
      <c r="E36" s="20" t="s">
        <v>159</v>
      </c>
      <c r="F36" s="20" t="s">
        <v>159</v>
      </c>
      <c r="G36" s="13" t="s">
        <v>22</v>
      </c>
      <c r="H36">
        <v>2</v>
      </c>
      <c r="I36" t="s">
        <v>23</v>
      </c>
      <c r="J36">
        <f t="shared" si="3"/>
        <v>34</v>
      </c>
      <c r="K36" t="s">
        <v>158</v>
      </c>
      <c r="L36" s="1" t="s">
        <v>148</v>
      </c>
      <c r="M36" s="30" t="s">
        <v>159</v>
      </c>
      <c r="N36" s="29" t="s">
        <v>160</v>
      </c>
      <c r="O36" s="30" t="s">
        <v>160</v>
      </c>
      <c r="P36">
        <f t="shared" si="4"/>
        <v>34</v>
      </c>
      <c r="Q36" t="s">
        <v>158</v>
      </c>
      <c r="R36" t="s">
        <v>160</v>
      </c>
      <c r="S36" t="s">
        <v>160</v>
      </c>
      <c r="T36" t="s">
        <v>160</v>
      </c>
      <c r="U36" t="s">
        <v>160</v>
      </c>
      <c r="V36" t="s">
        <v>160</v>
      </c>
    </row>
    <row r="37" spans="1:22" ht="58" x14ac:dyDescent="0.35">
      <c r="A37">
        <f t="shared" si="2"/>
        <v>34</v>
      </c>
      <c r="B37" s="1" t="s">
        <v>161</v>
      </c>
      <c r="C37" t="b">
        <f t="shared" si="0"/>
        <v>0</v>
      </c>
      <c r="D37" t="b">
        <f t="shared" si="1"/>
        <v>0</v>
      </c>
      <c r="E37" s="20" t="s">
        <v>326</v>
      </c>
      <c r="F37" s="20" t="s">
        <v>326</v>
      </c>
      <c r="G37" s="13" t="s">
        <v>22</v>
      </c>
      <c r="H37">
        <v>15</v>
      </c>
      <c r="I37" t="s">
        <v>23</v>
      </c>
      <c r="J37">
        <f t="shared" si="3"/>
        <v>35</v>
      </c>
      <c r="K37" t="s">
        <v>163</v>
      </c>
      <c r="L37" s="1" t="s">
        <v>148</v>
      </c>
      <c r="M37" s="30" t="s">
        <v>162</v>
      </c>
      <c r="N37" s="29" t="s">
        <v>162</v>
      </c>
      <c r="O37" s="30" t="s">
        <v>162</v>
      </c>
      <c r="P37">
        <f t="shared" si="4"/>
        <v>35</v>
      </c>
      <c r="Q37" t="s">
        <v>163</v>
      </c>
      <c r="R37" s="30" t="s">
        <v>162</v>
      </c>
      <c r="S37" s="30" t="s">
        <v>162</v>
      </c>
      <c r="T37" s="30" t="s">
        <v>162</v>
      </c>
      <c r="U37" s="30" t="s">
        <v>162</v>
      </c>
      <c r="V37" s="30" t="s">
        <v>162</v>
      </c>
    </row>
    <row r="38" spans="1:22" ht="29" x14ac:dyDescent="0.35">
      <c r="A38">
        <f t="shared" si="2"/>
        <v>35</v>
      </c>
      <c r="B38" t="s">
        <v>164</v>
      </c>
      <c r="C38" t="b">
        <f t="shared" si="0"/>
        <v>0</v>
      </c>
      <c r="D38" t="b">
        <f t="shared" si="1"/>
        <v>0</v>
      </c>
      <c r="E38" s="32" t="s">
        <v>165</v>
      </c>
      <c r="F38" s="32" t="s">
        <v>165</v>
      </c>
      <c r="G38" s="13" t="s">
        <v>22</v>
      </c>
      <c r="H38">
        <v>3</v>
      </c>
      <c r="I38" t="s">
        <v>23</v>
      </c>
      <c r="J38">
        <f t="shared" si="3"/>
        <v>36</v>
      </c>
      <c r="K38" t="s">
        <v>166</v>
      </c>
      <c r="M38" s="30" t="s">
        <v>167</v>
      </c>
      <c r="N38" s="29" t="s">
        <v>167</v>
      </c>
      <c r="O38" s="30" t="s">
        <v>168</v>
      </c>
      <c r="P38">
        <f t="shared" si="4"/>
        <v>36</v>
      </c>
      <c r="Q38" t="s">
        <v>166</v>
      </c>
      <c r="R38" t="s">
        <v>169</v>
      </c>
      <c r="S38" t="s">
        <v>169</v>
      </c>
      <c r="T38" t="s">
        <v>169</v>
      </c>
      <c r="U38" t="s">
        <v>169</v>
      </c>
      <c r="V38" t="s">
        <v>169</v>
      </c>
    </row>
    <row r="39" spans="1:22" x14ac:dyDescent="0.35">
      <c r="A39">
        <f t="shared" si="2"/>
        <v>36</v>
      </c>
      <c r="B39" s="1" t="s">
        <v>170</v>
      </c>
      <c r="C39" t="b">
        <f t="shared" si="0"/>
        <v>1</v>
      </c>
      <c r="D39" t="b">
        <f t="shared" si="1"/>
        <v>0</v>
      </c>
      <c r="E39" s="34" t="s">
        <v>119</v>
      </c>
      <c r="F39" s="34" t="s">
        <v>119</v>
      </c>
      <c r="G39" s="13" t="s">
        <v>22</v>
      </c>
      <c r="H39">
        <v>2</v>
      </c>
      <c r="I39" t="s">
        <v>23</v>
      </c>
      <c r="J39">
        <f t="shared" si="3"/>
        <v>37</v>
      </c>
      <c r="K39" t="s">
        <v>171</v>
      </c>
      <c r="M39" s="25" t="s">
        <v>119</v>
      </c>
      <c r="N39" s="26" t="s">
        <v>172</v>
      </c>
      <c r="O39" s="25" t="s">
        <v>172</v>
      </c>
      <c r="P39">
        <f t="shared" si="4"/>
        <v>37</v>
      </c>
      <c r="Q39" t="s">
        <v>171</v>
      </c>
      <c r="R39" t="s">
        <v>172</v>
      </c>
      <c r="S39" t="s">
        <v>172</v>
      </c>
      <c r="T39" t="s">
        <v>172</v>
      </c>
      <c r="U39" t="s">
        <v>172</v>
      </c>
      <c r="V39" t="s">
        <v>172</v>
      </c>
    </row>
    <row r="40" spans="1:22" x14ac:dyDescent="0.35">
      <c r="A40">
        <f t="shared" si="2"/>
        <v>37</v>
      </c>
      <c r="B40" s="1" t="s">
        <v>173</v>
      </c>
      <c r="C40" t="b">
        <f t="shared" si="0"/>
        <v>0</v>
      </c>
      <c r="D40" t="b">
        <f t="shared" si="1"/>
        <v>0</v>
      </c>
      <c r="E40" s="20" t="s">
        <v>327</v>
      </c>
      <c r="F40" s="20" t="s">
        <v>332</v>
      </c>
      <c r="G40" s="13" t="s">
        <v>22</v>
      </c>
      <c r="H40">
        <v>35</v>
      </c>
      <c r="I40" t="s">
        <v>23</v>
      </c>
      <c r="J40">
        <f t="shared" si="3"/>
        <v>38</v>
      </c>
      <c r="K40" t="s">
        <v>174</v>
      </c>
      <c r="M40" s="25" t="s">
        <v>174</v>
      </c>
      <c r="N40" s="26" t="s">
        <v>175</v>
      </c>
      <c r="O40" s="25" t="s">
        <v>175</v>
      </c>
      <c r="P40">
        <f t="shared" si="4"/>
        <v>38</v>
      </c>
      <c r="Q40" t="s">
        <v>174</v>
      </c>
      <c r="R40" t="s">
        <v>176</v>
      </c>
      <c r="S40" t="s">
        <v>177</v>
      </c>
      <c r="T40" t="s">
        <v>178</v>
      </c>
      <c r="U40" t="s">
        <v>179</v>
      </c>
      <c r="V40" t="s">
        <v>180</v>
      </c>
    </row>
    <row r="41" spans="1:22" x14ac:dyDescent="0.35">
      <c r="A41">
        <f t="shared" si="2"/>
        <v>38</v>
      </c>
      <c r="B41" s="1" t="s">
        <v>181</v>
      </c>
      <c r="C41" t="b">
        <f t="shared" si="0"/>
        <v>0</v>
      </c>
      <c r="D41" t="b">
        <f t="shared" si="1"/>
        <v>0</v>
      </c>
      <c r="E41" s="20" t="s">
        <v>31</v>
      </c>
      <c r="F41" s="20" t="s">
        <v>31</v>
      </c>
      <c r="G41" s="13" t="s">
        <v>22</v>
      </c>
      <c r="H41">
        <v>35</v>
      </c>
      <c r="I41" t="s">
        <v>23</v>
      </c>
      <c r="J41">
        <f t="shared" si="3"/>
        <v>39</v>
      </c>
      <c r="K41" t="s">
        <v>182</v>
      </c>
      <c r="M41" s="25" t="s">
        <v>182</v>
      </c>
      <c r="N41" s="26" t="s">
        <v>85</v>
      </c>
      <c r="O41" s="25" t="s">
        <v>89</v>
      </c>
      <c r="P41">
        <f t="shared" si="4"/>
        <v>39</v>
      </c>
      <c r="Q41" t="s">
        <v>182</v>
      </c>
      <c r="R41" t="s">
        <v>183</v>
      </c>
      <c r="S41" t="s">
        <v>33</v>
      </c>
    </row>
    <row r="42" spans="1:22" x14ac:dyDescent="0.35">
      <c r="A42">
        <f t="shared" si="2"/>
        <v>39</v>
      </c>
      <c r="B42" s="1" t="s">
        <v>184</v>
      </c>
      <c r="C42" t="b">
        <f t="shared" si="0"/>
        <v>0</v>
      </c>
      <c r="D42" t="b">
        <f t="shared" si="1"/>
        <v>0</v>
      </c>
      <c r="E42" s="20" t="s">
        <v>31</v>
      </c>
      <c r="F42" s="20" t="s">
        <v>31</v>
      </c>
      <c r="G42" s="13" t="s">
        <v>22</v>
      </c>
      <c r="H42">
        <v>35</v>
      </c>
      <c r="I42" t="s">
        <v>23</v>
      </c>
      <c r="J42">
        <f t="shared" si="3"/>
        <v>40</v>
      </c>
      <c r="K42" t="s">
        <v>185</v>
      </c>
      <c r="M42" s="25" t="s">
        <v>186</v>
      </c>
      <c r="N42" s="26" t="s">
        <v>89</v>
      </c>
      <c r="O42" s="25" t="s">
        <v>85</v>
      </c>
      <c r="P42">
        <f t="shared" si="4"/>
        <v>40</v>
      </c>
      <c r="Q42" t="s">
        <v>185</v>
      </c>
      <c r="R42" t="s">
        <v>187</v>
      </c>
      <c r="S42" t="s">
        <v>188</v>
      </c>
      <c r="T42" t="s">
        <v>189</v>
      </c>
      <c r="U42" t="s">
        <v>190</v>
      </c>
      <c r="V42" t="s">
        <v>191</v>
      </c>
    </row>
    <row r="43" spans="1:22" x14ac:dyDescent="0.35">
      <c r="A43">
        <f t="shared" si="2"/>
        <v>40</v>
      </c>
      <c r="B43" s="1" t="s">
        <v>192</v>
      </c>
      <c r="C43" t="b">
        <f t="shared" si="0"/>
        <v>0</v>
      </c>
      <c r="D43" t="b">
        <f t="shared" si="1"/>
        <v>0</v>
      </c>
      <c r="E43" s="20" t="s">
        <v>31</v>
      </c>
      <c r="F43" s="20" t="s">
        <v>31</v>
      </c>
      <c r="G43" s="13" t="s">
        <v>22</v>
      </c>
      <c r="H43">
        <v>35</v>
      </c>
      <c r="I43" t="s">
        <v>23</v>
      </c>
      <c r="J43">
        <f t="shared" si="3"/>
        <v>41</v>
      </c>
      <c r="K43" t="s">
        <v>193</v>
      </c>
      <c r="M43" s="25" t="s">
        <v>194</v>
      </c>
      <c r="N43" s="26" t="s">
        <v>85</v>
      </c>
      <c r="O43" s="25" t="s">
        <v>85</v>
      </c>
      <c r="P43">
        <f t="shared" si="4"/>
        <v>41</v>
      </c>
      <c r="Q43" t="s">
        <v>193</v>
      </c>
      <c r="R43" t="s">
        <v>195</v>
      </c>
      <c r="S43" t="s">
        <v>33</v>
      </c>
      <c r="T43" t="s">
        <v>33</v>
      </c>
      <c r="U43" t="s">
        <v>33</v>
      </c>
      <c r="V43" t="s">
        <v>33</v>
      </c>
    </row>
    <row r="44" spans="1:22" x14ac:dyDescent="0.35">
      <c r="A44">
        <f t="shared" si="2"/>
        <v>41</v>
      </c>
      <c r="B44" s="1" t="s">
        <v>196</v>
      </c>
      <c r="C44" t="b">
        <f t="shared" si="0"/>
        <v>0</v>
      </c>
      <c r="D44" t="b">
        <f t="shared" si="1"/>
        <v>0</v>
      </c>
      <c r="E44" s="20" t="s">
        <v>31</v>
      </c>
      <c r="F44" s="20" t="s">
        <v>31</v>
      </c>
      <c r="G44" s="13" t="s">
        <v>22</v>
      </c>
      <c r="H44">
        <v>20</v>
      </c>
      <c r="I44" t="s">
        <v>23</v>
      </c>
      <c r="J44">
        <f t="shared" si="3"/>
        <v>42</v>
      </c>
      <c r="K44" t="s">
        <v>197</v>
      </c>
      <c r="M44" s="25" t="s">
        <v>198</v>
      </c>
      <c r="N44" s="26" t="s">
        <v>85</v>
      </c>
      <c r="O44" s="25" t="s">
        <v>85</v>
      </c>
      <c r="P44">
        <f t="shared" si="4"/>
        <v>42</v>
      </c>
      <c r="Q44" t="s">
        <v>197</v>
      </c>
      <c r="R44" t="s">
        <v>199</v>
      </c>
      <c r="S44" t="s">
        <v>200</v>
      </c>
      <c r="T44" t="s">
        <v>201</v>
      </c>
      <c r="U44" t="s">
        <v>202</v>
      </c>
      <c r="V44" t="s">
        <v>203</v>
      </c>
    </row>
    <row r="45" spans="1:22" x14ac:dyDescent="0.35">
      <c r="A45">
        <f t="shared" si="2"/>
        <v>42</v>
      </c>
      <c r="B45" s="1" t="s">
        <v>204</v>
      </c>
      <c r="C45" t="b">
        <f t="shared" si="0"/>
        <v>0</v>
      </c>
      <c r="D45" t="b">
        <f t="shared" si="1"/>
        <v>0</v>
      </c>
      <c r="E45" s="20" t="s">
        <v>31</v>
      </c>
      <c r="F45" s="20" t="s">
        <v>31</v>
      </c>
      <c r="G45" s="13" t="s">
        <v>22</v>
      </c>
      <c r="H45">
        <v>2</v>
      </c>
      <c r="I45" t="s">
        <v>23</v>
      </c>
      <c r="J45">
        <f t="shared" si="3"/>
        <v>43</v>
      </c>
      <c r="K45" t="s">
        <v>205</v>
      </c>
      <c r="M45" s="25" t="s">
        <v>206</v>
      </c>
      <c r="N45" s="26" t="s">
        <v>85</v>
      </c>
      <c r="O45" s="25" t="s">
        <v>89</v>
      </c>
      <c r="P45">
        <f t="shared" si="4"/>
        <v>43</v>
      </c>
      <c r="Q45" t="s">
        <v>205</v>
      </c>
      <c r="R45" t="s">
        <v>207</v>
      </c>
      <c r="S45" t="s">
        <v>208</v>
      </c>
      <c r="T45" t="s">
        <v>209</v>
      </c>
      <c r="U45" t="s">
        <v>210</v>
      </c>
      <c r="V45" t="s">
        <v>211</v>
      </c>
    </row>
    <row r="46" spans="1:22" x14ac:dyDescent="0.35">
      <c r="A46">
        <f t="shared" si="2"/>
        <v>43</v>
      </c>
      <c r="B46" s="1" t="s">
        <v>212</v>
      </c>
      <c r="C46" t="b">
        <f t="shared" si="0"/>
        <v>0</v>
      </c>
      <c r="D46" t="b">
        <f t="shared" si="1"/>
        <v>0</v>
      </c>
      <c r="E46" s="20" t="s">
        <v>31</v>
      </c>
      <c r="F46" s="20" t="s">
        <v>31</v>
      </c>
      <c r="G46" s="13" t="s">
        <v>22</v>
      </c>
      <c r="H46">
        <v>15</v>
      </c>
      <c r="I46" t="s">
        <v>23</v>
      </c>
      <c r="J46">
        <f t="shared" si="3"/>
        <v>44</v>
      </c>
      <c r="K46" t="s">
        <v>213</v>
      </c>
      <c r="M46" s="25" t="s">
        <v>214</v>
      </c>
      <c r="N46" s="26" t="s">
        <v>85</v>
      </c>
      <c r="O46" s="25" t="s">
        <v>85</v>
      </c>
      <c r="P46">
        <f t="shared" si="4"/>
        <v>44</v>
      </c>
      <c r="Q46" t="s">
        <v>213</v>
      </c>
      <c r="R46" t="s">
        <v>215</v>
      </c>
      <c r="S46" t="s">
        <v>216</v>
      </c>
      <c r="T46" t="s">
        <v>217</v>
      </c>
      <c r="U46" t="s">
        <v>218</v>
      </c>
      <c r="V46" s="7" t="s">
        <v>219</v>
      </c>
    </row>
    <row r="47" spans="1:22" x14ac:dyDescent="0.35">
      <c r="A47">
        <f t="shared" si="2"/>
        <v>44</v>
      </c>
      <c r="B47" t="s">
        <v>220</v>
      </c>
      <c r="C47" t="b">
        <f t="shared" si="0"/>
        <v>0</v>
      </c>
      <c r="D47" t="b">
        <f t="shared" si="1"/>
        <v>0</v>
      </c>
      <c r="E47" s="20" t="s">
        <v>165</v>
      </c>
      <c r="F47" s="20" t="s">
        <v>165</v>
      </c>
      <c r="G47" s="13" t="s">
        <v>22</v>
      </c>
      <c r="H47">
        <v>3</v>
      </c>
      <c r="I47" t="s">
        <v>23</v>
      </c>
      <c r="J47">
        <f t="shared" si="3"/>
        <v>45</v>
      </c>
      <c r="K47" t="s">
        <v>221</v>
      </c>
      <c r="M47" s="25" t="s">
        <v>222</v>
      </c>
      <c r="N47" s="26" t="s">
        <v>85</v>
      </c>
      <c r="O47" s="25" t="s">
        <v>85</v>
      </c>
      <c r="P47">
        <f t="shared" si="4"/>
        <v>45</v>
      </c>
      <c r="Q47" t="s">
        <v>221</v>
      </c>
      <c r="R47" t="s">
        <v>223</v>
      </c>
      <c r="S47" t="s">
        <v>169</v>
      </c>
      <c r="T47" t="s">
        <v>169</v>
      </c>
      <c r="U47" t="s">
        <v>169</v>
      </c>
      <c r="V47" t="s">
        <v>169</v>
      </c>
    </row>
    <row r="48" spans="1:22" x14ac:dyDescent="0.35">
      <c r="A48">
        <f t="shared" si="2"/>
        <v>45</v>
      </c>
      <c r="B48" t="s">
        <v>224</v>
      </c>
      <c r="C48" t="b">
        <f t="shared" si="0"/>
        <v>1</v>
      </c>
      <c r="D48" t="b">
        <f t="shared" si="1"/>
        <v>0</v>
      </c>
      <c r="E48" s="32" t="s">
        <v>225</v>
      </c>
      <c r="F48" s="34" t="s">
        <v>31</v>
      </c>
      <c r="G48" s="13" t="s">
        <v>22</v>
      </c>
      <c r="H48">
        <v>2</v>
      </c>
      <c r="I48" t="s">
        <v>23</v>
      </c>
      <c r="J48">
        <f t="shared" si="3"/>
        <v>46</v>
      </c>
      <c r="K48" t="s">
        <v>226</v>
      </c>
      <c r="M48" s="25" t="s">
        <v>225</v>
      </c>
      <c r="N48" s="26" t="s">
        <v>85</v>
      </c>
      <c r="O48" s="25" t="s">
        <v>85</v>
      </c>
      <c r="P48">
        <f t="shared" si="4"/>
        <v>46</v>
      </c>
      <c r="Q48" t="s">
        <v>226</v>
      </c>
      <c r="R48" t="s">
        <v>227</v>
      </c>
      <c r="S48" t="s">
        <v>227</v>
      </c>
      <c r="T48" t="s">
        <v>33</v>
      </c>
      <c r="U48" t="s">
        <v>227</v>
      </c>
      <c r="V48" t="s">
        <v>33</v>
      </c>
    </row>
    <row r="49" spans="1:22" x14ac:dyDescent="0.35">
      <c r="A49">
        <f t="shared" si="2"/>
        <v>46</v>
      </c>
      <c r="B49" t="s">
        <v>228</v>
      </c>
      <c r="C49" t="b">
        <f t="shared" si="0"/>
        <v>0</v>
      </c>
      <c r="D49" t="b">
        <f t="shared" si="1"/>
        <v>0</v>
      </c>
      <c r="E49" s="32" t="s">
        <v>31</v>
      </c>
      <c r="F49" s="34" t="s">
        <v>31</v>
      </c>
      <c r="G49" s="13" t="s">
        <v>22</v>
      </c>
      <c r="H49">
        <v>35</v>
      </c>
      <c r="I49" t="s">
        <v>23</v>
      </c>
      <c r="J49">
        <f t="shared" si="3"/>
        <v>47</v>
      </c>
      <c r="M49" s="25" t="s">
        <v>85</v>
      </c>
      <c r="N49" s="26" t="s">
        <v>85</v>
      </c>
      <c r="O49" s="25" t="s">
        <v>85</v>
      </c>
      <c r="P49">
        <f t="shared" si="4"/>
        <v>47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</row>
    <row r="50" spans="1:22" ht="29" x14ac:dyDescent="0.35">
      <c r="A50">
        <f t="shared" si="2"/>
        <v>47</v>
      </c>
      <c r="B50" t="s">
        <v>229</v>
      </c>
      <c r="C50" t="b">
        <f t="shared" si="0"/>
        <v>1</v>
      </c>
      <c r="D50" t="b">
        <f t="shared" si="1"/>
        <v>0</v>
      </c>
      <c r="E50" s="32" t="s">
        <v>232</v>
      </c>
      <c r="F50" s="34" t="s">
        <v>31</v>
      </c>
      <c r="G50" s="13" t="s">
        <v>22</v>
      </c>
      <c r="H50">
        <v>2</v>
      </c>
      <c r="I50" t="s">
        <v>23</v>
      </c>
      <c r="J50">
        <f t="shared" si="3"/>
        <v>48</v>
      </c>
      <c r="K50" t="s">
        <v>230</v>
      </c>
      <c r="L50" s="1" t="s">
        <v>231</v>
      </c>
      <c r="M50" s="30" t="s">
        <v>232</v>
      </c>
      <c r="N50" s="26" t="s">
        <v>85</v>
      </c>
      <c r="O50" s="25" t="s">
        <v>85</v>
      </c>
      <c r="P50">
        <f t="shared" si="4"/>
        <v>48</v>
      </c>
      <c r="Q50" t="s">
        <v>230</v>
      </c>
      <c r="R50" s="30" t="s">
        <v>232</v>
      </c>
      <c r="S50" s="30" t="s">
        <v>232</v>
      </c>
      <c r="T50" s="25" t="s">
        <v>85</v>
      </c>
      <c r="U50" s="30" t="s">
        <v>232</v>
      </c>
      <c r="V50" s="25" t="s">
        <v>85</v>
      </c>
    </row>
    <row r="51" spans="1:22" ht="58" x14ac:dyDescent="0.35">
      <c r="A51">
        <f t="shared" si="2"/>
        <v>48</v>
      </c>
      <c r="B51" t="s">
        <v>233</v>
      </c>
      <c r="C51" t="b">
        <f t="shared" si="0"/>
        <v>0</v>
      </c>
      <c r="D51" t="b">
        <f t="shared" si="1"/>
        <v>0</v>
      </c>
      <c r="E51" s="32" t="s">
        <v>165</v>
      </c>
      <c r="F51" s="34" t="s">
        <v>31</v>
      </c>
      <c r="G51" s="13" t="s">
        <v>22</v>
      </c>
      <c r="H51">
        <v>2</v>
      </c>
      <c r="I51" t="s">
        <v>23</v>
      </c>
      <c r="J51">
        <f t="shared" si="3"/>
        <v>49</v>
      </c>
      <c r="K51" t="s">
        <v>234</v>
      </c>
      <c r="L51" s="1" t="s">
        <v>235</v>
      </c>
      <c r="M51" s="25" t="s">
        <v>33</v>
      </c>
      <c r="N51" s="26" t="s">
        <v>85</v>
      </c>
      <c r="O51" s="25" t="s">
        <v>85</v>
      </c>
      <c r="P51">
        <f t="shared" si="4"/>
        <v>49</v>
      </c>
      <c r="Q51" t="s">
        <v>234</v>
      </c>
      <c r="R51" t="s">
        <v>236</v>
      </c>
      <c r="S51" t="s">
        <v>237</v>
      </c>
      <c r="T51" s="25" t="s">
        <v>85</v>
      </c>
      <c r="U51" t="s">
        <v>169</v>
      </c>
      <c r="V51" s="25" t="s">
        <v>85</v>
      </c>
    </row>
    <row r="52" spans="1:22" x14ac:dyDescent="0.35">
      <c r="A52">
        <f t="shared" si="2"/>
        <v>49</v>
      </c>
      <c r="B52" t="s">
        <v>238</v>
      </c>
      <c r="C52" t="b">
        <f t="shared" si="0"/>
        <v>0</v>
      </c>
      <c r="D52" t="b">
        <f t="shared" si="1"/>
        <v>0</v>
      </c>
      <c r="E52" s="32" t="s">
        <v>31</v>
      </c>
      <c r="F52" s="34" t="s">
        <v>31</v>
      </c>
      <c r="G52" s="13" t="s">
        <v>22</v>
      </c>
      <c r="H52">
        <v>10</v>
      </c>
      <c r="I52" t="s">
        <v>23</v>
      </c>
      <c r="J52">
        <f t="shared" si="3"/>
        <v>50</v>
      </c>
      <c r="K52" t="s">
        <v>239</v>
      </c>
      <c r="M52" s="25" t="s">
        <v>85</v>
      </c>
      <c r="N52" s="26" t="s">
        <v>85</v>
      </c>
      <c r="O52" s="25" t="s">
        <v>85</v>
      </c>
      <c r="P52">
        <f t="shared" si="4"/>
        <v>50</v>
      </c>
      <c r="Q52" t="s">
        <v>239</v>
      </c>
      <c r="R52" s="25" t="s">
        <v>85</v>
      </c>
      <c r="S52" s="25" t="s">
        <v>85</v>
      </c>
      <c r="T52" s="25" t="s">
        <v>85</v>
      </c>
      <c r="U52" s="25" t="s">
        <v>85</v>
      </c>
      <c r="V52" s="25" t="s">
        <v>85</v>
      </c>
    </row>
    <row r="53" spans="1:22" x14ac:dyDescent="0.35">
      <c r="A53">
        <f t="shared" si="2"/>
        <v>50</v>
      </c>
      <c r="B53" t="s">
        <v>240</v>
      </c>
      <c r="C53" t="b">
        <f t="shared" si="0"/>
        <v>0</v>
      </c>
      <c r="D53" t="b">
        <f t="shared" si="1"/>
        <v>0</v>
      </c>
      <c r="E53" s="32" t="s">
        <v>31</v>
      </c>
      <c r="F53" s="34" t="s">
        <v>31</v>
      </c>
      <c r="G53" s="13" t="s">
        <v>22</v>
      </c>
      <c r="H53">
        <v>20</v>
      </c>
      <c r="I53" t="s">
        <v>23</v>
      </c>
      <c r="J53">
        <f t="shared" si="3"/>
        <v>51</v>
      </c>
      <c r="K53" t="s">
        <v>241</v>
      </c>
      <c r="M53" s="25" t="s">
        <v>85</v>
      </c>
      <c r="N53" s="26" t="s">
        <v>85</v>
      </c>
      <c r="O53" s="25" t="s">
        <v>85</v>
      </c>
      <c r="P53">
        <f t="shared" si="4"/>
        <v>51</v>
      </c>
      <c r="Q53" t="s">
        <v>241</v>
      </c>
      <c r="R53" s="25" t="s">
        <v>85</v>
      </c>
      <c r="S53" s="25" t="s">
        <v>85</v>
      </c>
      <c r="T53" s="25" t="s">
        <v>85</v>
      </c>
      <c r="U53" s="25" t="s">
        <v>85</v>
      </c>
      <c r="V53" s="25" t="s">
        <v>85</v>
      </c>
    </row>
    <row r="54" spans="1:22" x14ac:dyDescent="0.35">
      <c r="A54">
        <f t="shared" si="2"/>
        <v>51</v>
      </c>
      <c r="B54" t="s">
        <v>242</v>
      </c>
      <c r="C54" t="b">
        <f t="shared" si="0"/>
        <v>0</v>
      </c>
      <c r="D54" t="b">
        <f t="shared" si="1"/>
        <v>0</v>
      </c>
      <c r="E54" s="32" t="s">
        <v>31</v>
      </c>
      <c r="F54" s="34" t="s">
        <v>31</v>
      </c>
      <c r="G54" s="13" t="s">
        <v>22</v>
      </c>
      <c r="H54">
        <v>30</v>
      </c>
      <c r="I54" t="s">
        <v>23</v>
      </c>
      <c r="J54">
        <f t="shared" si="3"/>
        <v>52</v>
      </c>
      <c r="K54" t="s">
        <v>243</v>
      </c>
      <c r="M54" s="25" t="s">
        <v>85</v>
      </c>
      <c r="N54" s="26" t="s">
        <v>85</v>
      </c>
      <c r="O54" s="25" t="s">
        <v>85</v>
      </c>
      <c r="P54">
        <f t="shared" si="4"/>
        <v>52</v>
      </c>
      <c r="Q54" t="s">
        <v>243</v>
      </c>
      <c r="R54" s="25" t="s">
        <v>85</v>
      </c>
      <c r="S54" s="25" t="s">
        <v>85</v>
      </c>
      <c r="T54" s="25" t="s">
        <v>85</v>
      </c>
      <c r="U54" s="25" t="s">
        <v>85</v>
      </c>
      <c r="V54" s="25" t="s">
        <v>85</v>
      </c>
    </row>
    <row r="55" spans="1:22" x14ac:dyDescent="0.35">
      <c r="A55">
        <f t="shared" si="2"/>
        <v>52</v>
      </c>
      <c r="B55" t="s">
        <v>244</v>
      </c>
      <c r="C55" t="b">
        <f t="shared" si="0"/>
        <v>0</v>
      </c>
      <c r="D55" t="b">
        <f t="shared" si="1"/>
        <v>0</v>
      </c>
      <c r="E55" s="32" t="s">
        <v>247</v>
      </c>
      <c r="F55" s="32" t="s">
        <v>245</v>
      </c>
      <c r="G55" s="13" t="s">
        <v>22</v>
      </c>
      <c r="H55">
        <v>15</v>
      </c>
      <c r="I55" t="s">
        <v>23</v>
      </c>
      <c r="J55">
        <f t="shared" si="3"/>
        <v>53</v>
      </c>
      <c r="K55" t="s">
        <v>246</v>
      </c>
      <c r="M55" s="25" t="s">
        <v>245</v>
      </c>
      <c r="N55" s="26" t="s">
        <v>247</v>
      </c>
      <c r="O55" s="25" t="s">
        <v>247</v>
      </c>
      <c r="P55">
        <f t="shared" si="4"/>
        <v>53</v>
      </c>
      <c r="Q55" t="s">
        <v>246</v>
      </c>
      <c r="R55" s="25" t="s">
        <v>247</v>
      </c>
      <c r="S55" s="25" t="s">
        <v>247</v>
      </c>
      <c r="T55" s="25" t="s">
        <v>247</v>
      </c>
      <c r="U55" s="25" t="s">
        <v>247</v>
      </c>
      <c r="V55" s="25" t="s">
        <v>247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pane ySplit="1" topLeftCell="A2" activePane="bottomLeft" state="frozen"/>
      <selection pane="bottomLeft" activeCell="I8" sqref="I8"/>
    </sheetView>
  </sheetViews>
  <sheetFormatPr defaultRowHeight="14.5" x14ac:dyDescent="0.35"/>
  <cols>
    <col min="2" max="2" width="15" customWidth="1"/>
    <col min="3" max="3" width="17.54296875" customWidth="1"/>
    <col min="4" max="4" width="15" customWidth="1"/>
    <col min="5" max="5" width="5" customWidth="1"/>
    <col min="6" max="7" width="6.453125" customWidth="1"/>
    <col min="8" max="8" width="5" customWidth="1"/>
    <col min="9" max="9" width="21" customWidth="1"/>
    <col min="10" max="10" width="30.453125" style="1" customWidth="1"/>
    <col min="11" max="11" width="19.26953125" customWidth="1"/>
    <col min="12" max="12" width="32.7265625" hidden="1" customWidth="1"/>
    <col min="13" max="13" width="21.54296875" customWidth="1"/>
  </cols>
  <sheetData>
    <row r="1" spans="1:13" s="9" customFormat="1" x14ac:dyDescent="0.35">
      <c r="B1" s="9" t="s">
        <v>248</v>
      </c>
      <c r="C1" s="17" t="s">
        <v>1</v>
      </c>
      <c r="D1" s="21" t="s">
        <v>2</v>
      </c>
      <c r="H1" s="9" t="s">
        <v>4</v>
      </c>
      <c r="I1" s="9" t="s">
        <v>4</v>
      </c>
      <c r="J1" s="10"/>
      <c r="K1" s="9" t="s">
        <v>249</v>
      </c>
      <c r="L1" s="4" t="s">
        <v>7</v>
      </c>
      <c r="M1" s="4" t="s">
        <v>8</v>
      </c>
    </row>
    <row r="2" spans="1:13" s="9" customFormat="1" x14ac:dyDescent="0.35">
      <c r="A2" s="9">
        <v>0</v>
      </c>
      <c r="B2" s="9" t="s">
        <v>14</v>
      </c>
      <c r="C2" s="19"/>
      <c r="D2" s="19"/>
      <c r="E2" s="9" t="s">
        <v>15</v>
      </c>
      <c r="F2" s="9" t="s">
        <v>16</v>
      </c>
      <c r="G2" s="9" t="s">
        <v>3</v>
      </c>
      <c r="H2" s="9" t="s">
        <v>250</v>
      </c>
      <c r="I2" s="9" t="s">
        <v>251</v>
      </c>
      <c r="J2" s="10" t="s">
        <v>5</v>
      </c>
      <c r="K2" s="9" t="s">
        <v>19</v>
      </c>
    </row>
    <row r="3" spans="1:13" x14ac:dyDescent="0.35">
      <c r="A3">
        <f>A2+1</f>
        <v>1</v>
      </c>
      <c r="B3" t="s">
        <v>252</v>
      </c>
      <c r="C3" s="32" t="s">
        <v>253</v>
      </c>
      <c r="D3" s="32" t="s">
        <v>253</v>
      </c>
      <c r="E3" t="s">
        <v>254</v>
      </c>
      <c r="F3">
        <v>1</v>
      </c>
      <c r="G3" t="s">
        <v>255</v>
      </c>
      <c r="H3">
        <v>1</v>
      </c>
      <c r="I3" t="s">
        <v>256</v>
      </c>
      <c r="K3" t="s">
        <v>253</v>
      </c>
      <c r="L3" t="s">
        <v>253</v>
      </c>
      <c r="M3" t="s">
        <v>253</v>
      </c>
    </row>
    <row r="4" spans="1:13" x14ac:dyDescent="0.35">
      <c r="A4">
        <f t="shared" ref="A4:A24" si="0">A3+1</f>
        <v>2</v>
      </c>
      <c r="B4" t="s">
        <v>257</v>
      </c>
      <c r="C4" s="32" t="s">
        <v>31</v>
      </c>
      <c r="D4" s="32" t="s">
        <v>31</v>
      </c>
      <c r="F4">
        <v>2</v>
      </c>
      <c r="G4" t="s">
        <v>255</v>
      </c>
      <c r="H4">
        <f>H3+1</f>
        <v>2</v>
      </c>
      <c r="I4" t="s">
        <v>258</v>
      </c>
      <c r="K4" t="s">
        <v>85</v>
      </c>
      <c r="L4" t="s">
        <v>85</v>
      </c>
      <c r="M4" t="s">
        <v>85</v>
      </c>
    </row>
    <row r="5" spans="1:13" x14ac:dyDescent="0.35">
      <c r="A5">
        <f t="shared" si="0"/>
        <v>3</v>
      </c>
      <c r="B5" t="s">
        <v>259</v>
      </c>
      <c r="C5" s="32" t="s">
        <v>27</v>
      </c>
      <c r="D5" s="32" t="s">
        <v>27</v>
      </c>
      <c r="F5">
        <v>2</v>
      </c>
      <c r="G5" t="s">
        <v>28</v>
      </c>
      <c r="H5">
        <f t="shared" ref="H5:H24" si="1">H4+1</f>
        <v>3</v>
      </c>
      <c r="I5" t="s">
        <v>260</v>
      </c>
      <c r="K5" t="s">
        <v>27</v>
      </c>
      <c r="L5" t="s">
        <v>27</v>
      </c>
      <c r="M5" t="s">
        <v>27</v>
      </c>
    </row>
    <row r="6" spans="1:13" x14ac:dyDescent="0.35">
      <c r="A6">
        <f t="shared" si="0"/>
        <v>4</v>
      </c>
      <c r="B6" t="s">
        <v>261</v>
      </c>
      <c r="C6" s="32" t="s">
        <v>36</v>
      </c>
      <c r="D6" s="32" t="s">
        <v>36</v>
      </c>
      <c r="F6">
        <v>7</v>
      </c>
      <c r="G6" t="s">
        <v>28</v>
      </c>
      <c r="H6">
        <f t="shared" si="1"/>
        <v>4</v>
      </c>
      <c r="I6" t="s">
        <v>262</v>
      </c>
      <c r="K6" t="s">
        <v>36</v>
      </c>
      <c r="L6" t="s">
        <v>36</v>
      </c>
      <c r="M6" t="s">
        <v>36</v>
      </c>
    </row>
    <row r="7" spans="1:13" x14ac:dyDescent="0.35">
      <c r="A7">
        <f t="shared" si="0"/>
        <v>5</v>
      </c>
      <c r="B7" t="s">
        <v>263</v>
      </c>
      <c r="C7" s="32" t="s">
        <v>112</v>
      </c>
      <c r="D7" s="32" t="s">
        <v>112</v>
      </c>
      <c r="F7">
        <v>2</v>
      </c>
      <c r="G7" t="s">
        <v>255</v>
      </c>
      <c r="H7">
        <f t="shared" si="1"/>
        <v>5</v>
      </c>
      <c r="I7" t="s">
        <v>264</v>
      </c>
      <c r="K7" t="s">
        <v>112</v>
      </c>
      <c r="L7" t="s">
        <v>112</v>
      </c>
      <c r="M7" t="s">
        <v>112</v>
      </c>
    </row>
    <row r="8" spans="1:13" ht="58" x14ac:dyDescent="0.35">
      <c r="A8">
        <f t="shared" si="0"/>
        <v>6</v>
      </c>
      <c r="B8" t="s">
        <v>265</v>
      </c>
      <c r="C8" s="46" t="s">
        <v>321</v>
      </c>
      <c r="D8" s="34" t="s">
        <v>345</v>
      </c>
      <c r="F8">
        <v>30</v>
      </c>
      <c r="G8" t="s">
        <v>255</v>
      </c>
      <c r="H8">
        <f t="shared" si="1"/>
        <v>6</v>
      </c>
      <c r="I8" t="s">
        <v>266</v>
      </c>
      <c r="J8" s="1" t="s">
        <v>267</v>
      </c>
      <c r="K8" s="8" t="s">
        <v>268</v>
      </c>
      <c r="L8" s="1" t="s">
        <v>117</v>
      </c>
      <c r="M8" s="1" t="s">
        <v>117</v>
      </c>
    </row>
    <row r="9" spans="1:13" x14ac:dyDescent="0.35">
      <c r="A9">
        <f t="shared" si="0"/>
        <v>7</v>
      </c>
      <c r="B9" t="s">
        <v>269</v>
      </c>
      <c r="C9" s="22" t="s">
        <v>270</v>
      </c>
      <c r="D9" s="22" t="s">
        <v>270</v>
      </c>
      <c r="F9">
        <v>5</v>
      </c>
      <c r="G9" t="s">
        <v>28</v>
      </c>
      <c r="H9">
        <f t="shared" si="1"/>
        <v>7</v>
      </c>
      <c r="I9" t="s">
        <v>272</v>
      </c>
      <c r="K9" t="s">
        <v>270</v>
      </c>
      <c r="L9" t="s">
        <v>271</v>
      </c>
      <c r="M9" t="s">
        <v>271</v>
      </c>
    </row>
    <row r="10" spans="1:13" ht="58" x14ac:dyDescent="0.35">
      <c r="A10">
        <f t="shared" si="0"/>
        <v>8</v>
      </c>
      <c r="B10" t="s">
        <v>273</v>
      </c>
      <c r="C10" s="22" t="s">
        <v>339</v>
      </c>
      <c r="D10" s="22" t="s">
        <v>339</v>
      </c>
      <c r="F10">
        <v>6</v>
      </c>
      <c r="G10" t="s">
        <v>28</v>
      </c>
      <c r="H10">
        <f t="shared" si="1"/>
        <v>8</v>
      </c>
      <c r="I10" t="s">
        <v>275</v>
      </c>
      <c r="J10" s="1" t="s">
        <v>276</v>
      </c>
      <c r="K10" t="s">
        <v>274</v>
      </c>
      <c r="L10" t="s">
        <v>274</v>
      </c>
      <c r="M10" t="s">
        <v>274</v>
      </c>
    </row>
    <row r="11" spans="1:13" x14ac:dyDescent="0.35">
      <c r="A11">
        <f t="shared" si="0"/>
        <v>9</v>
      </c>
      <c r="B11" t="s">
        <v>277</v>
      </c>
      <c r="C11" s="32" t="s">
        <v>278</v>
      </c>
      <c r="D11" s="32" t="s">
        <v>278</v>
      </c>
      <c r="F11">
        <v>3</v>
      </c>
      <c r="G11" t="s">
        <v>255</v>
      </c>
      <c r="H11">
        <f t="shared" si="1"/>
        <v>9</v>
      </c>
      <c r="I11" t="s">
        <v>279</v>
      </c>
      <c r="K11" t="s">
        <v>278</v>
      </c>
      <c r="L11" t="s">
        <v>278</v>
      </c>
      <c r="M11" t="s">
        <v>278</v>
      </c>
    </row>
    <row r="12" spans="1:13" x14ac:dyDescent="0.35">
      <c r="A12">
        <f t="shared" si="0"/>
        <v>10</v>
      </c>
      <c r="B12" t="s">
        <v>280</v>
      </c>
      <c r="C12" s="32" t="s">
        <v>340</v>
      </c>
      <c r="D12" s="32" t="s">
        <v>346</v>
      </c>
      <c r="F12">
        <v>30</v>
      </c>
      <c r="G12" t="s">
        <v>255</v>
      </c>
      <c r="H12">
        <f t="shared" si="1"/>
        <v>10</v>
      </c>
      <c r="I12" t="s">
        <v>281</v>
      </c>
      <c r="J12" s="1" t="s">
        <v>282</v>
      </c>
      <c r="K12" t="s">
        <v>281</v>
      </c>
      <c r="L12" t="s">
        <v>281</v>
      </c>
      <c r="M12" t="s">
        <v>281</v>
      </c>
    </row>
    <row r="13" spans="1:13" x14ac:dyDescent="0.35">
      <c r="A13">
        <f t="shared" si="0"/>
        <v>11</v>
      </c>
      <c r="B13" t="s">
        <v>283</v>
      </c>
      <c r="C13" s="32" t="s">
        <v>284</v>
      </c>
      <c r="D13" s="32" t="s">
        <v>284</v>
      </c>
      <c r="F13">
        <v>2</v>
      </c>
      <c r="G13" t="s">
        <v>255</v>
      </c>
      <c r="H13">
        <f t="shared" si="1"/>
        <v>11</v>
      </c>
      <c r="I13" t="s">
        <v>285</v>
      </c>
      <c r="K13" t="s">
        <v>284</v>
      </c>
      <c r="L13" t="s">
        <v>284</v>
      </c>
      <c r="M13" t="s">
        <v>284</v>
      </c>
    </row>
    <row r="14" spans="1:13" x14ac:dyDescent="0.35">
      <c r="A14">
        <f t="shared" si="0"/>
        <v>12</v>
      </c>
      <c r="B14" t="s">
        <v>286</v>
      </c>
      <c r="C14" s="44" t="s">
        <v>31</v>
      </c>
      <c r="D14" s="32" t="s">
        <v>288</v>
      </c>
      <c r="F14">
        <v>1</v>
      </c>
      <c r="G14" t="s">
        <v>255</v>
      </c>
      <c r="H14">
        <f t="shared" si="1"/>
        <v>12</v>
      </c>
      <c r="I14" t="s">
        <v>289</v>
      </c>
      <c r="K14" t="s">
        <v>287</v>
      </c>
      <c r="L14" t="s">
        <v>288</v>
      </c>
      <c r="M14" t="s">
        <v>288</v>
      </c>
    </row>
    <row r="15" spans="1:13" ht="29" x14ac:dyDescent="0.35">
      <c r="A15">
        <f t="shared" si="0"/>
        <v>13</v>
      </c>
      <c r="B15" t="s">
        <v>290</v>
      </c>
      <c r="C15" s="31" t="s">
        <v>341</v>
      </c>
      <c r="D15" s="32" t="s">
        <v>347</v>
      </c>
      <c r="F15">
        <v>17</v>
      </c>
      <c r="G15" t="s">
        <v>291</v>
      </c>
      <c r="H15">
        <f t="shared" si="1"/>
        <v>13</v>
      </c>
      <c r="I15" t="s">
        <v>292</v>
      </c>
      <c r="J15" s="1" t="s">
        <v>293</v>
      </c>
      <c r="K15" s="7" t="s">
        <v>294</v>
      </c>
      <c r="L15" t="s">
        <v>295</v>
      </c>
      <c r="M15" t="s">
        <v>295</v>
      </c>
    </row>
    <row r="16" spans="1:13" x14ac:dyDescent="0.35">
      <c r="A16">
        <f t="shared" si="0"/>
        <v>14</v>
      </c>
      <c r="B16" t="s">
        <v>296</v>
      </c>
      <c r="C16" s="32" t="s">
        <v>287</v>
      </c>
      <c r="D16" s="32" t="s">
        <v>287</v>
      </c>
      <c r="F16">
        <v>1</v>
      </c>
      <c r="G16" t="s">
        <v>255</v>
      </c>
      <c r="H16">
        <f t="shared" si="1"/>
        <v>14</v>
      </c>
      <c r="K16" t="s">
        <v>287</v>
      </c>
      <c r="L16" t="s">
        <v>287</v>
      </c>
      <c r="M16" t="s">
        <v>287</v>
      </c>
    </row>
    <row r="17" spans="1:13" ht="29" x14ac:dyDescent="0.35">
      <c r="A17">
        <f t="shared" si="0"/>
        <v>15</v>
      </c>
      <c r="B17" t="s">
        <v>297</v>
      </c>
      <c r="C17" s="31" t="s">
        <v>341</v>
      </c>
      <c r="D17" s="32" t="s">
        <v>347</v>
      </c>
      <c r="F17">
        <v>17</v>
      </c>
      <c r="G17" t="s">
        <v>291</v>
      </c>
      <c r="H17">
        <f t="shared" si="1"/>
        <v>15</v>
      </c>
      <c r="I17" t="s">
        <v>298</v>
      </c>
      <c r="J17" s="1" t="s">
        <v>293</v>
      </c>
      <c r="K17" s="7" t="s">
        <v>299</v>
      </c>
      <c r="L17" t="s">
        <v>295</v>
      </c>
      <c r="M17" t="s">
        <v>295</v>
      </c>
    </row>
    <row r="18" spans="1:13" x14ac:dyDescent="0.35">
      <c r="A18">
        <f t="shared" si="0"/>
        <v>16</v>
      </c>
      <c r="B18" t="s">
        <v>300</v>
      </c>
      <c r="C18" s="32" t="s">
        <v>287</v>
      </c>
      <c r="D18" s="32" t="s">
        <v>287</v>
      </c>
      <c r="F18">
        <v>1</v>
      </c>
      <c r="G18" t="s">
        <v>255</v>
      </c>
      <c r="H18">
        <f t="shared" si="1"/>
        <v>16</v>
      </c>
      <c r="K18" t="s">
        <v>287</v>
      </c>
      <c r="L18" t="s">
        <v>287</v>
      </c>
      <c r="M18" t="s">
        <v>287</v>
      </c>
    </row>
    <row r="19" spans="1:13" ht="29" x14ac:dyDescent="0.35">
      <c r="A19">
        <f t="shared" si="0"/>
        <v>17</v>
      </c>
      <c r="B19" t="s">
        <v>301</v>
      </c>
      <c r="C19" s="47" t="s">
        <v>342</v>
      </c>
      <c r="D19" s="47" t="s">
        <v>342</v>
      </c>
      <c r="F19">
        <v>17</v>
      </c>
      <c r="G19" t="s">
        <v>291</v>
      </c>
      <c r="H19">
        <f t="shared" si="1"/>
        <v>17</v>
      </c>
      <c r="I19" t="s">
        <v>302</v>
      </c>
      <c r="J19" s="1" t="s">
        <v>293</v>
      </c>
      <c r="K19" s="7" t="s">
        <v>303</v>
      </c>
      <c r="L19" t="s">
        <v>295</v>
      </c>
      <c r="M19" t="s">
        <v>295</v>
      </c>
    </row>
    <row r="20" spans="1:13" x14ac:dyDescent="0.35">
      <c r="A20">
        <f t="shared" si="0"/>
        <v>18</v>
      </c>
      <c r="B20" t="s">
        <v>304</v>
      </c>
      <c r="C20" s="22" t="s">
        <v>31</v>
      </c>
      <c r="D20" s="22" t="s">
        <v>31</v>
      </c>
      <c r="F20">
        <v>3</v>
      </c>
      <c r="G20" t="s">
        <v>255</v>
      </c>
      <c r="H20">
        <f t="shared" si="1"/>
        <v>18</v>
      </c>
      <c r="I20" t="s">
        <v>306</v>
      </c>
      <c r="K20" t="s">
        <v>305</v>
      </c>
      <c r="L20" t="s">
        <v>307</v>
      </c>
      <c r="M20" t="s">
        <v>85</v>
      </c>
    </row>
    <row r="21" spans="1:13" x14ac:dyDescent="0.35">
      <c r="A21">
        <f t="shared" si="0"/>
        <v>19</v>
      </c>
      <c r="B21" t="s">
        <v>308</v>
      </c>
      <c r="C21" s="22" t="s">
        <v>31</v>
      </c>
      <c r="D21" s="22" t="s">
        <v>31</v>
      </c>
      <c r="F21">
        <v>30</v>
      </c>
      <c r="G21" t="s">
        <v>255</v>
      </c>
      <c r="H21">
        <f t="shared" si="1"/>
        <v>19</v>
      </c>
      <c r="I21" t="s">
        <v>309</v>
      </c>
      <c r="K21" s="48"/>
      <c r="L21" t="s">
        <v>85</v>
      </c>
      <c r="M21" t="s">
        <v>85</v>
      </c>
    </row>
    <row r="22" spans="1:13" x14ac:dyDescent="0.35">
      <c r="A22">
        <f t="shared" si="0"/>
        <v>20</v>
      </c>
      <c r="B22" t="s">
        <v>310</v>
      </c>
      <c r="C22" s="32" t="s">
        <v>31</v>
      </c>
      <c r="D22" s="32" t="s">
        <v>31</v>
      </c>
      <c r="F22">
        <v>45</v>
      </c>
      <c r="G22" t="s">
        <v>255</v>
      </c>
      <c r="H22">
        <f t="shared" si="1"/>
        <v>20</v>
      </c>
      <c r="I22" t="s">
        <v>311</v>
      </c>
      <c r="K22" s="48"/>
      <c r="L22" t="s">
        <v>85</v>
      </c>
      <c r="M22" t="s">
        <v>85</v>
      </c>
    </row>
    <row r="23" spans="1:13" x14ac:dyDescent="0.35">
      <c r="A23">
        <f t="shared" si="0"/>
        <v>21</v>
      </c>
      <c r="B23" t="s">
        <v>312</v>
      </c>
      <c r="C23" s="32" t="s">
        <v>344</v>
      </c>
      <c r="D23" s="32" t="s">
        <v>313</v>
      </c>
      <c r="F23">
        <v>3</v>
      </c>
      <c r="G23" t="s">
        <v>255</v>
      </c>
      <c r="H23">
        <f t="shared" si="1"/>
        <v>21</v>
      </c>
      <c r="K23" t="s">
        <v>313</v>
      </c>
      <c r="L23" t="s">
        <v>313</v>
      </c>
      <c r="M23" t="s">
        <v>313</v>
      </c>
    </row>
    <row r="24" spans="1:13" ht="29" x14ac:dyDescent="0.35">
      <c r="A24">
        <f t="shared" si="0"/>
        <v>22</v>
      </c>
      <c r="B24" t="s">
        <v>314</v>
      </c>
      <c r="C24" s="32" t="s">
        <v>343</v>
      </c>
      <c r="D24" s="32" t="s">
        <v>348</v>
      </c>
      <c r="F24">
        <v>8</v>
      </c>
      <c r="G24" t="s">
        <v>28</v>
      </c>
      <c r="H24">
        <f t="shared" si="1"/>
        <v>22</v>
      </c>
      <c r="I24" t="s">
        <v>315</v>
      </c>
      <c r="J24" s="1" t="s">
        <v>316</v>
      </c>
      <c r="K24">
        <v>20191031</v>
      </c>
      <c r="L24">
        <v>20191031</v>
      </c>
      <c r="M24">
        <v>20191031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36CD75-04F4-4734-8C27-2C07E8017BBA}">
  <ds:schemaRefs>
    <ds:schemaRef ds:uri="http://schemas.microsoft.com/office/2006/metadata/properties"/>
    <ds:schemaRef ds:uri="http://schemas.microsoft.com/office/infopath/2007/PartnerControls"/>
    <ds:schemaRef ds:uri="0b21668b-f862-489f-b791-71ffa1abc900"/>
    <ds:schemaRef ds:uri="5729b37c-368b-4050-903d-dee0fed941c5"/>
  </ds:schemaRefs>
</ds:datastoreItem>
</file>

<file path=customXml/itemProps2.xml><?xml version="1.0" encoding="utf-8"?>
<ds:datastoreItem xmlns:ds="http://schemas.openxmlformats.org/officeDocument/2006/customXml" ds:itemID="{AA8D1E44-13E7-49B7-8DC5-3F4DBD716033}"/>
</file>

<file path=customXml/itemProps3.xml><?xml version="1.0" encoding="utf-8"?>
<ds:datastoreItem xmlns:ds="http://schemas.openxmlformats.org/officeDocument/2006/customXml" ds:itemID="{ABA22B50-4D28-41F5-AD6D-6A8418CED4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c8cb6c-d4f1-414d-89e3-d897c55612ae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Header_NGPHDR</vt:lpstr>
      <vt:lpstr>Detail_NGPDTL</vt:lpstr>
    </vt:vector>
  </TitlesOfParts>
  <Manager/>
  <Company>Barnes Group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Rene</dc:creator>
  <cp:keywords/>
  <dc:description/>
  <cp:lastModifiedBy>Amo, Dean</cp:lastModifiedBy>
  <cp:revision/>
  <dcterms:created xsi:type="dcterms:W3CDTF">2014-01-08T15:47:12Z</dcterms:created>
  <dcterms:modified xsi:type="dcterms:W3CDTF">2025-01-28T21:54:42Z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