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hidePivotFieldList="1" defaultThemeVersion="166925"/>
  <mc:AlternateContent xmlns:mc="http://schemas.openxmlformats.org/markup-compatibility/2006">
    <mc:Choice Requires="x15">
      <x15ac:absPath xmlns:x15ac="http://schemas.microsoft.com/office/spreadsheetml/2010/11/ac" url="/Users/ericpronovost/Doppio/FMG/FMG Interface Documentation/"/>
    </mc:Choice>
  </mc:AlternateContent>
  <xr:revisionPtr revIDLastSave="0" documentId="13_ncr:1_{4A75029F-54AD-ED4F-A1CA-8C516F0B5068}" xr6:coauthVersionLast="47" xr6:coauthVersionMax="47" xr10:uidLastSave="{00000000-0000-0000-0000-000000000000}"/>
  <bookViews>
    <workbookView xWindow="0" yWindow="660" windowWidth="34560" windowHeight="21680" tabRatio="712" activeTab="5" xr2:uid="{3CB00BBF-6519-4012-B0B3-7BA70C6AB1E7}"/>
  </bookViews>
  <sheets>
    <sheet name="Status" sheetId="4" state="hidden" r:id="rId1"/>
    <sheet name="Sheet1" sheetId="7" state="hidden" r:id="rId2"/>
    <sheet name="List" sheetId="1" r:id="rId3"/>
    <sheet name="Action Items" sheetId="3" state="hidden" r:id="rId4"/>
    <sheet name="Sheet2" sheetId="2" state="hidden" r:id="rId5"/>
    <sheet name="Barnes Project Plan" sheetId="8" r:id="rId6"/>
    <sheet name="Barnes UAT Pivot" sheetId="12" r:id="rId7"/>
    <sheet name="Barnes Doc Pivot" sheetId="9" r:id="rId8"/>
    <sheet name="Barnes Dev Pivot" sheetId="11" r:id="rId9"/>
    <sheet name="Pivot" sheetId="6" state="hidden" r:id="rId10"/>
    <sheet name="Current Week" sheetId="10" r:id="rId11"/>
    <sheet name="Drop Down" sheetId="5" state="hidden" r:id="rId12"/>
  </sheets>
  <definedNames>
    <definedName name="_xlnm._FilterDatabase" localSheetId="5" hidden="1">'Barnes Project Plan'!$A$1:$J$154</definedName>
    <definedName name="_xlnm._FilterDatabase" localSheetId="2" hidden="1">List!$A$1:$AN$41</definedName>
  </definedNames>
  <calcPr calcId="191028"/>
  <pivotCaches>
    <pivotCache cacheId="3" r:id="rId13"/>
    <pivotCache cacheId="4" r:id="rId14"/>
    <pivotCache cacheId="5"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3" l="1"/>
  <c r="AQ41" i="1" l="1"/>
  <c r="J1" i="3"/>
  <c r="N8" i="1"/>
  <c r="O8" i="1" s="1"/>
  <c r="P8" i="1" s="1"/>
  <c r="N9" i="1"/>
  <c r="O9" i="1" s="1"/>
  <c r="P9" i="1" s="1"/>
  <c r="N18" i="1"/>
  <c r="O18" i="1" s="1"/>
  <c r="P18" i="1" s="1"/>
  <c r="K7" i="5"/>
  <c r="N10" i="1" s="1"/>
  <c r="O10" i="1" s="1"/>
  <c r="P10" i="1" s="1"/>
  <c r="H45" i="3"/>
  <c r="H30" i="3"/>
  <c r="H29" i="3"/>
  <c r="H43" i="3"/>
  <c r="H25" i="3"/>
  <c r="H24" i="3"/>
  <c r="H22" i="3"/>
  <c r="H59" i="3"/>
  <c r="H20" i="3"/>
  <c r="H42" i="3"/>
  <c r="H18" i="3"/>
  <c r="H39" i="3"/>
  <c r="H16" i="3"/>
  <c r="H38" i="3"/>
  <c r="H36" i="3"/>
  <c r="H11" i="3"/>
  <c r="H8" i="3"/>
  <c r="H7" i="3"/>
  <c r="AQ21"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2" i="2"/>
  <c r="AQ3" i="1"/>
  <c r="AQ4" i="1"/>
  <c r="AQ5" i="1"/>
  <c r="AQ6" i="1"/>
  <c r="AQ7" i="1"/>
  <c r="AQ8" i="1"/>
  <c r="AQ9" i="1"/>
  <c r="AQ10" i="1"/>
  <c r="AQ11" i="1"/>
  <c r="AQ12" i="1"/>
  <c r="AQ13" i="1"/>
  <c r="AQ14" i="1"/>
  <c r="AQ15" i="1"/>
  <c r="AQ17" i="1"/>
  <c r="AQ18" i="1"/>
  <c r="AQ19" i="1"/>
  <c r="AQ20" i="1"/>
  <c r="AQ22" i="1"/>
  <c r="AQ23" i="1"/>
  <c r="AQ24" i="1"/>
  <c r="AQ25" i="1"/>
  <c r="AQ26" i="1"/>
  <c r="AQ27" i="1"/>
  <c r="AQ28" i="1"/>
  <c r="AQ29" i="1"/>
  <c r="AQ30" i="1"/>
  <c r="AQ31" i="1"/>
  <c r="AQ32" i="1"/>
  <c r="AQ33" i="1"/>
  <c r="AQ34" i="1"/>
  <c r="AQ35" i="1"/>
  <c r="AQ36" i="1"/>
  <c r="AQ37" i="1"/>
  <c r="AQ38" i="1"/>
  <c r="AQ39" i="1"/>
  <c r="AQ40" i="1"/>
  <c r="AQ2" i="1"/>
  <c r="N12" i="1" l="1"/>
  <c r="O12" i="1" s="1"/>
  <c r="P12" i="1" s="1"/>
  <c r="N25" i="1"/>
  <c r="O25" i="1" s="1"/>
  <c r="P25" i="1" s="1"/>
  <c r="N11" i="1"/>
  <c r="O11" i="1" s="1"/>
  <c r="P11" i="1" s="1"/>
  <c r="N26" i="1"/>
  <c r="O26" i="1" s="1"/>
  <c r="P26" i="1" s="1"/>
  <c r="K8" i="5"/>
  <c r="N4" i="1"/>
  <c r="O4" i="1" s="1"/>
  <c r="P4" i="1" s="1"/>
  <c r="N29" i="1"/>
  <c r="O29" i="1" s="1"/>
  <c r="P29" i="1" s="1"/>
  <c r="N3" i="1"/>
  <c r="O3" i="1" s="1"/>
  <c r="P3" i="1" s="1"/>
  <c r="N30" i="1"/>
  <c r="O30" i="1" s="1"/>
  <c r="P30" i="1" s="1"/>
  <c r="N28" i="1"/>
  <c r="O28" i="1" s="1"/>
  <c r="P28" i="1" s="1"/>
  <c r="N27" i="1"/>
  <c r="O27" i="1" s="1"/>
  <c r="P27" i="1" s="1"/>
  <c r="N2" i="1"/>
  <c r="O2" i="1" s="1"/>
  <c r="P2" i="1" s="1"/>
  <c r="N14" i="1"/>
  <c r="O14" i="1" s="1"/>
  <c r="P14" i="1" s="1"/>
  <c r="N13" i="1"/>
  <c r="O13" i="1" s="1"/>
  <c r="P13" i="1" s="1"/>
  <c r="N22" i="1"/>
  <c r="O22" i="1" s="1"/>
  <c r="P22" i="1" s="1"/>
  <c r="N39" i="1"/>
  <c r="O39" i="1" s="1"/>
  <c r="P39" i="1" s="1"/>
  <c r="N37" i="1"/>
  <c r="O37" i="1" s="1"/>
  <c r="P37" i="1" s="1"/>
  <c r="N36" i="1"/>
  <c r="O36" i="1" s="1"/>
  <c r="P36" i="1" s="1"/>
  <c r="N24" i="1"/>
  <c r="O24" i="1" s="1"/>
  <c r="P24" i="1" s="1"/>
  <c r="N35" i="1"/>
  <c r="O35" i="1" s="1"/>
  <c r="P35" i="1" s="1"/>
  <c r="N34" i="1"/>
  <c r="O34" i="1" s="1"/>
  <c r="P34" i="1" s="1"/>
  <c r="N19" i="1"/>
  <c r="O19" i="1" s="1"/>
  <c r="P19" i="1" s="1"/>
  <c r="N17" i="1"/>
  <c r="O17" i="1" s="1"/>
  <c r="P17" i="1" s="1"/>
  <c r="N40" i="1"/>
  <c r="O40" i="1" s="1"/>
  <c r="P40" i="1" s="1"/>
  <c r="N16" i="1"/>
  <c r="O16" i="1" s="1"/>
  <c r="P16" i="1" s="1"/>
  <c r="N41" i="1"/>
  <c r="O41" i="1" s="1"/>
  <c r="P41" i="1" s="1"/>
  <c r="K9" i="5" l="1"/>
  <c r="K10" i="5" s="1"/>
  <c r="N23" i="1"/>
  <c r="O23" i="1" s="1"/>
  <c r="P23" i="1" s="1"/>
  <c r="N5" i="1"/>
  <c r="O5" i="1" s="1"/>
  <c r="P5" i="1" s="1"/>
  <c r="N31" i="1" l="1"/>
  <c r="O31" i="1" s="1"/>
  <c r="P31" i="1" s="1"/>
  <c r="N15" i="1"/>
  <c r="O15" i="1" s="1"/>
  <c r="P15" i="1" s="1"/>
  <c r="N33" i="1"/>
  <c r="O33" i="1" s="1"/>
  <c r="P33" i="1" s="1"/>
  <c r="K11" i="5"/>
  <c r="K12" i="5" s="1"/>
  <c r="N32" i="1"/>
  <c r="O32" i="1" s="1"/>
  <c r="P32" i="1" s="1"/>
  <c r="N20" i="1"/>
  <c r="O20" i="1" s="1"/>
  <c r="P20" i="1" s="1"/>
  <c r="K13" i="5" l="1"/>
  <c r="K14" i="5" s="1"/>
  <c r="N7" i="1"/>
  <c r="O7" i="1" s="1"/>
  <c r="P7" i="1" s="1"/>
  <c r="N6" i="1"/>
  <c r="O6" i="1" s="1"/>
  <c r="P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tc={08216989-1A71-4444-9445-99025D2EF80F}</author>
    <author>tc={E497BFB9-10E3-4CFF-8ECF-DB31386170D9}</author>
  </authors>
  <commentList>
    <comment ref="G1" authorId="0" shapeId="0" xr:uid="{08216989-1A71-4444-9445-99025D2EF80F}">
      <text>
        <t>[Threaded comment]
Your version of Excel allows you to read this threaded comment; however, any edits to it will get removed if the file is opened in a newer version of Excel. Learn more: https://go.microsoft.com/fwlink/?linkid=870924
Comment:
    This has to be confirmed by Barnes</t>
      </text>
    </comment>
    <comment ref="H1" authorId="1" shapeId="0" xr:uid="{E497BFB9-10E3-4CFF-8ECF-DB31386170D9}">
      <text>
        <t>[Threaded comment]
Your version of Excel allows you to read this threaded comment; however, any edits to it will get removed if the file is opened in a newer version of Excel. Learn more: https://go.microsoft.com/fwlink/?linkid=870924
Comment:
    To be confirmed by Barnes</t>
      </text>
    </comment>
  </commentList>
</comments>
</file>

<file path=xl/sharedStrings.xml><?xml version="1.0" encoding="utf-8"?>
<sst xmlns="http://schemas.openxmlformats.org/spreadsheetml/2006/main" count="3437" uniqueCount="784">
  <si>
    <t>W=Working, C=Complete, R=Risk</t>
  </si>
  <si>
    <t>Target</t>
  </si>
  <si>
    <t>INTERFACE</t>
  </si>
  <si>
    <t>ANA-50 Functional Spec</t>
  </si>
  <si>
    <t>TAR-040 Technical Spec</t>
  </si>
  <si>
    <t>DES-020 Test Env. Ready</t>
  </si>
  <si>
    <t>TES-070 Test Plan/Script</t>
  </si>
  <si>
    <t>TES-070 Test Data</t>
  </si>
  <si>
    <t>Test Signoff</t>
  </si>
  <si>
    <t>Latest Comment</t>
  </si>
  <si>
    <t>Next Steps(s)</t>
  </si>
  <si>
    <t>Concur Invoice</t>
  </si>
  <si>
    <t>W</t>
  </si>
  <si>
    <t>Laying out unit tests</t>
  </si>
  <si>
    <t>[Jun-7] We have 3 test POs. Need the business to enter and receive the POs. Then Shared Services will enter the vendor invoice to complete the 3-way match to test the XML BOD back to M3. 
[Jun-13] Sent email to team asking them to complete test</t>
  </si>
  <si>
    <t>Concur Travel &amp; Expense</t>
  </si>
  <si>
    <t>Salesforce</t>
  </si>
  <si>
    <t>C</t>
  </si>
  <si>
    <t>[Jun-14] Next step is to review test plan with Torborjn</t>
  </si>
  <si>
    <t>SPS Commerce EDI</t>
  </si>
  <si>
    <t>[Jun-14] Rich Ospry engaged to assist with technical information, has already started providing information needed to SPS Commerce.
[June28 Matt] ANA ready for Barnes review/approval.</t>
  </si>
  <si>
    <t>[Apr-26] - Kick off meeting with SPS Commerce Apr-30 10:30a EDT. Cheska set up weekly meetings.</t>
  </si>
  <si>
    <t>PNC Bank (AR)</t>
  </si>
  <si>
    <t>R</t>
  </si>
  <si>
    <t>[Jun-14] Meeting scheduled Mon Jun 17 to see what additional is needed to complete the ANA and begin setup of test enironement</t>
  </si>
  <si>
    <t>[Apr-26] Meeting scheduled for May-1 8a EDT with Shared Service, JBA ERP, Infor to discuss process detail</t>
  </si>
  <si>
    <t>Shared Service (AP) Bank of America</t>
  </si>
  <si>
    <t>Cforia</t>
  </si>
  <si>
    <t>[Jun-14] Kevin has started query to provide open A/R balance. Amy McGuire to run open balance out of M3. We may need to get Kevin/Dean access to run report out of M3 as open balance can change</t>
  </si>
  <si>
    <t>[Apr-26] Kevin to refine queries for output files. Work with Cforia to send to test environment.</t>
  </si>
  <si>
    <t>Fedex</t>
  </si>
  <si>
    <t>[Jun-14] Jack Adoline reviewing in place of Aaron departure.</t>
  </si>
  <si>
    <t>[Apr-26] Connectivity to test/prod workstations</t>
  </si>
  <si>
    <t>Export to correct location, FEDEX&gt;IN, UPS&gt;IN. Can we send prod to both current ERP and M3</t>
  </si>
  <si>
    <t>UPS</t>
  </si>
  <si>
    <t>Credit Card Processing - CenPOS</t>
  </si>
  <si>
    <t>[May-15] Uploaded demo environment connection information from CenPOS to Infor site and notified team. Next step is to plug into interface and verify works with M3 test environment. Need to meet with Optimziely vendor CONSID to determine steps needed to connect to e-commerce/Optimizely</t>
  </si>
  <si>
    <t>[Apr-26] Seems we're already an Evalon\US Bank customer. Work with reps to get gateway access.</t>
  </si>
  <si>
    <t>CenPOS setup screen from Daniel. Test account setup.</t>
  </si>
  <si>
    <t>Optimizely</t>
  </si>
  <si>
    <t>[May-15] ANA under review, questions being answered. Test environment for data feeds to be setup early June. 
ANA for orders was written. ANA
[June28 Matt] Optimizely ANA approved by Amy B.</t>
  </si>
  <si>
    <t>[Apr-26] Dean to put updated specification on Infor sharepoint.</t>
  </si>
  <si>
    <t>Count of Interface ID</t>
  </si>
  <si>
    <t>Column Labels</t>
  </si>
  <si>
    <t>Row Labels</t>
  </si>
  <si>
    <t>3 - Speccing (ANA-050)</t>
  </si>
  <si>
    <t>4 - Tech Spec (TAR-040)</t>
  </si>
  <si>
    <t>5 - Development</t>
  </si>
  <si>
    <t>6 - Development Testing</t>
  </si>
  <si>
    <t>Business Testing</t>
  </si>
  <si>
    <t>(blank)</t>
  </si>
  <si>
    <t>Grand Total</t>
  </si>
  <si>
    <t>BoA Shared Service (AP)</t>
  </si>
  <si>
    <t>CenPos</t>
  </si>
  <si>
    <t xml:space="preserve">Concur </t>
  </si>
  <si>
    <t>(SPS) PNC Bank (AR)</t>
  </si>
  <si>
    <t>PNC Bank (AR) (SPS)</t>
  </si>
  <si>
    <t>m</t>
  </si>
  <si>
    <t>t</t>
  </si>
  <si>
    <t>w</t>
  </si>
  <si>
    <t>th</t>
  </si>
  <si>
    <t>f</t>
  </si>
  <si>
    <t>BoA</t>
  </si>
  <si>
    <t>SPS</t>
  </si>
  <si>
    <t>ups</t>
  </si>
  <si>
    <t>optimizely</t>
  </si>
  <si>
    <t>fedex</t>
  </si>
  <si>
    <t>Concur</t>
  </si>
  <si>
    <t>Partner/System</t>
  </si>
  <si>
    <t>Interface ID</t>
  </si>
  <si>
    <t>Interface</t>
  </si>
  <si>
    <t>100% Complete</t>
  </si>
  <si>
    <t>Stream</t>
  </si>
  <si>
    <t>Accountable</t>
  </si>
  <si>
    <t>Barnes Functional</t>
  </si>
  <si>
    <t>Barnes technical</t>
  </si>
  <si>
    <t>Status</t>
  </si>
  <si>
    <t>Action</t>
  </si>
  <si>
    <t>Process Status</t>
  </si>
  <si>
    <t>SPS Status</t>
  </si>
  <si>
    <t>SPS Variable</t>
  </si>
  <si>
    <t>Totals # of days</t>
  </si>
  <si>
    <t>SPS + Status</t>
  </si>
  <si>
    <t>Estimated Completion Date</t>
  </si>
  <si>
    <t>Infor FC</t>
  </si>
  <si>
    <t>3P Development</t>
  </si>
  <si>
    <t>Functional Spec ANA-050</t>
  </si>
  <si>
    <t>Action - Approved</t>
  </si>
  <si>
    <t>ANA-050
Date Due</t>
  </si>
  <si>
    <t>Date
Complete</t>
  </si>
  <si>
    <t>Infor Tech Consultant</t>
  </si>
  <si>
    <t>Interface spec TAR-040</t>
  </si>
  <si>
    <t>Date Approved</t>
  </si>
  <si>
    <t xml:space="preserve">Date
Due
</t>
  </si>
  <si>
    <t>Date
Completed</t>
  </si>
  <si>
    <t>Dev Start</t>
  </si>
  <si>
    <t>Dev Complate</t>
  </si>
  <si>
    <t>TES-070</t>
  </si>
  <si>
    <t>Testing</t>
  </si>
  <si>
    <t>Testing Start</t>
  </si>
  <si>
    <t>Testing Completed</t>
  </si>
  <si>
    <t>DES-030 Deployment</t>
  </si>
  <si>
    <t>DES-030 Notes</t>
  </si>
  <si>
    <t>Comment/Notes</t>
  </si>
  <si>
    <t>Next action, who and date</t>
  </si>
  <si>
    <t>FIN001</t>
  </si>
  <si>
    <t>PNC Lockbox EDI 823 checks</t>
  </si>
  <si>
    <t>No</t>
  </si>
  <si>
    <t>Finance</t>
  </si>
  <si>
    <t>Infor</t>
  </si>
  <si>
    <t>Kim</t>
  </si>
  <si>
    <t>Jeff</t>
  </si>
  <si>
    <t>Pre Development</t>
  </si>
  <si>
    <t>Speccing (ANA-050)</t>
  </si>
  <si>
    <t>Dennis</t>
  </si>
  <si>
    <t>WIP</t>
  </si>
  <si>
    <t>TBD</t>
  </si>
  <si>
    <t>09/16 Dennis to completing review of EDI 823 and 820 mappings by EOD 09/20. ANA-050 to follow completion approx 09/25.
08/27 Dennis had a meeting with PNC and Barnes and SPS. PNC Bank discussed the scope with Barnes
08/08 Dennis initiated weekly recurring calls to track progress. Dean to get the JBA and PNC together to discuss the current process and required specs.</t>
  </si>
  <si>
    <t>PNC Bank(Wendella) &amp; SPS Commerce (Courney/Zach)
+Dennis for ANA-050</t>
  </si>
  <si>
    <t>Testing in progress by Barnes</t>
  </si>
  <si>
    <t>CON001 Concur  SupplierInvoice Finance</t>
  </si>
  <si>
    <t>FIN005</t>
  </si>
  <si>
    <t>PNC Lockbox EDI820 flat file ACH ad wires</t>
  </si>
  <si>
    <t>09/16 Dennis to completing review of EDI 823 and 820 mappings by EOD 09/20. ANA-050 to follow completion approx 09/25.
08/27 Dennis had a meeting with PNC and Barnes and SPS. PNC Bank discussed the scope with Barnes
New file that we found out 20230123, sample file in share point, modified for barnes, we should get stdEDI 820 from bank. Via SPS Commerce?</t>
  </si>
  <si>
    <t>CON002 Concur  Goods Receipts Finance</t>
  </si>
  <si>
    <t>FIN003</t>
  </si>
  <si>
    <t>Check Run Header</t>
  </si>
  <si>
    <t>Pending Approval</t>
  </si>
  <si>
    <t>Development</t>
  </si>
  <si>
    <t>Carlo</t>
  </si>
  <si>
    <t>Completed</t>
  </si>
  <si>
    <t>Isaiah John Tolentino</t>
  </si>
  <si>
    <t>September 25. Dev almost complete. Sent to Carlo for validation. Carlo need to reply ASAP for dev to continue.
Sep 13. Dev started. Redy by Oct 11
8/27 - Carlo sent ANA-50 for approval to Finance
20 Aug - Dean needs to approve
Ahmed start func spec after PNC</t>
  </si>
  <si>
    <t xml:space="preserve">Carlo Alcazar </t>
  </si>
  <si>
    <t>CON003 Concur  PO Header Finance</t>
  </si>
  <si>
    <t>FIN004</t>
  </si>
  <si>
    <t>Check Run Details</t>
  </si>
  <si>
    <t>CON004 Concur  PO Lines Finance</t>
  </si>
  <si>
    <t>CNP001</t>
  </si>
  <si>
    <t>Payment Authorization</t>
  </si>
  <si>
    <t>Yes</t>
  </si>
  <si>
    <t>OTC</t>
  </si>
  <si>
    <t>Amy B / Louis</t>
  </si>
  <si>
    <t xml:space="preserve">Dean </t>
  </si>
  <si>
    <t xml:space="preserve">Hubert </t>
  </si>
  <si>
    <t>NA</t>
  </si>
  <si>
    <t xml:space="preserve">N/A </t>
  </si>
  <si>
    <t xml:space="preserve">
August - Infor Standard Integration (OOB)
Unknown date &gt; existing Infor CenPos code. this team to verify that it works for Barnes. Hubert/Cheska to test CenPos. 7/18. only Dev person is needed if Hubert/Cheska see need for a change.
Unknown date &gt; H5 script, manage in UI. Waiting for contact at Barnes and Worldpay</t>
  </si>
  <si>
    <t>Infor (Hubert/Daniel)</t>
  </si>
  <si>
    <t>CON005 Concur  Vendor Infor Finance</t>
  </si>
  <si>
    <t>CNP002</t>
  </si>
  <si>
    <t>Payment Capture</t>
  </si>
  <si>
    <t>August - Infor Standard Integration (OOB)
Unknown date &gt; existing Infor CenPos code. this team to verify that it works for Barnes. Hubert/Cheska to test CenPos. 
7/18. only Dev person is needed if Hubert/Cheska see need for a change.
H5 script, manage in UI. Waiting for contact at Barnes and Worldpay</t>
  </si>
  <si>
    <t>SFDC01 Salesforce Item OTC</t>
  </si>
  <si>
    <t>SFDC02</t>
  </si>
  <si>
    <t>Customer</t>
  </si>
  <si>
    <t>Barnes</t>
  </si>
  <si>
    <t>Robert</t>
  </si>
  <si>
    <t>Torbjörn</t>
  </si>
  <si>
    <t>Out of Scope</t>
  </si>
  <si>
    <t xml:space="preserve">Martin </t>
  </si>
  <si>
    <t>Martin</t>
  </si>
  <si>
    <t>Daniel/Martin</t>
  </si>
  <si>
    <r>
      <rPr>
        <strike/>
        <sz val="11"/>
        <color rgb="FF000000"/>
        <rFont val="Calibri"/>
        <family val="2"/>
        <scheme val="minor"/>
      </rPr>
      <t xml:space="preserve">ANA-050 started ready for review Feb 2
20240126: Meeting anc coclusion is no integration between M3 ans SF. All is going between SF _ Azure
</t>
    </r>
    <r>
      <rPr>
        <sz val="11"/>
        <color rgb="FF000000"/>
        <rFont val="Calibri"/>
        <family val="2"/>
        <scheme val="minor"/>
      </rPr>
      <t>•3/20 no longer needed</t>
    </r>
  </si>
  <si>
    <t>SFDC02 Salesforce Customer OTC</t>
  </si>
  <si>
    <t>SFDC03</t>
  </si>
  <si>
    <t>ShipToPartyMaster / Addresses</t>
  </si>
  <si>
    <r>
      <rPr>
        <strike/>
        <sz val="11"/>
        <color rgb="FF000000"/>
        <rFont val="Calibri"/>
        <family val="2"/>
        <scheme val="minor"/>
      </rPr>
      <t xml:space="preserve">Credti limit was Removed from scope during CRP. Payment terms on Customer is enought, replaced by ShipToPartyMaster / Addresses. Martin start ANA-050 Jan 29
20240126: Meeting and conclusion is this will not be done in M3CE. Barnes handle the int between  SF- AZureDB
</t>
    </r>
    <r>
      <rPr>
        <sz val="11"/>
        <color rgb="FF000000"/>
        <rFont val="Calibri"/>
        <family val="2"/>
        <scheme val="minor"/>
      </rPr>
      <t>•3/20 no longer needed</t>
    </r>
  </si>
  <si>
    <t>SFDC03 Salesforce Customer Credit OTC</t>
  </si>
  <si>
    <t>CFO001</t>
  </si>
  <si>
    <t>Customer Payments &amp; Credits</t>
  </si>
  <si>
    <t>Dean</t>
  </si>
  <si>
    <t>Not Started</t>
  </si>
  <si>
    <t>Rachelle</t>
  </si>
  <si>
    <t>09/16 New Infor finance resource Rachelle Malahito onboarded this week to start work on CFORIA ANA-050
Barnes Kevin Alexander starting on this. Barnes Cforia test environment</t>
  </si>
  <si>
    <t>SFDC04 Salesforce Item Pricing OTC</t>
  </si>
  <si>
    <t>CFO002</t>
  </si>
  <si>
    <t>Customer Order</t>
  </si>
  <si>
    <t>09/16 New Infor finance resource Rachelle Malahito onboarded this week to start work on CFORIA ANA-050
Barnes Kevin Alexander starting on this</t>
  </si>
  <si>
    <t>EDI001 SPS Commerce EDI EDI Sales Order OTC</t>
  </si>
  <si>
    <t>CFO003</t>
  </si>
  <si>
    <t>Customer Master</t>
  </si>
  <si>
    <t>EDI002 SPS Commerce EDI EDI Shipment OTC</t>
  </si>
  <si>
    <t>CFO004</t>
  </si>
  <si>
    <t>Invoice Payment History</t>
  </si>
  <si>
    <t>EDI003 SPS Commerce EDI EDI Sales Order Ack OTC</t>
  </si>
  <si>
    <t>CFO005</t>
  </si>
  <si>
    <t>Invoice Copies IDM (PDF)</t>
  </si>
  <si>
    <t>Karin</t>
  </si>
  <si>
    <t>EDI004 SPS Commerce EDI EDI Invoice OTC</t>
  </si>
  <si>
    <t>CON002</t>
  </si>
  <si>
    <t>Goods Receipts</t>
  </si>
  <si>
    <t>Kevin</t>
  </si>
  <si>
    <t>Development Testing</t>
  </si>
  <si>
    <t>Business</t>
  </si>
  <si>
    <t>09/16 Dennis to complete re-write of ANA-050 by 09/20. This ANA-050 consolidates CON001 002 003 004 and 005 into one document.
8/27 - Currently being tested by Amy/Kimberly
Aug 20 Jimmy asked Dean for a test meeting.
Metrics from Kim on current ASR match rate (cases we can improve in M3). Unit test plan - try full cycle. Dean to setup meeting Kim/Kevin
8/23: Meeting scheduled for 8/26</t>
  </si>
  <si>
    <t>Start week feb 5</t>
  </si>
  <si>
    <t>EDI005 SPS Commerce EDI EDI Shipment Schedule EDI 862 OTC</t>
  </si>
  <si>
    <t>CON003</t>
  </si>
  <si>
    <t>PO Header</t>
  </si>
  <si>
    <t>Tech Spec (TAR-040)</t>
  </si>
  <si>
    <t>CON004</t>
  </si>
  <si>
    <t>PO Lines</t>
  </si>
  <si>
    <t>EDI006 SPS Commerce EDI Planning Schedule EDI 830 OTC</t>
  </si>
  <si>
    <t>EDI007</t>
  </si>
  <si>
    <t>Application Advice EDI 824</t>
  </si>
  <si>
    <t>Melissa</t>
  </si>
  <si>
    <t xml:space="preserve">Cheska </t>
  </si>
  <si>
    <t>8/6/24: this is not part of the SPS Contract so no dev on any side. 
Review 824, 860 and 997 and in SPS Commerce Portal so no DEV on infor side
•Barnes working to get contract with SPS</t>
  </si>
  <si>
    <t>EDI007 SPS Commerce EDI Application Advice EDI 824 OTC</t>
  </si>
  <si>
    <t>CON005</t>
  </si>
  <si>
    <t>Vendor Infor</t>
  </si>
  <si>
    <t>PNC to provide a PM and Resource. Create Scope of Work, Send Approval to Barnes. </t>
  </si>
  <si>
    <t>FIN001 PNC Bank (AR) PNC Lockbok Finance</t>
  </si>
  <si>
    <t>CON001</t>
  </si>
  <si>
    <t>SupplierInvoice</t>
  </si>
  <si>
    <t>Jen</t>
  </si>
  <si>
    <t>Amy
Kimberly</t>
  </si>
  <si>
    <t>Kimberly/Amy
+Dennis ANA-050</t>
  </si>
  <si>
    <t>-PNC to provide a PM and Resource. Create Scope of Work, Send Approval to Barnes. 
-Dennis to finalize field mappings for ANA-50</t>
  </si>
  <si>
    <t>FIN002 PNC Bank (AR) PNC Matcher file Finance</t>
  </si>
  <si>
    <t>CONO06</t>
  </si>
  <si>
    <t>T&amp;E expense posting</t>
  </si>
  <si>
    <t>09/16 New Infor finance resource Rachelle Malahito onboarded this week to start work on CONCUR Expenses ANA-050</t>
  </si>
  <si>
    <t>Rachelle ANA-050</t>
  </si>
  <si>
    <t>FED001</t>
  </si>
  <si>
    <t>FedEx Tracking Number Update</t>
  </si>
  <si>
    <t>Supply chain</t>
  </si>
  <si>
    <t xml:space="preserve">Lori </t>
  </si>
  <si>
    <t>Cheska</t>
  </si>
  <si>
    <t xml:space="preserve">Completed </t>
  </si>
  <si>
    <t xml:space="preserve">9/25 - Sample File provided by Dean, Cheska to update ANA-50. Questions: Where is the Custom PO Number in the sample file? it is missing. We begin development once ANA-50 is updated for FedEx and Question answered
9/18 - open questions re database pull from Dean, cheska to reply 
8/29 - Daniel has replied that there is only a configuration in both systems to convert the files from CSV to XML, awaiting dean's reply 
8/27 - Sent follow up to Dean for the requested connection details. Dean will try to do it next week if not busy.
Aug 20 Martin have tested but need test data and test from server
8/6/24: need to have the picking list editted to reflect the barcode scan, will follow up with Peter and Karin for their time </t>
  </si>
  <si>
    <t>Barnes  (Dean)</t>
  </si>
  <si>
    <t>Need to approve ANA-50</t>
  </si>
  <si>
    <t>FIN003 Shared Service (AP) Check Run Header Finance</t>
  </si>
  <si>
    <t>FED002</t>
  </si>
  <si>
    <t>FedEx Shipping information</t>
  </si>
  <si>
    <t>Dan</t>
  </si>
  <si>
    <t>to Sonja, review 3/26</t>
  </si>
  <si>
    <t>FIN004 Shared Service (AP) Check Run Details Finance</t>
  </si>
  <si>
    <t>OPT006</t>
  </si>
  <si>
    <t>Order (email)</t>
  </si>
  <si>
    <t>Amy B / Beth W</t>
  </si>
  <si>
    <t>9/18/ - ready to test, consid to transform file to xml 
8/29/24: build from infor side done, ready to test as long as there is an XML file ready to be ingested. 
8/20/24: low prioirty on the list, but ready to test as long as consid can map to the XML
8/6/24: no work needed from Infor end, the work is on Consid. 
Shall we bring Order in Scope or stick to email? possible BODs usage?</t>
  </si>
  <si>
    <t xml:space="preserve">Barnes </t>
  </si>
  <si>
    <t>CFO001 Cforia Customer Payments &amp; Credits Finance</t>
  </si>
  <si>
    <t>OPT001</t>
  </si>
  <si>
    <t>Customer and Addresses</t>
  </si>
  <si>
    <t>extract azure data for use in optimizely, working call 3/25</t>
  </si>
  <si>
    <t>CFO002 Cforia Customer Order Finance</t>
  </si>
  <si>
    <t>OPT002</t>
  </si>
  <si>
    <t>Items</t>
  </si>
  <si>
    <t>ANA050 ready Sep 4 
working call 3/25</t>
  </si>
  <si>
    <t>CFO003 Cforia Customer Master Finance</t>
  </si>
  <si>
    <t>OPT003</t>
  </si>
  <si>
    <t>Std Price, Cust price, Disc</t>
  </si>
  <si>
    <t>CFO004 Cforia Invoice Payment History Finance</t>
  </si>
  <si>
    <t>OPT004</t>
  </si>
  <si>
    <t>Tax exemption</t>
  </si>
  <si>
    <t>CFO005 Cforia Invoice Copies IDM (PDF) Finance</t>
  </si>
  <si>
    <t>OPT005</t>
  </si>
  <si>
    <t>Stock</t>
  </si>
  <si>
    <t>ANA050 ready Sep 4 
Sent sample of M3_InventoryCountReport to Dean 240201, working call 3/25</t>
  </si>
  <si>
    <t>Can we use BOD?</t>
  </si>
  <si>
    <t>Dean will try provide mappings for FedEx next week. Currently busy this week.
Dean to provide connection details for shared folder</t>
  </si>
  <si>
    <t>FED001 Fedex FedEx Tracking Number Update Supply chain</t>
  </si>
  <si>
    <t>FIN002</t>
  </si>
  <si>
    <t>PNC Matcher file</t>
  </si>
  <si>
    <t>09/16 Dennis to complete ANA-050 draft by 09/25
08/27 Dennis had a meeting with PNC and Barnes and SPS. PNC Bank discussed the scope with Barnes
08/08 Dennis initiated weekly recurring calls to track progress. Dean to get the JBA and PNC together to discuss the current process and required specs.</t>
  </si>
  <si>
    <t>PNC Bank &amp; Infor(Dennis)</t>
  </si>
  <si>
    <t>FED002 Fedex FedEx Shipping information Supply chain</t>
  </si>
  <si>
    <t>SFDC01</t>
  </si>
  <si>
    <t>Item</t>
  </si>
  <si>
    <t>Torbjorn</t>
  </si>
  <si>
    <t>Pending Confirmation</t>
  </si>
  <si>
    <t>DES-030 ready. DEVFMC should be ready Sep 27 and PartCopy Oct 04
Sept 13 - setting up a new Salesforce environment for testing.  Also changing Dev environment, which is the last step.
August 27 - Successful Testing with Torbjorn. 
Testing session planned for Aug 27 with Torbjorn
Aug 8 issue fixed and new test session with Torbjörn this week.
April 11 - Torbjorn for validation
Apri 10 - doc this week, Jen tested Wednesday</t>
  </si>
  <si>
    <t>Dean to provide connection details for shared folder</t>
  </si>
  <si>
    <t>UPS001 UPS UPS Tracking Number Update Supply chain</t>
  </si>
  <si>
    <t>SFDC04</t>
  </si>
  <si>
    <t>Item Pricing</t>
  </si>
  <si>
    <t>DES-030 Ready. DEVFMC should be ready Sep 27 and PartCopy Oct 04
Sept 13 - setting up a new Salesforce environment for testing.  Also changing Dev environment, which is the last step.
August 27 - Successful Testing with Torbjorn. 
Testing session planned for Aug 27 with Torbjorn
Aug 8 issue fixed and new test session with Torbjörn this week.
July 30 -0  pending further testing by Torbjorn
April 28 - TST070.  Then Hubert to test afert getting access.
April 11 - Torbjorn for validate 4/11
April 10  doc this week, jen test wed 4/10
2 Feb - ANA-050 started ready for review Feb 2</t>
  </si>
  <si>
    <t>UPS002 UPS UPS Shipping Information Supply chain</t>
  </si>
  <si>
    <t>EDI001</t>
  </si>
  <si>
    <t>EDI Sales Order 850</t>
  </si>
  <si>
    <t>Complete</t>
  </si>
  <si>
    <t>Technical</t>
  </si>
  <si>
    <t>9/18/24: tested Grainger, SPS to send down MSC and PACCAR 
8/29/24: asked SPS commerce to send down one trading partner for testing, cheska to check if there are any issues and process file until invoice. 
8/20/24: paased initial test ready to test for SIT 
8/16/24: ready to test we need raw files we need more raw files to drop 
8/7/24:: infor mec mapping changes done, Infor functional to test 
8/6/24: build completed from SPS commerce side, a few mapping needs to be done from infor tech 
Jeff has a quote from SPS Commerce, need to schedule follow up meeting to review details with Daniel and team
•Barnes working to get contract with SPS</t>
  </si>
  <si>
    <t xml:space="preserve">SIT </t>
  </si>
  <si>
    <t>Contact Hubert Santos on updates from testing the standard implementation</t>
  </si>
  <si>
    <t>WOR001 Worldpay Payment Authorization OTC</t>
  </si>
  <si>
    <t>EDI002</t>
  </si>
  <si>
    <t>EDI Shipment 856</t>
  </si>
  <si>
    <t>9/18/24: tested Grainger, SPS to send down MSC and PACCAR 8/29/24: asked SPS commerce to send down one trading partner for testing, cheska to check if there are any issues and process file until invoice
8/20/24: waiting for SPS commerce to give feedback on structure 
8/16/24: completed build from SPS, infor sent out a test xml, waiting for SPS to validate if it passed through or not. 
8/9/24: ANA050 uploaded to be reviewed by Barnes
8/6/24: currently with SPS commerce development. This EDI 856 would need to make use of dummy standard packaging to work, this has been agreed on with Sonja, Amy and Melissa. 
May want to add FYX consultant to team
•Barnes working to get contract with SPS</t>
  </si>
  <si>
    <t xml:space="preserve">Infor </t>
  </si>
  <si>
    <t>WOR002 Worldpay Payment Capture OTC</t>
  </si>
  <si>
    <t>EDI003</t>
  </si>
  <si>
    <t>EDI Sales Order Ack</t>
  </si>
  <si>
    <t>9/18/24: tested Grainger, SPS to send down MSC and PACCAR 
8/29/24: finished development from SPS end, WIP development from Infor. 
8/20/24: need to align development from Infor end
8/7/24: meeting with barnes finished, need to send acknowledgement codes. need to validate with Martin if the current standard bod is using the newest version of the 855 mapping uploaded in concierge. 
8/6/24: to be discussed on 8/7/24 with Barnes 
•Barnes working to get contract with SPS</t>
  </si>
  <si>
    <t>OPT001 Optimizely Customer and Addresses OTC</t>
  </si>
  <si>
    <t>EDI004</t>
  </si>
  <si>
    <t>EDI Invoice</t>
  </si>
  <si>
    <t>9/18/24: tested Grainger, SPS to send down MSC and PACCAR 
8/29/ 24: development done from SPS, testing in progress. asked SPS commerce to send down one trading partner for testing, cheska to check if there are any issues and process file until invoice
8/20/24: SPS to confirm if build is done 
8/16/24: ANA050 approved
8/12/24: ANA050 completed, current build is with SPS Commerce 
8/6/24: SPS commerce is doing the build as of today 
•Barnes working to get contract with SPS</t>
  </si>
  <si>
    <t>OPT002 Optimizely Items OTC</t>
  </si>
  <si>
    <t>EDI005</t>
  </si>
  <si>
    <t>EDI Shipment Schedule EDI 862</t>
  </si>
  <si>
    <t>9/18/24: tested Grainger, SPS to send down MSC and PACCAR 
8/29/24: asked SPS commerce to send down one trading partner for testing, cheska to check if there are any issues and process file until invoice
8/20/24: SPS clarifications cleared, need to send down test data 
8/16/24: need more raw data to test 
8/7/24:: infor mec mapping changes done, Infor functional to test SPS to send more data for more customers 
8/6/24: SPS dev completed, SPS commerce to send in more data for more testing 
Barnes working to get contract with SPS</t>
  </si>
  <si>
    <t>OPT003 Optimizely Std Price, Cust price, Disc OTC</t>
  </si>
  <si>
    <t>DSV</t>
  </si>
  <si>
    <t>OPT004 Optimizely Tax exemption OTC</t>
  </si>
  <si>
    <t>EDI006</t>
  </si>
  <si>
    <t>Planning Schedule EDI 830</t>
  </si>
  <si>
    <t>9/18/24: tested Grainger, SPS to send down MSC and PACCAR 
8/29/24: asked SPS commerce to send down one trading partner for testing, cheska to check if there are any issues and process file until invoice
8/20/24: SPS clarifications cleared, need to send down test data 
8/16/24: need more raw data to test 
8/7/24:: infor mec mapping changes done, Infor functional to test SPS to send more data for more customers 
8/6/24: SPS dev completed, SPS commerce to send in more data for more testing , only firmed orders are integrated. 
•Barnes working to get contract with SPS</t>
  </si>
  <si>
    <t>OPT005 Optimizely Stock OTC</t>
  </si>
  <si>
    <t>UPS002</t>
  </si>
  <si>
    <t>UPS Shipping Information</t>
  </si>
  <si>
    <t>Contact Cheska(Infor) for latest updates</t>
  </si>
  <si>
    <t>OPT006 Optimizely Order (email) OTC</t>
  </si>
  <si>
    <t>UPS001</t>
  </si>
  <si>
    <t>UPS Tracking Number Update</t>
  </si>
  <si>
    <t xml:space="preserve">9/25 -  UPS to M3 Integration Interface is completed, ANA-50 and TAR-40 in Sharepoint under "UPS_FedEx" folder
9/18 - open questions re database pull from Dean, cheska to reply 
8/29 - Daniel has replied that there is only a configuration in both systems to convert the files from CSV to XML, awaiting dean's reply 
8/27 - Sent follow up to Dean for the requested shared folder connection details. Dean will try to do it next week if not busy.
Aug 20 Martin have tested but need test data and test from server
8/6/24: need to have the picking list editted to reflect the barcode scan will follow up with Peter and Karin for their time </t>
  </si>
  <si>
    <t>Date Added</t>
  </si>
  <si>
    <t>Integration</t>
  </si>
  <si>
    <t>Priority</t>
  </si>
  <si>
    <t>Owner</t>
  </si>
  <si>
    <t>Due Date</t>
  </si>
  <si>
    <t>Comment</t>
  </si>
  <si>
    <t>Determine if need to add FYX to project team
1/19: Jeff determined not needed</t>
  </si>
  <si>
    <t>Closed</t>
  </si>
  <si>
    <t>Add Petter E to weekly meetings?</t>
  </si>
  <si>
    <t>Petter S</t>
  </si>
  <si>
    <t>Worldpay</t>
  </si>
  <si>
    <t>Should Petter be added to Worldpay integration? He was working on Worldpay account creation</t>
  </si>
  <si>
    <t>Jeff has a quote from SPS Commerce, need to schedule follow up meeting to review details with Daniel and team</t>
  </si>
  <si>
    <t>Schedule Barnes/Infor Meeting for week of 1/22 to align team</t>
  </si>
  <si>
    <t>Daniel</t>
  </si>
  <si>
    <t>All</t>
  </si>
  <si>
    <t>Switch testing to 910</t>
  </si>
  <si>
    <t>Need service account created in M3 for file drop</t>
  </si>
  <si>
    <t>closed</t>
  </si>
  <si>
    <t>Need info from Erik on contact info within Barnes/Worldpay</t>
  </si>
  <si>
    <t>Can we add PNC lockbox 820 to SPS commerce - Add Kim and Dean
2/2: Jeff will instruct SPS to include this</t>
  </si>
  <si>
    <t xml:space="preserve">Emailed Steve to add to packaging standard / packing slip </t>
  </si>
  <si>
    <t>Sonja</t>
  </si>
  <si>
    <t>Sync of data to Azure</t>
  </si>
  <si>
    <t>Petter</t>
  </si>
  <si>
    <t>Create Deployment Spec</t>
  </si>
  <si>
    <t>Need to assign Torbjorn and Martin for Deployment</t>
  </si>
  <si>
    <t>Martin/Torbjorn</t>
  </si>
  <si>
    <t>Need to specify which fields from supplier invoice need to match (Delivery note field - PPS300)</t>
  </si>
  <si>
    <t>Fedex / UPS</t>
  </si>
  <si>
    <t xml:space="preserve">Need sample files to test
2/16: Jeff will send files going up today.  </t>
  </si>
  <si>
    <t>Need test script for integration</t>
  </si>
  <si>
    <t>Dan Tuller</t>
  </si>
  <si>
    <t>Draft functional spec ready to review with Barnes</t>
  </si>
  <si>
    <t>Need to complete ANA-050</t>
  </si>
  <si>
    <t>Setup SFTP for data transfer</t>
  </si>
  <si>
    <t>Complete TAR</t>
  </si>
  <si>
    <t>Need to review mapping to/from JBA</t>
  </si>
  <si>
    <t>Martin working on specs, will review with functional team when ready with Barnes</t>
  </si>
  <si>
    <t>Need to review with Torbjörn when he returns</t>
  </si>
  <si>
    <t>Daniel sent out functional spec, need Barnes review/approval</t>
  </si>
  <si>
    <t>Isaiha</t>
  </si>
  <si>
    <t>BoA Shared Service (AP) (details</t>
  </si>
  <si>
    <t>Send M3 Project Timeline to Optimizely</t>
  </si>
  <si>
    <t>Need a call with Worldpay to understand technical details &amp; setup account - Jeff, Amy B, Daniel, Catherine L, Sonja</t>
  </si>
  <si>
    <t>Annastasia</t>
  </si>
  <si>
    <t>functional spec</t>
  </si>
  <si>
    <t>BoA Shared Service (AP) (header)</t>
  </si>
  <si>
    <t>Will start functional spec after Cforia</t>
  </si>
  <si>
    <t>isiaha</t>
  </si>
  <si>
    <t>ready for testing</t>
  </si>
  <si>
    <t>Hubert</t>
  </si>
  <si>
    <t>Schedule functional spec review
4/12 was reviewed, but need functional Barnes approval.  Will add Lori to meeting</t>
  </si>
  <si>
    <t>Dean to get signoff from Aaron</t>
  </si>
  <si>
    <t>Identify new functional lead to replace lindsey
listing Robert as replacement until another is identified</t>
  </si>
  <si>
    <t>Start functional spec in Feb, not started, will start after Concur &amp; PNC</t>
  </si>
  <si>
    <t>Jeff to set up test machine with both UPS and Fedex, send machine name to Dean
8/26: Dean has machine name and IP address</t>
  </si>
  <si>
    <t>UPS - Jeff - Still in registration process, Jeff will send IP</t>
  </si>
  <si>
    <t>Kevin is starting the technical spec, next step to find missing fields</t>
  </si>
  <si>
    <t>Started</t>
  </si>
  <si>
    <t>Jane W is starting technical spec, mapping in process</t>
  </si>
  <si>
    <t>Jane</t>
  </si>
  <si>
    <t>Finalize agreement with SPS</t>
  </si>
  <si>
    <t>Getting transaction &amp; value info from Maumee.  Qty sent, waiting on $</t>
  </si>
  <si>
    <t>functional spec - schedule review for week of 3/18
4/12 - did this happen last week?
8/26: Schedule approval/review of ANA-050</t>
  </si>
  <si>
    <t>Sales order automation option?  follow up sent 3/8
3/22: Glenn will be sending Europe setup to model the same</t>
  </si>
  <si>
    <t>Schedule separate meeting with Dean, Jeff, Daniel, Cheska, Petter, cc Sonja</t>
  </si>
  <si>
    <t>Start on extracts / technical spec</t>
  </si>
  <si>
    <t>working through current bugs</t>
  </si>
  <si>
    <t>Start on functional spec
3/22: Need more info on how new customers are handled (dummy acct or all new?)</t>
  </si>
  <si>
    <t>Need test environment setup</t>
  </si>
  <si>
    <t>Robert Thompson</t>
  </si>
  <si>
    <t>Need data files</t>
  </si>
  <si>
    <t>Need approval/review of ANA-050</t>
  </si>
  <si>
    <t>Melissa/Jeff</t>
  </si>
  <si>
    <t>Need to create connection from Salesforce and Azure, low priority</t>
  </si>
  <si>
    <t>Need to schedule testing with Torbjorn</t>
  </si>
  <si>
    <t>Need to approve TAR</t>
  </si>
  <si>
    <t>Hubert to verify with Daniel if ANA-050 is needed, this is standard for M3</t>
  </si>
  <si>
    <t>Need to start the functional spec</t>
  </si>
  <si>
    <t>Finalize for testing, Torbjörn requested additional testing
Need pricing and products addressed</t>
  </si>
  <si>
    <t>In process, see List for comments</t>
  </si>
  <si>
    <t>testing scheduled for 8/26</t>
  </si>
  <si>
    <t xml:space="preserve">Can we connect UPS/Fedex to Azure? - Schedule call with Dean </t>
  </si>
  <si>
    <t>Need test machine</t>
  </si>
  <si>
    <t>Amazon interface today is a homegrown system, need to identify who knows about this interface</t>
  </si>
  <si>
    <t>CON001 - ANA-50 - Func Spec</t>
  </si>
  <si>
    <t>- ANA-50 - Func Spec</t>
  </si>
  <si>
    <t>CON001 - TAR-040 - Tech Spec</t>
  </si>
  <si>
    <t>- TAR-040 - Tech Spec</t>
  </si>
  <si>
    <t>CON001 - TES-070 - Tech Spec</t>
  </si>
  <si>
    <t>- TES-070 - Tech Spec</t>
  </si>
  <si>
    <t>CON001 - DES-030 - Tech Spec</t>
  </si>
  <si>
    <t>- DES-030 - Tech Spec</t>
  </si>
  <si>
    <t>CON002 - ANA-50 - Func Spec</t>
  </si>
  <si>
    <t>CON002 - TAR-040 - Tech Spec</t>
  </si>
  <si>
    <t>CON002 - TES-070 - Tech Spec</t>
  </si>
  <si>
    <t>CON002 - DES-030 - Tech Spec</t>
  </si>
  <si>
    <t>CON003 - ANA-50 - Func Spec</t>
  </si>
  <si>
    <t>CON003 - TAR-040 - Tech Spec</t>
  </si>
  <si>
    <t>CON003 - TES-070 - Tech Spec</t>
  </si>
  <si>
    <t>CON003 - DES-030 - Tech Spec</t>
  </si>
  <si>
    <t>CON004 - ANA-50 - Func Spec</t>
  </si>
  <si>
    <t>CON004 - TAR-040 - Tech Spec</t>
  </si>
  <si>
    <t>CON004 - TES-070 - Tech Spec</t>
  </si>
  <si>
    <t>CON004 - DES-030 - Tech Spec</t>
  </si>
  <si>
    <t>CON005 - ANA-50 - Func Spec</t>
  </si>
  <si>
    <t>CON005 - TAR-040 - Tech Spec</t>
  </si>
  <si>
    <t>CON005 - TES-070 - Tech Spec</t>
  </si>
  <si>
    <t>CON005 - DES-030 - Tech Spec</t>
  </si>
  <si>
    <t>SFDC01 - ANA-50 - Func Spec</t>
  </si>
  <si>
    <t>SFDC01 - TAR-040 - Tech Spec</t>
  </si>
  <si>
    <t>SFDC01 - TES-070 - Tech Spec</t>
  </si>
  <si>
    <t>SFDC01 - DES-030 - Tech Spec</t>
  </si>
  <si>
    <t>SFDC02 - ANA-50 - Func Spec</t>
  </si>
  <si>
    <t>SFDC02 - TAR-040 - Tech Spec</t>
  </si>
  <si>
    <t>SFDC02 - TES-070 - Tech Spec</t>
  </si>
  <si>
    <t>SFDC02 - DES-030 - Tech Spec</t>
  </si>
  <si>
    <t>SFDC03 - ANA-50 - Func Spec</t>
  </si>
  <si>
    <t>SFDC03 - TAR-040 - Tech Spec</t>
  </si>
  <si>
    <t>SFDC03 - TES-070 - Tech Spec</t>
  </si>
  <si>
    <t>SFDC03 - DES-030 - Tech Spec</t>
  </si>
  <si>
    <t>SFDC04 - ANA-50 - Func Spec</t>
  </si>
  <si>
    <t>SFDC04 - TAR-040 - Tech Spec</t>
  </si>
  <si>
    <t>SFDC04 - TES-070 - Tech Spec</t>
  </si>
  <si>
    <t>SFDC04 - DES-030 - Tech Spec</t>
  </si>
  <si>
    <t>EDI001 - ANA-50 - Func Spec</t>
  </si>
  <si>
    <t>EDI001 - TAR-040 - Tech Spec</t>
  </si>
  <si>
    <t>EDI001 - TES-070 - Tech Spec</t>
  </si>
  <si>
    <t>EDI001 - DES-030 - Tech Spec</t>
  </si>
  <si>
    <t>EDI002 - ANA-50 - Func Spec</t>
  </si>
  <si>
    <t>EDI002 - TAR-040 - Tech Spec</t>
  </si>
  <si>
    <t>EDI002 - TES-070 - Tech Spec</t>
  </si>
  <si>
    <t>EDI002 - DES-030 - Tech Spec</t>
  </si>
  <si>
    <t>EDI003 - ANA-50 - Func Spec</t>
  </si>
  <si>
    <t>EDI003 - TAR-040 - Tech Spec</t>
  </si>
  <si>
    <t>EDI003 - TES-070 - Tech Spec</t>
  </si>
  <si>
    <t>EDI003 - DES-030 - Tech Spec</t>
  </si>
  <si>
    <t>EDI004 - ANA-50 - Func Spec</t>
  </si>
  <si>
    <t>EDI004 - TAR-040 - Tech Spec</t>
  </si>
  <si>
    <t>EDI004 - TES-070 - Tech Spec</t>
  </si>
  <si>
    <t>EDI004 - DES-030 - Tech Spec</t>
  </si>
  <si>
    <t>EDI005 - ANA-50 - Func Spec</t>
  </si>
  <si>
    <t>EDI005 - TAR-040 - Tech Spec</t>
  </si>
  <si>
    <t>EDI005 - TES-070 - Tech Spec</t>
  </si>
  <si>
    <t>EDI005 - DES-030 - Tech Spec</t>
  </si>
  <si>
    <t>EDI006 - ANA-50 - Func Spec</t>
  </si>
  <si>
    <t>EDI006 - TAR-040 - Tech Spec</t>
  </si>
  <si>
    <t>EDI006 - TES-070 - Tech Spec</t>
  </si>
  <si>
    <t>EDI006 - DES-030 - Tech Spec</t>
  </si>
  <si>
    <t>EDI007 - ANA-50 - Func Spec</t>
  </si>
  <si>
    <t>EDI007 - TAR-040 - Tech Spec</t>
  </si>
  <si>
    <t>EDI007 - TES-070 - Tech Spec</t>
  </si>
  <si>
    <t>EDI007 - DES-030 - Tech Spec</t>
  </si>
  <si>
    <t>FIN001 - ANA-50 - Func Spec</t>
  </si>
  <si>
    <t>FIN001 - TAR-040 - Tech Spec</t>
  </si>
  <si>
    <t>FIN001 - TES-070 - Tech Spec</t>
  </si>
  <si>
    <t>FIN001 - DES-030 - Tech Spec</t>
  </si>
  <si>
    <t>FIN002 - ANA-50 - Func Spec</t>
  </si>
  <si>
    <t>FIN002 - TAR-040 - Tech Spec</t>
  </si>
  <si>
    <t>FIN002 - TES-070 - Tech Spec</t>
  </si>
  <si>
    <t>FIN002 - DES-030 - Tech Spec</t>
  </si>
  <si>
    <t>FIN003 - ANA-50 - Func Spec</t>
  </si>
  <si>
    <t>FIN003 - TAR-040 - Tech Spec</t>
  </si>
  <si>
    <t>FIN003 - TES-070 - Tech Spec</t>
  </si>
  <si>
    <t>FIN003 - DES-030 - Tech Spec</t>
  </si>
  <si>
    <t>FIN004 - ANA-50 - Func Spec</t>
  </si>
  <si>
    <t>FIN004 - TAR-040 - Tech Spec</t>
  </si>
  <si>
    <t>FIN004 - TES-070 - Tech Spec</t>
  </si>
  <si>
    <t>FIN004 - DES-030 - Tech Spec</t>
  </si>
  <si>
    <t>WOR001</t>
  </si>
  <si>
    <t>WOR002</t>
  </si>
  <si>
    <t>CFO001 - ANA-50 - Func Spec</t>
  </si>
  <si>
    <t>CFO001 - TAR-040 - Tech Spec</t>
  </si>
  <si>
    <t>CFO001 - TES-070 - Tech Spec</t>
  </si>
  <si>
    <t>CFO001 - DES-030 - Tech Spec</t>
  </si>
  <si>
    <t>CFO002 - ANA-50 - Func Spec</t>
  </si>
  <si>
    <t>CFO002 - TAR-040 - Tech Spec</t>
  </si>
  <si>
    <t>CFO002 - TES-070 - Tech Spec</t>
  </si>
  <si>
    <t>CFO002 - DES-030 - Tech Spec</t>
  </si>
  <si>
    <t>CFO003 - ANA-50 - Func Spec</t>
  </si>
  <si>
    <t>CFO003 - TAR-040 - Tech Spec</t>
  </si>
  <si>
    <t>CFO003 - TES-070 - Tech Spec</t>
  </si>
  <si>
    <t>CFO003 - DES-030 - Tech Spec</t>
  </si>
  <si>
    <t>CFO004 - ANA-50 - Func Spec</t>
  </si>
  <si>
    <t>CFO004 - TAR-040 - Tech Spec</t>
  </si>
  <si>
    <t>CFO004 - TES-070 - Tech Spec</t>
  </si>
  <si>
    <t>CFO004 - DES-030 - Tech Spec</t>
  </si>
  <si>
    <t>CFO005 - ANA-50 - Func Spec</t>
  </si>
  <si>
    <t>CFO005 - TAR-040 - Tech Spec</t>
  </si>
  <si>
    <t>CFO005 - TES-070 - Tech Spec</t>
  </si>
  <si>
    <t>CFO005 - DES-030 - Tech Spec</t>
  </si>
  <si>
    <t>FED001 - ANA-50 - Func Spec</t>
  </si>
  <si>
    <t>FED001 - TAR-040 - Tech Spec</t>
  </si>
  <si>
    <t>FED001 - TES-070 - Tech Spec</t>
  </si>
  <si>
    <t>FED001 - DES-030 - Tech Spec</t>
  </si>
  <si>
    <t>FED002 - ANA-50 - Func Spec</t>
  </si>
  <si>
    <t>FED002 - TAR-040 - Tech Spec</t>
  </si>
  <si>
    <t>FED002 - TES-070 - Tech Spec</t>
  </si>
  <si>
    <t>FED002 - DES-030 - Tech Spec</t>
  </si>
  <si>
    <t>UPS001 - ANA-50 - Func Spec</t>
  </si>
  <si>
    <t>UPS001 - TAR-040 - Tech Spec</t>
  </si>
  <si>
    <t>UPS001 - TES-070 - Tech Spec</t>
  </si>
  <si>
    <t>UPS001 - DES-030 - Tech Spec</t>
  </si>
  <si>
    <t>UPS002 - ANA-50 - Func Spec</t>
  </si>
  <si>
    <t>UPS002 - TAR-040 - Tech Spec</t>
  </si>
  <si>
    <t>UPS002 - TES-070 - Tech Spec</t>
  </si>
  <si>
    <t>UPS002 - DES-030 - Tech Spec</t>
  </si>
  <si>
    <t>WOR001 - ANA-50 - Func Spec</t>
  </si>
  <si>
    <t>WOR001 - TAR-040 - Tech Spec</t>
  </si>
  <si>
    <t>WOR001 - TES-070 - Tech Spec</t>
  </si>
  <si>
    <t>WOR001 - DES-030 - Tech Spec</t>
  </si>
  <si>
    <t>WOR002 - ANA-50 - Func Spec</t>
  </si>
  <si>
    <t>WOR002 - TAR-040 - Tech Spec</t>
  </si>
  <si>
    <t>WOR002 - TES-070 - Tech Spec</t>
  </si>
  <si>
    <t>WOR002 - DES-030 - Tech Spec</t>
  </si>
  <si>
    <t>OPT001 - ANA-50 - Func Spec</t>
  </si>
  <si>
    <t>OPT001 - TAR-040 - Tech Spec</t>
  </si>
  <si>
    <t>OPT001 - TES-070 - Tech Spec</t>
  </si>
  <si>
    <t>OPT001 - DES-030 - Tech Spec</t>
  </si>
  <si>
    <t>OPT002 - ANA-50 - Func Spec</t>
  </si>
  <si>
    <t>OPT002 - TAR-040 - Tech Spec</t>
  </si>
  <si>
    <t>OPT002 - TES-070 - Tech Spec</t>
  </si>
  <si>
    <t>OPT002 - DES-030 - Tech Spec</t>
  </si>
  <si>
    <t>OPT003 - ANA-50 - Func Spec</t>
  </si>
  <si>
    <t>OPT003 - TAR-040 - Tech Spec</t>
  </si>
  <si>
    <t>OPT003 - TES-070 - Tech Spec</t>
  </si>
  <si>
    <t>OPT006 - ANA-50 - Func Spec</t>
  </si>
  <si>
    <t>OPT003 - DES-030 - Tech Spec</t>
  </si>
  <si>
    <t>OPT006 - TAR-040 - Tech Spec</t>
  </si>
  <si>
    <t>OPT006 - TES-070 - Tech Spec</t>
  </si>
  <si>
    <t>OPT004 - ANA-50 - Func Spec</t>
  </si>
  <si>
    <t>OPT006 - DES-030 - Tech Spec</t>
  </si>
  <si>
    <t>OPT004 - TAR-040 - Tech Spec</t>
  </si>
  <si>
    <t>OPT004 - TES-070 - Tech Spec</t>
  </si>
  <si>
    <t>OPT004 - DES-030 - Tech Spec</t>
  </si>
  <si>
    <t>OPT005 - ANA-50 - Func Spec</t>
  </si>
  <si>
    <t>OPT005 - TAR-040 - Tech Spec</t>
  </si>
  <si>
    <t>OPT005 - TES-070 - Tech Spec</t>
  </si>
  <si>
    <t>OPT005 - DES-030 - Tech Spec</t>
  </si>
  <si>
    <t>OPT006 - ANA-050 - Func Spec</t>
  </si>
  <si>
    <t>Phase</t>
  </si>
  <si>
    <t>Category</t>
  </si>
  <si>
    <t>Task</t>
  </si>
  <si>
    <t>Org</t>
  </si>
  <si>
    <t>Note</t>
  </si>
  <si>
    <t>Bank of America (AP)</t>
  </si>
  <si>
    <t>0 - Doc</t>
  </si>
  <si>
    <t>0 - ANA-050</t>
  </si>
  <si>
    <t>ANA-050 - Ready for Review</t>
  </si>
  <si>
    <t>I</t>
  </si>
  <si>
    <t>Carlo Alcazar</t>
  </si>
  <si>
    <t>*</t>
  </si>
  <si>
    <t>1 - ANA-050</t>
  </si>
  <si>
    <t>ANA-050 - Signoff</t>
  </si>
  <si>
    <t>B</t>
  </si>
  <si>
    <t>Kim Diorio</t>
  </si>
  <si>
    <t>Agreed approved in Meeting 9/23/2024</t>
  </si>
  <si>
    <t>2 - TAR-040</t>
  </si>
  <si>
    <t>TAR-040 - Ready for Review</t>
  </si>
  <si>
    <t>Isaiah Tolentino</t>
  </si>
  <si>
    <t>3 - TEST-070</t>
  </si>
  <si>
    <t>Unit Test Plan</t>
  </si>
  <si>
    <t>4- DOC COMPLETE</t>
  </si>
  <si>
    <t>In Progress</t>
  </si>
  <si>
    <t>1 - Dev</t>
  </si>
  <si>
    <t>Dev</t>
  </si>
  <si>
    <t>Header file for checks</t>
  </si>
  <si>
    <t>10/2 Wed - Martin on 9/30 9a call</t>
  </si>
  <si>
    <t>Detail file for checks</t>
  </si>
  <si>
    <t>Header file for ACH</t>
  </si>
  <si>
    <t>Detail file for ACH</t>
  </si>
  <si>
    <t>1 - Deb</t>
  </si>
  <si>
    <t>Send sample files to Barnes</t>
  </si>
  <si>
    <t>SSIS: Transfer files to Industrial JBA box for transmission (weekly)</t>
  </si>
  <si>
    <t>Await files</t>
  </si>
  <si>
    <t>Kevin Alexander</t>
  </si>
  <si>
    <t>2 - Test</t>
  </si>
  <si>
    <t>UAT</t>
  </si>
  <si>
    <t>UAT Ready</t>
  </si>
  <si>
    <t>On Track</t>
  </si>
  <si>
    <t>Dean Amo</t>
  </si>
  <si>
    <t>Unit Test 001</t>
  </si>
  <si>
    <t>Makes it to Barnes Industrial AS/400 - users are able to confirm the details</t>
  </si>
  <si>
    <t>Risk</t>
  </si>
  <si>
    <t>Unit Test 002</t>
  </si>
  <si>
    <t>Test transmission to bank has long lead time</t>
  </si>
  <si>
    <t>CenPOS</t>
  </si>
  <si>
    <t>Not Required</t>
  </si>
  <si>
    <t>TAR-040 Reviewed and approved</t>
  </si>
  <si>
    <t>Unit Test Plan - CenPOS - contact Hubert for M3 functional questions</t>
  </si>
  <si>
    <t>Overdue</t>
  </si>
  <si>
    <t>Amy Burgard</t>
  </si>
  <si>
    <t>*Meeting scheduled Thur 9/26</t>
  </si>
  <si>
    <t>Low</t>
  </si>
  <si>
    <t>Review test portal login</t>
  </si>
  <si>
    <t>Change service account from @infor.com to @asraymond.com</t>
  </si>
  <si>
    <t>Need a DL_CenPos_Administration@onebarnes.com</t>
  </si>
  <si>
    <t>Update  M3 CenPOS connector configuration after account change</t>
  </si>
  <si>
    <t>Hubert Santos</t>
  </si>
  <si>
    <t>Ready for testing</t>
  </si>
  <si>
    <t>Daniel Lindblad</t>
  </si>
  <si>
    <t>Charge customer order to test credit card</t>
  </si>
  <si>
    <t>Complete - Success</t>
  </si>
  <si>
    <t>Amy, Melissa</t>
  </si>
  <si>
    <t xml:space="preserve">Dennis Garrero, Rachelle </t>
  </si>
  <si>
    <t>9/30/2024 - New Due Date. 10/9/2024 latest due date from 9/26.</t>
  </si>
  <si>
    <t>ANA-050 - Sign off</t>
  </si>
  <si>
    <t>Await Dependancy</t>
  </si>
  <si>
    <t>Kim Diorio / Kevin Alexander</t>
  </si>
  <si>
    <t>Awaiting ANA-050</t>
  </si>
  <si>
    <t>Dean / Kim</t>
  </si>
  <si>
    <t>*Need output of open A/R report from M3  -Dennis tried on call, output not working</t>
  </si>
  <si>
    <t>4 - DOC COMPLETE</t>
  </si>
  <si>
    <t>00 - Doc Req</t>
  </si>
  <si>
    <t>Meeting for missing AR details</t>
  </si>
  <si>
    <t>T</t>
  </si>
  <si>
    <t>Dennis / Kevin</t>
  </si>
  <si>
    <t>Search 'Acc Re' in M3 for open A/R screens</t>
  </si>
  <si>
    <t>Modify DW Job, BGIDW_M3_ASR to include AR files</t>
  </si>
  <si>
    <t>Contact Cdoria - ensure test environment is ready</t>
  </si>
  <si>
    <t>Build ARCASH.TXT exoport</t>
  </si>
  <si>
    <t>Build ARCUST.TXT exoport</t>
  </si>
  <si>
    <t>Build AREXTI.TXT exoport</t>
  </si>
  <si>
    <t>Build ARMAST.TXT exoport</t>
  </si>
  <si>
    <t>Build ARTRAN.TXT exoport</t>
  </si>
  <si>
    <t>Dev - Enahnce</t>
  </si>
  <si>
    <t>Invoice PDF to archive folder</t>
  </si>
  <si>
    <t>Karin Fransson</t>
  </si>
  <si>
    <t xml:space="preserve">Transmit to Cforia </t>
  </si>
  <si>
    <t>Late</t>
  </si>
  <si>
    <t>Balance to M3 Open A/R report</t>
  </si>
  <si>
    <t>View in Cforia for missing details</t>
  </si>
  <si>
    <t>Concur - Invoice</t>
  </si>
  <si>
    <t>ANA-050 - Payments to M3 - Ready for Review</t>
  </si>
  <si>
    <t>Dennis Garrero</t>
  </si>
  <si>
    <t>ANA-050 - Reviewed and approved</t>
  </si>
  <si>
    <t>OUT:  Produce PO Header, Lines, Receipts, Vendor  files</t>
  </si>
  <si>
    <t>OUT: Ensure files ingest into Concur</t>
  </si>
  <si>
    <t>Sep-20 - Last import successful, turning on feed Monday (Sep-23) evening run</t>
  </si>
  <si>
    <t>Inbound - Matched Payments to XML BOD drop off</t>
  </si>
  <si>
    <t>DEV COMPLETE</t>
  </si>
  <si>
    <t>Enter POs in M3 - Compay 910</t>
  </si>
  <si>
    <t>Kyle Outhouse / Amy McGuire</t>
  </si>
  <si>
    <t>Receive POs in M3 - Compay 910</t>
  </si>
  <si>
    <t>Send files to Concur</t>
  </si>
  <si>
    <t>Input simulated vendor Invoice</t>
  </si>
  <si>
    <t>Receive matched payments</t>
  </si>
  <si>
    <t>Kim Diorio / Keven Alexander</t>
  </si>
  <si>
    <t>Matched payments to XML BOD in drop off location</t>
  </si>
  <si>
    <t>Verify Payments processed into M3</t>
  </si>
  <si>
    <t>Daniel ?</t>
  </si>
  <si>
    <t>Review Payables</t>
  </si>
  <si>
    <t>Daniel Tuller</t>
  </si>
  <si>
    <t>Unit  Test 001 COMPLETE</t>
  </si>
  <si>
    <t>Concur - Travel &amp; Expense</t>
  </si>
  <si>
    <t>Jesse Keech, Kim Diorio</t>
  </si>
  <si>
    <t xml:space="preserve">Review @9a </t>
  </si>
  <si>
    <t>Concur TAR-040</t>
  </si>
  <si>
    <t>Martin Bautista</t>
  </si>
  <si>
    <t>Schedule overview call with Infor/Finance</t>
  </si>
  <si>
    <t>Dean Amo [Dennis]</t>
  </si>
  <si>
    <t>GLS 840 - Can we use existing format or do we need new?</t>
  </si>
  <si>
    <t>Sample data with field explainations</t>
  </si>
  <si>
    <t>Import flat file into M3</t>
  </si>
  <si>
    <t>Run production expense through test integration</t>
  </si>
  <si>
    <t>Validate Process to post data to M3</t>
  </si>
  <si>
    <t>?</t>
  </si>
  <si>
    <t>FedEx</t>
  </si>
  <si>
    <t>Jack Adoline</t>
  </si>
  <si>
    <t>Jeff Finch</t>
  </si>
  <si>
    <t>Need sample shipments file XML from FedEx production</t>
  </si>
  <si>
    <t>Develop address pull query from data lake</t>
  </si>
  <si>
    <t>Configure address pull from M3</t>
  </si>
  <si>
    <t>Configure XML output and drop off location</t>
  </si>
  <si>
    <t>On Track - Issue</t>
  </si>
  <si>
    <t>Print pick list from M3 and scan in Ship Manager to pull address/FedEx account</t>
  </si>
  <si>
    <t>?? Process Owner ??</t>
  </si>
  <si>
    <t>Extract XML from shipment of order</t>
  </si>
  <si>
    <t>Load XML into M3 and verify information on order</t>
  </si>
  <si>
    <t xml:space="preserve">Daniel </t>
  </si>
  <si>
    <t>Cheska Acance</t>
  </si>
  <si>
    <t>Beth Wilkerson</t>
  </si>
  <si>
    <t>Approved 9/23/2024 via email</t>
  </si>
  <si>
    <t>OUT: Add price list extract to BGIDW_M3_ASR_Daily.dtsx</t>
  </si>
  <si>
    <t>OUT: Add inventory extract with gas charge logic</t>
  </si>
  <si>
    <t>OUT: Produce files from M3 company 910 and load to test</t>
  </si>
  <si>
    <t>Dean Amo, Jane Woytach</t>
  </si>
  <si>
    <t>IN: CenPOS integration - schedule CONSID meeting</t>
  </si>
  <si>
    <t>Dean Amo, Beth Wilkerson</t>
  </si>
  <si>
    <t>9/20 - Discussing requirements</t>
  </si>
  <si>
    <t>IN: CONSID - Update sales order file</t>
  </si>
  <si>
    <t>9/20 - Currently analyzing missing data (CC ref. identified)</t>
  </si>
  <si>
    <t>IN: Convert CSV to XML BOD</t>
  </si>
  <si>
    <t>IN: Verify ingestion of sales order BOD</t>
  </si>
  <si>
    <t>Contingency - May need to work with CONSID on data load</t>
  </si>
  <si>
    <t>Optimizely - Current State</t>
  </si>
  <si>
    <t>Optimizely - Order Auto.</t>
  </si>
  <si>
    <t>Review prices on test web site</t>
  </si>
  <si>
    <t>Review stock levels on test web site, check gas spring charge levels</t>
  </si>
  <si>
    <t>Credit card process</t>
  </si>
  <si>
    <t>Order placement from web to M3</t>
  </si>
  <si>
    <t>!</t>
  </si>
  <si>
    <t>Matcher file to CSV</t>
  </si>
  <si>
    <t xml:space="preserve">Open customer invoices </t>
  </si>
  <si>
    <t>EDI 820/823 - To SPS Commerce Project Plan</t>
  </si>
  <si>
    <t>**Dean - SPS - Replace Dan with Kim</t>
  </si>
  <si>
    <t>Bank test environment</t>
  </si>
  <si>
    <t>Torbjörn Sundbrandt</t>
  </si>
  <si>
    <t>Configure M3 to Salesforce connector</t>
  </si>
  <si>
    <t>Verify any open items agains ANA/TAR</t>
  </si>
  <si>
    <t>Dean, Torborjn, Martin</t>
  </si>
  <si>
    <t>M3 Items to Salesforce products</t>
  </si>
  <si>
    <t>M3 Pricing to Salesforce</t>
  </si>
  <si>
    <t>SPS Commerce - EDI</t>
  </si>
  <si>
    <t>ANA-050 - EDI 810 - Reviewed and approved</t>
  </si>
  <si>
    <t>ANA-050 - EDI 850 - Reviewed and approved</t>
  </si>
  <si>
    <t>ANA-050 - EDI 855 - Reviewed and approved</t>
  </si>
  <si>
    <t>ANA-050 - EDI 856 - Reviewed and approved</t>
  </si>
  <si>
    <t>Melissa Byron</t>
  </si>
  <si>
    <t>ANA-050 - EDI 830-862 - Reviewed and approved</t>
  </si>
  <si>
    <t>*Sep-20 - Verify Owner</t>
  </si>
  <si>
    <t>To SPS Commerce project plan</t>
  </si>
  <si>
    <t>Courtney Pribyl, Cheska</t>
  </si>
  <si>
    <t>https://spscommerce.sharepoint.com/sites/EnterpriseImplementationProjectManagement/Courtney%20Pribyl/Associated%20Spring%20Raymond%20Scope%20%26%20Timeline.xlsx?e=4%3atA8y89&amp;web=1&amp;at=9___.YXAzOmJnaW5jOmE6bzo2NjMxMWFkNjA0OTZjYmQ2N2VhOTBjMzJmNjMwZDIxOTo2OjRkMjU6NGFlODQ3NjU5ZjMzOWJiYzg4OGQ2MzJkZGQ3ODA3MmM5NjgyM2I3MTUwM2QwYjBiNTBiYTJjZjA5YTUzYjkyNDpoOlQ6Tg</t>
  </si>
  <si>
    <t>Missing documents focus</t>
  </si>
  <si>
    <t>Jeff Finch, Rich Ostry, Melissa</t>
  </si>
  <si>
    <t>UAT Phase 1 Ready: PACCAR, Granger, Caterpillar, PNC</t>
  </si>
  <si>
    <t>Keith Sims</t>
  </si>
  <si>
    <t>UAT Phase 2 Ready: All EDI</t>
  </si>
  <si>
    <t>&lt;Shipping / Warehouse&gt;</t>
  </si>
  <si>
    <t>Awaiting network connectivity - CHG</t>
  </si>
  <si>
    <t>View transactions on CenPOS portal [Needed?]</t>
  </si>
  <si>
    <t>Dev Owner</t>
  </si>
  <si>
    <t>Next Action Due</t>
  </si>
  <si>
    <t>10/2 - Isiah to deliver 4 files on: ACH header/detail, check header/detail</t>
  </si>
  <si>
    <t>10/9 - ANA-050. 10/25 - Kevin - Balance extracts to M3 Open A/R</t>
  </si>
  <si>
    <t>9/27 - Dean/Kim/Jesse - Ticket open with Concur, waiting for resource to be assigned. Data not loading under policy.</t>
  </si>
  <si>
    <t>9/27 - ANA to be reviewed 9/30 - that could get us back on track. Need to understand schedule.</t>
  </si>
  <si>
    <t>9/27 - FedEx not filling. A. Need production review, B. Call FedEx Support, C. Try another machine.</t>
  </si>
  <si>
    <t>Need matcher file - higher priorty than ANA</t>
  </si>
  <si>
    <t>9/27 - Keith Assessing</t>
  </si>
  <si>
    <t>9/27 - Not clear how scanning works</t>
  </si>
  <si>
    <t>Sales/Customer Service</t>
  </si>
  <si>
    <t>Shipping/Warehouse</t>
  </si>
  <si>
    <t>XML delivered 9/23</t>
  </si>
  <si>
    <t>Owner/Interface</t>
  </si>
  <si>
    <t xml:space="preserve">9/30/2024 - New Due Date </t>
  </si>
  <si>
    <t>Sub Category</t>
  </si>
  <si>
    <t>Days</t>
  </si>
  <si>
    <t>Days to complete Integration</t>
  </si>
  <si>
    <t>Deploy</t>
  </si>
  <si>
    <t>New Interface</t>
  </si>
  <si>
    <t>N-New Interface</t>
  </si>
  <si>
    <t>TST</t>
  </si>
  <si>
    <t>TRN</t>
  </si>
  <si>
    <t>PRD</t>
  </si>
  <si>
    <t>Solution Unknown</t>
  </si>
  <si>
    <t>Research</t>
  </si>
  <si>
    <t>Infor Standard Integration (OOB)</t>
  </si>
  <si>
    <t>Integration Approved for Deployment</t>
  </si>
  <si>
    <t>Functional Testing</t>
  </si>
  <si>
    <t>Break/Fix/Retest</t>
  </si>
  <si>
    <t>Approved/Complete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</si>
</sst>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yy;@"/>
    <numFmt numFmtId="166" formatCode="[$-409]d\-mmm;@"/>
  </numFmts>
  <fonts count="15"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color rgb="FF000000"/>
      <name val="Calibri"/>
      <family val="2"/>
    </font>
    <font>
      <sz val="11"/>
      <color rgb="FF000000"/>
      <name val="Calibri"/>
      <family val="2"/>
      <scheme val="minor"/>
    </font>
    <font>
      <strike/>
      <sz val="11"/>
      <color theme="1"/>
      <name val="Calibri"/>
      <family val="2"/>
      <scheme val="minor"/>
    </font>
    <font>
      <strike/>
      <sz val="11"/>
      <color rgb="FF000000"/>
      <name val="Aptos"/>
      <family val="2"/>
      <charset val="1"/>
    </font>
    <font>
      <strike/>
      <sz val="11"/>
      <color rgb="FF000000"/>
      <name val="Calibri"/>
      <family val="2"/>
      <scheme val="minor"/>
    </font>
    <font>
      <sz val="11"/>
      <name val="Calibri"/>
      <family val="2"/>
      <scheme val="minor"/>
    </font>
    <font>
      <u/>
      <sz val="11"/>
      <color theme="10"/>
      <name val="Calibri"/>
      <family val="2"/>
      <scheme val="minor"/>
    </font>
    <font>
      <b/>
      <sz val="11"/>
      <color theme="0"/>
      <name val="Calibri"/>
      <family val="2"/>
      <scheme val="minor"/>
    </font>
    <font>
      <b/>
      <sz val="10"/>
      <name val="Arial"/>
      <family val="2"/>
    </font>
    <font>
      <b/>
      <sz val="11"/>
      <name val="Calibri"/>
      <family val="2"/>
      <scheme val="minor"/>
    </font>
    <font>
      <sz val="11"/>
      <color rgb="FF444444"/>
      <name val="Aptos Narrow"/>
      <family val="2"/>
    </font>
  </fonts>
  <fills count="21">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7C80"/>
        <bgColor indexed="64"/>
      </patternFill>
    </fill>
    <fill>
      <patternFill patternType="solid">
        <fgColor rgb="FF000099"/>
        <bgColor indexed="64"/>
      </patternFill>
    </fill>
    <fill>
      <patternFill patternType="solid">
        <fgColor theme="7" tint="-0.499984740745262"/>
        <bgColor indexed="64"/>
      </patternFill>
    </fill>
    <fill>
      <patternFill patternType="solid">
        <fgColor theme="2"/>
        <bgColor indexed="64"/>
      </patternFill>
    </fill>
    <fill>
      <patternFill patternType="solid">
        <fgColor rgb="FFFFC000"/>
        <bgColor indexed="64"/>
      </patternFill>
    </fill>
    <fill>
      <patternFill patternType="solid">
        <fgColor rgb="FF92D050"/>
        <bgColor indexed="64"/>
      </patternFill>
    </fill>
    <fill>
      <patternFill patternType="solid">
        <fgColor rgb="FFCCFFCC"/>
        <bgColor indexed="64"/>
      </patternFill>
    </fill>
    <fill>
      <patternFill patternType="solid">
        <fgColor rgb="FFFFCCFF"/>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rgb="FF7030A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0" tint="-0.14999847407452621"/>
        <bgColor theme="0" tint="-0.14999847407452621"/>
      </patternFill>
    </fill>
    <fill>
      <patternFill patternType="solid">
        <fgColor theme="7"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auto="1"/>
      </left>
      <right style="medium">
        <color auto="1"/>
      </right>
      <top/>
      <bottom/>
      <diagonal/>
    </border>
    <border>
      <left style="medium">
        <color auto="1"/>
      </left>
      <right style="medium">
        <color auto="1"/>
      </right>
      <top style="thick">
        <color auto="1"/>
      </top>
      <bottom style="thick">
        <color auto="1"/>
      </bottom>
      <diagonal/>
    </border>
    <border>
      <left style="medium">
        <color auto="1"/>
      </left>
      <right style="medium">
        <color auto="1"/>
      </right>
      <top style="thin">
        <color theme="0" tint="-0.24994659260841701"/>
      </top>
      <bottom style="thin">
        <color theme="0" tint="-0.24994659260841701"/>
      </bottom>
      <diagonal/>
    </border>
    <border>
      <left style="medium">
        <color auto="1"/>
      </left>
      <right style="medium">
        <color auto="1"/>
      </right>
      <top/>
      <bottom style="thin">
        <color theme="0" tint="-0.24994659260841701"/>
      </bottom>
      <diagonal/>
    </border>
    <border>
      <left style="thin">
        <color auto="1"/>
      </left>
      <right style="thin">
        <color auto="1"/>
      </right>
      <top style="thin">
        <color auto="1"/>
      </top>
      <bottom style="thin">
        <color auto="1"/>
      </bottom>
      <diagonal/>
    </border>
    <border>
      <left style="medium">
        <color auto="1"/>
      </left>
      <right/>
      <top style="thin">
        <color theme="0" tint="-0.24994659260841701"/>
      </top>
      <bottom style="thin">
        <color theme="0" tint="-0.24994659260841701"/>
      </bottom>
      <diagonal/>
    </border>
    <border>
      <left style="medium">
        <color auto="1"/>
      </left>
      <right/>
      <top/>
      <bottom/>
      <diagonal/>
    </border>
    <border>
      <left/>
      <right style="medium">
        <color auto="1"/>
      </right>
      <top style="thin">
        <color theme="0" tint="-0.24994659260841701"/>
      </top>
      <bottom style="thin">
        <color theme="0" tint="-0.24994659260841701"/>
      </bottom>
      <diagonal/>
    </border>
    <border>
      <left style="medium">
        <color auto="1"/>
      </left>
      <right style="medium">
        <color auto="1"/>
      </right>
      <top style="thin">
        <color theme="0" tint="-0.24994659260841701"/>
      </top>
      <bottom/>
      <diagonal/>
    </border>
  </borders>
  <cellStyleXfs count="2">
    <xf numFmtId="0" fontId="0" fillId="0" borderId="0"/>
    <xf numFmtId="0" fontId="10" fillId="0" borderId="0" applyNumberFormat="0" applyFill="0" applyBorder="0" applyAlignment="0" applyProtection="0"/>
  </cellStyleXfs>
  <cellXfs count="160">
    <xf numFmtId="0" fontId="0" fillId="0" borderId="0" xfId="0"/>
    <xf numFmtId="0" fontId="0" fillId="0" borderId="0" xfId="0" quotePrefix="1"/>
    <xf numFmtId="0" fontId="0" fillId="0" borderId="0" xfId="0" applyAlignment="1">
      <alignment horizontal="left" indent="1"/>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14" fontId="3" fillId="0" borderId="0" xfId="0" applyNumberFormat="1" applyFont="1" applyAlignment="1">
      <alignment vertical="center"/>
    </xf>
    <xf numFmtId="0" fontId="5" fillId="0" borderId="0" xfId="0" applyFont="1"/>
    <xf numFmtId="0" fontId="0" fillId="0" borderId="0" xfId="0" applyAlignment="1">
      <alignment horizontal="center"/>
    </xf>
    <xf numFmtId="16" fontId="0" fillId="4" borderId="1" xfId="0" applyNumberFormat="1" applyFill="1" applyBorder="1" applyAlignment="1">
      <alignment horizontal="center"/>
    </xf>
    <xf numFmtId="0" fontId="1" fillId="4" borderId="2" xfId="0" applyFont="1" applyFill="1" applyBorder="1" applyAlignment="1">
      <alignment horizontal="center" wrapText="1"/>
    </xf>
    <xf numFmtId="14" fontId="0" fillId="0" borderId="0" xfId="0" applyNumberFormat="1" applyAlignment="1">
      <alignment vertical="center" wrapText="1"/>
    </xf>
    <xf numFmtId="0" fontId="5" fillId="0" borderId="0" xfId="0" applyFont="1" applyAlignment="1">
      <alignment vertical="center" wrapText="1"/>
    </xf>
    <xf numFmtId="0" fontId="0" fillId="4" borderId="1" xfId="0" applyFill="1" applyBorder="1" applyAlignment="1">
      <alignment wrapText="1"/>
    </xf>
    <xf numFmtId="0" fontId="1" fillId="4" borderId="2" xfId="0" applyFont="1" applyFill="1" applyBorder="1" applyAlignment="1">
      <alignment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horizontal="center" vertical="center"/>
    </xf>
    <xf numFmtId="0" fontId="0" fillId="0" borderId="0" xfId="0" applyAlignment="1">
      <alignment horizontal="left"/>
    </xf>
    <xf numFmtId="0" fontId="0" fillId="2" borderId="1" xfId="0" applyFill="1" applyBorder="1" applyAlignment="1">
      <alignment vertical="center" wrapText="1"/>
    </xf>
    <xf numFmtId="0" fontId="1" fillId="4" borderId="1" xfId="0" applyFont="1" applyFill="1" applyBorder="1" applyAlignment="1">
      <alignment wrapText="1"/>
    </xf>
    <xf numFmtId="0" fontId="9" fillId="2" borderId="1" xfId="0" applyFont="1" applyFill="1" applyBorder="1" applyAlignment="1">
      <alignment vertical="center" wrapText="1"/>
    </xf>
    <xf numFmtId="0" fontId="0" fillId="5" borderId="1" xfId="0" applyFill="1" applyBorder="1" applyAlignment="1">
      <alignment horizontal="center" vertical="center"/>
    </xf>
    <xf numFmtId="0" fontId="0" fillId="0" borderId="1" xfId="0" applyBorder="1" applyAlignment="1">
      <alignment horizontal="center" vertical="center" wrapText="1"/>
    </xf>
    <xf numFmtId="0" fontId="0" fillId="0" borderId="0" xfId="0" pivotButton="1"/>
    <xf numFmtId="0" fontId="11" fillId="6" borderId="4" xfId="0" applyFont="1" applyFill="1" applyBorder="1" applyAlignment="1">
      <alignment vertical="center" wrapText="1"/>
    </xf>
    <xf numFmtId="0" fontId="0" fillId="0" borderId="5" xfId="0" applyBorder="1" applyAlignment="1">
      <alignment vertical="center" wrapText="1"/>
    </xf>
    <xf numFmtId="0" fontId="0" fillId="0" borderId="6" xfId="0" applyBorder="1" applyAlignment="1">
      <alignment vertical="top"/>
    </xf>
    <xf numFmtId="0" fontId="0" fillId="0" borderId="6" xfId="0" applyBorder="1" applyAlignment="1">
      <alignment vertical="top" wrapText="1"/>
    </xf>
    <xf numFmtId="165" fontId="0" fillId="0" borderId="6" xfId="0" applyNumberFormat="1" applyBorder="1" applyAlignment="1">
      <alignment vertical="top" wrapText="1"/>
    </xf>
    <xf numFmtId="165" fontId="0" fillId="0" borderId="6" xfId="0" applyNumberFormat="1" applyBorder="1" applyAlignment="1">
      <alignment vertical="top"/>
    </xf>
    <xf numFmtId="0" fontId="0" fillId="0" borderId="5" xfId="0" applyBorder="1" applyAlignment="1">
      <alignment vertical="top"/>
    </xf>
    <xf numFmtId="0" fontId="0" fillId="0" borderId="3" xfId="0" applyBorder="1" applyAlignment="1">
      <alignment vertical="top"/>
    </xf>
    <xf numFmtId="0" fontId="0" fillId="0" borderId="3" xfId="0" applyBorder="1" applyAlignment="1">
      <alignment vertical="top" wrapText="1"/>
    </xf>
    <xf numFmtId="0" fontId="0" fillId="0" borderId="5" xfId="0" applyBorder="1" applyAlignment="1">
      <alignment vertical="top" wrapText="1"/>
    </xf>
    <xf numFmtId="165" fontId="0" fillId="0" borderId="5" xfId="0" applyNumberFormat="1" applyBorder="1" applyAlignment="1">
      <alignment vertical="top" wrapText="1"/>
    </xf>
    <xf numFmtId="164" fontId="0" fillId="0" borderId="5" xfId="0" applyNumberFormat="1" applyBorder="1" applyAlignment="1">
      <alignment vertical="top" wrapText="1"/>
    </xf>
    <xf numFmtId="0" fontId="5" fillId="0" borderId="5" xfId="0" applyFont="1" applyBorder="1" applyAlignment="1">
      <alignment vertical="top"/>
    </xf>
    <xf numFmtId="0" fontId="11" fillId="7" borderId="4" xfId="0" applyFont="1" applyFill="1" applyBorder="1" applyAlignment="1">
      <alignment vertical="center" wrapText="1"/>
    </xf>
    <xf numFmtId="0" fontId="1" fillId="3" borderId="4" xfId="0" applyFont="1" applyFill="1" applyBorder="1" applyAlignment="1">
      <alignment vertical="center" wrapText="1"/>
    </xf>
    <xf numFmtId="0" fontId="1" fillId="4" borderId="4" xfId="0" applyFont="1" applyFill="1" applyBorder="1" applyAlignment="1">
      <alignment vertical="center" wrapText="1"/>
    </xf>
    <xf numFmtId="0" fontId="0" fillId="0" borderId="5" xfId="0" applyBorder="1" applyAlignment="1">
      <alignment horizontal="left" vertical="top" wrapText="1"/>
    </xf>
    <xf numFmtId="0" fontId="0" fillId="8" borderId="5" xfId="0" applyFill="1" applyBorder="1" applyAlignment="1">
      <alignment horizontal="left" vertical="top" wrapText="1"/>
    </xf>
    <xf numFmtId="165" fontId="0" fillId="8" borderId="5" xfId="0" applyNumberFormat="1" applyFill="1" applyBorder="1" applyAlignment="1">
      <alignment horizontal="left" vertical="top" wrapText="1"/>
    </xf>
    <xf numFmtId="0" fontId="0" fillId="8" borderId="5" xfId="0" applyFill="1" applyBorder="1" applyAlignment="1">
      <alignment vertical="top" wrapText="1"/>
    </xf>
    <xf numFmtId="0" fontId="0" fillId="8" borderId="5" xfId="0" applyFill="1" applyBorder="1" applyAlignment="1">
      <alignment vertical="top"/>
    </xf>
    <xf numFmtId="0" fontId="0" fillId="0" borderId="5" xfId="0" applyBorder="1" applyAlignment="1">
      <alignment vertical="center"/>
    </xf>
    <xf numFmtId="0" fontId="0" fillId="8" borderId="3" xfId="0" applyFill="1" applyBorder="1" applyAlignment="1">
      <alignment vertical="top"/>
    </xf>
    <xf numFmtId="0" fontId="6" fillId="8" borderId="3" xfId="0" applyFont="1" applyFill="1" applyBorder="1" applyAlignment="1">
      <alignment vertical="top"/>
    </xf>
    <xf numFmtId="164" fontId="6" fillId="8" borderId="3" xfId="0" applyNumberFormat="1" applyFont="1" applyFill="1" applyBorder="1" applyAlignment="1">
      <alignment vertical="top"/>
    </xf>
    <xf numFmtId="0" fontId="8" fillId="8" borderId="3" xfId="0" applyFont="1" applyFill="1" applyBorder="1" applyAlignment="1">
      <alignment vertical="top" wrapText="1"/>
    </xf>
    <xf numFmtId="0" fontId="7" fillId="8" borderId="3" xfId="0" applyFont="1" applyFill="1" applyBorder="1" applyAlignment="1">
      <alignment vertical="top"/>
    </xf>
    <xf numFmtId="0" fontId="1" fillId="9" borderId="4" xfId="0" applyFont="1" applyFill="1" applyBorder="1" applyAlignment="1">
      <alignment vertical="center" wrapText="1"/>
    </xf>
    <xf numFmtId="0" fontId="1" fillId="10" borderId="4" xfId="0" applyFont="1" applyFill="1" applyBorder="1" applyAlignment="1">
      <alignment vertical="center" wrapText="1"/>
    </xf>
    <xf numFmtId="0" fontId="0" fillId="0" borderId="0" xfId="0" applyAlignment="1">
      <alignment horizontal="left" indent="2"/>
    </xf>
    <xf numFmtId="165" fontId="0" fillId="11" borderId="1" xfId="0" applyNumberFormat="1" applyFill="1" applyBorder="1" applyAlignment="1">
      <alignment horizontal="left" vertical="top" wrapText="1"/>
    </xf>
    <xf numFmtId="0" fontId="0" fillId="8" borderId="1" xfId="0" applyFill="1" applyBorder="1" applyAlignment="1">
      <alignment horizontal="left" vertical="top" wrapText="1"/>
    </xf>
    <xf numFmtId="165" fontId="0" fillId="8" borderId="1" xfId="0" applyNumberFormat="1" applyFill="1" applyBorder="1" applyAlignment="1">
      <alignment horizontal="left" vertical="top" wrapText="1"/>
    </xf>
    <xf numFmtId="0" fontId="0" fillId="0" borderId="1" xfId="0" applyBorder="1" applyAlignment="1">
      <alignment vertical="top"/>
    </xf>
    <xf numFmtId="0" fontId="0" fillId="11" borderId="1" xfId="0" applyFill="1" applyBorder="1" applyAlignment="1">
      <alignment vertical="top"/>
    </xf>
    <xf numFmtId="0" fontId="0" fillId="8" borderId="8" xfId="0" applyFill="1" applyBorder="1" applyAlignment="1">
      <alignment horizontal="left" vertical="top" wrapText="1"/>
    </xf>
    <xf numFmtId="0" fontId="0" fillId="0" borderId="9" xfId="0" applyBorder="1" applyAlignment="1">
      <alignment vertical="top"/>
    </xf>
    <xf numFmtId="165" fontId="0" fillId="0" borderId="10" xfId="0" applyNumberFormat="1" applyBorder="1" applyAlignment="1">
      <alignment horizontal="left" vertical="top" wrapText="1"/>
    </xf>
    <xf numFmtId="165" fontId="0" fillId="8" borderId="10" xfId="0" applyNumberFormat="1" applyFill="1" applyBorder="1" applyAlignment="1">
      <alignment horizontal="left" vertical="top" wrapText="1"/>
    </xf>
    <xf numFmtId="165" fontId="0" fillId="0" borderId="3" xfId="0" applyNumberFormat="1" applyBorder="1" applyAlignment="1">
      <alignment vertical="top" wrapText="1"/>
    </xf>
    <xf numFmtId="165" fontId="1" fillId="12" borderId="4" xfId="0" applyNumberFormat="1" applyFont="1" applyFill="1" applyBorder="1" applyAlignment="1">
      <alignment vertical="center" wrapText="1"/>
    </xf>
    <xf numFmtId="165" fontId="1" fillId="9" borderId="4" xfId="0" applyNumberFormat="1" applyFont="1" applyFill="1" applyBorder="1" applyAlignment="1">
      <alignment vertical="center" wrapText="1"/>
    </xf>
    <xf numFmtId="165" fontId="1" fillId="10" borderId="4" xfId="0" applyNumberFormat="1" applyFont="1" applyFill="1" applyBorder="1" applyAlignment="1">
      <alignment vertical="center" wrapText="1"/>
    </xf>
    <xf numFmtId="165" fontId="11" fillId="7" borderId="4" xfId="0" applyNumberFormat="1" applyFont="1" applyFill="1" applyBorder="1" applyAlignment="1">
      <alignment vertical="center" wrapText="1"/>
    </xf>
    <xf numFmtId="0" fontId="0" fillId="0" borderId="0" xfId="0" pivotButton="1" applyAlignment="1">
      <alignment wrapText="1"/>
    </xf>
    <xf numFmtId="165" fontId="11" fillId="13" borderId="4" xfId="0" applyNumberFormat="1" applyFont="1" applyFill="1" applyBorder="1" applyAlignment="1">
      <alignment vertical="center" wrapText="1"/>
    </xf>
    <xf numFmtId="0" fontId="6" fillId="0" borderId="3" xfId="0" applyFont="1" applyBorder="1" applyAlignment="1">
      <alignment vertical="top"/>
    </xf>
    <xf numFmtId="0" fontId="0" fillId="0" borderId="3" xfId="0" applyBorder="1" applyAlignment="1">
      <alignment horizontal="center" vertical="top"/>
    </xf>
    <xf numFmtId="0" fontId="6" fillId="8" borderId="3" xfId="0" applyFont="1" applyFill="1" applyBorder="1" applyAlignment="1">
      <alignment horizontal="center" vertical="top"/>
    </xf>
    <xf numFmtId="0" fontId="0" fillId="0" borderId="5" xfId="0" applyBorder="1" applyAlignment="1">
      <alignment horizontal="center" vertical="top" wrapText="1"/>
    </xf>
    <xf numFmtId="0" fontId="0" fillId="8" borderId="5" xfId="0" applyFill="1" applyBorder="1" applyAlignment="1">
      <alignment horizontal="center" vertical="top" wrapText="1"/>
    </xf>
    <xf numFmtId="0" fontId="13" fillId="14" borderId="4" xfId="0" applyFont="1" applyFill="1" applyBorder="1" applyAlignment="1">
      <alignment horizontal="center" vertical="center" wrapText="1"/>
    </xf>
    <xf numFmtId="0" fontId="0" fillId="0" borderId="6" xfId="0" applyBorder="1" applyAlignment="1">
      <alignment horizontal="center" vertical="top" wrapText="1"/>
    </xf>
    <xf numFmtId="0" fontId="0" fillId="0" borderId="0" xfId="0" applyAlignment="1">
      <alignment horizontal="center" wrapText="1"/>
    </xf>
    <xf numFmtId="14" fontId="0" fillId="0" borderId="6" xfId="0" applyNumberFormat="1" applyBorder="1" applyAlignment="1">
      <alignment horizontal="center" vertical="top" wrapText="1"/>
    </xf>
    <xf numFmtId="0" fontId="11" fillId="15" borderId="4" xfId="0" applyFont="1" applyFill="1" applyBorder="1" applyAlignment="1">
      <alignment vertical="center" wrapText="1"/>
    </xf>
    <xf numFmtId="0" fontId="0" fillId="12" borderId="5" xfId="0" applyFill="1" applyBorder="1" applyAlignment="1">
      <alignment horizontal="center" vertical="top" wrapText="1"/>
    </xf>
    <xf numFmtId="0" fontId="11" fillId="16" borderId="4" xfId="0" applyFont="1" applyFill="1" applyBorder="1" applyAlignment="1">
      <alignment horizontal="center" vertical="center" wrapText="1"/>
    </xf>
    <xf numFmtId="0" fontId="0" fillId="11" borderId="5" xfId="0" applyFill="1" applyBorder="1" applyAlignment="1">
      <alignment vertical="top"/>
    </xf>
    <xf numFmtId="0" fontId="0" fillId="11" borderId="3" xfId="0" applyFill="1" applyBorder="1" applyAlignment="1">
      <alignment vertical="top"/>
    </xf>
    <xf numFmtId="0" fontId="0" fillId="12" borderId="6" xfId="0" applyFill="1" applyBorder="1" applyAlignment="1">
      <alignment horizontal="center" vertical="top" wrapText="1"/>
    </xf>
    <xf numFmtId="0" fontId="0" fillId="11" borderId="5" xfId="0" applyFill="1" applyBorder="1" applyAlignment="1">
      <alignment horizontal="left" vertical="top" wrapText="1"/>
    </xf>
    <xf numFmtId="0" fontId="12" fillId="0" borderId="7" xfId="0" applyFont="1" applyBorder="1" applyAlignment="1">
      <alignment horizontal="center" wrapText="1"/>
    </xf>
    <xf numFmtId="0" fontId="12" fillId="0" borderId="0" xfId="0" applyFont="1" applyAlignment="1">
      <alignment horizontal="center" wrapText="1"/>
    </xf>
    <xf numFmtId="0" fontId="5" fillId="0" borderId="0" xfId="0" applyFont="1" applyAlignment="1">
      <alignment vertical="center"/>
    </xf>
    <xf numFmtId="14" fontId="0" fillId="0" borderId="0" xfId="0" applyNumberFormat="1"/>
    <xf numFmtId="0" fontId="0" fillId="0" borderId="8" xfId="0" applyBorder="1" applyAlignment="1">
      <alignment vertical="top" wrapText="1"/>
    </xf>
    <xf numFmtId="0" fontId="0" fillId="0" borderId="10" xfId="0" applyBorder="1" applyAlignment="1">
      <alignment vertical="top"/>
    </xf>
    <xf numFmtId="0" fontId="0" fillId="8" borderId="11" xfId="0" applyFill="1" applyBorder="1" applyAlignment="1">
      <alignment vertical="top" wrapText="1"/>
    </xf>
    <xf numFmtId="0" fontId="0" fillId="0" borderId="3" xfId="0" applyBorder="1" applyAlignment="1">
      <alignment horizontal="left" vertical="top" wrapText="1"/>
    </xf>
    <xf numFmtId="0" fontId="0" fillId="11" borderId="6" xfId="0" applyFill="1" applyBorder="1" applyAlignment="1">
      <alignment horizontal="left" vertical="top" wrapText="1"/>
    </xf>
    <xf numFmtId="0" fontId="0" fillId="0" borderId="5" xfId="0" applyBorder="1" applyAlignment="1">
      <alignment horizontal="center" vertical="top"/>
    </xf>
    <xf numFmtId="0" fontId="0" fillId="0" borderId="3" xfId="0" applyBorder="1" applyAlignment="1">
      <alignment horizontal="center" vertical="top" wrapText="1"/>
    </xf>
    <xf numFmtId="0" fontId="0" fillId="0" borderId="8" xfId="0" applyBorder="1" applyAlignment="1">
      <alignment vertical="top"/>
    </xf>
    <xf numFmtId="0" fontId="0" fillId="0" borderId="6" xfId="0" applyBorder="1" applyAlignment="1">
      <alignment horizontal="left" vertical="top" wrapText="1"/>
    </xf>
    <xf numFmtId="165" fontId="0" fillId="11" borderId="5" xfId="0" applyNumberFormat="1" applyFill="1" applyBorder="1" applyAlignment="1">
      <alignment horizontal="left" vertical="top" wrapText="1"/>
    </xf>
    <xf numFmtId="165" fontId="0" fillId="0" borderId="1" xfId="0" applyNumberFormat="1" applyBorder="1" applyAlignment="1">
      <alignment vertical="top" wrapText="1"/>
    </xf>
    <xf numFmtId="165" fontId="0" fillId="0" borderId="5" xfId="0" applyNumberFormat="1" applyBorder="1" applyAlignment="1">
      <alignment horizontal="left" vertical="top" wrapText="1"/>
    </xf>
    <xf numFmtId="165" fontId="0" fillId="11" borderId="6" xfId="0" applyNumberFormat="1" applyFill="1" applyBorder="1" applyAlignment="1">
      <alignment horizontal="left" vertical="top" wrapText="1"/>
    </xf>
    <xf numFmtId="165" fontId="0" fillId="11" borderId="3" xfId="0" applyNumberFormat="1" applyFill="1" applyBorder="1" applyAlignment="1">
      <alignment horizontal="left" vertical="top" wrapText="1"/>
    </xf>
    <xf numFmtId="165" fontId="0" fillId="0" borderId="1" xfId="0" applyNumberFormat="1" applyBorder="1" applyAlignment="1">
      <alignment vertical="top"/>
    </xf>
    <xf numFmtId="165" fontId="0" fillId="0" borderId="10" xfId="0" applyNumberFormat="1" applyBorder="1" applyAlignment="1">
      <alignment vertical="top"/>
    </xf>
    <xf numFmtId="165" fontId="0" fillId="0" borderId="3" xfId="0" applyNumberFormat="1" applyBorder="1" applyAlignment="1">
      <alignment horizontal="left" vertical="top" wrapText="1"/>
    </xf>
    <xf numFmtId="0" fontId="0" fillId="8" borderId="6" xfId="0" applyFill="1" applyBorder="1" applyAlignment="1">
      <alignment horizontal="left" vertical="top" wrapText="1"/>
    </xf>
    <xf numFmtId="0" fontId="10" fillId="0" borderId="5" xfId="1" applyFill="1" applyBorder="1" applyAlignment="1">
      <alignment vertical="top"/>
    </xf>
    <xf numFmtId="0" fontId="0" fillId="0" borderId="6" xfId="0" applyBorder="1" applyAlignment="1">
      <alignment wrapText="1"/>
    </xf>
    <xf numFmtId="0" fontId="5" fillId="0" borderId="3" xfId="0" applyFont="1" applyBorder="1" applyAlignment="1">
      <alignment vertical="top"/>
    </xf>
    <xf numFmtId="0" fontId="0" fillId="12" borderId="3" xfId="0" applyFill="1" applyBorder="1" applyAlignment="1">
      <alignment horizontal="center" vertical="top" wrapText="1"/>
    </xf>
    <xf numFmtId="0" fontId="0" fillId="11" borderId="3" xfId="0" applyFill="1" applyBorder="1" applyAlignment="1">
      <alignment horizontal="left" vertical="top" wrapText="1"/>
    </xf>
    <xf numFmtId="0" fontId="0" fillId="0" borderId="11" xfId="0" applyBorder="1" applyAlignment="1">
      <alignment vertical="top"/>
    </xf>
    <xf numFmtId="165" fontId="0" fillId="0" borderId="3" xfId="0" applyNumberFormat="1" applyBorder="1" applyAlignment="1">
      <alignment vertical="top"/>
    </xf>
    <xf numFmtId="0" fontId="0" fillId="8" borderId="3" xfId="0" applyFill="1" applyBorder="1" applyAlignment="1">
      <alignment horizontal="left" vertical="top" wrapText="1"/>
    </xf>
    <xf numFmtId="0" fontId="0" fillId="17" borderId="3" xfId="0" applyFill="1" applyBorder="1" applyAlignment="1">
      <alignment horizontal="left" vertical="top" wrapText="1"/>
    </xf>
    <xf numFmtId="0" fontId="4" fillId="0" borderId="3" xfId="0" applyFont="1" applyBorder="1" applyAlignment="1">
      <alignment vertical="top" wrapText="1"/>
    </xf>
    <xf numFmtId="0" fontId="14" fillId="0" borderId="3" xfId="0" applyFont="1" applyBorder="1" applyAlignment="1">
      <alignment wrapText="1"/>
    </xf>
    <xf numFmtId="0" fontId="0" fillId="0" borderId="3" xfId="0" applyBorder="1" applyAlignment="1">
      <alignment wrapText="1"/>
    </xf>
    <xf numFmtId="0" fontId="10" fillId="0" borderId="0" xfId="1"/>
    <xf numFmtId="0" fontId="0" fillId="18" borderId="0" xfId="0" applyFill="1" applyAlignment="1">
      <alignment vertical="top"/>
    </xf>
    <xf numFmtId="0" fontId="0" fillId="18" borderId="0" xfId="0" applyFill="1" applyAlignment="1">
      <alignment horizontal="center" vertical="top"/>
    </xf>
    <xf numFmtId="0" fontId="0" fillId="18" borderId="0" xfId="0" applyFill="1" applyAlignment="1">
      <alignment vertical="top" wrapText="1"/>
    </xf>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vertical="top"/>
    </xf>
    <xf numFmtId="14" fontId="0" fillId="0" borderId="0" xfId="0" applyNumberFormat="1" applyAlignment="1">
      <alignment horizontal="left"/>
    </xf>
    <xf numFmtId="0" fontId="1" fillId="0" borderId="0" xfId="0" applyFont="1" applyAlignment="1">
      <alignment horizontal="left" indent="1"/>
    </xf>
    <xf numFmtId="0" fontId="10" fillId="0" borderId="5" xfId="1" applyFill="1" applyBorder="1" applyAlignment="1">
      <alignment vertical="top" wrapText="1"/>
    </xf>
    <xf numFmtId="0" fontId="0" fillId="3" borderId="0" xfId="0" applyFill="1" applyAlignment="1">
      <alignment horizontal="left"/>
    </xf>
    <xf numFmtId="0" fontId="0" fillId="19" borderId="0" xfId="0" applyFill="1" applyAlignment="1">
      <alignment horizontal="left"/>
    </xf>
    <xf numFmtId="16" fontId="0" fillId="0" borderId="11" xfId="0" applyNumberFormat="1" applyBorder="1" applyAlignment="1">
      <alignment vertical="top"/>
    </xf>
    <xf numFmtId="0" fontId="0" fillId="3" borderId="0" xfId="0" applyFill="1" applyAlignment="1">
      <alignment horizontal="left" indent="1"/>
    </xf>
    <xf numFmtId="0" fontId="0" fillId="20" borderId="0" xfId="0" applyFill="1" applyAlignment="1">
      <alignment horizontal="left"/>
    </xf>
    <xf numFmtId="0" fontId="0" fillId="20" borderId="0" xfId="0" applyFill="1"/>
    <xf numFmtId="16" fontId="0" fillId="0" borderId="0" xfId="0" applyNumberFormat="1"/>
    <xf numFmtId="0" fontId="0" fillId="3" borderId="0" xfId="0" applyFill="1" applyAlignment="1">
      <alignment vertical="top"/>
    </xf>
    <xf numFmtId="0" fontId="0" fillId="3" borderId="0" xfId="0" applyFill="1" applyAlignment="1">
      <alignment horizontal="center" vertical="top"/>
    </xf>
    <xf numFmtId="0" fontId="0" fillId="3" borderId="0" xfId="0" applyFill="1" applyAlignment="1">
      <alignment vertical="top" wrapText="1"/>
    </xf>
    <xf numFmtId="14" fontId="0" fillId="3" borderId="0" xfId="0" applyNumberFormat="1" applyFill="1" applyAlignment="1">
      <alignment vertical="top"/>
    </xf>
    <xf numFmtId="0" fontId="1" fillId="18" borderId="0" xfId="0" applyFont="1" applyFill="1" applyAlignment="1">
      <alignment vertical="top" wrapText="1"/>
    </xf>
    <xf numFmtId="0" fontId="0" fillId="0" borderId="7" xfId="0" pivotButton="1" applyBorder="1" applyAlignment="1">
      <alignment vertical="top"/>
    </xf>
    <xf numFmtId="0" fontId="0" fillId="0" borderId="7" xfId="0" applyBorder="1" applyAlignment="1">
      <alignment horizontal="left" vertical="center"/>
    </xf>
    <xf numFmtId="14" fontId="0" fillId="0" borderId="7" xfId="0" applyNumberFormat="1" applyBorder="1" applyAlignment="1">
      <alignment horizontal="left" vertical="center"/>
    </xf>
    <xf numFmtId="0" fontId="0" fillId="0" borderId="7" xfId="0" applyBorder="1" applyAlignment="1">
      <alignment vertical="center"/>
    </xf>
    <xf numFmtId="0" fontId="0" fillId="3" borderId="7" xfId="0" applyFill="1" applyBorder="1" applyAlignment="1">
      <alignment horizontal="left" vertical="center"/>
    </xf>
    <xf numFmtId="0" fontId="0" fillId="0" borderId="7" xfId="0" applyBorder="1" applyAlignment="1">
      <alignment vertical="top"/>
    </xf>
    <xf numFmtId="0" fontId="1" fillId="0" borderId="0" xfId="0" applyFont="1"/>
    <xf numFmtId="0" fontId="13" fillId="0" borderId="0" xfId="0" applyFont="1" applyAlignment="1">
      <alignment horizontal="left" indent="1"/>
    </xf>
    <xf numFmtId="0" fontId="9" fillId="0" borderId="0" xfId="0" applyFont="1" applyAlignment="1">
      <alignment horizontal="left"/>
    </xf>
    <xf numFmtId="0" fontId="0" fillId="0" borderId="7" xfId="0" pivotButton="1" applyBorder="1" applyAlignment="1">
      <alignment vertical="center"/>
    </xf>
    <xf numFmtId="16" fontId="0" fillId="0" borderId="0" xfId="0" applyNumberFormat="1" applyAlignment="1">
      <alignment vertical="top" wrapText="1"/>
    </xf>
    <xf numFmtId="0" fontId="0" fillId="4" borderId="7" xfId="0" applyFill="1" applyBorder="1" applyAlignment="1">
      <alignment horizontal="left" vertical="center"/>
    </xf>
    <xf numFmtId="0" fontId="0" fillId="4" borderId="0" xfId="0" applyFill="1" applyAlignment="1">
      <alignment vertical="top"/>
    </xf>
    <xf numFmtId="0" fontId="0" fillId="4" borderId="7" xfId="0" applyFill="1" applyBorder="1" applyAlignment="1">
      <alignment vertical="center"/>
    </xf>
    <xf numFmtId="0" fontId="0" fillId="2" borderId="0" xfId="0" applyFill="1" applyAlignment="1">
      <alignment vertical="top"/>
    </xf>
    <xf numFmtId="0" fontId="0" fillId="2" borderId="7" xfId="0" applyFill="1" applyBorder="1" applyAlignment="1">
      <alignment horizontal="left" vertical="center"/>
    </xf>
  </cellXfs>
  <cellStyles count="2">
    <cellStyle name="Hyperlink" xfId="1" builtinId="8"/>
    <cellStyle name="Normal" xfId="0" builtinId="0"/>
  </cellStyles>
  <dxfs count="37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2" tint="-9.9948118533890809E-2"/>
        </patternFill>
      </fill>
    </dxf>
    <dxf>
      <font>
        <color rgb="FF006100"/>
      </font>
      <fill>
        <patternFill>
          <bgColor rgb="FFC6EFCE"/>
        </patternFill>
      </fill>
    </dxf>
    <dxf>
      <font>
        <color rgb="FF9C5700"/>
      </font>
      <fill>
        <patternFill>
          <bgColor rgb="FFFFEB9C"/>
        </patternFill>
      </fill>
    </dxf>
    <dxf>
      <fill>
        <patternFill>
          <bgColor theme="2" tint="-9.9948118533890809E-2"/>
        </patternFill>
      </fill>
    </dxf>
    <dxf>
      <font>
        <color rgb="FF9C0006"/>
      </font>
      <fill>
        <patternFill>
          <bgColor rgb="FFFFC7CE"/>
        </patternFill>
      </fill>
    </dxf>
    <dxf>
      <font>
        <color rgb="FF006100"/>
      </font>
      <fill>
        <patternFill>
          <bgColor theme="9" tint="0.39994506668294322"/>
        </patternFill>
      </fill>
    </dxf>
    <dxf>
      <font>
        <color rgb="FF9C0006"/>
      </font>
      <fill>
        <patternFill>
          <bgColor rgb="FFFFC7CE"/>
        </patternFill>
      </fill>
    </dxf>
    <dxf>
      <fill>
        <patternFill>
          <bgColor theme="9"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2" tint="-9.9948118533890809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CFFCC"/>
        </patternFill>
      </fill>
    </dxf>
    <dxf>
      <fill>
        <patternFill>
          <bgColor rgb="FFCCFFCC"/>
        </patternFill>
      </fill>
    </dxf>
    <dxf>
      <fill>
        <patternFill>
          <bgColor theme="7" tint="0.39994506668294322"/>
        </patternFill>
      </fill>
    </dxf>
    <dxf>
      <fill>
        <patternFill>
          <bgColor theme="7" tint="0.39994506668294322"/>
        </patternFill>
      </fill>
    </dxf>
    <dxf>
      <fill>
        <patternFill>
          <bgColor rgb="FFCCFFC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auto="1"/>
      </font>
    </dxf>
    <dxf>
      <font>
        <color auto="1"/>
      </font>
    </dxf>
    <dxf>
      <font>
        <color auto="1"/>
      </font>
    </dxf>
    <dxf>
      <fill>
        <patternFill patternType="solid">
          <bgColor theme="9" tint="0.79998168889431442"/>
        </patternFill>
      </fill>
    </dxf>
    <dxf>
      <font>
        <b/>
      </font>
    </dxf>
    <dxf>
      <fill>
        <patternFill patternType="solid">
          <bgColor rgb="FFFFCCCC"/>
        </patternFill>
      </fill>
    </dxf>
    <dxf>
      <fill>
        <patternFill patternType="solid">
          <bgColor rgb="FFFFCCCC"/>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CCC"/>
        </patternFill>
      </fill>
    </dxf>
    <dxf>
      <fill>
        <patternFill patternType="solid">
          <bgColor rgb="FFFFCCCC"/>
        </patternFill>
      </fill>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vertical="top"/>
    </dxf>
    <dxf>
      <alignment vertical="top"/>
    </dxf>
    <dxf>
      <alignment vertical="top"/>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CCC"/>
        </patternFill>
      </fill>
    </dxf>
    <dxf>
      <fill>
        <patternFill patternType="solid">
          <bgColor rgb="FFFFCCCC"/>
        </patternFill>
      </fill>
    </dxf>
    <dxf>
      <alignment vertical="center" wrapText="1"/>
    </dxf>
    <dxf>
      <alignment vertical="center"/>
    </dxf>
    <dxf>
      <alignment vertical="center"/>
    </dxf>
    <dxf>
      <alignment vertical="center"/>
    </dxf>
    <dxf>
      <alignment horizontal="general" vertical="center" textRotation="0" wrapText="1" indent="0" justifyLastLine="0" shrinkToFit="0" readingOrder="0"/>
    </dxf>
    <dxf>
      <fill>
        <patternFill patternType="none">
          <fgColor indexed="64"/>
          <bgColor indexed="65"/>
        </patternFill>
      </fill>
      <alignment horizontal="general" vertical="center" textRotation="0" wrapText="0" indent="0" justifyLastLine="0" shrinkToFit="0" readingOrder="0"/>
    </dxf>
    <dxf>
      <fill>
        <patternFill patternType="none">
          <fgColor indexed="64"/>
          <bgColor auto="1"/>
        </patternFill>
      </fill>
      <alignment vertical="center"/>
    </dxf>
    <dxf>
      <numFmt numFmtId="167" formatCode="m/d/yyyy"/>
      <alignment vertical="center"/>
    </dxf>
    <dxf>
      <alignment vertical="center"/>
    </dxf>
    <dxf>
      <alignment vertical="center" wrapText="1"/>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alignment wrapText="1"/>
    </dxf>
    <dxf>
      <alignment wrapText="1"/>
    </dxf>
  </dxfs>
  <tableStyles count="0" defaultTableStyle="TableStyleMedium2" defaultPivotStyle="PivotStyleLight16"/>
  <colors>
    <mruColors>
      <color rgb="FFFFCCCC"/>
      <color rgb="FFCCFFCC"/>
      <color rgb="FFFFFFCC"/>
      <color rgb="FFFFCCFF"/>
      <color rgb="FFCCFFFF"/>
      <color rgb="FF000099"/>
      <color rgb="FFFF7C80"/>
      <color rgb="FFFC23BB"/>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Daniel Lindblad" id="{BFB682F9-A4E5-4822-A790-BFECF8C0C3DC}" userId="S::daniel.lindblad@infor.com::2245fd34-2100-4be2-a72c-8b494ca79a5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 Dean" refreshedDate="45565.393702777779" createdVersion="8" refreshedVersion="8" minRefreshableVersion="3" recordCount="154" xr:uid="{498E829A-DCC4-41DA-B5CB-B158ABCCA932}">
  <cacheSource type="worksheet">
    <worksheetSource ref="A1:J1048576" sheet="Barnes Project Plan"/>
  </cacheSource>
  <cacheFields count="12">
    <cacheField name="Interface" numFmtId="0">
      <sharedItems containsBlank="1" count="14">
        <s v="Bank of America (AP)"/>
        <s v="CenPOS"/>
        <s v="Cforia"/>
        <m/>
        <s v="Concur - Invoice"/>
        <s v="Concur - Travel &amp; Expense"/>
        <s v="FedEx"/>
        <s v="Optimizely"/>
        <s v="Optimizely - Current State"/>
        <s v="Optimizely - Order Auto."/>
        <s v="PNC Bank (AR)"/>
        <s v="Salesforce"/>
        <s v="SPS Commerce - EDI"/>
        <s v="UPS"/>
      </sharedItems>
    </cacheField>
    <cacheField name="Priority" numFmtId="0">
      <sharedItems containsBlank="1" count="5">
        <m/>
        <s v="*"/>
        <s v="Risk"/>
        <s v="Low"/>
        <s v="!"/>
      </sharedItems>
    </cacheField>
    <cacheField name="Phase" numFmtId="0">
      <sharedItems containsBlank="1" count="8">
        <s v="0 - Doc"/>
        <s v="1 - Dev"/>
        <s v="1 - Deb"/>
        <s v="2 - Test"/>
        <s v="00 - Doc Req"/>
        <m/>
        <s v="2  - Test" u="1"/>
        <s v="1 - Debv" u="1"/>
      </sharedItems>
    </cacheField>
    <cacheField name="Category" numFmtId="0">
      <sharedItems containsBlank="1" count="19">
        <s v="0 - ANA-050"/>
        <s v="1 - ANA-050"/>
        <s v="2 - TAR-040"/>
        <s v="3 - TEST-070"/>
        <s v="4- DOC COMPLETE"/>
        <s v="Dev"/>
        <s v="UAT"/>
        <s v="Unit Test 001"/>
        <s v="Unit Test 002"/>
        <s v="4 - DOC COMPLETE"/>
        <s v="Dev - Enahnce"/>
        <s v="DEV COMPLETE"/>
        <s v="Unit  Test 001 COMPLETE"/>
        <m/>
        <s v="TAR-040" u="1"/>
        <s v="TEST-070" u="1"/>
        <s v="DOC COMPLETE" u="1"/>
        <s v="ANA-050" u="1"/>
        <s v="Inputs" u="1"/>
      </sharedItems>
    </cacheField>
    <cacheField name="Task" numFmtId="0">
      <sharedItems containsBlank="1" count="105">
        <s v="ANA-050 - Ready for Review"/>
        <s v="ANA-050 - Signoff"/>
        <s v="TAR-040 - Ready for Review"/>
        <s v="Unit Test Plan"/>
        <m/>
        <s v="Header file for checks"/>
        <s v="Detail file for checks"/>
        <s v="Header file for ACH"/>
        <s v="Detail file for ACH"/>
        <s v="Send sample files to Barnes"/>
        <s v="SSIS: Transfer files to Industrial JBA box for transmission (weekly)"/>
        <s v="UAT Ready"/>
        <s v="Makes it to Barnes Industrial AS/400 - users are able to confirm the details"/>
        <s v="Test transmission to bank has long lead time"/>
        <s v="TAR-040 Reviewed and approved"/>
        <s v="Unit Test Plan - CenPOS - contact Hubert for M3 functional questions"/>
        <s v="Review test portal login"/>
        <s v="Change service account from @infor.com to @asraymond.com"/>
        <s v="Update  M3 CenPOS connector configuration after account change"/>
        <s v="Ready for testing"/>
        <s v="Charge customer order to test credit card"/>
        <s v="ANA-050 - Sign off"/>
        <s v="Meeting for missing AR details"/>
        <s v="Modify DW Job, BGIDW_M3_ASR to include AR files"/>
        <s v="Contact Cdoria - ensure test environment is ready"/>
        <s v="Build ARCASH.TXT exoport"/>
        <s v="Build ARCUST.TXT exoport"/>
        <s v="Build AREXTI.TXT exoport"/>
        <s v="Build ARMAST.TXT exoport"/>
        <s v="Build ARTRAN.TXT exoport"/>
        <s v="Invoice PDF to archive folder"/>
        <s v="Transmit to Cforia "/>
        <s v="Balance to M3 Open A/R report"/>
        <s v="View in Cforia for missing details"/>
        <s v="ANA-050 - Payments to M3 - Ready for Review"/>
        <s v="ANA-050 - Reviewed and approved"/>
        <s v="OUT:  Produce PO Header, Lines, Receipts, Vendor  files"/>
        <s v="OUT: Ensure files ingest into Concur"/>
        <s v="Inbound - Matched Payments to XML BOD drop off"/>
        <s v="Enter POs in M3 - Compay 910"/>
        <s v="Receive POs in M3 - Compay 910"/>
        <s v="Send files to Concur"/>
        <s v="Input simulated vendor Invoice"/>
        <s v="Receive matched payments"/>
        <s v="Matched payments to XML BOD in drop off location"/>
        <s v="Verify Payments processed into M3"/>
        <s v="Review Payables"/>
        <s v="Concur TAR-040"/>
        <s v="Schedule overview call with Infor/Finance"/>
        <s v="GLS 840 - Can we use existing format or do we need new?"/>
        <s v="Sample data with field explainations"/>
        <s v="Import flat file into M3"/>
        <s v="Run production expense through test integration"/>
        <s v="Validate Process to post data to M3"/>
        <s v="Need sample shipments file XML from FedEx production"/>
        <s v="Develop address pull query from data lake"/>
        <s v="Configure address pull from M3"/>
        <s v="Configure XML output and drop off location"/>
        <s v="Print pick list from M3 and scan in Ship Manager to pull address/FedEx account"/>
        <s v="Extract XML from shipment of order"/>
        <s v="Load XML into M3 and verify information on order"/>
        <s v="OUT: Add price list extract to BGIDW_M3_ASR_Daily.dtsx"/>
        <s v="OUT: Add inventory extract with gas charge logic"/>
        <s v="OUT: Produce files from M3 company 910 and load to test"/>
        <s v="IN: CenPOS integration - schedule CONSID meeting"/>
        <s v="IN: CONSID - Update sales order file"/>
        <s v="IN: Convert CSV to XML BOD"/>
        <s v="IN: Verify ingestion of sales order BOD"/>
        <s v="Contingency - May need to work with CONSID on data load"/>
        <s v="Review prices on test web site"/>
        <s v="Review stock levels on test web site, check gas spring charge levels"/>
        <s v="Credit card process"/>
        <s v="Order placement from web to M3"/>
        <s v="Matcher file to CSV"/>
        <s v="EDI 820/823 - To SPS Commerce Project Plan"/>
        <s v="Bank test environment"/>
        <s v="Configure M3 to Salesforce connector"/>
        <s v="Verify any open items agains ANA/TAR"/>
        <s v="M3 Items to Salesforce products"/>
        <s v="M3 Pricing to Salesforce"/>
        <s v="ANA-050 - EDI 810 - Reviewed and approved"/>
        <s v="ANA-050 - EDI 850 - Reviewed and approved"/>
        <s v="ANA-050 - EDI 855 - Reviewed and approved"/>
        <s v="ANA-050 - EDI 856 - Reviewed and approved"/>
        <s v="ANA-050 - EDI 830-862 - Reviewed and approved"/>
        <s v="To SPS Commerce project plan"/>
        <s v="Missing documents focus"/>
        <s v="UAT Phase 1 Ready: PACCAR, Granger, Caterpillar, PNC"/>
        <s v="UAT Phase 2 Ready: All EDI"/>
        <s v="View transactions on CenPOS portal [Needed?]"/>
        <s v="Concur TAR-040 Reviewed and approved" u="1"/>
        <s v="XML BOD specification" u="1"/>
        <s v="Inbound - GL Upload - Expenses to XML BOD" u="1"/>
        <s v="Configure M3 CenPOS connector" u="1"/>
        <s v=" TAR-040 Reviewed and approved" u="1"/>
        <s v="Ideally would like to compare to production / subset to production - files should be identical" u="1"/>
        <s v="Transfer files to Industrial JBA box for transmission (weekly)" u="1"/>
        <s v="Outbound - PO Header, Lines, Receipts, Vendor " u="1"/>
        <s v="Add price list extract to BGIDW_M3_ASR_Daily.dtsx" u="1"/>
        <s v="Produce files from M3 company 910 and load to test" u="1"/>
        <s v="CenPOS integration - schedule CONSID meeting" u="1"/>
        <s v="Concur ANA-050 - Reviewed and approved" u="1"/>
        <s v="Configure XML output" u="1"/>
        <s v="Extract XML from production" u="1"/>
        <s v="Load XML into M3" u="1"/>
      </sharedItems>
    </cacheField>
    <cacheField name="Status" numFmtId="0">
      <sharedItems containsBlank="1" count="14">
        <s v="Complete"/>
        <s v="Not Started"/>
        <s v="In Progress"/>
        <s v="Await files"/>
        <s v="On Track"/>
        <s v="Not Required"/>
        <s v="Overdue"/>
        <m/>
        <s v="Complete - Success"/>
        <s v="Await Dependancy"/>
        <s v="Late"/>
        <s v="On Track - Issue"/>
        <s v="Await Clarification" u="1"/>
        <s v="Starting" u="1"/>
      </sharedItems>
    </cacheField>
    <cacheField name="Due Date" numFmtId="0">
      <sharedItems containsNonDate="0" containsDate="1" containsString="0" containsBlank="1" minDate="2024-06-01T00:00:00" maxDate="2025-01-07T00:00:00" count="30">
        <d v="2024-08-30T00:00:00"/>
        <d v="2024-09-06T00:00:00"/>
        <d v="2024-09-13T00:00:00"/>
        <d v="2024-10-18T00:00:00"/>
        <m/>
        <d v="2024-09-27T00:00:00"/>
        <d v="2024-10-01T00:00:00"/>
        <d v="2024-10-11T00:00:00"/>
        <d v="2024-06-01T00:00:00"/>
        <d v="2024-10-04T00:00:00"/>
        <d v="2024-10-25T00:00:00"/>
        <d v="2024-11-01T00:00:00"/>
        <d v="2024-11-04T00:00:00"/>
        <d v="2024-09-20T00:00:00"/>
        <d v="2024-07-11T00:00:00"/>
        <d v="2024-08-22T00:00:00"/>
        <d v="2024-09-30T00:00:00"/>
        <d v="2024-06-14T00:00:00"/>
        <d v="2024-10-21T00:00:00"/>
        <d v="2024-10-07T00:00:00"/>
        <d v="2024-10-28T00:00:00"/>
        <d v="2024-09-04T00:00:00"/>
        <d v="2024-09-09T00:00:00"/>
        <d v="2024-08-16T00:00:00"/>
        <d v="2024-07-16T00:00:00"/>
        <d v="2024-08-20T00:00:00"/>
        <d v="2025-01-06T00:00:00"/>
        <d v="2024-11-11T00:00:00" u="1"/>
        <d v="2024-09-25T00:00:00" u="1"/>
        <d v="2024-09-05T00:00:00" u="1"/>
      </sharedItems>
      <fieldGroup par="11"/>
    </cacheField>
    <cacheField name="Org" numFmtId="0">
      <sharedItems containsBlank="1"/>
    </cacheField>
    <cacheField name="Owner" numFmtId="0">
      <sharedItems containsBlank="1" count="49">
        <s v="Carlo Alcazar"/>
        <s v="Kim Diorio"/>
        <s v="Isaiah Tolentino"/>
        <m/>
        <s v="Kevin Alexander"/>
        <s v="Dean Amo"/>
        <s v="Amy Burgard"/>
        <s v="Hubert Santos"/>
        <s v="Daniel Lindblad"/>
        <s v="Amy, Melissa"/>
        <s v="Dennis Garrero, Rachelle "/>
        <s v="Kim Diorio / Kevin Alexander"/>
        <s v="Dean / Kim"/>
        <s v="Dennis / Kevin"/>
        <s v="Karin Fransson"/>
        <s v="Dennis Garrero"/>
        <s v="Martin"/>
        <s v="Kyle Outhouse / Amy McGuire"/>
        <s v="Kim Diorio / Keven Alexander"/>
        <s v="Daniel ?"/>
        <s v="Daniel Tuller"/>
        <s v="Jesse Keech, Kim Diorio"/>
        <s v="Martin Bautista"/>
        <s v="Dean Amo [Dennis]"/>
        <s v="Rachelle"/>
        <s v="?"/>
        <s v="Jack Adoline"/>
        <s v="Jeff Finch"/>
        <s v="?? Process Owner ??"/>
        <s v="Daniel "/>
        <s v="Cheska Acance"/>
        <s v="Beth Wilkerson"/>
        <s v="Dean Amo, Jane Woytach"/>
        <s v="Dean Amo, Beth Wilkerson"/>
        <s v="Torbjörn Sundbrandt"/>
        <s v="Dean, Torborjn, Martin"/>
        <s v="Melissa Byron"/>
        <s v="Courtney Pribyl, Cheska"/>
        <s v="Jeff Finch, Rich Ostry, Melissa"/>
        <s v="Keith Sims"/>
        <s v="&lt;Shipping / Warehouse&gt;"/>
        <s v="&lt;Need resource to map to BOD&gt;" u="1"/>
        <s v="Shaun Webb, Jane Woytach" u="1"/>
        <s v="Shared Services" u="1"/>
        <s v="Daniel Linblad" u="1"/>
        <s v="**Need Barnes Owner" u="1"/>
        <s v="Dennis Garrero, Rachael" u="1"/>
        <s v="Dennis Garrero, Racheal" u="1"/>
        <s v="Dean -- identify resource -" u="1"/>
      </sharedItems>
    </cacheField>
    <cacheField name="Note" numFmtId="0">
      <sharedItems containsDate="1" containsBlank="1" containsMixedTypes="1" minDate="2024-09-24T00:00:00" maxDate="2024-10-01T00:00:00" count="24" longText="1">
        <m/>
        <s v="Agreed approved in Meeting 9/23/2024"/>
        <s v="10/2 Wed - Martin on 9/30 9a call"/>
        <s v="*Meeting scheduled Thur 9/26"/>
        <s v="Need a DL_CenPos_Administration@onebarnes.com"/>
        <s v="9/30/2024 - New Due Date "/>
        <s v="Awaiting ANA-050"/>
        <s v="*Need output of open A/R report from M3  -Dennis tried on call, output not working"/>
        <s v="Search 'Acc Re' in M3 for open A/R screens"/>
        <d v="2024-09-24T00:00:00"/>
        <s v="Sep-20 - Last import successful, turning on feed Monday (Sep-23) evening run"/>
        <s v="Review @9a "/>
        <s v="Approved 9/23/2024 via email"/>
        <s v="9/20 - Discussing requirements"/>
        <s v="9/20 - Currently analyzing missing data (CC ref. identified)"/>
        <s v="Open customer invoices "/>
        <s v="**Dean - SPS - Replace Dan with Kim"/>
        <s v="*Sep-20 - Verify Owner"/>
        <s v="https://spscommerce.sharepoint.com/sites/EnterpriseImplementationProjectManagement/Courtney%20Pribyl/Associated%20Spring%20Raymond%20Scope%20%26%20Timeline.xlsx?e=4%3atA8y89&amp;web=1&amp;at=9___.YXAzOmJnaW5jOmE6bzo2NjMxMWFkNjA0OTZjYmQ2N2VhOTBjMzJmNjMwZDIxOTo2OjRkMjU6NGFlODQ3NjU5ZjMzOWJiYzg4OGQ2MzJkZGQ3ODA3MmM5NjgyM2I3MTUwM2QwYjBiNTBiYTJjZjA5YTUzYjkyNDpoOlQ6Tg"/>
        <s v="Awaiting network connectivity - CHG"/>
        <d v="2024-09-30T00:00:00" u="1"/>
        <s v="Minor discussion on how payment file gets triggered_x000a_Ready to approve" u="1"/>
        <s v="Had a review - outcome?" u="1"/>
        <s v="Minor discussion on how payment file gets triggered" u="1"/>
      </sharedItems>
    </cacheField>
    <cacheField name="Days (Due Date)" numFmtId="0" databaseField="0">
      <fieldGroup base="6">
        <rangePr groupBy="days" startDate="2024-06-01T00:00:00" endDate="2025-01-07T00:00:00"/>
        <groupItems count="368">
          <s v="&lt;6/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7/2025"/>
        </groupItems>
      </fieldGroup>
    </cacheField>
    <cacheField name="Months (Due Date)" numFmtId="0" databaseField="0">
      <fieldGroup base="6">
        <rangePr groupBy="months" startDate="2024-06-01T00:00:00" endDate="2025-01-07T00:00:00"/>
        <groupItems count="14">
          <s v="&lt;6/1/2024"/>
          <s v="Jan"/>
          <s v="Feb"/>
          <s v="Mar"/>
          <s v="Apr"/>
          <s v="May"/>
          <s v="Jun"/>
          <s v="Jul"/>
          <s v="Aug"/>
          <s v="Sep"/>
          <s v="Oct"/>
          <s v="Nov"/>
          <s v="Dec"/>
          <s v="&gt;1/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 Dean" refreshedDate="45565.393707754629" createdVersion="8" refreshedVersion="8" minRefreshableVersion="3" recordCount="40" xr:uid="{523E32FB-5A98-415F-B827-ACB44F361B0A}">
  <cacheSource type="worksheet">
    <worksheetSource ref="A1:AM41" sheet="List"/>
  </cacheSource>
  <cacheFields count="39">
    <cacheField name="Partner/System" numFmtId="0">
      <sharedItems containsBlank="1" count="13">
        <s v="(SPS) PNC Bank (AR)"/>
        <s v="BoA Shared Service (AP)"/>
        <s v="CenPos"/>
        <s v="Salesforce"/>
        <s v="Cforia"/>
        <s v="Concur "/>
        <s v="SPS Commerce EDI"/>
        <s v="Fedex"/>
        <s v="Optimizely"/>
        <s v="PNC Bank (AR) (SPS)"/>
        <s v="UPS"/>
        <s v="PNC Bank (AR)" u="1"/>
        <m u="1"/>
      </sharedItems>
    </cacheField>
    <cacheField name="Interface ID" numFmtId="0">
      <sharedItems/>
    </cacheField>
    <cacheField name="Interface" numFmtId="0">
      <sharedItems/>
    </cacheField>
    <cacheField name="100% Complete" numFmtId="0">
      <sharedItems containsBlank="1"/>
    </cacheField>
    <cacheField name="Stream" numFmtId="0">
      <sharedItems containsBlank="1"/>
    </cacheField>
    <cacheField name="Accountable" numFmtId="0">
      <sharedItems containsBlank="1"/>
    </cacheField>
    <cacheField name="Barnes Functional" numFmtId="0">
      <sharedItems containsBlank="1"/>
    </cacheField>
    <cacheField name="Barnes technical" numFmtId="0">
      <sharedItems containsBlank="1"/>
    </cacheField>
    <cacheField name="Status" numFmtId="0">
      <sharedItems containsBlank="1"/>
    </cacheField>
    <cacheField name="Action" numFmtId="0">
      <sharedItems containsBlank="1"/>
    </cacheField>
    <cacheField name="Process Status" numFmtId="0">
      <sharedItems containsBlank="1" count="12">
        <s v="Speccing (ANA-050)"/>
        <s v="Development"/>
        <s v="Business Testing"/>
        <s v="Out of Scope"/>
        <s v="Development Testing"/>
        <s v="Tech Spec (TAR-040)"/>
        <m/>
        <s v="Research" u="1"/>
        <s v="Not Started" u="1"/>
        <s v="Functional Testing" u="1"/>
        <s v="Solution Unknown" u="1"/>
        <s v="Approved/Complete" u="1"/>
      </sharedItems>
    </cacheField>
    <cacheField name="SPS Status" numFmtId="0">
      <sharedItems containsBlank="1"/>
    </cacheField>
    <cacheField name="SPS Variable" numFmtId="0">
      <sharedItems containsString="0" containsBlank="1" containsNumber="1" containsInteger="1" minValue="10" maxValue="20"/>
    </cacheField>
    <cacheField name="Totals # of days" numFmtId="0">
      <sharedItems containsString="0" containsBlank="1" containsNumber="1" containsInteger="1" minValue="2" maxValue="60"/>
    </cacheField>
    <cacheField name="SPS + Status" numFmtId="0">
      <sharedItems containsString="0" containsBlank="1" containsNumber="1" containsInteger="1" minValue="2" maxValue="60"/>
    </cacheField>
    <cacheField name="Estimated Completion Date" numFmtId="14">
      <sharedItems containsNonDate="0" containsDate="1" containsString="0" containsBlank="1" minDate="2024-10-02T00:00:00" maxDate="2024-11-30T00:00:00"/>
    </cacheField>
    <cacheField name="Infor FC" numFmtId="0">
      <sharedItems containsBlank="1"/>
    </cacheField>
    <cacheField name="3P Development" numFmtId="0">
      <sharedItems containsBlank="1"/>
    </cacheField>
    <cacheField name="Functional Spec ANA-050" numFmtId="0">
      <sharedItems containsBlank="1"/>
    </cacheField>
    <cacheField name="Action - Approved" numFmtId="0">
      <sharedItems containsDate="1" containsBlank="1" containsMixedTypes="1" minDate="2024-02-27T00:00:00" maxDate="2024-08-16T00:00:00"/>
    </cacheField>
    <cacheField name="ANA-050_x000a_Date Due" numFmtId="0">
      <sharedItems containsDate="1" containsBlank="1" containsMixedTypes="1" minDate="2024-09-20T00:00:00" maxDate="2024-10-01T00:00:00"/>
    </cacheField>
    <cacheField name="Date_x000a_Complete" numFmtId="0">
      <sharedItems containsNonDate="0" containsDate="1" containsBlank="1" containsMixedTypes="1" minDate="2024-04-25T00:00:00" maxDate="2024-07-11T00:00:00"/>
    </cacheField>
    <cacheField name="Infor Tech Consultant" numFmtId="0">
      <sharedItems containsBlank="1"/>
    </cacheField>
    <cacheField name="Interface spec TAR-040" numFmtId="0">
      <sharedItems containsBlank="1"/>
    </cacheField>
    <cacheField name="Action2" numFmtId="0">
      <sharedItems containsBlank="1"/>
    </cacheField>
    <cacheField name="Date Approved" numFmtId="0">
      <sharedItems containsBlank="1"/>
    </cacheField>
    <cacheField name="Date_x000a_Due_x000a_" numFmtId="0">
      <sharedItems containsNonDate="0" containsBlank="1"/>
    </cacheField>
    <cacheField name="Date_x000a_Completed" numFmtId="0">
      <sharedItems containsNonDate="0" containsDate="1" containsBlank="1" containsMixedTypes="1" minDate="2024-06-17T00:00:00" maxDate="2024-06-18T00:00:00"/>
    </cacheField>
    <cacheField name="Dev Start" numFmtId="0">
      <sharedItems containsNonDate="0" containsDate="1" containsBlank="1" containsMixedTypes="1" minDate="2024-09-13T00:00:00" maxDate="2024-09-14T00:00:00"/>
    </cacheField>
    <cacheField name="Dev Complate" numFmtId="0">
      <sharedItems containsNonDate="0" containsDate="1" containsString="0" containsBlank="1" minDate="2024-05-03T00:00:00" maxDate="2024-10-12T00:00:00"/>
    </cacheField>
    <cacheField name="TES-070" numFmtId="0">
      <sharedItems containsNonDate="0" containsString="0" containsBlank="1"/>
    </cacheField>
    <cacheField name="Testing" numFmtId="0">
      <sharedItems containsNonDate="0" containsBlank="1"/>
    </cacheField>
    <cacheField name="Action3" numFmtId="0">
      <sharedItems containsNonDate="0" containsBlank="1"/>
    </cacheField>
    <cacheField name="Testing Start" numFmtId="0">
      <sharedItems containsDate="1" containsBlank="1" containsMixedTypes="1" minDate="2024-06-18T00:00:00" maxDate="2024-07-20T00:00:00"/>
    </cacheField>
    <cacheField name="Testing Completed" numFmtId="0">
      <sharedItems containsNonDate="0" containsBlank="1"/>
    </cacheField>
    <cacheField name="DES-030 Deployment" numFmtId="0">
      <sharedItems containsNonDate="0" containsBlank="1"/>
    </cacheField>
    <cacheField name="DES-030 Notes" numFmtId="0">
      <sharedItems containsBlank="1"/>
    </cacheField>
    <cacheField name="Comment/Notes" numFmtId="0">
      <sharedItems containsBlank="1" longText="1"/>
    </cacheField>
    <cacheField name="Next action, who and dat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 Dean" refreshedDate="45565.393709606484" createdVersion="8" refreshedVersion="8" minRefreshableVersion="3" recordCount="44" xr:uid="{648C066C-7E2E-4364-AB1A-24FAF6D85EC2}">
  <cacheSource type="worksheet">
    <worksheetSource ref="A1:AK1048576" sheet="List"/>
  </cacheSource>
  <cacheFields count="37">
    <cacheField name="Partner/System" numFmtId="0">
      <sharedItems containsBlank="1" count="12">
        <s v="(SPS) PNC Bank (AR)"/>
        <s v="BoA Shared Service (AP)"/>
        <s v="CenPos"/>
        <s v="Salesforce"/>
        <s v="Cforia"/>
        <s v="Concur "/>
        <s v="SPS Commerce EDI"/>
        <s v="Fedex"/>
        <s v="Optimizely"/>
        <s v="PNC Bank (AR) (SPS)"/>
        <s v="UPS"/>
        <m/>
      </sharedItems>
    </cacheField>
    <cacheField name="Interface ID" numFmtId="0">
      <sharedItems containsBlank="1"/>
    </cacheField>
    <cacheField name="Interface" numFmtId="0">
      <sharedItems containsBlank="1" count="41">
        <s v="PNC Lockbox EDI 823 checks"/>
        <s v="PNC Lockbox EDI820 flat file ACH ad wires"/>
        <s v="Check Run Header"/>
        <s v="Check Run Details"/>
        <s v="Payment Authorization"/>
        <s v="Payment Capture"/>
        <s v="Customer"/>
        <s v="ShipToPartyMaster / Addresses"/>
        <s v="Customer Payments &amp; Credits"/>
        <s v="Customer Order"/>
        <s v="Customer Master"/>
        <s v="Invoice Payment History"/>
        <s v="Invoice Copies IDM (PDF)"/>
        <s v="Goods Receipts"/>
        <s v="PO Header"/>
        <s v="PO Lines"/>
        <s v="Application Advice EDI 824"/>
        <s v="Vendor Infor"/>
        <s v="SupplierInvoice"/>
        <s v="T&amp;E expense posting"/>
        <s v="FedEx Tracking Number Update"/>
        <s v="FedEx Shipping information"/>
        <s v="Order (email)"/>
        <s v="Customer and Addresses"/>
        <s v="Items"/>
        <s v="Std Price, Cust price, Disc"/>
        <s v="Tax exemption"/>
        <s v="Stock"/>
        <s v="PNC Matcher file"/>
        <s v="Item"/>
        <s v="Item Pricing"/>
        <s v="EDI Sales Order 850"/>
        <s v="EDI Shipment 856"/>
        <s v="EDI Sales Order Ack"/>
        <s v="EDI Invoice"/>
        <s v="EDI Shipment Schedule EDI 862"/>
        <s v="DSV"/>
        <s v="Planning Schedule EDI 830"/>
        <s v="UPS Shipping Information"/>
        <s v="UPS Tracking Number Update"/>
        <m/>
      </sharedItems>
    </cacheField>
    <cacheField name="100% Complete" numFmtId="0">
      <sharedItems containsBlank="1"/>
    </cacheField>
    <cacheField name="Stream" numFmtId="0">
      <sharedItems containsBlank="1"/>
    </cacheField>
    <cacheField name="Accountable" numFmtId="0">
      <sharedItems containsBlank="1"/>
    </cacheField>
    <cacheField name="Barnes Functional" numFmtId="0">
      <sharedItems containsBlank="1"/>
    </cacheField>
    <cacheField name="Barnes technical" numFmtId="0">
      <sharedItems containsBlank="1"/>
    </cacheField>
    <cacheField name="Status" numFmtId="0">
      <sharedItems containsBlank="1" count="7">
        <s v="Pre Development"/>
        <s v="Pending Approval"/>
        <s v="Testing"/>
        <s v="Out of Scope"/>
        <s v="Not Started"/>
        <s v="Development"/>
        <m/>
      </sharedItems>
    </cacheField>
    <cacheField name="Action" numFmtId="0">
      <sharedItems containsBlank="1"/>
    </cacheField>
    <cacheField name="Process Status" numFmtId="0">
      <sharedItems containsBlank="1"/>
    </cacheField>
    <cacheField name="SPS Status" numFmtId="0">
      <sharedItems containsBlank="1"/>
    </cacheField>
    <cacheField name="SPS Variable" numFmtId="0">
      <sharedItems containsString="0" containsBlank="1" containsNumber="1" containsInteger="1" minValue="10" maxValue="20"/>
    </cacheField>
    <cacheField name="Totals # of days" numFmtId="0">
      <sharedItems containsString="0" containsBlank="1" containsNumber="1" containsInteger="1" minValue="2" maxValue="60"/>
    </cacheField>
    <cacheField name="SPS + Status" numFmtId="0">
      <sharedItems containsString="0" containsBlank="1" containsNumber="1" containsInteger="1" minValue="2" maxValue="60"/>
    </cacheField>
    <cacheField name="Estimated Completion Date" numFmtId="0">
      <sharedItems containsNonDate="0" containsDate="1" containsString="0" containsBlank="1" minDate="2024-10-02T00:00:00" maxDate="2024-11-30T00:00:00"/>
    </cacheField>
    <cacheField name="Infor FC" numFmtId="0">
      <sharedItems containsBlank="1"/>
    </cacheField>
    <cacheField name="3P Development" numFmtId="0">
      <sharedItems containsBlank="1"/>
    </cacheField>
    <cacheField name="Functional Spec ANA-050" numFmtId="0">
      <sharedItems containsBlank="1"/>
    </cacheField>
    <cacheField name="Action - Approved" numFmtId="0">
      <sharedItems containsDate="1" containsBlank="1" containsMixedTypes="1" minDate="2024-02-27T00:00:00" maxDate="2024-08-16T00:00:00"/>
    </cacheField>
    <cacheField name="ANA-050_x000a_Date Due" numFmtId="0">
      <sharedItems containsDate="1" containsBlank="1" containsMixedTypes="1" minDate="2024-09-20T00:00:00" maxDate="2024-10-01T00:00:00"/>
    </cacheField>
    <cacheField name="Date_x000a_Complete" numFmtId="0">
      <sharedItems containsNonDate="0" containsDate="1" containsBlank="1" containsMixedTypes="1" minDate="2024-04-25T00:00:00" maxDate="2024-07-11T00:00:00"/>
    </cacheField>
    <cacheField name="Infor Tech Consultant" numFmtId="0">
      <sharedItems containsBlank="1"/>
    </cacheField>
    <cacheField name="Interface spec TAR-040" numFmtId="0">
      <sharedItems containsBlank="1"/>
    </cacheField>
    <cacheField name="Action2" numFmtId="0">
      <sharedItems containsBlank="1"/>
    </cacheField>
    <cacheField name="Date Approved" numFmtId="0">
      <sharedItems containsBlank="1"/>
    </cacheField>
    <cacheField name="Date_x000a_Due_x000a_" numFmtId="0">
      <sharedItems containsNonDate="0" containsBlank="1"/>
    </cacheField>
    <cacheField name="Date_x000a_Completed" numFmtId="0">
      <sharedItems containsNonDate="0" containsDate="1" containsBlank="1" containsMixedTypes="1" minDate="2024-06-17T00:00:00" maxDate="2024-06-18T00:00:00"/>
    </cacheField>
    <cacheField name="Dev Start" numFmtId="0">
      <sharedItems containsNonDate="0" containsDate="1" containsBlank="1" containsMixedTypes="1" minDate="2024-09-13T00:00:00" maxDate="2024-09-14T00:00:00"/>
    </cacheField>
    <cacheField name="Dev Complate" numFmtId="0">
      <sharedItems containsNonDate="0" containsDate="1" containsString="0" containsBlank="1" minDate="2024-05-03T00:00:00" maxDate="2024-10-12T00:00:00"/>
    </cacheField>
    <cacheField name="TES-070" numFmtId="0">
      <sharedItems containsNonDate="0" containsString="0" containsBlank="1"/>
    </cacheField>
    <cacheField name="Testing" numFmtId="0">
      <sharedItems containsNonDate="0" containsBlank="1"/>
    </cacheField>
    <cacheField name="Action3" numFmtId="0">
      <sharedItems containsNonDate="0" containsBlank="1"/>
    </cacheField>
    <cacheField name="Testing Start" numFmtId="0">
      <sharedItems containsDate="1" containsBlank="1" containsMixedTypes="1" minDate="2024-06-18T00:00:00" maxDate="2024-07-20T00:00:00"/>
    </cacheField>
    <cacheField name="Testing Completed" numFmtId="0">
      <sharedItems containsNonDate="0" containsBlank="1"/>
    </cacheField>
    <cacheField name="DES-030 Deployment" numFmtId="0">
      <sharedItems containsNonDate="0" containsBlank="1"/>
    </cacheField>
    <cacheField name="DES-030 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x v="0"/>
    <x v="0"/>
    <x v="0"/>
    <x v="0"/>
    <x v="0"/>
    <x v="0"/>
    <s v="I"/>
    <x v="0"/>
    <x v="0"/>
  </r>
  <r>
    <x v="0"/>
    <x v="1"/>
    <x v="0"/>
    <x v="1"/>
    <x v="1"/>
    <x v="0"/>
    <x v="1"/>
    <s v="B"/>
    <x v="1"/>
    <x v="1"/>
  </r>
  <r>
    <x v="0"/>
    <x v="0"/>
    <x v="0"/>
    <x v="2"/>
    <x v="2"/>
    <x v="0"/>
    <x v="2"/>
    <s v="I"/>
    <x v="2"/>
    <x v="0"/>
  </r>
  <r>
    <x v="0"/>
    <x v="0"/>
    <x v="0"/>
    <x v="3"/>
    <x v="3"/>
    <x v="1"/>
    <x v="3"/>
    <s v="B"/>
    <x v="1"/>
    <x v="0"/>
  </r>
  <r>
    <x v="0"/>
    <x v="0"/>
    <x v="0"/>
    <x v="4"/>
    <x v="4"/>
    <x v="2"/>
    <x v="4"/>
    <m/>
    <x v="3"/>
    <x v="0"/>
  </r>
  <r>
    <x v="0"/>
    <x v="0"/>
    <x v="1"/>
    <x v="5"/>
    <x v="5"/>
    <x v="0"/>
    <x v="4"/>
    <s v="I"/>
    <x v="2"/>
    <x v="2"/>
  </r>
  <r>
    <x v="0"/>
    <x v="1"/>
    <x v="1"/>
    <x v="5"/>
    <x v="6"/>
    <x v="0"/>
    <x v="5"/>
    <s v="I"/>
    <x v="2"/>
    <x v="2"/>
  </r>
  <r>
    <x v="0"/>
    <x v="1"/>
    <x v="1"/>
    <x v="5"/>
    <x v="7"/>
    <x v="0"/>
    <x v="5"/>
    <s v="I"/>
    <x v="2"/>
    <x v="2"/>
  </r>
  <r>
    <x v="0"/>
    <x v="1"/>
    <x v="1"/>
    <x v="5"/>
    <x v="8"/>
    <x v="0"/>
    <x v="5"/>
    <s v="I"/>
    <x v="2"/>
    <x v="2"/>
  </r>
  <r>
    <x v="0"/>
    <x v="0"/>
    <x v="2"/>
    <x v="5"/>
    <x v="9"/>
    <x v="2"/>
    <x v="6"/>
    <s v="I"/>
    <x v="2"/>
    <x v="0"/>
  </r>
  <r>
    <x v="0"/>
    <x v="1"/>
    <x v="1"/>
    <x v="5"/>
    <x v="10"/>
    <x v="3"/>
    <x v="7"/>
    <s v="B"/>
    <x v="4"/>
    <x v="0"/>
  </r>
  <r>
    <x v="0"/>
    <x v="0"/>
    <x v="3"/>
    <x v="6"/>
    <x v="11"/>
    <x v="4"/>
    <x v="3"/>
    <s v="B"/>
    <x v="5"/>
    <x v="0"/>
  </r>
  <r>
    <x v="0"/>
    <x v="0"/>
    <x v="3"/>
    <x v="7"/>
    <x v="12"/>
    <x v="1"/>
    <x v="3"/>
    <s v="B"/>
    <x v="1"/>
    <x v="0"/>
  </r>
  <r>
    <x v="0"/>
    <x v="2"/>
    <x v="3"/>
    <x v="8"/>
    <x v="13"/>
    <x v="1"/>
    <x v="3"/>
    <s v="B"/>
    <x v="1"/>
    <x v="0"/>
  </r>
  <r>
    <x v="1"/>
    <x v="0"/>
    <x v="0"/>
    <x v="0"/>
    <x v="0"/>
    <x v="5"/>
    <x v="4"/>
    <s v="I"/>
    <x v="3"/>
    <x v="0"/>
  </r>
  <r>
    <x v="1"/>
    <x v="0"/>
    <x v="0"/>
    <x v="1"/>
    <x v="1"/>
    <x v="5"/>
    <x v="4"/>
    <s v="I"/>
    <x v="3"/>
    <x v="0"/>
  </r>
  <r>
    <x v="1"/>
    <x v="0"/>
    <x v="0"/>
    <x v="2"/>
    <x v="14"/>
    <x v="5"/>
    <x v="4"/>
    <s v="I"/>
    <x v="3"/>
    <x v="0"/>
  </r>
  <r>
    <x v="1"/>
    <x v="1"/>
    <x v="0"/>
    <x v="3"/>
    <x v="15"/>
    <x v="6"/>
    <x v="2"/>
    <s v="B"/>
    <x v="6"/>
    <x v="3"/>
  </r>
  <r>
    <x v="1"/>
    <x v="0"/>
    <x v="0"/>
    <x v="4"/>
    <x v="4"/>
    <x v="7"/>
    <x v="4"/>
    <m/>
    <x v="3"/>
    <x v="0"/>
  </r>
  <r>
    <x v="1"/>
    <x v="3"/>
    <x v="1"/>
    <x v="5"/>
    <x v="16"/>
    <x v="0"/>
    <x v="5"/>
    <s v="B"/>
    <x v="5"/>
    <x v="0"/>
  </r>
  <r>
    <x v="1"/>
    <x v="3"/>
    <x v="1"/>
    <x v="5"/>
    <x v="17"/>
    <x v="2"/>
    <x v="5"/>
    <s v="B"/>
    <x v="5"/>
    <x v="4"/>
  </r>
  <r>
    <x v="1"/>
    <x v="3"/>
    <x v="1"/>
    <x v="5"/>
    <x v="18"/>
    <x v="1"/>
    <x v="4"/>
    <m/>
    <x v="7"/>
    <x v="0"/>
  </r>
  <r>
    <x v="1"/>
    <x v="0"/>
    <x v="3"/>
    <x v="6"/>
    <x v="19"/>
    <x v="0"/>
    <x v="8"/>
    <s v="I"/>
    <x v="8"/>
    <x v="0"/>
  </r>
  <r>
    <x v="1"/>
    <x v="0"/>
    <x v="3"/>
    <x v="7"/>
    <x v="20"/>
    <x v="8"/>
    <x v="4"/>
    <s v="B"/>
    <x v="9"/>
    <x v="0"/>
  </r>
  <r>
    <x v="2"/>
    <x v="1"/>
    <x v="0"/>
    <x v="0"/>
    <x v="0"/>
    <x v="6"/>
    <x v="2"/>
    <s v="B"/>
    <x v="10"/>
    <x v="5"/>
  </r>
  <r>
    <x v="2"/>
    <x v="1"/>
    <x v="0"/>
    <x v="1"/>
    <x v="21"/>
    <x v="9"/>
    <x v="9"/>
    <s v="B"/>
    <x v="11"/>
    <x v="0"/>
  </r>
  <r>
    <x v="2"/>
    <x v="1"/>
    <x v="0"/>
    <x v="2"/>
    <x v="14"/>
    <x v="9"/>
    <x v="9"/>
    <s v="I"/>
    <x v="0"/>
    <x v="6"/>
  </r>
  <r>
    <x v="2"/>
    <x v="0"/>
    <x v="0"/>
    <x v="3"/>
    <x v="3"/>
    <x v="1"/>
    <x v="10"/>
    <s v="B"/>
    <x v="12"/>
    <x v="7"/>
  </r>
  <r>
    <x v="2"/>
    <x v="0"/>
    <x v="0"/>
    <x v="9"/>
    <x v="4"/>
    <x v="7"/>
    <x v="4"/>
    <m/>
    <x v="3"/>
    <x v="0"/>
  </r>
  <r>
    <x v="2"/>
    <x v="0"/>
    <x v="4"/>
    <x v="2"/>
    <x v="22"/>
    <x v="0"/>
    <x v="4"/>
    <s v="T"/>
    <x v="13"/>
    <x v="8"/>
  </r>
  <r>
    <x v="2"/>
    <x v="1"/>
    <x v="1"/>
    <x v="5"/>
    <x v="23"/>
    <x v="2"/>
    <x v="3"/>
    <s v="B"/>
    <x v="4"/>
    <x v="0"/>
  </r>
  <r>
    <x v="2"/>
    <x v="0"/>
    <x v="1"/>
    <x v="5"/>
    <x v="24"/>
    <x v="7"/>
    <x v="9"/>
    <s v="B"/>
    <x v="4"/>
    <x v="0"/>
  </r>
  <r>
    <x v="2"/>
    <x v="0"/>
    <x v="1"/>
    <x v="5"/>
    <x v="25"/>
    <x v="2"/>
    <x v="10"/>
    <s v="B"/>
    <x v="4"/>
    <x v="0"/>
  </r>
  <r>
    <x v="2"/>
    <x v="0"/>
    <x v="1"/>
    <x v="5"/>
    <x v="26"/>
    <x v="2"/>
    <x v="10"/>
    <s v="B"/>
    <x v="4"/>
    <x v="0"/>
  </r>
  <r>
    <x v="2"/>
    <x v="0"/>
    <x v="1"/>
    <x v="5"/>
    <x v="27"/>
    <x v="2"/>
    <x v="10"/>
    <s v="B"/>
    <x v="4"/>
    <x v="0"/>
  </r>
  <r>
    <x v="2"/>
    <x v="0"/>
    <x v="1"/>
    <x v="5"/>
    <x v="28"/>
    <x v="2"/>
    <x v="10"/>
    <s v="B"/>
    <x v="4"/>
    <x v="0"/>
  </r>
  <r>
    <x v="2"/>
    <x v="0"/>
    <x v="1"/>
    <x v="5"/>
    <x v="29"/>
    <x v="2"/>
    <x v="10"/>
    <s v="B"/>
    <x v="4"/>
    <x v="0"/>
  </r>
  <r>
    <x v="2"/>
    <x v="0"/>
    <x v="1"/>
    <x v="10"/>
    <x v="30"/>
    <x v="1"/>
    <x v="4"/>
    <s v="B"/>
    <x v="14"/>
    <x v="0"/>
  </r>
  <r>
    <x v="3"/>
    <x v="0"/>
    <x v="1"/>
    <x v="5"/>
    <x v="31"/>
    <x v="1"/>
    <x v="11"/>
    <s v="B"/>
    <x v="4"/>
    <x v="0"/>
  </r>
  <r>
    <x v="2"/>
    <x v="0"/>
    <x v="3"/>
    <x v="6"/>
    <x v="11"/>
    <x v="10"/>
    <x v="12"/>
    <s v="B"/>
    <x v="5"/>
    <x v="0"/>
  </r>
  <r>
    <x v="2"/>
    <x v="0"/>
    <x v="3"/>
    <x v="7"/>
    <x v="32"/>
    <x v="1"/>
    <x v="4"/>
    <m/>
    <x v="3"/>
    <x v="0"/>
  </r>
  <r>
    <x v="2"/>
    <x v="0"/>
    <x v="3"/>
    <x v="7"/>
    <x v="33"/>
    <x v="1"/>
    <x v="4"/>
    <m/>
    <x v="3"/>
    <x v="0"/>
  </r>
  <r>
    <x v="4"/>
    <x v="1"/>
    <x v="0"/>
    <x v="0"/>
    <x v="34"/>
    <x v="6"/>
    <x v="13"/>
    <s v="I"/>
    <x v="15"/>
    <x v="9"/>
  </r>
  <r>
    <x v="4"/>
    <x v="1"/>
    <x v="0"/>
    <x v="1"/>
    <x v="35"/>
    <x v="9"/>
    <x v="5"/>
    <s v="B"/>
    <x v="1"/>
    <x v="0"/>
  </r>
  <r>
    <x v="4"/>
    <x v="0"/>
    <x v="0"/>
    <x v="2"/>
    <x v="14"/>
    <x v="1"/>
    <x v="4"/>
    <m/>
    <x v="16"/>
    <x v="0"/>
  </r>
  <r>
    <x v="4"/>
    <x v="0"/>
    <x v="0"/>
    <x v="3"/>
    <x v="3"/>
    <x v="1"/>
    <x v="4"/>
    <m/>
    <x v="3"/>
    <x v="0"/>
  </r>
  <r>
    <x v="4"/>
    <x v="0"/>
    <x v="0"/>
    <x v="9"/>
    <x v="4"/>
    <x v="2"/>
    <x v="4"/>
    <m/>
    <x v="3"/>
    <x v="0"/>
  </r>
  <r>
    <x v="4"/>
    <x v="0"/>
    <x v="1"/>
    <x v="5"/>
    <x v="36"/>
    <x v="0"/>
    <x v="14"/>
    <s v="B"/>
    <x v="4"/>
    <x v="0"/>
  </r>
  <r>
    <x v="4"/>
    <x v="1"/>
    <x v="1"/>
    <x v="5"/>
    <x v="37"/>
    <x v="2"/>
    <x v="5"/>
    <s v="B"/>
    <x v="5"/>
    <x v="10"/>
  </r>
  <r>
    <x v="4"/>
    <x v="0"/>
    <x v="1"/>
    <x v="5"/>
    <x v="38"/>
    <x v="0"/>
    <x v="14"/>
    <s v="B"/>
    <x v="4"/>
    <x v="0"/>
  </r>
  <r>
    <x v="4"/>
    <x v="0"/>
    <x v="1"/>
    <x v="11"/>
    <x v="4"/>
    <x v="0"/>
    <x v="15"/>
    <s v="B"/>
    <x v="3"/>
    <x v="0"/>
  </r>
  <r>
    <x v="4"/>
    <x v="0"/>
    <x v="3"/>
    <x v="6"/>
    <x v="11"/>
    <x v="10"/>
    <x v="11"/>
    <s v="B"/>
    <x v="5"/>
    <x v="0"/>
  </r>
  <r>
    <x v="4"/>
    <x v="0"/>
    <x v="3"/>
    <x v="7"/>
    <x v="39"/>
    <x v="0"/>
    <x v="4"/>
    <m/>
    <x v="17"/>
    <x v="0"/>
  </r>
  <r>
    <x v="4"/>
    <x v="0"/>
    <x v="3"/>
    <x v="7"/>
    <x v="40"/>
    <x v="0"/>
    <x v="4"/>
    <m/>
    <x v="17"/>
    <x v="0"/>
  </r>
  <r>
    <x v="4"/>
    <x v="0"/>
    <x v="3"/>
    <x v="7"/>
    <x v="41"/>
    <x v="0"/>
    <x v="4"/>
    <m/>
    <x v="4"/>
    <x v="0"/>
  </r>
  <r>
    <x v="4"/>
    <x v="0"/>
    <x v="3"/>
    <x v="7"/>
    <x v="42"/>
    <x v="0"/>
    <x v="4"/>
    <m/>
    <x v="1"/>
    <x v="0"/>
  </r>
  <r>
    <x v="4"/>
    <x v="0"/>
    <x v="3"/>
    <x v="7"/>
    <x v="43"/>
    <x v="2"/>
    <x v="0"/>
    <s v="B"/>
    <x v="18"/>
    <x v="0"/>
  </r>
  <r>
    <x v="4"/>
    <x v="0"/>
    <x v="3"/>
    <x v="7"/>
    <x v="44"/>
    <x v="1"/>
    <x v="0"/>
    <s v="B"/>
    <x v="4"/>
    <x v="0"/>
  </r>
  <r>
    <x v="4"/>
    <x v="0"/>
    <x v="3"/>
    <x v="7"/>
    <x v="45"/>
    <x v="1"/>
    <x v="0"/>
    <s v="I"/>
    <x v="19"/>
    <x v="0"/>
  </r>
  <r>
    <x v="4"/>
    <x v="0"/>
    <x v="3"/>
    <x v="7"/>
    <x v="46"/>
    <x v="1"/>
    <x v="4"/>
    <s v="B"/>
    <x v="20"/>
    <x v="0"/>
  </r>
  <r>
    <x v="4"/>
    <x v="0"/>
    <x v="3"/>
    <x v="12"/>
    <x v="4"/>
    <x v="2"/>
    <x v="4"/>
    <m/>
    <x v="3"/>
    <x v="0"/>
  </r>
  <r>
    <x v="5"/>
    <x v="1"/>
    <x v="0"/>
    <x v="0"/>
    <x v="0"/>
    <x v="6"/>
    <x v="16"/>
    <s v="I"/>
    <x v="10"/>
    <x v="0"/>
  </r>
  <r>
    <x v="5"/>
    <x v="1"/>
    <x v="0"/>
    <x v="1"/>
    <x v="35"/>
    <x v="9"/>
    <x v="16"/>
    <s v="B"/>
    <x v="21"/>
    <x v="11"/>
  </r>
  <r>
    <x v="5"/>
    <x v="1"/>
    <x v="0"/>
    <x v="2"/>
    <x v="47"/>
    <x v="2"/>
    <x v="7"/>
    <s v="I"/>
    <x v="22"/>
    <x v="0"/>
  </r>
  <r>
    <x v="5"/>
    <x v="0"/>
    <x v="0"/>
    <x v="3"/>
    <x v="3"/>
    <x v="1"/>
    <x v="4"/>
    <m/>
    <x v="3"/>
    <x v="0"/>
  </r>
  <r>
    <x v="5"/>
    <x v="0"/>
    <x v="0"/>
    <x v="9"/>
    <x v="4"/>
    <x v="2"/>
    <x v="4"/>
    <m/>
    <x v="3"/>
    <x v="0"/>
  </r>
  <r>
    <x v="5"/>
    <x v="0"/>
    <x v="4"/>
    <x v="1"/>
    <x v="48"/>
    <x v="0"/>
    <x v="4"/>
    <s v="B"/>
    <x v="23"/>
    <x v="0"/>
  </r>
  <r>
    <x v="5"/>
    <x v="1"/>
    <x v="4"/>
    <x v="1"/>
    <x v="49"/>
    <x v="1"/>
    <x v="16"/>
    <s v="I"/>
    <x v="24"/>
    <x v="0"/>
  </r>
  <r>
    <x v="5"/>
    <x v="0"/>
    <x v="4"/>
    <x v="2"/>
    <x v="50"/>
    <x v="0"/>
    <x v="4"/>
    <s v="B"/>
    <x v="4"/>
    <x v="0"/>
  </r>
  <r>
    <x v="5"/>
    <x v="0"/>
    <x v="1"/>
    <x v="5"/>
    <x v="51"/>
    <x v="1"/>
    <x v="4"/>
    <s v="I"/>
    <x v="24"/>
    <x v="0"/>
  </r>
  <r>
    <x v="5"/>
    <x v="0"/>
    <x v="1"/>
    <x v="5"/>
    <x v="51"/>
    <x v="1"/>
    <x v="4"/>
    <s v="B"/>
    <x v="4"/>
    <x v="0"/>
  </r>
  <r>
    <x v="5"/>
    <x v="0"/>
    <x v="3"/>
    <x v="6"/>
    <x v="11"/>
    <x v="10"/>
    <x v="10"/>
    <s v="B"/>
    <x v="5"/>
    <x v="0"/>
  </r>
  <r>
    <x v="5"/>
    <x v="0"/>
    <x v="3"/>
    <x v="7"/>
    <x v="52"/>
    <x v="1"/>
    <x v="4"/>
    <s v="B"/>
    <x v="4"/>
    <x v="0"/>
  </r>
  <r>
    <x v="5"/>
    <x v="0"/>
    <x v="3"/>
    <x v="7"/>
    <x v="53"/>
    <x v="1"/>
    <x v="4"/>
    <s v="I"/>
    <x v="25"/>
    <x v="0"/>
  </r>
  <r>
    <x v="5"/>
    <x v="0"/>
    <x v="3"/>
    <x v="7"/>
    <x v="46"/>
    <x v="1"/>
    <x v="4"/>
    <s v="B"/>
    <x v="20"/>
    <x v="0"/>
  </r>
  <r>
    <x v="6"/>
    <x v="0"/>
    <x v="0"/>
    <x v="0"/>
    <x v="34"/>
    <x v="0"/>
    <x v="17"/>
    <s v="I"/>
    <x v="3"/>
    <x v="0"/>
  </r>
  <r>
    <x v="6"/>
    <x v="0"/>
    <x v="0"/>
    <x v="1"/>
    <x v="35"/>
    <x v="0"/>
    <x v="17"/>
    <s v="B"/>
    <x v="26"/>
    <x v="0"/>
  </r>
  <r>
    <x v="6"/>
    <x v="0"/>
    <x v="0"/>
    <x v="2"/>
    <x v="14"/>
    <x v="1"/>
    <x v="1"/>
    <m/>
    <x v="22"/>
    <x v="0"/>
  </r>
  <r>
    <x v="6"/>
    <x v="0"/>
    <x v="0"/>
    <x v="3"/>
    <x v="3"/>
    <x v="1"/>
    <x v="4"/>
    <s v="B"/>
    <x v="27"/>
    <x v="0"/>
  </r>
  <r>
    <x v="6"/>
    <x v="0"/>
    <x v="0"/>
    <x v="9"/>
    <x v="4"/>
    <x v="2"/>
    <x v="4"/>
    <m/>
    <x v="3"/>
    <x v="0"/>
  </r>
  <r>
    <x v="6"/>
    <x v="1"/>
    <x v="4"/>
    <x v="2"/>
    <x v="54"/>
    <x v="0"/>
    <x v="5"/>
    <s v="B"/>
    <x v="5"/>
    <x v="0"/>
  </r>
  <r>
    <x v="6"/>
    <x v="0"/>
    <x v="1"/>
    <x v="5"/>
    <x v="55"/>
    <x v="2"/>
    <x v="13"/>
    <s v="B"/>
    <x v="5"/>
    <x v="0"/>
  </r>
  <r>
    <x v="6"/>
    <x v="1"/>
    <x v="1"/>
    <x v="5"/>
    <x v="56"/>
    <x v="2"/>
    <x v="5"/>
    <s v="B"/>
    <x v="5"/>
    <x v="0"/>
  </r>
  <r>
    <x v="6"/>
    <x v="1"/>
    <x v="1"/>
    <x v="5"/>
    <x v="57"/>
    <x v="2"/>
    <x v="9"/>
    <s v="B"/>
    <x v="5"/>
    <x v="0"/>
  </r>
  <r>
    <x v="6"/>
    <x v="0"/>
    <x v="3"/>
    <x v="6"/>
    <x v="11"/>
    <x v="11"/>
    <x v="18"/>
    <s v="B"/>
    <x v="5"/>
    <x v="0"/>
  </r>
  <r>
    <x v="6"/>
    <x v="0"/>
    <x v="3"/>
    <x v="7"/>
    <x v="58"/>
    <x v="1"/>
    <x v="7"/>
    <s v="B"/>
    <x v="28"/>
    <x v="0"/>
  </r>
  <r>
    <x v="6"/>
    <x v="0"/>
    <x v="3"/>
    <x v="8"/>
    <x v="59"/>
    <x v="1"/>
    <x v="7"/>
    <s v="B"/>
    <x v="27"/>
    <x v="0"/>
  </r>
  <r>
    <x v="6"/>
    <x v="0"/>
    <x v="3"/>
    <x v="8"/>
    <x v="60"/>
    <x v="1"/>
    <x v="7"/>
    <s v="I"/>
    <x v="29"/>
    <x v="0"/>
  </r>
  <r>
    <x v="7"/>
    <x v="1"/>
    <x v="0"/>
    <x v="0"/>
    <x v="0"/>
    <x v="0"/>
    <x v="1"/>
    <s v="I"/>
    <x v="30"/>
    <x v="0"/>
  </r>
  <r>
    <x v="7"/>
    <x v="1"/>
    <x v="0"/>
    <x v="1"/>
    <x v="35"/>
    <x v="0"/>
    <x v="13"/>
    <m/>
    <x v="31"/>
    <x v="12"/>
  </r>
  <r>
    <x v="7"/>
    <x v="0"/>
    <x v="0"/>
    <x v="2"/>
    <x v="14"/>
    <x v="1"/>
    <x v="4"/>
    <s v="B"/>
    <x v="5"/>
    <x v="0"/>
  </r>
  <r>
    <x v="7"/>
    <x v="0"/>
    <x v="0"/>
    <x v="3"/>
    <x v="3"/>
    <x v="1"/>
    <x v="4"/>
    <s v="B"/>
    <x v="31"/>
    <x v="0"/>
  </r>
  <r>
    <x v="7"/>
    <x v="0"/>
    <x v="0"/>
    <x v="9"/>
    <x v="4"/>
    <x v="2"/>
    <x v="4"/>
    <m/>
    <x v="3"/>
    <x v="0"/>
  </r>
  <r>
    <x v="7"/>
    <x v="0"/>
    <x v="1"/>
    <x v="5"/>
    <x v="61"/>
    <x v="0"/>
    <x v="0"/>
    <s v="B"/>
    <x v="5"/>
    <x v="0"/>
  </r>
  <r>
    <x v="7"/>
    <x v="1"/>
    <x v="1"/>
    <x v="5"/>
    <x v="62"/>
    <x v="0"/>
    <x v="5"/>
    <s v="B"/>
    <x v="5"/>
    <x v="0"/>
  </r>
  <r>
    <x v="7"/>
    <x v="1"/>
    <x v="1"/>
    <x v="5"/>
    <x v="63"/>
    <x v="2"/>
    <x v="9"/>
    <s v="B"/>
    <x v="32"/>
    <x v="0"/>
  </r>
  <r>
    <x v="7"/>
    <x v="1"/>
    <x v="1"/>
    <x v="5"/>
    <x v="64"/>
    <x v="6"/>
    <x v="1"/>
    <s v="B"/>
    <x v="33"/>
    <x v="13"/>
  </r>
  <r>
    <x v="7"/>
    <x v="0"/>
    <x v="1"/>
    <x v="5"/>
    <x v="65"/>
    <x v="2"/>
    <x v="3"/>
    <s v="B"/>
    <x v="3"/>
    <x v="14"/>
  </r>
  <r>
    <x v="7"/>
    <x v="0"/>
    <x v="1"/>
    <x v="5"/>
    <x v="66"/>
    <x v="1"/>
    <x v="3"/>
    <s v="B"/>
    <x v="3"/>
    <x v="0"/>
  </r>
  <r>
    <x v="7"/>
    <x v="0"/>
    <x v="1"/>
    <x v="5"/>
    <x v="67"/>
    <x v="1"/>
    <x v="10"/>
    <s v="I"/>
    <x v="3"/>
    <x v="0"/>
  </r>
  <r>
    <x v="7"/>
    <x v="0"/>
    <x v="1"/>
    <x v="5"/>
    <x v="68"/>
    <x v="2"/>
    <x v="9"/>
    <s v="B"/>
    <x v="5"/>
    <x v="0"/>
  </r>
  <r>
    <x v="8"/>
    <x v="0"/>
    <x v="3"/>
    <x v="6"/>
    <x v="11"/>
    <x v="4"/>
    <x v="19"/>
    <s v="B"/>
    <x v="5"/>
    <x v="0"/>
  </r>
  <r>
    <x v="9"/>
    <x v="0"/>
    <x v="3"/>
    <x v="6"/>
    <x v="11"/>
    <x v="4"/>
    <x v="20"/>
    <s v="B"/>
    <x v="5"/>
    <x v="0"/>
  </r>
  <r>
    <x v="7"/>
    <x v="0"/>
    <x v="3"/>
    <x v="7"/>
    <x v="69"/>
    <x v="1"/>
    <x v="4"/>
    <s v="B"/>
    <x v="31"/>
    <x v="0"/>
  </r>
  <r>
    <x v="7"/>
    <x v="0"/>
    <x v="3"/>
    <x v="7"/>
    <x v="70"/>
    <x v="1"/>
    <x v="4"/>
    <s v="B"/>
    <x v="31"/>
    <x v="0"/>
  </r>
  <r>
    <x v="7"/>
    <x v="0"/>
    <x v="3"/>
    <x v="7"/>
    <x v="71"/>
    <x v="1"/>
    <x v="4"/>
    <s v="B"/>
    <x v="31"/>
    <x v="0"/>
  </r>
  <r>
    <x v="7"/>
    <x v="0"/>
    <x v="3"/>
    <x v="7"/>
    <x v="72"/>
    <x v="1"/>
    <x v="4"/>
    <s v="B"/>
    <x v="31"/>
    <x v="0"/>
  </r>
  <r>
    <x v="10"/>
    <x v="1"/>
    <x v="0"/>
    <x v="0"/>
    <x v="34"/>
    <x v="2"/>
    <x v="5"/>
    <s v="I"/>
    <x v="15"/>
    <x v="0"/>
  </r>
  <r>
    <x v="10"/>
    <x v="1"/>
    <x v="0"/>
    <x v="1"/>
    <x v="35"/>
    <x v="9"/>
    <x v="9"/>
    <s v="B"/>
    <x v="1"/>
    <x v="0"/>
  </r>
  <r>
    <x v="10"/>
    <x v="0"/>
    <x v="0"/>
    <x v="2"/>
    <x v="14"/>
    <x v="2"/>
    <x v="7"/>
    <s v="I"/>
    <x v="22"/>
    <x v="0"/>
  </r>
  <r>
    <x v="10"/>
    <x v="0"/>
    <x v="0"/>
    <x v="3"/>
    <x v="3"/>
    <x v="1"/>
    <x v="4"/>
    <m/>
    <x v="3"/>
    <x v="0"/>
  </r>
  <r>
    <x v="10"/>
    <x v="0"/>
    <x v="0"/>
    <x v="9"/>
    <x v="4"/>
    <x v="2"/>
    <x v="4"/>
    <m/>
    <x v="3"/>
    <x v="0"/>
  </r>
  <r>
    <x v="10"/>
    <x v="4"/>
    <x v="1"/>
    <x v="5"/>
    <x v="73"/>
    <x v="1"/>
    <x v="7"/>
    <s v="I"/>
    <x v="15"/>
    <x v="15"/>
  </r>
  <r>
    <x v="10"/>
    <x v="0"/>
    <x v="1"/>
    <x v="5"/>
    <x v="74"/>
    <x v="2"/>
    <x v="4"/>
    <m/>
    <x v="3"/>
    <x v="16"/>
  </r>
  <r>
    <x v="10"/>
    <x v="0"/>
    <x v="1"/>
    <x v="5"/>
    <x v="75"/>
    <x v="2"/>
    <x v="4"/>
    <m/>
    <x v="3"/>
    <x v="0"/>
  </r>
  <r>
    <x v="11"/>
    <x v="0"/>
    <x v="0"/>
    <x v="0"/>
    <x v="0"/>
    <x v="0"/>
    <x v="1"/>
    <s v="I"/>
    <x v="22"/>
    <x v="0"/>
  </r>
  <r>
    <x v="11"/>
    <x v="0"/>
    <x v="0"/>
    <x v="1"/>
    <x v="35"/>
    <x v="0"/>
    <x v="4"/>
    <m/>
    <x v="34"/>
    <x v="0"/>
  </r>
  <r>
    <x v="11"/>
    <x v="0"/>
    <x v="0"/>
    <x v="2"/>
    <x v="14"/>
    <x v="0"/>
    <x v="4"/>
    <s v="I"/>
    <x v="22"/>
    <x v="0"/>
  </r>
  <r>
    <x v="11"/>
    <x v="1"/>
    <x v="0"/>
    <x v="3"/>
    <x v="3"/>
    <x v="2"/>
    <x v="5"/>
    <s v="B"/>
    <x v="34"/>
    <x v="0"/>
  </r>
  <r>
    <x v="11"/>
    <x v="0"/>
    <x v="0"/>
    <x v="9"/>
    <x v="4"/>
    <x v="2"/>
    <x v="4"/>
    <m/>
    <x v="3"/>
    <x v="0"/>
  </r>
  <r>
    <x v="11"/>
    <x v="0"/>
    <x v="1"/>
    <x v="5"/>
    <x v="76"/>
    <x v="0"/>
    <x v="4"/>
    <s v="I"/>
    <x v="22"/>
    <x v="0"/>
  </r>
  <r>
    <x v="11"/>
    <x v="0"/>
    <x v="1"/>
    <x v="5"/>
    <x v="77"/>
    <x v="1"/>
    <x v="21"/>
    <s v="B"/>
    <x v="35"/>
    <x v="0"/>
  </r>
  <r>
    <x v="11"/>
    <x v="0"/>
    <x v="3"/>
    <x v="6"/>
    <x v="11"/>
    <x v="0"/>
    <x v="22"/>
    <s v="B"/>
    <x v="8"/>
    <x v="0"/>
  </r>
  <r>
    <x v="11"/>
    <x v="0"/>
    <x v="3"/>
    <x v="7"/>
    <x v="78"/>
    <x v="2"/>
    <x v="4"/>
    <s v="B"/>
    <x v="34"/>
    <x v="0"/>
  </r>
  <r>
    <x v="11"/>
    <x v="0"/>
    <x v="3"/>
    <x v="7"/>
    <x v="79"/>
    <x v="2"/>
    <x v="4"/>
    <s v="B"/>
    <x v="34"/>
    <x v="0"/>
  </r>
  <r>
    <x v="12"/>
    <x v="0"/>
    <x v="0"/>
    <x v="1"/>
    <x v="80"/>
    <x v="0"/>
    <x v="23"/>
    <s v="I"/>
    <x v="30"/>
    <x v="0"/>
  </r>
  <r>
    <x v="12"/>
    <x v="0"/>
    <x v="0"/>
    <x v="1"/>
    <x v="81"/>
    <x v="0"/>
    <x v="24"/>
    <s v="I"/>
    <x v="30"/>
    <x v="0"/>
  </r>
  <r>
    <x v="12"/>
    <x v="0"/>
    <x v="0"/>
    <x v="1"/>
    <x v="82"/>
    <x v="0"/>
    <x v="25"/>
    <s v="I"/>
    <x v="30"/>
    <x v="0"/>
  </r>
  <r>
    <x v="12"/>
    <x v="0"/>
    <x v="0"/>
    <x v="1"/>
    <x v="83"/>
    <x v="0"/>
    <x v="1"/>
    <s v="B"/>
    <x v="36"/>
    <x v="0"/>
  </r>
  <r>
    <x v="12"/>
    <x v="0"/>
    <x v="0"/>
    <x v="1"/>
    <x v="84"/>
    <x v="0"/>
    <x v="1"/>
    <s v="B"/>
    <x v="36"/>
    <x v="0"/>
  </r>
  <r>
    <x v="12"/>
    <x v="1"/>
    <x v="0"/>
    <x v="2"/>
    <x v="14"/>
    <x v="2"/>
    <x v="7"/>
    <s v="I"/>
    <x v="30"/>
    <x v="17"/>
  </r>
  <r>
    <x v="12"/>
    <x v="0"/>
    <x v="0"/>
    <x v="3"/>
    <x v="3"/>
    <x v="1"/>
    <x v="4"/>
    <m/>
    <x v="3"/>
    <x v="0"/>
  </r>
  <r>
    <x v="12"/>
    <x v="0"/>
    <x v="1"/>
    <x v="5"/>
    <x v="85"/>
    <x v="2"/>
    <x v="4"/>
    <m/>
    <x v="37"/>
    <x v="18"/>
  </r>
  <r>
    <x v="12"/>
    <x v="0"/>
    <x v="1"/>
    <x v="5"/>
    <x v="86"/>
    <x v="2"/>
    <x v="4"/>
    <m/>
    <x v="38"/>
    <x v="0"/>
  </r>
  <r>
    <x v="12"/>
    <x v="0"/>
    <x v="3"/>
    <x v="6"/>
    <x v="87"/>
    <x v="10"/>
    <x v="12"/>
    <s v="B"/>
    <x v="39"/>
    <x v="0"/>
  </r>
  <r>
    <x v="12"/>
    <x v="0"/>
    <x v="3"/>
    <x v="6"/>
    <x v="88"/>
    <x v="10"/>
    <x v="26"/>
    <s v="B"/>
    <x v="39"/>
    <x v="0"/>
  </r>
  <r>
    <x v="12"/>
    <x v="0"/>
    <x v="3"/>
    <x v="7"/>
    <x v="85"/>
    <x v="2"/>
    <x v="4"/>
    <m/>
    <x v="3"/>
    <x v="0"/>
  </r>
  <r>
    <x v="13"/>
    <x v="0"/>
    <x v="0"/>
    <x v="0"/>
    <x v="0"/>
    <x v="0"/>
    <x v="17"/>
    <s v="I"/>
    <x v="3"/>
    <x v="0"/>
  </r>
  <r>
    <x v="13"/>
    <x v="0"/>
    <x v="0"/>
    <x v="1"/>
    <x v="35"/>
    <x v="0"/>
    <x v="17"/>
    <s v="B"/>
    <x v="26"/>
    <x v="0"/>
  </r>
  <r>
    <x v="13"/>
    <x v="0"/>
    <x v="0"/>
    <x v="2"/>
    <x v="14"/>
    <x v="0"/>
    <x v="1"/>
    <s v="I"/>
    <x v="22"/>
    <x v="0"/>
  </r>
  <r>
    <x v="13"/>
    <x v="0"/>
    <x v="0"/>
    <x v="3"/>
    <x v="3"/>
    <x v="1"/>
    <x v="4"/>
    <s v="B"/>
    <x v="40"/>
    <x v="0"/>
  </r>
  <r>
    <x v="13"/>
    <x v="0"/>
    <x v="0"/>
    <x v="9"/>
    <x v="4"/>
    <x v="2"/>
    <x v="4"/>
    <m/>
    <x v="3"/>
    <x v="0"/>
  </r>
  <r>
    <x v="13"/>
    <x v="0"/>
    <x v="1"/>
    <x v="5"/>
    <x v="55"/>
    <x v="2"/>
    <x v="13"/>
    <s v="B"/>
    <x v="5"/>
    <x v="0"/>
  </r>
  <r>
    <x v="13"/>
    <x v="1"/>
    <x v="1"/>
    <x v="5"/>
    <x v="56"/>
    <x v="2"/>
    <x v="5"/>
    <s v="B"/>
    <x v="5"/>
    <x v="19"/>
  </r>
  <r>
    <x v="13"/>
    <x v="1"/>
    <x v="1"/>
    <x v="5"/>
    <x v="57"/>
    <x v="1"/>
    <x v="9"/>
    <s v="B"/>
    <x v="5"/>
    <x v="0"/>
  </r>
  <r>
    <x v="13"/>
    <x v="0"/>
    <x v="3"/>
    <x v="6"/>
    <x v="11"/>
    <x v="11"/>
    <x v="18"/>
    <s v="B"/>
    <x v="5"/>
    <x v="0"/>
  </r>
  <r>
    <x v="13"/>
    <x v="0"/>
    <x v="3"/>
    <x v="7"/>
    <x v="59"/>
    <x v="1"/>
    <x v="7"/>
    <s v="B"/>
    <x v="27"/>
    <x v="0"/>
  </r>
  <r>
    <x v="13"/>
    <x v="0"/>
    <x v="3"/>
    <x v="7"/>
    <x v="60"/>
    <x v="1"/>
    <x v="7"/>
    <s v="I"/>
    <x v="29"/>
    <x v="0"/>
  </r>
  <r>
    <x v="3"/>
    <x v="0"/>
    <x v="5"/>
    <x v="13"/>
    <x v="4"/>
    <x v="7"/>
    <x v="4"/>
    <m/>
    <x v="3"/>
    <x v="0"/>
  </r>
  <r>
    <x v="3"/>
    <x v="0"/>
    <x v="5"/>
    <x v="13"/>
    <x v="4"/>
    <x v="7"/>
    <x v="4"/>
    <m/>
    <x v="3"/>
    <x v="0"/>
  </r>
  <r>
    <x v="3"/>
    <x v="0"/>
    <x v="5"/>
    <x v="13"/>
    <x v="4"/>
    <x v="7"/>
    <x v="4"/>
    <m/>
    <x v="3"/>
    <x v="0"/>
  </r>
  <r>
    <x v="1"/>
    <x v="0"/>
    <x v="3"/>
    <x v="8"/>
    <x v="89"/>
    <x v="1"/>
    <x v="4"/>
    <s v="B"/>
    <x v="1"/>
    <x v="0"/>
  </r>
  <r>
    <x v="10"/>
    <x v="0"/>
    <x v="3"/>
    <x v="6"/>
    <x v="11"/>
    <x v="11"/>
    <x v="12"/>
    <s v="B"/>
    <x v="5"/>
    <x v="0"/>
  </r>
  <r>
    <x v="3"/>
    <x v="0"/>
    <x v="5"/>
    <x v="13"/>
    <x v="4"/>
    <x v="7"/>
    <x v="4"/>
    <m/>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FIN001"/>
    <s v="PNC Lockbox EDI 823 checks"/>
    <s v="No"/>
    <s v="Finance"/>
    <s v="Infor"/>
    <s v="Kim"/>
    <s v="Jeff"/>
    <s v="Pre Development"/>
    <s v="SPS"/>
    <x v="0"/>
    <m/>
    <m/>
    <n v="30"/>
    <n v="30"/>
    <d v="2024-10-30T00:00:00"/>
    <s v="Dennis"/>
    <m/>
    <s v="WIP"/>
    <s v="Kim"/>
    <d v="2024-09-27T00:00:00"/>
    <m/>
    <s v="TBD"/>
    <m/>
    <m/>
    <m/>
    <m/>
    <m/>
    <m/>
    <m/>
    <m/>
    <m/>
    <m/>
    <m/>
    <m/>
    <m/>
    <m/>
    <s v="09/16 Dennis to completing review of EDI 823 and 820 mappings by EOD 09/20. ANA-050 to follow completion approx 09/25._x000a_08/27 Dennis had a meeting with PNC and Barnes and SPS. PNC Bank discussed the scope with Barnes_x000a_08/08 Dennis initiated weekly recurring calls to track progress. Dean to get the JBA and PNC together to discuss the current process and required specs."/>
    <s v="PNC Bank(Wendella) &amp; SPS Commerce (Courney/Zach)_x000a_+Dennis for ANA-050"/>
  </r>
  <r>
    <x v="0"/>
    <s v="FIN005"/>
    <s v="PNC Lockbox EDI820 flat file ACH ad wires"/>
    <s v="No"/>
    <s v="Finance"/>
    <s v="Infor"/>
    <s v="Kim"/>
    <s v="Jeff"/>
    <s v="Pre Development"/>
    <s v="SPS"/>
    <x v="0"/>
    <m/>
    <m/>
    <n v="30"/>
    <n v="30"/>
    <d v="2024-10-30T00:00:00"/>
    <s v="Dennis"/>
    <m/>
    <s v="WIP"/>
    <m/>
    <d v="2024-09-27T00:00:00"/>
    <m/>
    <s v="TBD"/>
    <m/>
    <m/>
    <m/>
    <m/>
    <m/>
    <m/>
    <m/>
    <m/>
    <m/>
    <m/>
    <m/>
    <m/>
    <m/>
    <m/>
    <s v="09/16 Dennis to completing review of EDI 823 and 820 mappings by EOD 09/20. ANA-050 to follow completion approx 09/25._x000a_08/27 Dennis had a meeting with PNC and Barnes and SPS. PNC Bank discussed the scope with Barnes_x000a_New file that we found out 20230123, sample file in share point, modified for barnes, we should get stdEDI 820 from bank. Via SPS Commerce?"/>
    <s v="PNC Bank(Wendella) &amp; SPS Commerce (Courney/Zach)_x000a_+Dennis for ANA-050"/>
  </r>
  <r>
    <x v="1"/>
    <s v="FIN003"/>
    <s v="Check Run Header"/>
    <s v="No"/>
    <s v="Finance"/>
    <s v="Infor"/>
    <s v="Kim"/>
    <s v="Jeff"/>
    <s v="Pending Approval"/>
    <s v="Finance"/>
    <x v="1"/>
    <m/>
    <m/>
    <n v="15"/>
    <n v="15"/>
    <d v="2024-10-15T00:00:00"/>
    <s v="Carlo"/>
    <m/>
    <s v="Completed"/>
    <m/>
    <m/>
    <m/>
    <s v="Isaiah John Tolentino"/>
    <s v="Completed"/>
    <m/>
    <m/>
    <m/>
    <m/>
    <d v="2024-09-13T00:00:00"/>
    <d v="2024-10-11T00:00:00"/>
    <m/>
    <m/>
    <m/>
    <m/>
    <m/>
    <m/>
    <m/>
    <s v="September 25. Dev almost complete. Sent to Carlo for validation. Carlo need to reply ASAP for dev to continue._x000a_Sep 13. Dev started. Redy by Oct 11_x000a_8/27 - Carlo sent ANA-50 for approval to Finance_x000a_20 Aug - Dean needs to approve_x000a_Ahmed start func spec after PNC"/>
    <s v="Carlo Alcazar "/>
  </r>
  <r>
    <x v="1"/>
    <s v="FIN004"/>
    <s v="Check Run Details"/>
    <s v="No"/>
    <s v="Finance"/>
    <s v="Infor"/>
    <s v="Kim"/>
    <s v="Jeff"/>
    <s v="Pending Approval"/>
    <s v="Finance"/>
    <x v="1"/>
    <m/>
    <m/>
    <n v="15"/>
    <n v="15"/>
    <d v="2024-10-15T00:00:00"/>
    <s v="Carlo"/>
    <m/>
    <s v="Completed"/>
    <m/>
    <m/>
    <m/>
    <s v="Isaiah John Tolentino"/>
    <s v="Completed"/>
    <m/>
    <m/>
    <m/>
    <m/>
    <d v="2024-09-13T00:00:00"/>
    <d v="2024-10-11T00:00:00"/>
    <m/>
    <m/>
    <m/>
    <m/>
    <m/>
    <m/>
    <m/>
    <s v="September 25. Dev almost complete. Sent to Carlo for validation. Carlo need to reply ASAP for dev to continue._x000a_Sep 13. Dev started. Redy by Oct 11_x000a_8/27 - Carlo sent ANA-50 for approval to Finance_x000a_20 Aug - Dean needs to approve_x000a_Ahmed start func spec after PNC"/>
    <s v="Carlo Alcazar "/>
  </r>
  <r>
    <x v="2"/>
    <s v="CNP001"/>
    <s v="Payment Authorization"/>
    <s v="Yes"/>
    <s v="OTC"/>
    <s v="Infor"/>
    <s v="Amy B / Louis"/>
    <s v="Dean "/>
    <s v="Testing"/>
    <s v="Finance"/>
    <x v="2"/>
    <m/>
    <m/>
    <n v="2"/>
    <n v="2"/>
    <d v="2024-10-02T00:00:00"/>
    <s v="Hubert "/>
    <m/>
    <s v="NA"/>
    <m/>
    <m/>
    <m/>
    <s v="N/A "/>
    <s v="NA"/>
    <m/>
    <m/>
    <m/>
    <m/>
    <m/>
    <m/>
    <m/>
    <m/>
    <m/>
    <m/>
    <m/>
    <m/>
    <s v="NA"/>
    <s v="_x000a_August - Infor Standard Integration (OOB)_x000a_Unknown date &gt; existing Infor CenPos code. this team to verify that it works for Barnes. Hubert/Cheska to test CenPos. 7/18. only Dev person is needed if Hubert/Cheska see need for a change._x000a_Unknown date &gt; H5 script, manage in UI. Waiting for contact at Barnes and Worldpay"/>
    <s v="Infor (Hubert/Daniel)"/>
  </r>
  <r>
    <x v="2"/>
    <s v="CNP002"/>
    <s v="Payment Capture"/>
    <s v="Yes"/>
    <s v="OTC"/>
    <s v="Infor"/>
    <s v="Amy B / Louis"/>
    <s v="Dean "/>
    <s v="Testing"/>
    <s v="Finance"/>
    <x v="2"/>
    <m/>
    <m/>
    <n v="2"/>
    <n v="2"/>
    <d v="2024-10-02T00:00:00"/>
    <s v="Hubert "/>
    <m/>
    <s v="NA"/>
    <m/>
    <m/>
    <m/>
    <s v="N/A "/>
    <s v="NA"/>
    <m/>
    <m/>
    <m/>
    <m/>
    <m/>
    <m/>
    <m/>
    <m/>
    <m/>
    <m/>
    <m/>
    <m/>
    <s v="NA"/>
    <s v="August - Infor Standard Integration (OOB)_x000a_Unknown date &gt; existing Infor CenPos code. this team to verify that it works for Barnes. Hubert/Cheska to test CenPos. _x000a_7/18. only Dev person is needed if Hubert/Cheska see need for a change._x000a_H5 script, manage in UI. Waiting for contact at Barnes and Worldpay"/>
    <s v="Infor (Hubert/Daniel)"/>
  </r>
  <r>
    <x v="3"/>
    <s v="SFDC02"/>
    <s v="Customer"/>
    <m/>
    <s v="OTC"/>
    <s v="Barnes"/>
    <s v="Robert"/>
    <s v="Torbjörn"/>
    <s v="Out of Scope"/>
    <m/>
    <x v="3"/>
    <m/>
    <m/>
    <n v="60"/>
    <n v="60"/>
    <d v="2024-11-29T00:00:00"/>
    <m/>
    <m/>
    <s v="NA"/>
    <d v="2024-02-27T00:00:00"/>
    <m/>
    <m/>
    <s v="Martin "/>
    <m/>
    <s v="Martin"/>
    <m/>
    <m/>
    <m/>
    <m/>
    <m/>
    <m/>
    <m/>
    <m/>
    <s v="Daniel/Martin"/>
    <m/>
    <m/>
    <s v="Martin"/>
    <s v="ANA-050 started ready for review Feb 2_x000a_20240126: Meeting anc coclusion is no integration between M3 ans SF. All is going between SF _ Azure_x000a_•3/20 no longer needed"/>
    <s v="Martin "/>
  </r>
  <r>
    <x v="3"/>
    <s v="SFDC03"/>
    <s v="ShipToPartyMaster / Addresses"/>
    <m/>
    <s v="OTC"/>
    <s v="Barnes"/>
    <s v="Robert"/>
    <s v="Torbjörn"/>
    <s v="Out of Scope"/>
    <m/>
    <x v="3"/>
    <m/>
    <m/>
    <n v="60"/>
    <n v="60"/>
    <d v="2024-11-29T00:00:00"/>
    <m/>
    <m/>
    <s v="NA"/>
    <d v="2024-02-27T00:00:00"/>
    <m/>
    <m/>
    <s v="Martin "/>
    <m/>
    <s v="Martin"/>
    <m/>
    <m/>
    <m/>
    <m/>
    <m/>
    <m/>
    <m/>
    <m/>
    <s v="Daniel/Martin"/>
    <m/>
    <m/>
    <s v="Martin"/>
    <s v="Credti limit was Removed from scope during CRP. Payment terms on Customer is enought, replaced by ShipToPartyMaster / Addresses. Martin start ANA-050 Jan 29_x000a_20240126: Meeting and conclusion is this will not be done in M3CE. Barnes handle the int between  SF- AZureDB_x000a_•3/20 no longer needed"/>
    <s v="Martin "/>
  </r>
  <r>
    <x v="4"/>
    <s v="CFO001"/>
    <s v="Customer Payments &amp; Credits"/>
    <s v="No"/>
    <s v="Finance"/>
    <s v="Barnes"/>
    <s v="Kim"/>
    <s v="Dean"/>
    <s v="Not Started"/>
    <m/>
    <x v="0"/>
    <m/>
    <m/>
    <n v="30"/>
    <n v="30"/>
    <d v="2024-10-30T00:00:00"/>
    <s v="Rachelle"/>
    <m/>
    <s v="WIP"/>
    <m/>
    <d v="2024-09-30T00:00:00"/>
    <m/>
    <s v="Martin "/>
    <m/>
    <s v="Dean"/>
    <m/>
    <m/>
    <m/>
    <m/>
    <m/>
    <m/>
    <m/>
    <m/>
    <m/>
    <m/>
    <m/>
    <s v="Dean"/>
    <s v="09/16 New Infor finance resource Rachelle Malahito onboarded this week to start work on CFORIA ANA-050_x000a_Barnes Kevin Alexander starting on this. Barnes Cforia test environment"/>
    <m/>
  </r>
  <r>
    <x v="4"/>
    <s v="CFO002"/>
    <s v="Customer Order"/>
    <s v="No"/>
    <s v="Finance"/>
    <s v="Barnes"/>
    <s v="Kim"/>
    <s v="Dean"/>
    <s v="Not Started"/>
    <m/>
    <x v="0"/>
    <m/>
    <m/>
    <n v="30"/>
    <n v="30"/>
    <d v="2024-10-30T00:00:00"/>
    <s v="Rachelle"/>
    <m/>
    <s v="WIP"/>
    <m/>
    <d v="2024-09-30T00:00:00"/>
    <m/>
    <s v="Martin "/>
    <m/>
    <s v="Dean"/>
    <m/>
    <m/>
    <m/>
    <m/>
    <m/>
    <m/>
    <m/>
    <m/>
    <m/>
    <m/>
    <m/>
    <s v="Dean"/>
    <s v="09/16 New Infor finance resource Rachelle Malahito onboarded this week to start work on CFORIA ANA-050_x000a_Barnes Kevin Alexander starting on this"/>
    <m/>
  </r>
  <r>
    <x v="4"/>
    <s v="CFO003"/>
    <s v="Customer Master"/>
    <s v="No"/>
    <s v="Finance"/>
    <s v="Barnes"/>
    <s v="Kim"/>
    <s v="Dean"/>
    <s v="Not Started"/>
    <m/>
    <x v="0"/>
    <m/>
    <m/>
    <n v="30"/>
    <n v="30"/>
    <d v="2024-10-30T00:00:00"/>
    <s v="Rachelle"/>
    <m/>
    <s v="WIP"/>
    <m/>
    <d v="2024-09-30T00:00:00"/>
    <m/>
    <s v="Martin "/>
    <m/>
    <s v="Dean"/>
    <m/>
    <m/>
    <m/>
    <m/>
    <m/>
    <m/>
    <m/>
    <m/>
    <m/>
    <m/>
    <m/>
    <s v="Dean"/>
    <s v="09/16 New Infor finance resource Rachelle Malahito onboarded this week to start work on CFORIA ANA-050_x000a_Barnes Kevin Alexander starting on this"/>
    <m/>
  </r>
  <r>
    <x v="4"/>
    <s v="CFO004"/>
    <s v="Invoice Payment History"/>
    <s v="No"/>
    <s v="Finance"/>
    <s v="Barnes"/>
    <s v="Kim"/>
    <s v="Dean"/>
    <s v="Not Started"/>
    <m/>
    <x v="0"/>
    <m/>
    <m/>
    <n v="30"/>
    <n v="30"/>
    <d v="2024-10-30T00:00:00"/>
    <s v="Rachelle"/>
    <m/>
    <s v="WIP"/>
    <m/>
    <d v="2024-09-30T00:00:00"/>
    <m/>
    <s v="Martin "/>
    <m/>
    <s v="Dean"/>
    <m/>
    <m/>
    <m/>
    <m/>
    <m/>
    <m/>
    <m/>
    <m/>
    <m/>
    <m/>
    <m/>
    <s v="Dean"/>
    <s v="09/16 New Infor finance resource Rachelle Malahito onboarded this week to start work on CFORIA ANA-050_x000a_Barnes Kevin Alexander starting on this"/>
    <m/>
  </r>
  <r>
    <x v="4"/>
    <s v="CFO005"/>
    <s v="Invoice Copies IDM (PDF)"/>
    <s v="No"/>
    <s v="Finance"/>
    <s v="Barnes"/>
    <s v="Kim"/>
    <s v="Dean"/>
    <s v="Not Started"/>
    <m/>
    <x v="0"/>
    <m/>
    <m/>
    <n v="30"/>
    <n v="30"/>
    <d v="2024-10-30T00:00:00"/>
    <s v="Rachelle"/>
    <m/>
    <s v="WIP"/>
    <m/>
    <d v="2024-09-30T00:00:00"/>
    <m/>
    <s v="Martin "/>
    <m/>
    <s v="Karin"/>
    <m/>
    <m/>
    <m/>
    <m/>
    <m/>
    <m/>
    <m/>
    <m/>
    <m/>
    <m/>
    <m/>
    <s v="Karin"/>
    <s v="09/16 New Infor finance resource Rachelle Malahito onboarded this week to start work on CFORIA ANA-050_x000a_Barnes Kevin Alexander starting on this"/>
    <m/>
  </r>
  <r>
    <x v="5"/>
    <s v="CON002"/>
    <s v="Goods Receipts"/>
    <s v="No"/>
    <s v="Finance"/>
    <s v="Barnes"/>
    <s v="Kim"/>
    <s v="Kevin"/>
    <s v="Pre Development"/>
    <m/>
    <x v="4"/>
    <m/>
    <m/>
    <n v="12"/>
    <n v="12"/>
    <d v="2024-10-12T00:00:00"/>
    <s v="Dennis"/>
    <m/>
    <s v="WIP"/>
    <m/>
    <d v="2024-09-20T00:00:00"/>
    <m/>
    <s v="Martin "/>
    <m/>
    <s v="Dean"/>
    <m/>
    <m/>
    <m/>
    <m/>
    <m/>
    <m/>
    <s v="Business"/>
    <m/>
    <m/>
    <m/>
    <m/>
    <s v="Dean"/>
    <s v="09/16 Dennis to complete re-write of ANA-050 by 09/20. This ANA-050 consolidates CON001 002 003 004 and 005 into one document._x000a_8/27 - Currently being tested by Amy/Kimberly_x000a_Aug 20 Jimmy asked Dean for a test meeting._x000a_Metrics from Kim on current ASR match rate (cases we can improve in M3). Unit test plan - try full cycle. Dean to setup meeting Kim/Kevin_x000a_8/23: Meeting scheduled for 8/26"/>
    <s v="Start week feb 5"/>
  </r>
  <r>
    <x v="5"/>
    <s v="CON003"/>
    <s v="PO Header"/>
    <s v="No"/>
    <s v="Finance"/>
    <s v="Barnes"/>
    <s v="Kim"/>
    <s v="Kevin"/>
    <s v="Pre Development"/>
    <m/>
    <x v="5"/>
    <m/>
    <m/>
    <n v="25"/>
    <n v="25"/>
    <d v="2024-10-25T00:00:00"/>
    <s v="Dennis"/>
    <m/>
    <s v="WIP"/>
    <m/>
    <d v="2024-09-20T00:00:00"/>
    <m/>
    <s v="Martin "/>
    <m/>
    <s v="Dean"/>
    <m/>
    <m/>
    <m/>
    <m/>
    <m/>
    <m/>
    <s v="Business"/>
    <m/>
    <m/>
    <m/>
    <m/>
    <s v="Dean"/>
    <s v="09/16 Dennis to complete re-write of ANA-050 by 09/20. This ANA-050 consolidates CON001 002 003 004 and 005 into one document._x000a_8/27 - Currently being tested by Amy/Kimberly_x000a_Aug 20 Jimmy asked Dean for a test meeting._x000a_Metrics from Kim on current ASR match rate (cases we can improve in M3). Unit test plan - try full cycle. Dean to setup meeting Kim/Kevin_x000a_8/23: Meeting scheduled for 8/26"/>
    <m/>
  </r>
  <r>
    <x v="5"/>
    <s v="CON004"/>
    <s v="PO Lines"/>
    <s v="No"/>
    <s v="Finance"/>
    <s v="Barnes"/>
    <s v="Kim"/>
    <s v="Kevin"/>
    <s v="Pre Development"/>
    <m/>
    <x v="5"/>
    <m/>
    <m/>
    <n v="25"/>
    <n v="25"/>
    <d v="2024-10-25T00:00:00"/>
    <s v="Dennis"/>
    <m/>
    <s v="WIP"/>
    <m/>
    <d v="2024-09-20T00:00:00"/>
    <m/>
    <s v="Martin "/>
    <m/>
    <s v="Dean"/>
    <m/>
    <m/>
    <m/>
    <m/>
    <m/>
    <m/>
    <s v="Business"/>
    <m/>
    <m/>
    <m/>
    <m/>
    <s v="Dean"/>
    <s v="09/16 Dennis to complete re-write of ANA-050 by 09/20. This ANA-050 consolidates CON001 002 003 004 and 005 into one document._x000a_8/27 - Currently being tested by Amy/Kimberly_x000a_Aug 20 Jimmy asked Dean for a test meeting._x000a_Metrics from Kim on current ASR match rate (cases we can improve in M3). Unit test plan - try full cycle. Dean to setup meeting Kim/Kevin_x000a_8/23: Meeting scheduled for 8/26"/>
    <m/>
  </r>
  <r>
    <x v="6"/>
    <s v="EDI007"/>
    <s v="Application Advice EDI 824"/>
    <m/>
    <s v="OTC"/>
    <s v="Infor"/>
    <s v="Melissa"/>
    <s v="Jeff"/>
    <s v="Out of Scope"/>
    <m/>
    <x v="3"/>
    <m/>
    <m/>
    <n v="60"/>
    <n v="60"/>
    <d v="2024-11-29T00:00:00"/>
    <s v="Cheska "/>
    <m/>
    <s v="N/A "/>
    <s v="N/A "/>
    <s v="N/A "/>
    <s v="N/A "/>
    <s v="Martin "/>
    <s v="N/A "/>
    <m/>
    <s v="N/A "/>
    <s v="N/A "/>
    <s v="N/A "/>
    <m/>
    <m/>
    <m/>
    <m/>
    <m/>
    <m/>
    <s v="N/A "/>
    <s v="N/A "/>
    <s v="N/A "/>
    <s v="8/6/24: this is not part of the SPS Contract so no dev on any side. _x000a_Review 824, 860 and 997 and in SPS Commerce Portal so no DEV on infor side_x000a_•Barnes working to get contract with SPS"/>
    <s v="N/A "/>
  </r>
  <r>
    <x v="5"/>
    <s v="CON005"/>
    <s v="Vendor Infor"/>
    <s v="No"/>
    <s v="Finance"/>
    <s v="Barnes"/>
    <s v="Kim"/>
    <s v="Kevin"/>
    <s v="Pre Development"/>
    <m/>
    <x v="5"/>
    <m/>
    <m/>
    <n v="25"/>
    <n v="25"/>
    <d v="2024-10-25T00:00:00"/>
    <s v="Dennis"/>
    <m/>
    <s v="WIP"/>
    <m/>
    <d v="2024-09-20T00:00:00"/>
    <m/>
    <s v="Martin "/>
    <m/>
    <s v="Dean"/>
    <m/>
    <m/>
    <m/>
    <m/>
    <m/>
    <m/>
    <s v="Business"/>
    <m/>
    <m/>
    <m/>
    <m/>
    <s v="Dean"/>
    <s v="09/16 Dennis to complete re-write of ANA-050 by 09/20. This ANA-050 consolidates CON001 002 003 004 and 005 into one document._x000a_8/27 - Currently being tested by Amy/Kimberly_x000a_Aug 20 Jimmy asked Dean for a test meeting._x000a_Metrics from Kim on current ASR match rate (cases we can improve in M3). Unit test plan - try full cycle. Dean to setup meeting Kim/Kevin_x000a_8/23: Meeting scheduled for 8/26"/>
    <m/>
  </r>
  <r>
    <x v="5"/>
    <s v="CON001"/>
    <s v="SupplierInvoice"/>
    <s v="Yes"/>
    <s v="Finance"/>
    <s v="Infor"/>
    <s v="Kim"/>
    <s v="Kevin"/>
    <s v="Testing"/>
    <m/>
    <x v="0"/>
    <m/>
    <m/>
    <n v="30"/>
    <n v="30"/>
    <d v="2024-10-30T00:00:00"/>
    <s v="Dennis"/>
    <m/>
    <s v="WIP"/>
    <m/>
    <d v="2024-09-20T00:00:00"/>
    <m/>
    <s v="Jen"/>
    <s v="Completed"/>
    <m/>
    <s v="Completed"/>
    <m/>
    <m/>
    <s v="Completed"/>
    <d v="2024-05-03T00:00:00"/>
    <m/>
    <s v="Business"/>
    <s v="Amy_x000a_Kimberly"/>
    <m/>
    <m/>
    <m/>
    <m/>
    <s v="09/16 Dennis to complete re-write of ANA-050 by 09/20. This ANA-050 consolidates CON001 002 003 004 and 005 into one document._x000a_8/27 - Currently being tested by Amy/Kimberly_x000a_Aug 20 Jimmy asked Dean for a test meeting._x000a_Metrics from Kim on current ASR match rate (cases we can improve in M3). Unit test plan - try full cycle. Dean to setup meeting Kim/Kevin_x000a_8/23: Meeting scheduled for 8/26"/>
    <s v="Kimberly/Amy_x000a_+Dennis ANA-050"/>
  </r>
  <r>
    <x v="5"/>
    <s v="CONO06"/>
    <s v="T&amp;E expense posting"/>
    <s v="No"/>
    <s v="Finance"/>
    <s v="Infor"/>
    <s v="Kim"/>
    <s v="Kevin"/>
    <s v="Pre Development"/>
    <m/>
    <x v="0"/>
    <m/>
    <m/>
    <m/>
    <m/>
    <m/>
    <s v="Rachelle"/>
    <m/>
    <s v="WIP"/>
    <m/>
    <d v="2024-09-30T00:00:00"/>
    <m/>
    <s v="Martin "/>
    <m/>
    <m/>
    <m/>
    <m/>
    <m/>
    <m/>
    <m/>
    <m/>
    <m/>
    <m/>
    <m/>
    <m/>
    <m/>
    <m/>
    <s v="09/16 New Infor finance resource Rachelle Malahito onboarded this week to start work on CONCUR Expenses ANA-050"/>
    <s v="Rachelle ANA-050"/>
  </r>
  <r>
    <x v="7"/>
    <s v="FED001"/>
    <s v="FedEx Tracking Number Update"/>
    <s v="No"/>
    <s v="Supply chain"/>
    <s v="Infor"/>
    <s v="Lori "/>
    <s v="Jeff"/>
    <s v="Pre Development"/>
    <m/>
    <x v="5"/>
    <m/>
    <m/>
    <n v="25"/>
    <n v="25"/>
    <d v="2024-10-25T00:00:00"/>
    <s v="Cheska"/>
    <s v="WIP"/>
    <s v="Completed"/>
    <d v="2024-06-14T00:00:00"/>
    <s v="Completed "/>
    <d v="2024-04-25T00:00:00"/>
    <s v="Martin "/>
    <s v="Pending Approval"/>
    <s v="Dean"/>
    <m/>
    <m/>
    <m/>
    <m/>
    <m/>
    <m/>
    <s v="Business"/>
    <s v="Dean"/>
    <m/>
    <m/>
    <m/>
    <m/>
    <s v="9/25 - Sample File provided by Dean, Cheska to update ANA-50. Questions: Where is the Custom PO Number in the sample file? it is missing. We begin development once ANA-50 is updated for FedEx and Question answered_x000a_9/18 - open questions re database pull from Dean, cheska to reply _x000a_8/29 - Daniel has replied that there is only a configuration in both systems to convert the files from CSV to XML, awaiting dean's reply _x000a_8/27 - Sent follow up to Dean for the requested connection details. Dean will try to do it next week if not busy._x000a_Aug 20 Martin have tested but need test data and test from server_x000a_8/6/24: need to have the picking list editted to reflect the barcode scan, will follow up with Peter and Karin for their time "/>
    <s v="Barnes  (Dean)"/>
  </r>
  <r>
    <x v="7"/>
    <s v="FED002"/>
    <s v="FedEx Shipping information"/>
    <s v="Yes"/>
    <s v="Supply chain"/>
    <s v="Barnes"/>
    <s v="Dan"/>
    <s v="Jeff"/>
    <s v="Pre Development"/>
    <m/>
    <x v="5"/>
    <m/>
    <m/>
    <n v="25"/>
    <n v="25"/>
    <d v="2024-10-25T00:00:00"/>
    <m/>
    <m/>
    <m/>
    <s v="to Sonja, review 3/26"/>
    <m/>
    <m/>
    <m/>
    <m/>
    <s v="Jeff"/>
    <m/>
    <m/>
    <m/>
    <m/>
    <m/>
    <m/>
    <m/>
    <m/>
    <m/>
    <m/>
    <m/>
    <s v="Jeff"/>
    <m/>
    <m/>
  </r>
  <r>
    <x v="8"/>
    <s v="OPT006"/>
    <s v="Order (email)"/>
    <s v="No"/>
    <s v="OTC"/>
    <s v="Infor"/>
    <s v="Amy B / Beth W"/>
    <s v="Dean "/>
    <s v="Pre Development"/>
    <m/>
    <x v="5"/>
    <m/>
    <m/>
    <n v="25"/>
    <n v="25"/>
    <d v="2024-10-25T00:00:00"/>
    <s v="Cheska "/>
    <s v="WIP"/>
    <s v="Completed"/>
    <d v="2024-06-27T00:00:00"/>
    <s v="Completed "/>
    <d v="2024-05-18T00:00:00"/>
    <s v="Martin "/>
    <s v="Completed"/>
    <m/>
    <m/>
    <m/>
    <m/>
    <s v="Completed"/>
    <m/>
    <m/>
    <s v="Business"/>
    <m/>
    <m/>
    <m/>
    <m/>
    <m/>
    <s v="9/18/ - ready to test, consid to transform file to xml _x000a_8/29/24: build from infor side done, ready to test as long as there is an XML file ready to be ingested. _x000a_8/20/24: low prioirty on the list, but ready to test as long as consid can map to the XML_x000a_8/6/24: no work needed from Infor end, the work is on Consid. _x000a_Shall we bring Order in Scope or stick to email? possible BODs usage?"/>
    <s v="Barnes "/>
  </r>
  <r>
    <x v="8"/>
    <s v="OPT001"/>
    <s v="Customer and Addresses"/>
    <s v="No"/>
    <s v="OTC"/>
    <s v="Barnes"/>
    <s v="Amy B / Beth W"/>
    <s v="Jeff"/>
    <s v="Not Started"/>
    <m/>
    <x v="0"/>
    <m/>
    <m/>
    <n v="30"/>
    <n v="30"/>
    <d v="2024-10-30T00:00:00"/>
    <s v="Hubert "/>
    <m/>
    <s v="Completed"/>
    <m/>
    <m/>
    <m/>
    <m/>
    <m/>
    <s v="Dean"/>
    <m/>
    <m/>
    <m/>
    <m/>
    <m/>
    <m/>
    <m/>
    <m/>
    <m/>
    <m/>
    <m/>
    <s v="Dean"/>
    <s v="extract azure data for use in optimizely, working call 3/25"/>
    <m/>
  </r>
  <r>
    <x v="8"/>
    <s v="OPT002"/>
    <s v="Items"/>
    <s v="No"/>
    <s v="OTC"/>
    <s v="Barnes"/>
    <s v="Amy B / Beth W"/>
    <s v="Jeff"/>
    <s v="Not Started"/>
    <m/>
    <x v="0"/>
    <m/>
    <m/>
    <n v="30"/>
    <n v="30"/>
    <d v="2024-10-30T00:00:00"/>
    <s v="Hubert "/>
    <m/>
    <s v="Completed"/>
    <m/>
    <m/>
    <m/>
    <m/>
    <m/>
    <s v="Dean"/>
    <m/>
    <m/>
    <m/>
    <m/>
    <m/>
    <m/>
    <m/>
    <m/>
    <m/>
    <m/>
    <m/>
    <s v="Dean"/>
    <s v="ANA050 ready Sep 4 _x000a_working call 3/25"/>
    <m/>
  </r>
  <r>
    <x v="8"/>
    <s v="OPT003"/>
    <s v="Std Price, Cust price, Disc"/>
    <s v="No"/>
    <s v="OTC"/>
    <s v="Barnes"/>
    <s v="Amy B / Beth W"/>
    <s v="Jeff"/>
    <s v="Not Started"/>
    <m/>
    <x v="0"/>
    <m/>
    <m/>
    <n v="30"/>
    <n v="30"/>
    <d v="2024-10-30T00:00:00"/>
    <s v="Hubert "/>
    <m/>
    <s v="Completed"/>
    <m/>
    <m/>
    <m/>
    <m/>
    <m/>
    <s v="Dean"/>
    <m/>
    <m/>
    <m/>
    <m/>
    <m/>
    <m/>
    <m/>
    <m/>
    <m/>
    <m/>
    <m/>
    <s v="Dean"/>
    <s v="ANA050 ready Sep 4 _x000a_working call 3/25"/>
    <m/>
  </r>
  <r>
    <x v="8"/>
    <s v="OPT004"/>
    <s v="Tax exemption"/>
    <s v="No"/>
    <s v="OTC"/>
    <s v="Barnes"/>
    <s v="Amy B / Beth W"/>
    <s v="Jeff"/>
    <s v="Not Started"/>
    <m/>
    <x v="0"/>
    <m/>
    <m/>
    <n v="30"/>
    <n v="30"/>
    <d v="2024-10-30T00:00:00"/>
    <s v="Hubert "/>
    <m/>
    <s v="Completed"/>
    <m/>
    <m/>
    <m/>
    <m/>
    <m/>
    <s v="Dean"/>
    <m/>
    <m/>
    <m/>
    <m/>
    <m/>
    <m/>
    <m/>
    <m/>
    <m/>
    <m/>
    <m/>
    <s v="Dean"/>
    <s v="ANA050 ready Sep 4 _x000a_working call 3/25"/>
    <m/>
  </r>
  <r>
    <x v="8"/>
    <s v="OPT005"/>
    <s v="Stock"/>
    <s v="No"/>
    <s v="OTC"/>
    <s v="Barnes"/>
    <s v="Amy B / Beth W"/>
    <s v="Jeff"/>
    <s v="Not Started"/>
    <m/>
    <x v="0"/>
    <m/>
    <m/>
    <n v="30"/>
    <n v="30"/>
    <d v="2024-10-30T00:00:00"/>
    <s v="Hubert "/>
    <m/>
    <s v="Completed"/>
    <m/>
    <m/>
    <m/>
    <m/>
    <m/>
    <s v="Dean"/>
    <m/>
    <m/>
    <m/>
    <m/>
    <m/>
    <m/>
    <m/>
    <m/>
    <m/>
    <m/>
    <m/>
    <s v="Dean"/>
    <s v="ANA050 ready Sep 4 _x000a_Sent sample of M3_InventoryCountReport to Dean 240201, working call 3/25"/>
    <s v="Can we use BOD?"/>
  </r>
  <r>
    <x v="9"/>
    <s v="FIN002"/>
    <s v="PNC Matcher file"/>
    <s v="No"/>
    <s v="Finance"/>
    <s v="Infor"/>
    <s v="Kim"/>
    <s v="Jeff"/>
    <s v="Pre Development"/>
    <m/>
    <x v="0"/>
    <m/>
    <m/>
    <n v="30"/>
    <n v="30"/>
    <d v="2024-10-30T00:00:00"/>
    <s v="Dennis"/>
    <m/>
    <s v="WIP"/>
    <m/>
    <d v="2024-09-27T00:00:00"/>
    <m/>
    <s v="Martin "/>
    <m/>
    <m/>
    <m/>
    <m/>
    <m/>
    <m/>
    <m/>
    <m/>
    <m/>
    <m/>
    <m/>
    <m/>
    <m/>
    <m/>
    <s v="09/16 Dennis to complete ANA-050 draft by 09/25_x000a_08/27 Dennis had a meeting with PNC and Barnes and SPS. PNC Bank discussed the scope with Barnes_x000a_08/08 Dennis initiated weekly recurring calls to track progress. Dean to get the JBA and PNC together to discuss the current process and required specs."/>
    <s v="PNC Bank &amp; Infor(Dennis)"/>
  </r>
  <r>
    <x v="3"/>
    <s v="SFDC01"/>
    <s v="Item"/>
    <s v="No"/>
    <s v="OTC"/>
    <s v="Infor"/>
    <s v="Torbjörn"/>
    <s v="Torbjörn"/>
    <s v="Testing"/>
    <m/>
    <x v="2"/>
    <m/>
    <m/>
    <n v="2"/>
    <n v="2"/>
    <d v="2024-10-02T00:00:00"/>
    <s v="Jen"/>
    <m/>
    <s v="Completed"/>
    <d v="2024-02-27T00:00:00"/>
    <m/>
    <m/>
    <s v="Jen"/>
    <s v="Completed"/>
    <m/>
    <s v="Completed"/>
    <m/>
    <m/>
    <m/>
    <m/>
    <m/>
    <s v="Business"/>
    <s v="Torbjorn"/>
    <m/>
    <s v="Pending Confirmation"/>
    <m/>
    <m/>
    <s v="DES-030 ready. DEVFMC should be ready Sep 27 and PartCopy Oct 04_x000a_Sept 13 - setting up a new Salesforce environment for testing.  Also changing Dev environment, which is the last step._x000a_August 27 - Successful Testing with Torbjorn. _x000a_Testing session planned for Aug 27 with Torbjorn_x000a_Aug 8 issue fixed and new test session with Torbjörn this week._x000a_April 11 - Torbjorn for validation_x000a_Apri 10 - doc this week, Jen tested Wednesday"/>
    <s v="Torbjorn"/>
  </r>
  <r>
    <x v="3"/>
    <s v="SFDC04"/>
    <s v="Item Pricing"/>
    <s v="No"/>
    <s v="OTC"/>
    <s v="Infor"/>
    <s v="Torbjörn"/>
    <s v="Torbjörn"/>
    <s v="Testing"/>
    <m/>
    <x v="2"/>
    <m/>
    <m/>
    <n v="2"/>
    <n v="2"/>
    <d v="2024-10-02T00:00:00"/>
    <s v="Jen"/>
    <m/>
    <s v="Completed"/>
    <d v="2024-02-27T00:00:00"/>
    <m/>
    <m/>
    <s v="Jen"/>
    <s v="Completed"/>
    <m/>
    <s v="Completed"/>
    <m/>
    <m/>
    <m/>
    <m/>
    <m/>
    <s v="Business"/>
    <s v="Torbjorn"/>
    <m/>
    <s v="Pending Confirmation"/>
    <m/>
    <m/>
    <s v="DES-030 Ready. DEVFMC should be ready Sep 27 and PartCopy Oct 04_x000a_Sept 13 - setting up a new Salesforce environment for testing.  Also changing Dev environment, which is the last step._x000a_August 27 - Successful Testing with Torbjorn. _x000a_Testing session planned for Aug 27 with Torbjorn_x000a_Aug 8 issue fixed and new test session with Torbjörn this week._x000a_July 30 -0  pending further testing by Torbjorn_x000a_April 28 - TST070.  Then Hubert to test afert getting access._x000a_April 11 - Torbjorn for validate 4/11_x000a_April 10  doc this week, jen test wed 4/10_x000a_2 Feb - ANA-050 started ready for review Feb 2"/>
    <s v="Torbjorn"/>
  </r>
  <r>
    <x v="6"/>
    <s v="EDI001"/>
    <s v="EDI Sales Order 850"/>
    <s v="No"/>
    <s v="OTC"/>
    <s v="Infor"/>
    <s v="Melissa"/>
    <s v="Jeff"/>
    <s v="Testing"/>
    <m/>
    <x v="4"/>
    <s v="Testing"/>
    <n v="10"/>
    <n v="12"/>
    <n v="22"/>
    <d v="2024-10-22T00:00:00"/>
    <s v="Cheska "/>
    <s v="Complete"/>
    <s v="Completed"/>
    <d v="2024-06-17T00:00:00"/>
    <s v="Completed"/>
    <d v="2024-05-18T00:00:00"/>
    <s v="Martin "/>
    <m/>
    <m/>
    <m/>
    <m/>
    <d v="2024-06-17T00:00:00"/>
    <m/>
    <m/>
    <m/>
    <s v="Technical"/>
    <m/>
    <d v="2024-06-18T00:00:00"/>
    <m/>
    <m/>
    <m/>
    <s v="9/18/24: tested Grainger, SPS to send down MSC and PACCAR _x000a_8/29/24: asked SPS commerce to send down one trading partner for testing, cheska to check if there are any issues and process file until invoice. _x000a_8/20/24: paased initial test ready to test for SIT _x000a_8/16/24: ready to test we need raw files we need more raw files to drop _x000a_8/7/24:: infor mec mapping changes done, Infor functional to test _x000a_8/6/24: build completed from SPS commerce side, a few mapping needs to be done from infor tech _x000a_Jeff has a quote from SPS Commerce, need to schedule follow up meeting to review details with Daniel and team_x000a_•Barnes working to get contract with SPS"/>
    <s v="SIT "/>
  </r>
  <r>
    <x v="6"/>
    <s v="EDI002"/>
    <s v="EDI Shipment 856"/>
    <s v="No"/>
    <s v="OTC"/>
    <s v="Infor"/>
    <s v="Melissa"/>
    <s v="Jeff"/>
    <s v="Pre Development"/>
    <m/>
    <x v="5"/>
    <m/>
    <n v="20"/>
    <n v="25"/>
    <n v="45"/>
    <d v="2024-11-14T00:00:00"/>
    <s v="Cheska "/>
    <s v="Complete"/>
    <s v="Completed"/>
    <s v="Complete"/>
    <s v="Completed "/>
    <m/>
    <s v="Martin "/>
    <s v="WIP"/>
    <m/>
    <m/>
    <m/>
    <m/>
    <m/>
    <m/>
    <m/>
    <m/>
    <m/>
    <m/>
    <m/>
    <m/>
    <m/>
    <s v="9/18/24: tested Grainger, SPS to send down MSC and PACCAR 8/29/24: asked SPS commerce to send down one trading partner for testing, cheska to check if there are any issues and process file until invoice_x000a_8/20/24: waiting for SPS commerce to give feedback on structure _x000a_8/16/24: completed build from SPS, infor sent out a test xml, waiting for SPS to validate if it passed through or not. _x000a_8/9/24: ANA050 uploaded to be reviewed by Barnes_x000a_8/6/24: currently with SPS commerce development. This EDI 856 would need to make use of dummy standard packaging to work, this has been agreed on with Sonja, Amy and Melissa. _x000a_May want to add FYX consultant to team_x000a_•Barnes working to get contract with SPS"/>
    <s v="Infor "/>
  </r>
  <r>
    <x v="6"/>
    <s v="EDI003"/>
    <s v="EDI Sales Order Ack"/>
    <s v="No"/>
    <s v="OTC"/>
    <s v="Infor"/>
    <s v="Melissa"/>
    <s v="Jeff"/>
    <s v="Development"/>
    <m/>
    <x v="0"/>
    <m/>
    <n v="20"/>
    <n v="30"/>
    <n v="50"/>
    <d v="2024-11-19T00:00:00"/>
    <s v="Cheska "/>
    <s v="Complete"/>
    <s v="Completed"/>
    <s v="Complete"/>
    <s v="Completed "/>
    <m/>
    <s v="Martin "/>
    <m/>
    <m/>
    <m/>
    <m/>
    <m/>
    <m/>
    <m/>
    <m/>
    <m/>
    <m/>
    <m/>
    <m/>
    <m/>
    <m/>
    <s v="9/18/24: tested Grainger, SPS to send down MSC and PACCAR _x000a_8/29/24: finished development from SPS end, WIP development from Infor. _x000a_8/20/24: need to align development from Infor end_x000a_8/7/24: meeting with barnes finished, need to send acknowledgement codes. need to validate with Martin if the current standard bod is using the newest version of the 855 mapping uploaded in concierge. _x000a_8/6/24: to be discussed on 8/7/24 with Barnes _x000a_•Barnes working to get contract with SPS"/>
    <s v="Infor "/>
  </r>
  <r>
    <x v="6"/>
    <s v="EDI004"/>
    <s v="EDI Invoice"/>
    <s v="No"/>
    <s v="OTC"/>
    <s v="Infor"/>
    <s v="Melissa"/>
    <s v="Jeff"/>
    <s v="Development"/>
    <m/>
    <x v="5"/>
    <m/>
    <n v="20"/>
    <n v="25"/>
    <n v="45"/>
    <d v="2024-11-14T00:00:00"/>
    <s v="Cheska "/>
    <s v="Complete"/>
    <s v="Completed"/>
    <d v="2024-08-15T00:00:00"/>
    <s v="Completed "/>
    <m/>
    <s v="Martin "/>
    <m/>
    <m/>
    <m/>
    <m/>
    <m/>
    <m/>
    <m/>
    <m/>
    <m/>
    <m/>
    <m/>
    <m/>
    <m/>
    <m/>
    <s v="9/18/24: tested Grainger, SPS to send down MSC and PACCAR _x000a_8/29/ 24: development done from SPS, testing in progress. asked SPS commerce to send down one trading partner for testing, cheska to check if there are any issues and process file until invoice_x000a_8/20/24: SPS to confirm if build is done _x000a_8/16/24: ANA050 approved_x000a_8/12/24: ANA050 completed, current build is with SPS Commerce _x000a_8/6/24: SPS commerce is doing the build as of today _x000a_•Barnes working to get contract with SPS"/>
    <s v="Infor "/>
  </r>
  <r>
    <x v="6"/>
    <s v="EDI005"/>
    <s v="EDI Shipment Schedule EDI 862"/>
    <s v="No"/>
    <s v="OTC"/>
    <s v="Infor"/>
    <s v="Melissa"/>
    <s v="Jeff"/>
    <s v="Pre Development"/>
    <m/>
    <x v="5"/>
    <m/>
    <n v="20"/>
    <n v="25"/>
    <n v="45"/>
    <d v="2024-11-14T00:00:00"/>
    <s v="Cheska "/>
    <s v="Complete"/>
    <s v="Completed"/>
    <d v="2024-06-17T00:00:00"/>
    <s v="Completed "/>
    <d v="2024-07-01T00:00:00"/>
    <s v="Martin "/>
    <m/>
    <m/>
    <m/>
    <m/>
    <m/>
    <m/>
    <m/>
    <m/>
    <m/>
    <m/>
    <m/>
    <m/>
    <m/>
    <m/>
    <s v="9/18/24: tested Grainger, SPS to send down MSC and PACCAR _x000a_8/29/24: asked SPS commerce to send down one trading partner for testing, cheska to check if there are any issues and process file until invoice_x000a_8/20/24: SPS clarifications cleared, need to send down test data _x000a_8/16/24: need more raw data to test _x000a_8/7/24:: infor mec mapping changes done, Infor functional to test SPS to send more data for more customers _x000a_8/6/24: SPS dev completed, SPS commerce to send in more data for more testing _x000a_Barnes working to get contract with SPS"/>
    <s v="Infor "/>
  </r>
  <r>
    <x v="6"/>
    <s v="TBD"/>
    <s v="DSV"/>
    <m/>
    <m/>
    <m/>
    <m/>
    <m/>
    <m/>
    <m/>
    <x v="6"/>
    <m/>
    <m/>
    <m/>
    <m/>
    <m/>
    <m/>
    <m/>
    <m/>
    <m/>
    <m/>
    <m/>
    <m/>
    <m/>
    <m/>
    <m/>
    <m/>
    <m/>
    <m/>
    <m/>
    <m/>
    <m/>
    <m/>
    <m/>
    <m/>
    <m/>
    <m/>
    <m/>
    <m/>
  </r>
  <r>
    <x v="6"/>
    <s v="EDI006"/>
    <s v="Planning Schedule EDI 830"/>
    <s v="No"/>
    <s v="OTC"/>
    <s v="Infor"/>
    <s v="Melissa"/>
    <s v="Jeff"/>
    <s v="Pre Development"/>
    <m/>
    <x v="5"/>
    <s v="Testing"/>
    <n v="10"/>
    <n v="25"/>
    <n v="35"/>
    <d v="2024-11-04T00:00:00"/>
    <s v="Cheska "/>
    <s v="Complete"/>
    <s v="Completed"/>
    <d v="2024-06-17T00:00:00"/>
    <s v="Completed "/>
    <d v="2024-07-10T00:00:00"/>
    <s v="Martin "/>
    <m/>
    <m/>
    <m/>
    <m/>
    <m/>
    <m/>
    <m/>
    <m/>
    <m/>
    <m/>
    <d v="2024-07-19T00:00:00"/>
    <m/>
    <m/>
    <m/>
    <s v="9/18/24: tested Grainger, SPS to send down MSC and PACCAR _x000a_8/29/24: asked SPS commerce to send down one trading partner for testing, cheska to check if there are any issues and process file until invoice_x000a_8/20/24: SPS clarifications cleared, need to send down test data _x000a_8/16/24: need more raw data to test _x000a_8/7/24:: infor mec mapping changes done, Infor functional to test SPS to send more data for more customers _x000a_8/6/24: SPS dev completed, SPS commerce to send in more data for more testing , only firmed orders are integrated. _x000a_•Barnes working to get contract with SPS"/>
    <s v="Infor "/>
  </r>
  <r>
    <x v="10"/>
    <s v="UPS002"/>
    <s v="UPS Shipping Information"/>
    <s v="No"/>
    <s v="Supply chain"/>
    <s v="Barnes"/>
    <s v="Dan"/>
    <s v="Jeff"/>
    <s v="Pre Development"/>
    <m/>
    <x v="5"/>
    <m/>
    <m/>
    <n v="25"/>
    <n v="25"/>
    <d v="2024-10-25T00:00:00"/>
    <s v="Cheska"/>
    <s v="WIP"/>
    <s v="Completed"/>
    <d v="2024-06-14T00:00:00"/>
    <s v="Completed "/>
    <d v="2024-04-25T00:00:00"/>
    <m/>
    <s v="Completed"/>
    <m/>
    <m/>
    <m/>
    <m/>
    <m/>
    <m/>
    <m/>
    <m/>
    <m/>
    <m/>
    <m/>
    <m/>
    <s v="Jeff"/>
    <m/>
    <m/>
  </r>
  <r>
    <x v="10"/>
    <s v="UPS001"/>
    <s v="UPS Tracking Number Update"/>
    <s v="No"/>
    <s v="Supply chain"/>
    <s v="Infor"/>
    <s v="Lori "/>
    <s v="Jeff"/>
    <s v="Pre Development"/>
    <m/>
    <x v="5"/>
    <m/>
    <m/>
    <n v="25"/>
    <n v="25"/>
    <d v="2024-10-25T00:00:00"/>
    <s v="Cheska"/>
    <s v="WIP"/>
    <s v="Completed"/>
    <d v="2024-06-14T00:00:00"/>
    <s v="Completed "/>
    <d v="2024-04-25T00:00:00"/>
    <s v="Martin"/>
    <s v="Completed"/>
    <m/>
    <m/>
    <m/>
    <m/>
    <m/>
    <m/>
    <m/>
    <m/>
    <m/>
    <m/>
    <m/>
    <m/>
    <m/>
    <s v="9/25 -  UPS to M3 Integration Interface is completed, ANA-50 and TAR-40 in Sharepoint under &quot;UPS_FedEx&quot; folder_x000a_9/18 - open questions re database pull from Dean, cheska to reply _x000a_8/29 - Daniel has replied that there is only a configuration in both systems to convert the files from CSV to XML, awaiting dean's reply _x000a_8/27 - Sent follow up to Dean for the requested shared folder connection details. Dean will try to do it next week if not busy._x000a_Aug 20 Martin have tested but need test data and test from server_x000a_8/6/24: need to have the picking list editted to reflect the barcode scan will follow up with Peter and Karin for their time "/>
    <s v="Barnes  (Dea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s v="FIN001"/>
    <x v="0"/>
    <s v="No"/>
    <s v="Finance"/>
    <s v="Infor"/>
    <s v="Kim"/>
    <s v="Jeff"/>
    <x v="0"/>
    <s v="SPS"/>
    <s v="Speccing (ANA-050)"/>
    <m/>
    <m/>
    <n v="30"/>
    <n v="30"/>
    <d v="2024-10-30T00:00:00"/>
    <s v="Dennis"/>
    <m/>
    <s v="WIP"/>
    <s v="Kim"/>
    <d v="2024-09-27T00:00:00"/>
    <m/>
    <s v="TBD"/>
    <m/>
    <m/>
    <m/>
    <m/>
    <m/>
    <m/>
    <m/>
    <m/>
    <m/>
    <m/>
    <m/>
    <m/>
    <m/>
    <m/>
  </r>
  <r>
    <x v="0"/>
    <s v="FIN005"/>
    <x v="1"/>
    <s v="No"/>
    <s v="Finance"/>
    <s v="Infor"/>
    <s v="Kim"/>
    <s v="Jeff"/>
    <x v="0"/>
    <s v="SPS"/>
    <s v="Speccing (ANA-050)"/>
    <m/>
    <m/>
    <n v="30"/>
    <n v="30"/>
    <d v="2024-10-30T00:00:00"/>
    <s v="Dennis"/>
    <m/>
    <s v="WIP"/>
    <m/>
    <d v="2024-09-27T00:00:00"/>
    <m/>
    <s v="TBD"/>
    <m/>
    <m/>
    <m/>
    <m/>
    <m/>
    <m/>
    <m/>
    <m/>
    <m/>
    <m/>
    <m/>
    <m/>
    <m/>
    <m/>
  </r>
  <r>
    <x v="1"/>
    <s v="FIN003"/>
    <x v="2"/>
    <s v="No"/>
    <s v="Finance"/>
    <s v="Infor"/>
    <s v="Kim"/>
    <s v="Jeff"/>
    <x v="1"/>
    <s v="Finance"/>
    <s v="Development"/>
    <m/>
    <m/>
    <n v="15"/>
    <n v="15"/>
    <d v="2024-10-15T00:00:00"/>
    <s v="Carlo"/>
    <m/>
    <s v="Completed"/>
    <m/>
    <m/>
    <m/>
    <s v="Isaiah John Tolentino"/>
    <s v="Completed"/>
    <m/>
    <m/>
    <m/>
    <m/>
    <d v="2024-09-13T00:00:00"/>
    <d v="2024-10-11T00:00:00"/>
    <m/>
    <m/>
    <m/>
    <m/>
    <m/>
    <m/>
    <m/>
  </r>
  <r>
    <x v="1"/>
    <s v="FIN004"/>
    <x v="3"/>
    <s v="No"/>
    <s v="Finance"/>
    <s v="Infor"/>
    <s v="Kim"/>
    <s v="Jeff"/>
    <x v="1"/>
    <s v="Finance"/>
    <s v="Development"/>
    <m/>
    <m/>
    <n v="15"/>
    <n v="15"/>
    <d v="2024-10-15T00:00:00"/>
    <s v="Carlo"/>
    <m/>
    <s v="Completed"/>
    <m/>
    <m/>
    <m/>
    <s v="Isaiah John Tolentino"/>
    <s v="Completed"/>
    <m/>
    <m/>
    <m/>
    <m/>
    <d v="2024-09-13T00:00:00"/>
    <d v="2024-10-11T00:00:00"/>
    <m/>
    <m/>
    <m/>
    <m/>
    <m/>
    <m/>
    <m/>
  </r>
  <r>
    <x v="2"/>
    <s v="CNP001"/>
    <x v="4"/>
    <s v="Yes"/>
    <s v="OTC"/>
    <s v="Infor"/>
    <s v="Amy B / Louis"/>
    <s v="Dean "/>
    <x v="2"/>
    <s v="Finance"/>
    <s v="Business Testing"/>
    <m/>
    <m/>
    <n v="2"/>
    <n v="2"/>
    <d v="2024-10-02T00:00:00"/>
    <s v="Hubert "/>
    <m/>
    <s v="NA"/>
    <m/>
    <m/>
    <m/>
    <s v="N/A "/>
    <s v="NA"/>
    <m/>
    <m/>
    <m/>
    <m/>
    <m/>
    <m/>
    <m/>
    <m/>
    <m/>
    <m/>
    <m/>
    <m/>
    <s v="NA"/>
  </r>
  <r>
    <x v="2"/>
    <s v="CNP002"/>
    <x v="5"/>
    <s v="Yes"/>
    <s v="OTC"/>
    <s v="Infor"/>
    <s v="Amy B / Louis"/>
    <s v="Dean "/>
    <x v="2"/>
    <s v="Finance"/>
    <s v="Business Testing"/>
    <m/>
    <m/>
    <n v="2"/>
    <n v="2"/>
    <d v="2024-10-02T00:00:00"/>
    <s v="Hubert "/>
    <m/>
    <s v="NA"/>
    <m/>
    <m/>
    <m/>
    <s v="N/A "/>
    <s v="NA"/>
    <m/>
    <m/>
    <m/>
    <m/>
    <m/>
    <m/>
    <m/>
    <m/>
    <m/>
    <m/>
    <m/>
    <m/>
    <s v="NA"/>
  </r>
  <r>
    <x v="3"/>
    <s v="SFDC02"/>
    <x v="6"/>
    <m/>
    <s v="OTC"/>
    <s v="Barnes"/>
    <s v="Robert"/>
    <s v="Torbjörn"/>
    <x v="3"/>
    <m/>
    <s v="Out of Scope"/>
    <m/>
    <m/>
    <n v="60"/>
    <n v="60"/>
    <d v="2024-11-29T00:00:00"/>
    <m/>
    <m/>
    <s v="NA"/>
    <d v="2024-02-27T00:00:00"/>
    <m/>
    <m/>
    <s v="Martin "/>
    <m/>
    <s v="Martin"/>
    <m/>
    <m/>
    <m/>
    <m/>
    <m/>
    <m/>
    <m/>
    <m/>
    <s v="Daniel/Martin"/>
    <m/>
    <m/>
    <s v="Martin"/>
  </r>
  <r>
    <x v="3"/>
    <s v="SFDC03"/>
    <x v="7"/>
    <m/>
    <s v="OTC"/>
    <s v="Barnes"/>
    <s v="Robert"/>
    <s v="Torbjörn"/>
    <x v="3"/>
    <m/>
    <s v="Out of Scope"/>
    <m/>
    <m/>
    <n v="60"/>
    <n v="60"/>
    <d v="2024-11-29T00:00:00"/>
    <m/>
    <m/>
    <s v="NA"/>
    <d v="2024-02-27T00:00:00"/>
    <m/>
    <m/>
    <s v="Martin "/>
    <m/>
    <s v="Martin"/>
    <m/>
    <m/>
    <m/>
    <m/>
    <m/>
    <m/>
    <m/>
    <m/>
    <s v="Daniel/Martin"/>
    <m/>
    <m/>
    <s v="Martin"/>
  </r>
  <r>
    <x v="4"/>
    <s v="CFO001"/>
    <x v="8"/>
    <s v="No"/>
    <s v="Finance"/>
    <s v="Barnes"/>
    <s v="Kim"/>
    <s v="Dean"/>
    <x v="4"/>
    <m/>
    <s v="Speccing (ANA-050)"/>
    <m/>
    <m/>
    <n v="30"/>
    <n v="30"/>
    <d v="2024-10-30T00:00:00"/>
    <s v="Rachelle"/>
    <m/>
    <s v="WIP"/>
    <m/>
    <d v="2024-09-30T00:00:00"/>
    <m/>
    <s v="Martin "/>
    <m/>
    <s v="Dean"/>
    <m/>
    <m/>
    <m/>
    <m/>
    <m/>
    <m/>
    <m/>
    <m/>
    <m/>
    <m/>
    <m/>
    <s v="Dean"/>
  </r>
  <r>
    <x v="4"/>
    <s v="CFO002"/>
    <x v="9"/>
    <s v="No"/>
    <s v="Finance"/>
    <s v="Barnes"/>
    <s v="Kim"/>
    <s v="Dean"/>
    <x v="4"/>
    <m/>
    <s v="Speccing (ANA-050)"/>
    <m/>
    <m/>
    <n v="30"/>
    <n v="30"/>
    <d v="2024-10-30T00:00:00"/>
    <s v="Rachelle"/>
    <m/>
    <s v="WIP"/>
    <m/>
    <d v="2024-09-30T00:00:00"/>
    <m/>
    <s v="Martin "/>
    <m/>
    <s v="Dean"/>
    <m/>
    <m/>
    <m/>
    <m/>
    <m/>
    <m/>
    <m/>
    <m/>
    <m/>
    <m/>
    <m/>
    <s v="Dean"/>
  </r>
  <r>
    <x v="4"/>
    <s v="CFO003"/>
    <x v="10"/>
    <s v="No"/>
    <s v="Finance"/>
    <s v="Barnes"/>
    <s v="Kim"/>
    <s v="Dean"/>
    <x v="4"/>
    <m/>
    <s v="Speccing (ANA-050)"/>
    <m/>
    <m/>
    <n v="30"/>
    <n v="30"/>
    <d v="2024-10-30T00:00:00"/>
    <s v="Rachelle"/>
    <m/>
    <s v="WIP"/>
    <m/>
    <d v="2024-09-30T00:00:00"/>
    <m/>
    <s v="Martin "/>
    <m/>
    <s v="Dean"/>
    <m/>
    <m/>
    <m/>
    <m/>
    <m/>
    <m/>
    <m/>
    <m/>
    <m/>
    <m/>
    <m/>
    <s v="Dean"/>
  </r>
  <r>
    <x v="4"/>
    <s v="CFO004"/>
    <x v="11"/>
    <s v="No"/>
    <s v="Finance"/>
    <s v="Barnes"/>
    <s v="Kim"/>
    <s v="Dean"/>
    <x v="4"/>
    <m/>
    <s v="Speccing (ANA-050)"/>
    <m/>
    <m/>
    <n v="30"/>
    <n v="30"/>
    <d v="2024-10-30T00:00:00"/>
    <s v="Rachelle"/>
    <m/>
    <s v="WIP"/>
    <m/>
    <d v="2024-09-30T00:00:00"/>
    <m/>
    <s v="Martin "/>
    <m/>
    <s v="Dean"/>
    <m/>
    <m/>
    <m/>
    <m/>
    <m/>
    <m/>
    <m/>
    <m/>
    <m/>
    <m/>
    <m/>
    <s v="Dean"/>
  </r>
  <r>
    <x v="4"/>
    <s v="CFO005"/>
    <x v="12"/>
    <s v="No"/>
    <s v="Finance"/>
    <s v="Barnes"/>
    <s v="Kim"/>
    <s v="Dean"/>
    <x v="4"/>
    <m/>
    <s v="Speccing (ANA-050)"/>
    <m/>
    <m/>
    <n v="30"/>
    <n v="30"/>
    <d v="2024-10-30T00:00:00"/>
    <s v="Rachelle"/>
    <m/>
    <s v="WIP"/>
    <m/>
    <d v="2024-09-30T00:00:00"/>
    <m/>
    <s v="Martin "/>
    <m/>
    <s v="Karin"/>
    <m/>
    <m/>
    <m/>
    <m/>
    <m/>
    <m/>
    <m/>
    <m/>
    <m/>
    <m/>
    <m/>
    <s v="Karin"/>
  </r>
  <r>
    <x v="5"/>
    <s v="CON002"/>
    <x v="13"/>
    <s v="No"/>
    <s v="Finance"/>
    <s v="Barnes"/>
    <s v="Kim"/>
    <s v="Kevin"/>
    <x v="0"/>
    <m/>
    <s v="Development Testing"/>
    <m/>
    <m/>
    <n v="12"/>
    <n v="12"/>
    <d v="2024-10-12T00:00:00"/>
    <s v="Dennis"/>
    <m/>
    <s v="WIP"/>
    <m/>
    <d v="2024-09-20T00:00:00"/>
    <m/>
    <s v="Martin "/>
    <m/>
    <s v="Dean"/>
    <m/>
    <m/>
    <m/>
    <m/>
    <m/>
    <m/>
    <s v="Business"/>
    <m/>
    <m/>
    <m/>
    <m/>
    <s v="Dean"/>
  </r>
  <r>
    <x v="5"/>
    <s v="CON003"/>
    <x v="14"/>
    <s v="No"/>
    <s v="Finance"/>
    <s v="Barnes"/>
    <s v="Kim"/>
    <s v="Kevin"/>
    <x v="0"/>
    <m/>
    <s v="Tech Spec (TAR-040)"/>
    <m/>
    <m/>
    <n v="25"/>
    <n v="25"/>
    <d v="2024-10-25T00:00:00"/>
    <s v="Dennis"/>
    <m/>
    <s v="WIP"/>
    <m/>
    <d v="2024-09-20T00:00:00"/>
    <m/>
    <s v="Martin "/>
    <m/>
    <s v="Dean"/>
    <m/>
    <m/>
    <m/>
    <m/>
    <m/>
    <m/>
    <s v="Business"/>
    <m/>
    <m/>
    <m/>
    <m/>
    <s v="Dean"/>
  </r>
  <r>
    <x v="5"/>
    <s v="CON004"/>
    <x v="15"/>
    <s v="No"/>
    <s v="Finance"/>
    <s v="Barnes"/>
    <s v="Kim"/>
    <s v="Kevin"/>
    <x v="0"/>
    <m/>
    <s v="Tech Spec (TAR-040)"/>
    <m/>
    <m/>
    <n v="25"/>
    <n v="25"/>
    <d v="2024-10-25T00:00:00"/>
    <s v="Dennis"/>
    <m/>
    <s v="WIP"/>
    <m/>
    <d v="2024-09-20T00:00:00"/>
    <m/>
    <s v="Martin "/>
    <m/>
    <s v="Dean"/>
    <m/>
    <m/>
    <m/>
    <m/>
    <m/>
    <m/>
    <s v="Business"/>
    <m/>
    <m/>
    <m/>
    <m/>
    <s v="Dean"/>
  </r>
  <r>
    <x v="6"/>
    <s v="EDI007"/>
    <x v="16"/>
    <m/>
    <s v="OTC"/>
    <s v="Infor"/>
    <s v="Melissa"/>
    <s v="Jeff"/>
    <x v="3"/>
    <m/>
    <s v="Out of Scope"/>
    <m/>
    <m/>
    <n v="60"/>
    <n v="60"/>
    <d v="2024-11-29T00:00:00"/>
    <s v="Cheska "/>
    <m/>
    <s v="N/A "/>
    <s v="N/A "/>
    <s v="N/A "/>
    <s v="N/A "/>
    <s v="Martin "/>
    <s v="N/A "/>
    <m/>
    <s v="N/A "/>
    <s v="N/A "/>
    <s v="N/A "/>
    <m/>
    <m/>
    <m/>
    <m/>
    <m/>
    <m/>
    <s v="N/A "/>
    <s v="N/A "/>
    <s v="N/A "/>
  </r>
  <r>
    <x v="5"/>
    <s v="CON005"/>
    <x v="17"/>
    <s v="No"/>
    <s v="Finance"/>
    <s v="Barnes"/>
    <s v="Kim"/>
    <s v="Kevin"/>
    <x v="0"/>
    <m/>
    <s v="Tech Spec (TAR-040)"/>
    <m/>
    <m/>
    <n v="25"/>
    <n v="25"/>
    <d v="2024-10-25T00:00:00"/>
    <s v="Dennis"/>
    <m/>
    <s v="WIP"/>
    <m/>
    <d v="2024-09-20T00:00:00"/>
    <m/>
    <s v="Martin "/>
    <m/>
    <s v="Dean"/>
    <m/>
    <m/>
    <m/>
    <m/>
    <m/>
    <m/>
    <s v="Business"/>
    <m/>
    <m/>
    <m/>
    <m/>
    <s v="Dean"/>
  </r>
  <r>
    <x v="5"/>
    <s v="CON001"/>
    <x v="18"/>
    <s v="Yes"/>
    <s v="Finance"/>
    <s v="Infor"/>
    <s v="Kim"/>
    <s v="Kevin"/>
    <x v="2"/>
    <m/>
    <s v="Speccing (ANA-050)"/>
    <m/>
    <m/>
    <n v="30"/>
    <n v="30"/>
    <d v="2024-10-30T00:00:00"/>
    <s v="Dennis"/>
    <m/>
    <s v="WIP"/>
    <m/>
    <d v="2024-09-20T00:00:00"/>
    <m/>
    <s v="Jen"/>
    <s v="Completed"/>
    <m/>
    <s v="Completed"/>
    <m/>
    <m/>
    <s v="Completed"/>
    <d v="2024-05-03T00:00:00"/>
    <m/>
    <s v="Business"/>
    <s v="Amy_x000a_Kimberly"/>
    <m/>
    <m/>
    <m/>
    <m/>
  </r>
  <r>
    <x v="5"/>
    <s v="CONO06"/>
    <x v="19"/>
    <s v="No"/>
    <s v="Finance"/>
    <s v="Infor"/>
    <s v="Kim"/>
    <s v="Kevin"/>
    <x v="0"/>
    <m/>
    <s v="Speccing (ANA-050)"/>
    <m/>
    <m/>
    <m/>
    <m/>
    <m/>
    <s v="Rachelle"/>
    <m/>
    <s v="WIP"/>
    <m/>
    <d v="2024-09-30T00:00:00"/>
    <m/>
    <s v="Martin "/>
    <m/>
    <m/>
    <m/>
    <m/>
    <m/>
    <m/>
    <m/>
    <m/>
    <m/>
    <m/>
    <m/>
    <m/>
    <m/>
    <m/>
  </r>
  <r>
    <x v="7"/>
    <s v="FED001"/>
    <x v="20"/>
    <s v="No"/>
    <s v="Supply chain"/>
    <s v="Infor"/>
    <s v="Lori "/>
    <s v="Jeff"/>
    <x v="0"/>
    <m/>
    <s v="Tech Spec (TAR-040)"/>
    <m/>
    <m/>
    <n v="25"/>
    <n v="25"/>
    <d v="2024-10-25T00:00:00"/>
    <s v="Cheska"/>
    <s v="WIP"/>
    <s v="Completed"/>
    <d v="2024-06-14T00:00:00"/>
    <s v="Completed "/>
    <d v="2024-04-25T00:00:00"/>
    <s v="Martin "/>
    <s v="Pending Approval"/>
    <s v="Dean"/>
    <m/>
    <m/>
    <m/>
    <m/>
    <m/>
    <m/>
    <s v="Business"/>
    <s v="Dean"/>
    <m/>
    <m/>
    <m/>
    <m/>
  </r>
  <r>
    <x v="7"/>
    <s v="FED002"/>
    <x v="21"/>
    <s v="Yes"/>
    <s v="Supply chain"/>
    <s v="Barnes"/>
    <s v="Dan"/>
    <s v="Jeff"/>
    <x v="0"/>
    <m/>
    <s v="Tech Spec (TAR-040)"/>
    <m/>
    <m/>
    <n v="25"/>
    <n v="25"/>
    <d v="2024-10-25T00:00:00"/>
    <m/>
    <m/>
    <m/>
    <s v="to Sonja, review 3/26"/>
    <m/>
    <m/>
    <m/>
    <m/>
    <s v="Jeff"/>
    <m/>
    <m/>
    <m/>
    <m/>
    <m/>
    <m/>
    <m/>
    <m/>
    <m/>
    <m/>
    <m/>
    <s v="Jeff"/>
  </r>
  <r>
    <x v="8"/>
    <s v="OPT006"/>
    <x v="22"/>
    <s v="No"/>
    <s v="OTC"/>
    <s v="Infor"/>
    <s v="Amy B / Beth W"/>
    <s v="Dean "/>
    <x v="0"/>
    <m/>
    <s v="Tech Spec (TAR-040)"/>
    <m/>
    <m/>
    <n v="25"/>
    <n v="25"/>
    <d v="2024-10-25T00:00:00"/>
    <s v="Cheska "/>
    <s v="WIP"/>
    <s v="Completed"/>
    <d v="2024-06-27T00:00:00"/>
    <s v="Completed "/>
    <d v="2024-05-18T00:00:00"/>
    <s v="Martin "/>
    <s v="Completed"/>
    <m/>
    <m/>
    <m/>
    <m/>
    <s v="Completed"/>
    <m/>
    <m/>
    <s v="Business"/>
    <m/>
    <m/>
    <m/>
    <m/>
    <m/>
  </r>
  <r>
    <x v="8"/>
    <s v="OPT001"/>
    <x v="23"/>
    <s v="No"/>
    <s v="OTC"/>
    <s v="Barnes"/>
    <s v="Amy B / Beth W"/>
    <s v="Jeff"/>
    <x v="4"/>
    <m/>
    <s v="Speccing (ANA-050)"/>
    <m/>
    <m/>
    <n v="30"/>
    <n v="30"/>
    <d v="2024-10-30T00:00:00"/>
    <s v="Hubert "/>
    <m/>
    <s v="Completed"/>
    <m/>
    <m/>
    <m/>
    <m/>
    <m/>
    <s v="Dean"/>
    <m/>
    <m/>
    <m/>
    <m/>
    <m/>
    <m/>
    <m/>
    <m/>
    <m/>
    <m/>
    <m/>
    <s v="Dean"/>
  </r>
  <r>
    <x v="8"/>
    <s v="OPT002"/>
    <x v="24"/>
    <s v="No"/>
    <s v="OTC"/>
    <s v="Barnes"/>
    <s v="Amy B / Beth W"/>
    <s v="Jeff"/>
    <x v="4"/>
    <m/>
    <s v="Speccing (ANA-050)"/>
    <m/>
    <m/>
    <n v="30"/>
    <n v="30"/>
    <d v="2024-10-30T00:00:00"/>
    <s v="Hubert "/>
    <m/>
    <s v="Completed"/>
    <m/>
    <m/>
    <m/>
    <m/>
    <m/>
    <s v="Dean"/>
    <m/>
    <m/>
    <m/>
    <m/>
    <m/>
    <m/>
    <m/>
    <m/>
    <m/>
    <m/>
    <m/>
    <s v="Dean"/>
  </r>
  <r>
    <x v="8"/>
    <s v="OPT003"/>
    <x v="25"/>
    <s v="No"/>
    <s v="OTC"/>
    <s v="Barnes"/>
    <s v="Amy B / Beth W"/>
    <s v="Jeff"/>
    <x v="4"/>
    <m/>
    <s v="Speccing (ANA-050)"/>
    <m/>
    <m/>
    <n v="30"/>
    <n v="30"/>
    <d v="2024-10-30T00:00:00"/>
    <s v="Hubert "/>
    <m/>
    <s v="Completed"/>
    <m/>
    <m/>
    <m/>
    <m/>
    <m/>
    <s v="Dean"/>
    <m/>
    <m/>
    <m/>
    <m/>
    <m/>
    <m/>
    <m/>
    <m/>
    <m/>
    <m/>
    <m/>
    <s v="Dean"/>
  </r>
  <r>
    <x v="8"/>
    <s v="OPT004"/>
    <x v="26"/>
    <s v="No"/>
    <s v="OTC"/>
    <s v="Barnes"/>
    <s v="Amy B / Beth W"/>
    <s v="Jeff"/>
    <x v="4"/>
    <m/>
    <s v="Speccing (ANA-050)"/>
    <m/>
    <m/>
    <n v="30"/>
    <n v="30"/>
    <d v="2024-10-30T00:00:00"/>
    <s v="Hubert "/>
    <m/>
    <s v="Completed"/>
    <m/>
    <m/>
    <m/>
    <m/>
    <m/>
    <s v="Dean"/>
    <m/>
    <m/>
    <m/>
    <m/>
    <m/>
    <m/>
    <m/>
    <m/>
    <m/>
    <m/>
    <m/>
    <s v="Dean"/>
  </r>
  <r>
    <x v="8"/>
    <s v="OPT005"/>
    <x v="27"/>
    <s v="No"/>
    <s v="OTC"/>
    <s v="Barnes"/>
    <s v="Amy B / Beth W"/>
    <s v="Jeff"/>
    <x v="4"/>
    <m/>
    <s v="Speccing (ANA-050)"/>
    <m/>
    <m/>
    <n v="30"/>
    <n v="30"/>
    <d v="2024-10-30T00:00:00"/>
    <s v="Hubert "/>
    <m/>
    <s v="Completed"/>
    <m/>
    <m/>
    <m/>
    <m/>
    <m/>
    <s v="Dean"/>
    <m/>
    <m/>
    <m/>
    <m/>
    <m/>
    <m/>
    <m/>
    <m/>
    <m/>
    <m/>
    <m/>
    <s v="Dean"/>
  </r>
  <r>
    <x v="9"/>
    <s v="FIN002"/>
    <x v="28"/>
    <s v="No"/>
    <s v="Finance"/>
    <s v="Infor"/>
    <s v="Kim"/>
    <s v="Jeff"/>
    <x v="0"/>
    <m/>
    <s v="Speccing (ANA-050)"/>
    <m/>
    <m/>
    <n v="30"/>
    <n v="30"/>
    <d v="2024-10-30T00:00:00"/>
    <s v="Dennis"/>
    <m/>
    <s v="WIP"/>
    <m/>
    <d v="2024-09-27T00:00:00"/>
    <m/>
    <s v="Martin "/>
    <m/>
    <m/>
    <m/>
    <m/>
    <m/>
    <m/>
    <m/>
    <m/>
    <m/>
    <m/>
    <m/>
    <m/>
    <m/>
    <m/>
  </r>
  <r>
    <x v="3"/>
    <s v="SFDC01"/>
    <x v="29"/>
    <s v="No"/>
    <s v="OTC"/>
    <s v="Infor"/>
    <s v="Torbjörn"/>
    <s v="Torbjörn"/>
    <x v="2"/>
    <m/>
    <s v="Business Testing"/>
    <m/>
    <m/>
    <n v="2"/>
    <n v="2"/>
    <d v="2024-10-02T00:00:00"/>
    <s v="Jen"/>
    <m/>
    <s v="Completed"/>
    <d v="2024-02-27T00:00:00"/>
    <m/>
    <m/>
    <s v="Jen"/>
    <s v="Completed"/>
    <m/>
    <s v="Completed"/>
    <m/>
    <m/>
    <m/>
    <m/>
    <m/>
    <s v="Business"/>
    <s v="Torbjorn"/>
    <m/>
    <s v="Pending Confirmation"/>
    <m/>
    <m/>
  </r>
  <r>
    <x v="3"/>
    <s v="SFDC04"/>
    <x v="30"/>
    <s v="No"/>
    <s v="OTC"/>
    <s v="Infor"/>
    <s v="Torbjörn"/>
    <s v="Torbjörn"/>
    <x v="2"/>
    <m/>
    <s v="Business Testing"/>
    <m/>
    <m/>
    <n v="2"/>
    <n v="2"/>
    <d v="2024-10-02T00:00:00"/>
    <s v="Jen"/>
    <m/>
    <s v="Completed"/>
    <d v="2024-02-27T00:00:00"/>
    <m/>
    <m/>
    <s v="Jen"/>
    <s v="Completed"/>
    <m/>
    <s v="Completed"/>
    <m/>
    <m/>
    <m/>
    <m/>
    <m/>
    <s v="Business"/>
    <s v="Torbjorn"/>
    <m/>
    <s v="Pending Confirmation"/>
    <m/>
    <m/>
  </r>
  <r>
    <x v="6"/>
    <s v="EDI001"/>
    <x v="31"/>
    <s v="No"/>
    <s v="OTC"/>
    <s v="Infor"/>
    <s v="Melissa"/>
    <s v="Jeff"/>
    <x v="2"/>
    <m/>
    <s v="Development Testing"/>
    <s v="Testing"/>
    <n v="10"/>
    <n v="12"/>
    <n v="22"/>
    <d v="2024-10-22T00:00:00"/>
    <s v="Cheska "/>
    <s v="Complete"/>
    <s v="Completed"/>
    <d v="2024-06-17T00:00:00"/>
    <s v="Completed"/>
    <d v="2024-05-18T00:00:00"/>
    <s v="Martin "/>
    <m/>
    <m/>
    <m/>
    <m/>
    <d v="2024-06-17T00:00:00"/>
    <m/>
    <m/>
    <m/>
    <s v="Technical"/>
    <m/>
    <d v="2024-06-18T00:00:00"/>
    <m/>
    <m/>
    <m/>
  </r>
  <r>
    <x v="6"/>
    <s v="EDI002"/>
    <x v="32"/>
    <s v="No"/>
    <s v="OTC"/>
    <s v="Infor"/>
    <s v="Melissa"/>
    <s v="Jeff"/>
    <x v="0"/>
    <m/>
    <s v="Tech Spec (TAR-040)"/>
    <m/>
    <n v="20"/>
    <n v="25"/>
    <n v="45"/>
    <d v="2024-11-14T00:00:00"/>
    <s v="Cheska "/>
    <s v="Complete"/>
    <s v="Completed"/>
    <s v="Complete"/>
    <s v="Completed "/>
    <m/>
    <s v="Martin "/>
    <s v="WIP"/>
    <m/>
    <m/>
    <m/>
    <m/>
    <m/>
    <m/>
    <m/>
    <m/>
    <m/>
    <m/>
    <m/>
    <m/>
    <m/>
  </r>
  <r>
    <x v="6"/>
    <s v="EDI003"/>
    <x v="33"/>
    <s v="No"/>
    <s v="OTC"/>
    <s v="Infor"/>
    <s v="Melissa"/>
    <s v="Jeff"/>
    <x v="5"/>
    <m/>
    <s v="Speccing (ANA-050)"/>
    <m/>
    <n v="20"/>
    <n v="30"/>
    <n v="50"/>
    <d v="2024-11-19T00:00:00"/>
    <s v="Cheska "/>
    <s v="Complete"/>
    <s v="Completed"/>
    <s v="Complete"/>
    <s v="Completed "/>
    <m/>
    <s v="Martin "/>
    <m/>
    <m/>
    <m/>
    <m/>
    <m/>
    <m/>
    <m/>
    <m/>
    <m/>
    <m/>
    <m/>
    <m/>
    <m/>
    <m/>
  </r>
  <r>
    <x v="6"/>
    <s v="EDI004"/>
    <x v="34"/>
    <s v="No"/>
    <s v="OTC"/>
    <s v="Infor"/>
    <s v="Melissa"/>
    <s v="Jeff"/>
    <x v="5"/>
    <m/>
    <s v="Tech Spec (TAR-040)"/>
    <m/>
    <n v="20"/>
    <n v="25"/>
    <n v="45"/>
    <d v="2024-11-14T00:00:00"/>
    <s v="Cheska "/>
    <s v="Complete"/>
    <s v="Completed"/>
    <d v="2024-08-15T00:00:00"/>
    <s v="Completed "/>
    <m/>
    <s v="Martin "/>
    <m/>
    <m/>
    <m/>
    <m/>
    <m/>
    <m/>
    <m/>
    <m/>
    <m/>
    <m/>
    <m/>
    <m/>
    <m/>
    <m/>
  </r>
  <r>
    <x v="6"/>
    <s v="EDI005"/>
    <x v="35"/>
    <s v="No"/>
    <s v="OTC"/>
    <s v="Infor"/>
    <s v="Melissa"/>
    <s v="Jeff"/>
    <x v="0"/>
    <m/>
    <s v="Tech Spec (TAR-040)"/>
    <m/>
    <n v="20"/>
    <n v="25"/>
    <n v="45"/>
    <d v="2024-11-14T00:00:00"/>
    <s v="Cheska "/>
    <s v="Complete"/>
    <s v="Completed"/>
    <d v="2024-06-17T00:00:00"/>
    <s v="Completed "/>
    <d v="2024-07-01T00:00:00"/>
    <s v="Martin "/>
    <m/>
    <m/>
    <m/>
    <m/>
    <m/>
    <m/>
    <m/>
    <m/>
    <m/>
    <m/>
    <m/>
    <m/>
    <m/>
    <m/>
  </r>
  <r>
    <x v="6"/>
    <s v="TBD"/>
    <x v="36"/>
    <m/>
    <m/>
    <m/>
    <m/>
    <m/>
    <x v="6"/>
    <m/>
    <m/>
    <m/>
    <m/>
    <m/>
    <m/>
    <m/>
    <m/>
    <m/>
    <m/>
    <m/>
    <m/>
    <m/>
    <m/>
    <m/>
    <m/>
    <m/>
    <m/>
    <m/>
    <m/>
    <m/>
    <m/>
    <m/>
    <m/>
    <m/>
    <m/>
    <m/>
    <m/>
  </r>
  <r>
    <x v="6"/>
    <s v="EDI006"/>
    <x v="37"/>
    <s v="No"/>
    <s v="OTC"/>
    <s v="Infor"/>
    <s v="Melissa"/>
    <s v="Jeff"/>
    <x v="0"/>
    <m/>
    <s v="Tech Spec (TAR-040)"/>
    <s v="Testing"/>
    <n v="10"/>
    <n v="25"/>
    <n v="35"/>
    <d v="2024-11-04T00:00:00"/>
    <s v="Cheska "/>
    <s v="Complete"/>
    <s v="Completed"/>
    <d v="2024-06-17T00:00:00"/>
    <s v="Completed "/>
    <d v="2024-07-10T00:00:00"/>
    <s v="Martin "/>
    <m/>
    <m/>
    <m/>
    <m/>
    <m/>
    <m/>
    <m/>
    <m/>
    <m/>
    <m/>
    <d v="2024-07-19T00:00:00"/>
    <m/>
    <m/>
    <m/>
  </r>
  <r>
    <x v="10"/>
    <s v="UPS002"/>
    <x v="38"/>
    <s v="No"/>
    <s v="Supply chain"/>
    <s v="Barnes"/>
    <s v="Dan"/>
    <s v="Jeff"/>
    <x v="0"/>
    <m/>
    <s v="Tech Spec (TAR-040)"/>
    <m/>
    <m/>
    <n v="25"/>
    <n v="25"/>
    <d v="2024-10-25T00:00:00"/>
    <s v="Cheska"/>
    <s v="WIP"/>
    <s v="Completed"/>
    <d v="2024-06-14T00:00:00"/>
    <s v="Completed "/>
    <d v="2024-04-25T00:00:00"/>
    <m/>
    <s v="Completed"/>
    <m/>
    <m/>
    <m/>
    <m/>
    <m/>
    <m/>
    <m/>
    <m/>
    <m/>
    <m/>
    <m/>
    <m/>
    <s v="Jeff"/>
  </r>
  <r>
    <x v="10"/>
    <s v="UPS001"/>
    <x v="39"/>
    <s v="No"/>
    <s v="Supply chain"/>
    <s v="Infor"/>
    <s v="Lori "/>
    <s v="Jeff"/>
    <x v="0"/>
    <m/>
    <s v="Tech Spec (TAR-040)"/>
    <m/>
    <m/>
    <n v="25"/>
    <n v="25"/>
    <d v="2024-10-25T00:00:00"/>
    <s v="Cheska"/>
    <s v="WIP"/>
    <s v="Completed"/>
    <d v="2024-06-14T00:00:00"/>
    <s v="Completed "/>
    <d v="2024-04-25T00:00:00"/>
    <s v="Martin"/>
    <s v="Completed"/>
    <m/>
    <m/>
    <m/>
    <m/>
    <m/>
    <m/>
    <m/>
    <m/>
    <m/>
    <m/>
    <m/>
    <m/>
    <m/>
  </r>
  <r>
    <x v="11"/>
    <m/>
    <x v="40"/>
    <m/>
    <m/>
    <m/>
    <m/>
    <m/>
    <x v="6"/>
    <m/>
    <m/>
    <m/>
    <m/>
    <m/>
    <m/>
    <m/>
    <m/>
    <m/>
    <m/>
    <m/>
    <m/>
    <m/>
    <m/>
    <m/>
    <m/>
    <m/>
    <m/>
    <m/>
    <m/>
    <m/>
    <m/>
    <m/>
    <m/>
    <m/>
    <m/>
    <m/>
    <m/>
  </r>
  <r>
    <x v="11"/>
    <m/>
    <x v="40"/>
    <m/>
    <m/>
    <m/>
    <m/>
    <m/>
    <x v="6"/>
    <m/>
    <m/>
    <m/>
    <m/>
    <m/>
    <m/>
    <m/>
    <m/>
    <m/>
    <m/>
    <m/>
    <m/>
    <m/>
    <m/>
    <m/>
    <m/>
    <m/>
    <m/>
    <m/>
    <m/>
    <m/>
    <m/>
    <m/>
    <m/>
    <m/>
    <m/>
    <m/>
    <m/>
  </r>
  <r>
    <x v="11"/>
    <m/>
    <x v="40"/>
    <m/>
    <m/>
    <m/>
    <m/>
    <m/>
    <x v="6"/>
    <m/>
    <m/>
    <m/>
    <m/>
    <m/>
    <m/>
    <m/>
    <m/>
    <m/>
    <m/>
    <m/>
    <m/>
    <m/>
    <m/>
    <m/>
    <m/>
    <m/>
    <m/>
    <m/>
    <m/>
    <m/>
    <m/>
    <m/>
    <m/>
    <m/>
    <m/>
    <m/>
    <m/>
  </r>
  <r>
    <x v="11"/>
    <m/>
    <x v="40"/>
    <m/>
    <m/>
    <m/>
    <m/>
    <m/>
    <x v="6"/>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29B4E-1D18-4BF7-B18A-5D4105FC03A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6" firstHeaderRow="1" firstDataRow="2" firstDataCol="1"/>
  <pivotFields count="39">
    <pivotField axis="axisRow" showAll="0">
      <items count="14">
        <item x="1"/>
        <item x="2"/>
        <item x="4"/>
        <item x="5"/>
        <item x="7"/>
        <item x="8"/>
        <item m="1" x="11"/>
        <item x="3"/>
        <item x="6"/>
        <item x="10"/>
        <item m="1" x="12"/>
        <item x="0"/>
        <item x="9"/>
        <item t="default"/>
      </items>
    </pivotField>
    <pivotField dataField="1" showAll="0"/>
    <pivotField showAll="0"/>
    <pivotField showAll="0"/>
    <pivotField showAll="0"/>
    <pivotField showAll="0"/>
    <pivotField showAll="0"/>
    <pivotField showAll="0"/>
    <pivotField showAll="0"/>
    <pivotField showAll="0"/>
    <pivotField axis="axisCol" showAll="0" sortType="ascending">
      <items count="13">
        <item n="1 - Not Started" m="1" x="8"/>
        <item n="2 - Research" m="1" x="7"/>
        <item n="3 - Speccing (ANA-050)" x="0"/>
        <item n="4 - Tech Spec (TAR-040)" x="5"/>
        <item n="5 - Development" x="1"/>
        <item n="6 - Development Testing" x="4"/>
        <item n="7 - Functional Testing" m="1" x="9"/>
        <item m="1" x="11"/>
        <item x="2"/>
        <item h="1" x="3"/>
        <item m="1" x="1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7"/>
    </i>
    <i>
      <x v="8"/>
    </i>
    <i>
      <x v="9"/>
    </i>
    <i>
      <x v="11"/>
    </i>
    <i>
      <x v="12"/>
    </i>
    <i t="grand">
      <x/>
    </i>
  </rowItems>
  <colFields count="1">
    <field x="10"/>
  </colFields>
  <colItems count="7">
    <i>
      <x v="2"/>
    </i>
    <i>
      <x v="3"/>
    </i>
    <i>
      <x v="4"/>
    </i>
    <i>
      <x v="5"/>
    </i>
    <i>
      <x v="8"/>
    </i>
    <i>
      <x v="11"/>
    </i>
    <i t="grand">
      <x/>
    </i>
  </colItems>
  <dataFields count="1">
    <dataField name="Count of Interface ID" fld="1" subtotal="count" baseField="0" baseItem="0"/>
  </dataFields>
  <formats count="12">
    <format dxfId="372">
      <pivotArea field="0" type="button" dataOnly="0" labelOnly="1" outline="0" axis="axisRow" fieldPosition="0"/>
    </format>
    <format dxfId="371">
      <pivotArea dataOnly="0" labelOnly="1" grandCol="1" outline="0" fieldPosition="0"/>
    </format>
    <format dxfId="370">
      <pivotArea dataOnly="0" labelOnly="1" fieldPosition="0">
        <references count="1">
          <reference field="0" count="1">
            <x v="9"/>
          </reference>
        </references>
      </pivotArea>
    </format>
    <format dxfId="369">
      <pivotArea dataOnly="0" labelOnly="1" fieldPosition="0">
        <references count="1">
          <reference field="0" count="1">
            <x v="4"/>
          </reference>
        </references>
      </pivotArea>
    </format>
    <format dxfId="368">
      <pivotArea dataOnly="0" labelOnly="1" fieldPosition="0">
        <references count="1">
          <reference field="0" count="1">
            <x v="8"/>
          </reference>
        </references>
      </pivotArea>
    </format>
    <format dxfId="367">
      <pivotArea dataOnly="0" labelOnly="1" fieldPosition="0">
        <references count="1">
          <reference field="0" count="1">
            <x v="5"/>
          </reference>
        </references>
      </pivotArea>
    </format>
    <format dxfId="366">
      <pivotArea dataOnly="0" labelOnly="1" fieldPosition="0">
        <references count="1">
          <reference field="0" count="1">
            <x v="0"/>
          </reference>
        </references>
      </pivotArea>
    </format>
    <format dxfId="365">
      <pivotArea dataOnly="0" labelOnly="1" fieldPosition="0">
        <references count="1">
          <reference field="0" count="1">
            <x v="2"/>
          </reference>
        </references>
      </pivotArea>
    </format>
    <format dxfId="364">
      <pivotArea dataOnly="0" labelOnly="1" fieldPosition="0">
        <references count="1">
          <reference field="0" count="1">
            <x v="3"/>
          </reference>
        </references>
      </pivotArea>
    </format>
    <format dxfId="363">
      <pivotArea dataOnly="0" labelOnly="1" fieldPosition="0">
        <references count="1">
          <reference field="0" count="2">
            <x v="11"/>
            <x v="12"/>
          </reference>
        </references>
      </pivotArea>
    </format>
    <format dxfId="362">
      <pivotArea dataOnly="0" labelOnly="1" fieldPosition="0">
        <references count="1">
          <reference field="0" count="1">
            <x v="1"/>
          </reference>
        </references>
      </pivotArea>
    </format>
    <format dxfId="361">
      <pivotArea dataOnly="0" labelOnly="1" fieldPosition="0">
        <references count="1">
          <reference field="0" count="1">
            <x v="7"/>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F40EB-C952-4C32-88F2-1E0CC9C9821D}" name="PivotTable1" cacheId="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location ref="A3:F16" firstHeaderRow="1" firstDataRow="1" firstDataCol="6" rowPageCount="1" colPageCount="1"/>
  <pivotFields count="12">
    <pivotField axis="axisRow" outline="0" showAll="0" sortType="ascending" defaultSubtotal="0">
      <items count="14">
        <item x="0"/>
        <item x="1"/>
        <item x="2"/>
        <item x="4"/>
        <item x="5"/>
        <item x="6"/>
        <item x="7"/>
        <item x="8"/>
        <item x="9"/>
        <item x="10"/>
        <item x="11"/>
        <item x="12"/>
        <item x="13"/>
        <item x="3"/>
      </items>
    </pivotField>
    <pivotField showAll="0"/>
    <pivotField axis="axisPage" showAll="0">
      <items count="9">
        <item x="0"/>
        <item x="1"/>
        <item x="3"/>
        <item x="5"/>
        <item x="4"/>
        <item m="1" x="7"/>
        <item m="1" x="6"/>
        <item x="2"/>
        <item t="default"/>
      </items>
    </pivotField>
    <pivotField axis="axisRow" outline="0" showAll="0" defaultSubtotal="0">
      <items count="19">
        <item h="1" m="1" x="17"/>
        <item h="1" x="5"/>
        <item h="1" x="11"/>
        <item h="1" m="1" x="16"/>
        <item h="1" m="1" x="18"/>
        <item h="1" m="1" x="14"/>
        <item h="1" m="1" x="15"/>
        <item h="1" x="12"/>
        <item h="1" x="7"/>
        <item h="1" x="13"/>
        <item h="1" x="0"/>
        <item h="1" x="1"/>
        <item h="1" x="2"/>
        <item h="1" x="3"/>
        <item h="1" x="4"/>
        <item h="1" x="9"/>
        <item h="1" x="8"/>
        <item x="6"/>
        <item h="1" x="10"/>
      </items>
    </pivotField>
    <pivotField axis="axisRow" outline="0" showAll="0" defaultSubtotal="0">
      <items count="105">
        <item m="1" x="94"/>
        <item m="1" x="98"/>
        <item x="80"/>
        <item x="84"/>
        <item x="81"/>
        <item x="82"/>
        <item x="83"/>
        <item x="34"/>
        <item x="0"/>
        <item x="35"/>
        <item x="21"/>
        <item x="1"/>
        <item x="32"/>
        <item x="75"/>
        <item x="25"/>
        <item x="26"/>
        <item x="27"/>
        <item x="28"/>
        <item x="29"/>
        <item m="1" x="100"/>
        <item x="17"/>
        <item x="20"/>
        <item m="1" x="101"/>
        <item m="1" x="90"/>
        <item x="56"/>
        <item m="1" x="93"/>
        <item x="76"/>
        <item m="1" x="102"/>
        <item x="71"/>
        <item x="8"/>
        <item x="6"/>
        <item x="74"/>
        <item x="39"/>
        <item m="1" x="103"/>
        <item x="7"/>
        <item x="5"/>
        <item m="1" x="95"/>
        <item m="1" x="92"/>
        <item x="38"/>
        <item x="42"/>
        <item x="30"/>
        <item m="1" x="104"/>
        <item x="78"/>
        <item x="79"/>
        <item x="44"/>
        <item x="73"/>
        <item x="22"/>
        <item x="86"/>
        <item x="23"/>
        <item x="72"/>
        <item m="1" x="97"/>
        <item m="1" x="99"/>
        <item x="43"/>
        <item x="40"/>
        <item x="46"/>
        <item x="69"/>
        <item x="70"/>
        <item x="16"/>
        <item x="52"/>
        <item x="50"/>
        <item x="48"/>
        <item x="41"/>
        <item x="2"/>
        <item x="14"/>
        <item x="13"/>
        <item x="85"/>
        <item m="1" x="96"/>
        <item x="3"/>
        <item x="15"/>
        <item x="53"/>
        <item x="77"/>
        <item x="45"/>
        <item x="33"/>
        <item m="1" x="91"/>
        <item x="4"/>
        <item x="55"/>
        <item x="57"/>
        <item x="59"/>
        <item x="60"/>
        <item x="61"/>
        <item x="62"/>
        <item x="63"/>
        <item x="64"/>
        <item x="65"/>
        <item x="66"/>
        <item x="67"/>
        <item x="36"/>
        <item x="37"/>
        <item x="10"/>
        <item x="54"/>
        <item x="12"/>
        <item x="58"/>
        <item x="18"/>
        <item x="11"/>
        <item x="19"/>
        <item x="89"/>
        <item x="24"/>
        <item x="31"/>
        <item x="68"/>
        <item x="87"/>
        <item x="88"/>
        <item x="9"/>
        <item x="47"/>
        <item x="49"/>
        <item x="51"/>
      </items>
    </pivotField>
    <pivotField axis="axisRow" outline="0" showAll="0" defaultSubtotal="0">
      <items count="14">
        <item x="0"/>
        <item x="5"/>
        <item x="1"/>
        <item m="1" x="13"/>
        <item x="2"/>
        <item sd="0" x="7"/>
        <item m="1" x="12"/>
        <item x="3"/>
        <item x="6"/>
        <item x="9"/>
        <item x="8"/>
        <item x="4"/>
        <item x="10"/>
        <item x="11"/>
      </items>
    </pivotField>
    <pivotField axis="axisRow" outline="0" showAll="0" defaultSubtotal="0">
      <items count="30">
        <item x="17"/>
        <item x="14"/>
        <item x="24"/>
        <item x="23"/>
        <item x="25"/>
        <item x="15"/>
        <item x="0"/>
        <item x="21"/>
        <item m="1" x="29"/>
        <item x="1"/>
        <item x="2"/>
        <item x="4"/>
        <item x="13"/>
        <item m="1" x="28"/>
        <item x="5"/>
        <item x="9"/>
        <item x="10"/>
        <item x="7"/>
        <item x="3"/>
        <item m="1" x="27"/>
        <item x="8"/>
        <item x="11"/>
        <item x="12"/>
        <item x="18"/>
        <item x="19"/>
        <item x="20"/>
        <item x="22"/>
        <item x="26"/>
        <item x="6"/>
        <item x="16"/>
      </items>
    </pivotField>
    <pivotField showAll="0"/>
    <pivotField name="Dev Owner" axis="axisRow" showAll="0">
      <items count="50">
        <item x="25"/>
        <item x="6"/>
        <item x="9"/>
        <item x="0"/>
        <item x="30"/>
        <item x="37"/>
        <item x="19"/>
        <item m="1" x="44"/>
        <item x="20"/>
        <item m="1" x="48"/>
        <item x="5"/>
        <item x="23"/>
        <item x="33"/>
        <item x="32"/>
        <item x="35"/>
        <item x="13"/>
        <item x="15"/>
        <item x="7"/>
        <item x="2"/>
        <item x="26"/>
        <item x="27"/>
        <item x="38"/>
        <item x="14"/>
        <item x="4"/>
        <item x="1"/>
        <item x="18"/>
        <item x="11"/>
        <item x="17"/>
        <item x="22"/>
        <item x="36"/>
        <item x="34"/>
        <item x="3"/>
        <item x="31"/>
        <item x="29"/>
        <item x="12"/>
        <item x="21"/>
        <item m="1" x="45"/>
        <item x="40"/>
        <item m="1" x="41"/>
        <item m="1" x="42"/>
        <item m="1" x="47"/>
        <item m="1" x="46"/>
        <item x="10"/>
        <item m="1" x="43"/>
        <item x="28"/>
        <item x="16"/>
        <item x="8"/>
        <item x="39"/>
        <item x="24"/>
        <item t="default"/>
      </items>
    </pivotField>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6">
    <field x="0"/>
    <field x="3"/>
    <field x="4"/>
    <field x="5"/>
    <field x="6"/>
    <field x="8"/>
  </rowFields>
  <rowItems count="13">
    <i>
      <x/>
      <x v="17"/>
      <x v="93"/>
      <x v="11"/>
      <x v="18"/>
      <x v="10"/>
    </i>
    <i>
      <x v="1"/>
      <x v="17"/>
      <x v="94"/>
      <x/>
      <x v="20"/>
      <x v="46"/>
    </i>
    <i>
      <x v="2"/>
      <x v="17"/>
      <x v="93"/>
      <x v="12"/>
      <x v="22"/>
      <x v="10"/>
    </i>
    <i>
      <x v="3"/>
      <x v="17"/>
      <x v="93"/>
      <x v="12"/>
      <x v="21"/>
      <x v="10"/>
    </i>
    <i>
      <x v="4"/>
      <x v="17"/>
      <x v="93"/>
      <x v="12"/>
      <x v="16"/>
      <x v="10"/>
    </i>
    <i>
      <x v="5"/>
      <x v="17"/>
      <x v="93"/>
      <x v="13"/>
      <x v="23"/>
      <x v="10"/>
    </i>
    <i>
      <x v="7"/>
      <x v="17"/>
      <x v="93"/>
      <x v="11"/>
      <x v="24"/>
      <x v="10"/>
    </i>
    <i>
      <x v="8"/>
      <x v="17"/>
      <x v="93"/>
      <x v="11"/>
      <x v="25"/>
      <x v="10"/>
    </i>
    <i>
      <x v="9"/>
      <x v="17"/>
      <x v="93"/>
      <x v="13"/>
      <x v="22"/>
      <x v="10"/>
    </i>
    <i>
      <x v="10"/>
      <x v="17"/>
      <x v="93"/>
      <x/>
      <x v="26"/>
      <x v="46"/>
    </i>
    <i>
      <x v="11"/>
      <x v="17"/>
      <x v="99"/>
      <x v="12"/>
      <x v="22"/>
      <x v="47"/>
    </i>
    <i r="2">
      <x v="100"/>
      <x v="12"/>
      <x v="27"/>
      <x v="47"/>
    </i>
    <i>
      <x v="12"/>
      <x v="17"/>
      <x v="93"/>
      <x v="13"/>
      <x v="23"/>
      <x v="10"/>
    </i>
  </rowItems>
  <colItems count="1">
    <i/>
  </colItems>
  <pageFields count="1">
    <pageField fld="2" item="2" hier="-1"/>
  </pageFields>
  <formats count="198">
    <format dxfId="350">
      <pivotArea dataOnly="0" labelOnly="1" fieldPosition="0">
        <references count="6">
          <reference field="0" count="1" selected="0">
            <x v="0"/>
          </reference>
          <reference field="3" count="1" selected="0">
            <x v="13"/>
          </reference>
          <reference field="4" count="1" selected="0">
            <x v="67"/>
          </reference>
          <reference field="5" count="1" selected="0">
            <x v="5"/>
          </reference>
          <reference field="6" count="1" selected="0">
            <x v="11"/>
          </reference>
          <reference field="8" count="1">
            <x v="31"/>
          </reference>
        </references>
      </pivotArea>
    </format>
    <format dxfId="349">
      <pivotArea dataOnly="0" labelOnly="1" fieldPosition="0">
        <references count="6">
          <reference field="0" count="1" selected="0">
            <x v="0"/>
          </reference>
          <reference field="3" count="1" selected="0">
            <x v="14"/>
          </reference>
          <reference field="4" count="1" selected="0">
            <x v="74"/>
          </reference>
          <reference field="5" count="1" selected="0">
            <x v="5"/>
          </reference>
          <reference field="6" count="1" selected="0">
            <x v="11"/>
          </reference>
          <reference field="8" count="1">
            <x v="31"/>
          </reference>
        </references>
      </pivotArea>
    </format>
    <format dxfId="348">
      <pivotArea dataOnly="0" labelOnly="1" fieldPosition="0">
        <references count="4">
          <reference field="0" count="1" selected="0">
            <x v="1"/>
          </reference>
          <reference field="3" count="1" selected="0">
            <x v="13"/>
          </reference>
          <reference field="4" count="1" selected="0">
            <x v="68"/>
          </reference>
          <reference field="5" count="1">
            <x v="2"/>
          </reference>
        </references>
      </pivotArea>
    </format>
    <format dxfId="347">
      <pivotArea dataOnly="0" labelOnly="1" fieldPosition="0">
        <references count="5">
          <reference field="0" count="1" selected="0">
            <x v="1"/>
          </reference>
          <reference field="3" count="1" selected="0">
            <x v="13"/>
          </reference>
          <reference field="4" count="1" selected="0">
            <x v="68"/>
          </reference>
          <reference field="5" count="1" selected="0">
            <x v="2"/>
          </reference>
          <reference field="6" count="1">
            <x v="10"/>
          </reference>
        </references>
      </pivotArea>
    </format>
    <format dxfId="346">
      <pivotArea dataOnly="0" labelOnly="1" fieldPosition="0">
        <references count="6">
          <reference field="0" count="1" selected="0">
            <x v="1"/>
          </reference>
          <reference field="3" count="1" selected="0">
            <x v="13"/>
          </reference>
          <reference field="4" count="1" selected="0">
            <x v="68"/>
          </reference>
          <reference field="5" count="1" selected="0">
            <x v="2"/>
          </reference>
          <reference field="6" count="1" selected="0">
            <x v="10"/>
          </reference>
          <reference field="8" count="1">
            <x v="1"/>
          </reference>
        </references>
      </pivotArea>
    </format>
    <format dxfId="345">
      <pivotArea dataOnly="0" labelOnly="1" fieldPosition="0">
        <references count="4">
          <reference field="0" count="1" selected="0">
            <x v="0"/>
          </reference>
          <reference field="3" count="1" selected="0">
            <x v="11"/>
          </reference>
          <reference field="4" count="1" selected="0">
            <x v="11"/>
          </reference>
          <reference field="5" count="1">
            <x v="4"/>
          </reference>
        </references>
      </pivotArea>
    </format>
    <format dxfId="344">
      <pivotArea dataOnly="0" labelOnly="1" fieldPosition="0">
        <references count="5">
          <reference field="0" count="1" selected="0">
            <x v="0"/>
          </reference>
          <reference field="3" count="1" selected="0">
            <x v="11"/>
          </reference>
          <reference field="4" count="1" selected="0">
            <x v="11"/>
          </reference>
          <reference field="5" count="1" selected="0">
            <x v="4"/>
          </reference>
          <reference field="6" count="1">
            <x v="9"/>
          </reference>
        </references>
      </pivotArea>
    </format>
    <format dxfId="343">
      <pivotArea dataOnly="0" labelOnly="1" fieldPosition="0">
        <references count="5">
          <reference field="0" count="1" selected="0">
            <x v="0"/>
          </reference>
          <reference field="3" count="1" selected="0">
            <x v="12"/>
          </reference>
          <reference field="4" count="1" selected="0">
            <x v="62"/>
          </reference>
          <reference field="5" count="1" selected="0">
            <x v="4"/>
          </reference>
          <reference field="6" count="1">
            <x v="10"/>
          </reference>
        </references>
      </pivotArea>
    </format>
    <format dxfId="342">
      <pivotArea dataOnly="0" labelOnly="1" fieldPosition="0">
        <references count="6">
          <reference field="0" count="1" selected="0">
            <x v="0"/>
          </reference>
          <reference field="3" count="1" selected="0">
            <x v="11"/>
          </reference>
          <reference field="4" count="1" selected="0">
            <x v="11"/>
          </reference>
          <reference field="5" count="1" selected="0">
            <x v="4"/>
          </reference>
          <reference field="6" count="1" selected="0">
            <x v="9"/>
          </reference>
          <reference field="8" count="1">
            <x v="24"/>
          </reference>
        </references>
      </pivotArea>
    </format>
    <format dxfId="341">
      <pivotArea dataOnly="0" labelOnly="1" fieldPosition="0">
        <references count="6">
          <reference field="0" count="1" selected="0">
            <x v="0"/>
          </reference>
          <reference field="3" count="1" selected="0">
            <x v="12"/>
          </reference>
          <reference field="4" count="1" selected="0">
            <x v="62"/>
          </reference>
          <reference field="5" count="1" selected="0">
            <x v="4"/>
          </reference>
          <reference field="6" count="1" selected="0">
            <x v="10"/>
          </reference>
          <reference field="8" count="1">
            <x v="18"/>
          </reference>
        </references>
      </pivotArea>
    </format>
    <format dxfId="340">
      <pivotArea dataOnly="0" labelOnly="1" fieldPosition="0">
        <references count="2">
          <reference field="0" count="1" selected="0">
            <x v="1"/>
          </reference>
          <reference field="3" count="1">
            <x v="13"/>
          </reference>
        </references>
      </pivotArea>
    </format>
    <format dxfId="339">
      <pivotArea dataOnly="0" labelOnly="1" fieldPosition="0">
        <references count="3">
          <reference field="0" count="1" selected="0">
            <x v="1"/>
          </reference>
          <reference field="3" count="1" selected="0">
            <x v="13"/>
          </reference>
          <reference field="4" count="1">
            <x v="68"/>
          </reference>
        </references>
      </pivotArea>
    </format>
    <format dxfId="338">
      <pivotArea dataOnly="0" labelOnly="1" fieldPosition="0">
        <references count="2">
          <reference field="0" count="1" selected="0">
            <x v="2"/>
          </reference>
          <reference field="3" count="1">
            <x v="10"/>
          </reference>
        </references>
      </pivotArea>
    </format>
    <format dxfId="337">
      <pivotArea dataOnly="0" labelOnly="1" fieldPosition="0">
        <references count="3">
          <reference field="0" count="1" selected="0">
            <x v="2"/>
          </reference>
          <reference field="3" count="1" selected="0">
            <x v="10"/>
          </reference>
          <reference field="4" count="1">
            <x v="8"/>
          </reference>
        </references>
      </pivotArea>
    </format>
    <format dxfId="336">
      <pivotArea dataOnly="0" labelOnly="1" fieldPosition="0">
        <references count="2">
          <reference field="0" count="1" selected="0">
            <x v="3"/>
          </reference>
          <reference field="3" count="1">
            <x v="10"/>
          </reference>
        </references>
      </pivotArea>
    </format>
    <format dxfId="335">
      <pivotArea dataOnly="0" labelOnly="1" fieldPosition="0">
        <references count="3">
          <reference field="0" count="1" selected="0">
            <x v="3"/>
          </reference>
          <reference field="3" count="1" selected="0">
            <x v="10"/>
          </reference>
          <reference field="4" count="1">
            <x v="7"/>
          </reference>
        </references>
      </pivotArea>
    </format>
    <format dxfId="334">
      <pivotArea dataOnly="0" labelOnly="1" offset="IV1" fieldPosition="0">
        <references count="2">
          <reference field="0" count="1" selected="0">
            <x v="4"/>
          </reference>
          <reference field="3" count="1">
            <x v="10"/>
          </reference>
        </references>
      </pivotArea>
    </format>
    <format dxfId="333">
      <pivotArea dataOnly="0" labelOnly="1" fieldPosition="0">
        <references count="3">
          <reference field="0" count="1" selected="0">
            <x v="4"/>
          </reference>
          <reference field="3" count="1" selected="0">
            <x v="10"/>
          </reference>
          <reference field="4" count="1">
            <x v="8"/>
          </reference>
        </references>
      </pivotArea>
    </format>
    <format dxfId="332">
      <pivotArea dataOnly="0" labelOnly="1" fieldPosition="0">
        <references count="2">
          <reference field="0" count="1" selected="0">
            <x v="5"/>
          </reference>
          <reference field="3" count="1">
            <x v="12"/>
          </reference>
        </references>
      </pivotArea>
    </format>
    <format dxfId="331">
      <pivotArea dataOnly="0" labelOnly="1" fieldPosition="0">
        <references count="3">
          <reference field="0" count="1" selected="0">
            <x v="5"/>
          </reference>
          <reference field="3" count="1" selected="0">
            <x v="12"/>
          </reference>
          <reference field="4" count="1">
            <x v="63"/>
          </reference>
        </references>
      </pivotArea>
    </format>
    <format dxfId="330">
      <pivotArea dataOnly="0" labelOnly="1" fieldPosition="0">
        <references count="2">
          <reference field="0" count="1" selected="0">
            <x v="0"/>
          </reference>
          <reference field="3" count="2">
            <x v="11"/>
            <x v="12"/>
          </reference>
        </references>
      </pivotArea>
    </format>
    <format dxfId="329">
      <pivotArea dataOnly="0" labelOnly="1" fieldPosition="0">
        <references count="3">
          <reference field="0" count="1" selected="0">
            <x v="0"/>
          </reference>
          <reference field="3" count="1" selected="0">
            <x v="11"/>
          </reference>
          <reference field="4" count="1">
            <x v="11"/>
          </reference>
        </references>
      </pivotArea>
    </format>
    <format dxfId="328">
      <pivotArea dataOnly="0" labelOnly="1" fieldPosition="0">
        <references count="3">
          <reference field="0" count="1" selected="0">
            <x v="0"/>
          </reference>
          <reference field="3" count="1" selected="0">
            <x v="12"/>
          </reference>
          <reference field="4" count="1">
            <x v="62"/>
          </reference>
        </references>
      </pivotArea>
    </format>
    <format dxfId="327">
      <pivotArea dataOnly="0" labelOnly="1" fieldPosition="0">
        <references count="2">
          <reference field="0" count="1" selected="0">
            <x v="0"/>
          </reference>
          <reference field="3" count="1">
            <x v="13"/>
          </reference>
        </references>
      </pivotArea>
    </format>
    <format dxfId="326">
      <pivotArea dataOnly="0" labelOnly="1" fieldPosition="0">
        <references count="3">
          <reference field="0" count="1" selected="0">
            <x v="0"/>
          </reference>
          <reference field="3" count="1" selected="0">
            <x v="13"/>
          </reference>
          <reference field="4" count="1">
            <x v="67"/>
          </reference>
        </references>
      </pivotArea>
    </format>
    <format dxfId="325">
      <pivotArea dataOnly="0" labelOnly="1" fieldPosition="0">
        <references count="2">
          <reference field="0" count="1" selected="0">
            <x v="6"/>
          </reference>
          <reference field="3" count="1">
            <x v="12"/>
          </reference>
        </references>
      </pivotArea>
    </format>
    <format dxfId="324">
      <pivotArea dataOnly="0" labelOnly="1" fieldPosition="0">
        <references count="3">
          <reference field="0" count="1" selected="0">
            <x v="6"/>
          </reference>
          <reference field="3" count="1" selected="0">
            <x v="12"/>
          </reference>
          <reference field="4" count="1">
            <x v="63"/>
          </reference>
        </references>
      </pivotArea>
    </format>
    <format dxfId="323">
      <pivotArea dataOnly="0" labelOnly="1" fieldPosition="0">
        <references count="2">
          <reference field="0" count="1" selected="0">
            <x v="9"/>
          </reference>
          <reference field="3" count="1">
            <x v="10"/>
          </reference>
        </references>
      </pivotArea>
    </format>
    <format dxfId="322">
      <pivotArea dataOnly="0" labelOnly="1" fieldPosition="0">
        <references count="3">
          <reference field="0" count="1" selected="0">
            <x v="9"/>
          </reference>
          <reference field="3" count="1" selected="0">
            <x v="10"/>
          </reference>
          <reference field="4" count="1">
            <x v="7"/>
          </reference>
        </references>
      </pivotArea>
    </format>
    <format dxfId="321">
      <pivotArea dataOnly="0" labelOnly="1" fieldPosition="0">
        <references count="2">
          <reference field="0" count="1" selected="0">
            <x v="10"/>
          </reference>
          <reference field="3" count="1">
            <x v="13"/>
          </reference>
        </references>
      </pivotArea>
    </format>
    <format dxfId="320">
      <pivotArea dataOnly="0" labelOnly="1" fieldPosition="0">
        <references count="3">
          <reference field="0" count="1" selected="0">
            <x v="10"/>
          </reference>
          <reference field="3" count="1" selected="0">
            <x v="13"/>
          </reference>
          <reference field="4" count="1">
            <x v="67"/>
          </reference>
        </references>
      </pivotArea>
    </format>
    <format dxfId="319">
      <pivotArea dataOnly="0" labelOnly="1" fieldPosition="0">
        <references count="2">
          <reference field="0" count="1" selected="0">
            <x v="11"/>
          </reference>
          <reference field="3" count="1">
            <x v="12"/>
          </reference>
        </references>
      </pivotArea>
    </format>
    <format dxfId="318">
      <pivotArea dataOnly="0" labelOnly="1" fieldPosition="0">
        <references count="3">
          <reference field="0" count="1" selected="0">
            <x v="11"/>
          </reference>
          <reference field="3" count="1" selected="0">
            <x v="12"/>
          </reference>
          <reference field="4" count="1">
            <x v="63"/>
          </reference>
        </references>
      </pivotArea>
    </format>
    <format dxfId="317">
      <pivotArea dataOnly="0" labelOnly="1" fieldPosition="0">
        <references count="2">
          <reference field="0" count="1" selected="0">
            <x v="12"/>
          </reference>
          <reference field="3" count="1">
            <x v="13"/>
          </reference>
        </references>
      </pivotArea>
    </format>
    <format dxfId="316">
      <pivotArea dataOnly="0" labelOnly="1" fieldPosition="0">
        <references count="3">
          <reference field="0" count="1" selected="0">
            <x v="12"/>
          </reference>
          <reference field="3" count="1" selected="0">
            <x v="13"/>
          </reference>
          <reference field="4" count="1">
            <x v="67"/>
          </reference>
        </references>
      </pivotArea>
    </format>
    <format dxfId="315">
      <pivotArea dataOnly="0" labelOnly="1" fieldPosition="0">
        <references count="2">
          <reference field="0" count="1" selected="0">
            <x v="12"/>
          </reference>
          <reference field="3" count="1">
            <x v="12"/>
          </reference>
        </references>
      </pivotArea>
    </format>
    <format dxfId="314">
      <pivotArea dataOnly="0" labelOnly="1" fieldPosition="0">
        <references count="3">
          <reference field="0" count="1" selected="0">
            <x v="12"/>
          </reference>
          <reference field="3" count="1" selected="0">
            <x v="12"/>
          </reference>
          <reference field="4" count="1">
            <x v="63"/>
          </reference>
        </references>
      </pivotArea>
    </format>
    <format dxfId="313">
      <pivotArea type="all" dataOnly="0" outline="0" fieldPosition="0"/>
    </format>
    <format dxfId="312">
      <pivotArea field="0" type="button" dataOnly="0" labelOnly="1" outline="0" axis="axisRow" fieldPosition="0"/>
    </format>
    <format dxfId="311">
      <pivotArea field="3" type="button" dataOnly="0" labelOnly="1" outline="0" axis="axisRow" fieldPosition="1"/>
    </format>
    <format dxfId="310">
      <pivotArea field="4" type="button" dataOnly="0" labelOnly="1" outline="0" axis="axisRow" fieldPosition="2"/>
    </format>
    <format dxfId="309">
      <pivotArea field="5" type="button" dataOnly="0" labelOnly="1" outline="0" axis="axisRow" fieldPosition="3"/>
    </format>
    <format dxfId="308">
      <pivotArea field="6" type="button" dataOnly="0" labelOnly="1" outline="0" axis="axisRow" fieldPosition="4"/>
    </format>
    <format dxfId="307">
      <pivotArea field="8" type="button" dataOnly="0" labelOnly="1" outline="0" axis="axisRow" fieldPosition="5"/>
    </format>
    <format dxfId="306">
      <pivotArea dataOnly="0" labelOnly="1" grandRow="1" outline="0" fieldPosition="0"/>
    </format>
    <format dxfId="305">
      <pivotArea dataOnly="0" labelOnly="1" fieldPosition="0">
        <references count="1">
          <reference field="0" count="12">
            <x v="0"/>
            <x v="1"/>
            <x v="2"/>
            <x v="3"/>
            <x v="4"/>
            <x v="5"/>
            <x v="7"/>
            <x v="8"/>
            <x v="9"/>
            <x v="10"/>
            <x v="11"/>
            <x v="12"/>
          </reference>
        </references>
      </pivotArea>
    </format>
    <format dxfId="304">
      <pivotArea dataOnly="0" labelOnly="1" fieldPosition="0">
        <references count="2">
          <reference field="0" count="1" selected="0">
            <x v="0"/>
          </reference>
          <reference field="3" count="0"/>
        </references>
      </pivotArea>
    </format>
    <format dxfId="303">
      <pivotArea dataOnly="0" labelOnly="1" fieldPosition="0">
        <references count="3">
          <reference field="0" count="1" selected="0">
            <x v="0"/>
          </reference>
          <reference field="3" count="0" selected="0"/>
          <reference field="4" count="1">
            <x v="93"/>
          </reference>
        </references>
      </pivotArea>
    </format>
    <format dxfId="302">
      <pivotArea dataOnly="0" labelOnly="1" fieldPosition="0">
        <references count="3">
          <reference field="0" count="1" selected="0">
            <x v="1"/>
          </reference>
          <reference field="3" count="0" selected="0"/>
          <reference field="4" count="1">
            <x v="94"/>
          </reference>
        </references>
      </pivotArea>
    </format>
    <format dxfId="301">
      <pivotArea dataOnly="0" labelOnly="1" fieldPosition="0">
        <references count="3">
          <reference field="0" count="1" selected="0">
            <x v="2"/>
          </reference>
          <reference field="3" count="0" selected="0"/>
          <reference field="4" count="1">
            <x v="93"/>
          </reference>
        </references>
      </pivotArea>
    </format>
    <format dxfId="300">
      <pivotArea dataOnly="0" labelOnly="1" fieldPosition="0">
        <references count="3">
          <reference field="0" count="1" selected="0">
            <x v="11"/>
          </reference>
          <reference field="3" count="0" selected="0"/>
          <reference field="4" count="2">
            <x v="99"/>
            <x v="100"/>
          </reference>
        </references>
      </pivotArea>
    </format>
    <format dxfId="299">
      <pivotArea dataOnly="0" labelOnly="1" fieldPosition="0">
        <references count="3">
          <reference field="0" count="1" selected="0">
            <x v="12"/>
          </reference>
          <reference field="3" count="0" selected="0"/>
          <reference field="4" count="1">
            <x v="93"/>
          </reference>
        </references>
      </pivotArea>
    </format>
    <format dxfId="298">
      <pivotArea dataOnly="0" labelOnly="1" fieldPosition="0">
        <references count="4">
          <reference field="0" count="1" selected="0">
            <x v="0"/>
          </reference>
          <reference field="3" count="0" selected="0"/>
          <reference field="4" count="1" selected="0">
            <x v="93"/>
          </reference>
          <reference field="5" count="1">
            <x v="11"/>
          </reference>
        </references>
      </pivotArea>
    </format>
    <format dxfId="297">
      <pivotArea dataOnly="0" labelOnly="1" fieldPosition="0">
        <references count="4">
          <reference field="0" count="1" selected="0">
            <x v="1"/>
          </reference>
          <reference field="3" count="0" selected="0"/>
          <reference field="4" count="1" selected="0">
            <x v="94"/>
          </reference>
          <reference field="5" count="1">
            <x v="0"/>
          </reference>
        </references>
      </pivotArea>
    </format>
    <format dxfId="296">
      <pivotArea dataOnly="0" labelOnly="1" fieldPosition="0">
        <references count="4">
          <reference field="0" count="1" selected="0">
            <x v="2"/>
          </reference>
          <reference field="3" count="0" selected="0"/>
          <reference field="4" count="1" selected="0">
            <x v="93"/>
          </reference>
          <reference field="5" count="1">
            <x v="11"/>
          </reference>
        </references>
      </pivotArea>
    </format>
    <format dxfId="295">
      <pivotArea dataOnly="0" labelOnly="1" fieldPosition="0">
        <references count="4">
          <reference field="0" count="1" selected="0">
            <x v="3"/>
          </reference>
          <reference field="3" count="0" selected="0"/>
          <reference field="4" count="1" selected="0">
            <x v="93"/>
          </reference>
          <reference field="5" count="1">
            <x v="12"/>
          </reference>
        </references>
      </pivotArea>
    </format>
    <format dxfId="294">
      <pivotArea dataOnly="0" labelOnly="1" fieldPosition="0">
        <references count="4">
          <reference field="0" count="1" selected="0">
            <x v="5"/>
          </reference>
          <reference field="3" count="0" selected="0"/>
          <reference field="4" count="1" selected="0">
            <x v="93"/>
          </reference>
          <reference field="5" count="1">
            <x v="13"/>
          </reference>
        </references>
      </pivotArea>
    </format>
    <format dxfId="293">
      <pivotArea dataOnly="0" labelOnly="1" fieldPosition="0">
        <references count="4">
          <reference field="0" count="1" selected="0">
            <x v="7"/>
          </reference>
          <reference field="3" count="0" selected="0"/>
          <reference field="4" count="1" selected="0">
            <x v="93"/>
          </reference>
          <reference field="5" count="1">
            <x v="11"/>
          </reference>
        </references>
      </pivotArea>
    </format>
    <format dxfId="292">
      <pivotArea dataOnly="0" labelOnly="1" fieldPosition="0">
        <references count="4">
          <reference field="0" count="1" selected="0">
            <x v="9"/>
          </reference>
          <reference field="3" count="0" selected="0"/>
          <reference field="4" count="1" selected="0">
            <x v="93"/>
          </reference>
          <reference field="5" count="1">
            <x v="13"/>
          </reference>
        </references>
      </pivotArea>
    </format>
    <format dxfId="291">
      <pivotArea dataOnly="0" labelOnly="1" fieldPosition="0">
        <references count="4">
          <reference field="0" count="1" selected="0">
            <x v="10"/>
          </reference>
          <reference field="3" count="0" selected="0"/>
          <reference field="4" count="1" selected="0">
            <x v="93"/>
          </reference>
          <reference field="5" count="1">
            <x v="0"/>
          </reference>
        </references>
      </pivotArea>
    </format>
    <format dxfId="290">
      <pivotArea dataOnly="0" labelOnly="1" fieldPosition="0">
        <references count="4">
          <reference field="0" count="1" selected="0">
            <x v="11"/>
          </reference>
          <reference field="3" count="0" selected="0"/>
          <reference field="4" count="1" selected="0">
            <x v="99"/>
          </reference>
          <reference field="5" count="1">
            <x v="12"/>
          </reference>
        </references>
      </pivotArea>
    </format>
    <format dxfId="289">
      <pivotArea dataOnly="0" labelOnly="1" fieldPosition="0">
        <references count="4">
          <reference field="0" count="1" selected="0">
            <x v="12"/>
          </reference>
          <reference field="3" count="0" selected="0"/>
          <reference field="4" count="1" selected="0">
            <x v="93"/>
          </reference>
          <reference field="5" count="1">
            <x v="13"/>
          </reference>
        </references>
      </pivotArea>
    </format>
    <format dxfId="288">
      <pivotArea dataOnly="0" labelOnly="1" fieldPosition="0">
        <references count="5">
          <reference field="0" count="1" selected="0">
            <x v="0"/>
          </reference>
          <reference field="3" count="0" selected="0"/>
          <reference field="4" count="1" selected="0">
            <x v="93"/>
          </reference>
          <reference field="5" count="1" selected="0">
            <x v="11"/>
          </reference>
          <reference field="6" count="1">
            <x v="18"/>
          </reference>
        </references>
      </pivotArea>
    </format>
    <format dxfId="287">
      <pivotArea dataOnly="0" labelOnly="1" fieldPosition="0">
        <references count="5">
          <reference field="0" count="1" selected="0">
            <x v="1"/>
          </reference>
          <reference field="3" count="0" selected="0"/>
          <reference field="4" count="1" selected="0">
            <x v="94"/>
          </reference>
          <reference field="5" count="1" selected="0">
            <x v="0"/>
          </reference>
          <reference field="6" count="1">
            <x v="20"/>
          </reference>
        </references>
      </pivotArea>
    </format>
    <format dxfId="286">
      <pivotArea dataOnly="0" labelOnly="1" fieldPosition="0">
        <references count="5">
          <reference field="0" count="1" selected="0">
            <x v="2"/>
          </reference>
          <reference field="3" count="0" selected="0"/>
          <reference field="4" count="1" selected="0">
            <x v="93"/>
          </reference>
          <reference field="5" count="1" selected="0">
            <x v="11"/>
          </reference>
          <reference field="6" count="1">
            <x v="22"/>
          </reference>
        </references>
      </pivotArea>
    </format>
    <format dxfId="285">
      <pivotArea dataOnly="0" labelOnly="1" fieldPosition="0">
        <references count="5">
          <reference field="0" count="1" selected="0">
            <x v="3"/>
          </reference>
          <reference field="3" count="0" selected="0"/>
          <reference field="4" count="1" selected="0">
            <x v="93"/>
          </reference>
          <reference field="5" count="1" selected="0">
            <x v="12"/>
          </reference>
          <reference field="6" count="1">
            <x v="21"/>
          </reference>
        </references>
      </pivotArea>
    </format>
    <format dxfId="284">
      <pivotArea dataOnly="0" labelOnly="1" fieldPosition="0">
        <references count="5">
          <reference field="0" count="1" selected="0">
            <x v="4"/>
          </reference>
          <reference field="3" count="0" selected="0"/>
          <reference field="4" count="1" selected="0">
            <x v="93"/>
          </reference>
          <reference field="5" count="1" selected="0">
            <x v="12"/>
          </reference>
          <reference field="6" count="1">
            <x v="16"/>
          </reference>
        </references>
      </pivotArea>
    </format>
    <format dxfId="283">
      <pivotArea dataOnly="0" labelOnly="1" fieldPosition="0">
        <references count="5">
          <reference field="0" count="1" selected="0">
            <x v="5"/>
          </reference>
          <reference field="3" count="0" selected="0"/>
          <reference field="4" count="1" selected="0">
            <x v="93"/>
          </reference>
          <reference field="5" count="1" selected="0">
            <x v="13"/>
          </reference>
          <reference field="6" count="1">
            <x v="23"/>
          </reference>
        </references>
      </pivotArea>
    </format>
    <format dxfId="282">
      <pivotArea dataOnly="0" labelOnly="1" fieldPosition="0">
        <references count="5">
          <reference field="0" count="1" selected="0">
            <x v="7"/>
          </reference>
          <reference field="3" count="0" selected="0"/>
          <reference field="4" count="1" selected="0">
            <x v="93"/>
          </reference>
          <reference field="5" count="1" selected="0">
            <x v="11"/>
          </reference>
          <reference field="6" count="1">
            <x v="24"/>
          </reference>
        </references>
      </pivotArea>
    </format>
    <format dxfId="281">
      <pivotArea dataOnly="0" labelOnly="1" fieldPosition="0">
        <references count="5">
          <reference field="0" count="1" selected="0">
            <x v="8"/>
          </reference>
          <reference field="3" count="0" selected="0"/>
          <reference field="4" count="1" selected="0">
            <x v="93"/>
          </reference>
          <reference field="5" count="1" selected="0">
            <x v="11"/>
          </reference>
          <reference field="6" count="1">
            <x v="25"/>
          </reference>
        </references>
      </pivotArea>
    </format>
    <format dxfId="280">
      <pivotArea dataOnly="0" labelOnly="1" fieldPosition="0">
        <references count="5">
          <reference field="0" count="1" selected="0">
            <x v="9"/>
          </reference>
          <reference field="3" count="0" selected="0"/>
          <reference field="4" count="1" selected="0">
            <x v="93"/>
          </reference>
          <reference field="5" count="1" selected="0">
            <x v="13"/>
          </reference>
          <reference field="6" count="1">
            <x v="22"/>
          </reference>
        </references>
      </pivotArea>
    </format>
    <format dxfId="279">
      <pivotArea dataOnly="0" labelOnly="1" fieldPosition="0">
        <references count="5">
          <reference field="0" count="1" selected="0">
            <x v="10"/>
          </reference>
          <reference field="3" count="0" selected="0"/>
          <reference field="4" count="1" selected="0">
            <x v="93"/>
          </reference>
          <reference field="5" count="1" selected="0">
            <x v="0"/>
          </reference>
          <reference field="6" count="1">
            <x v="26"/>
          </reference>
        </references>
      </pivotArea>
    </format>
    <format dxfId="278">
      <pivotArea dataOnly="0" labelOnly="1" fieldPosition="0">
        <references count="5">
          <reference field="0" count="1" selected="0">
            <x v="11"/>
          </reference>
          <reference field="3" count="0" selected="0"/>
          <reference field="4" count="1" selected="0">
            <x v="99"/>
          </reference>
          <reference field="5" count="1" selected="0">
            <x v="12"/>
          </reference>
          <reference field="6" count="1">
            <x v="22"/>
          </reference>
        </references>
      </pivotArea>
    </format>
    <format dxfId="277">
      <pivotArea dataOnly="0" labelOnly="1" fieldPosition="0">
        <references count="5">
          <reference field="0" count="1" selected="0">
            <x v="11"/>
          </reference>
          <reference field="3" count="0" selected="0"/>
          <reference field="4" count="1" selected="0">
            <x v="100"/>
          </reference>
          <reference field="5" count="1" selected="0">
            <x v="12"/>
          </reference>
          <reference field="6" count="1">
            <x v="27"/>
          </reference>
        </references>
      </pivotArea>
    </format>
    <format dxfId="276">
      <pivotArea dataOnly="0" labelOnly="1" fieldPosition="0">
        <references count="5">
          <reference field="0" count="1" selected="0">
            <x v="12"/>
          </reference>
          <reference field="3" count="0" selected="0"/>
          <reference field="4" count="1" selected="0">
            <x v="93"/>
          </reference>
          <reference field="5" count="1" selected="0">
            <x v="13"/>
          </reference>
          <reference field="6" count="1">
            <x v="23"/>
          </reference>
        </references>
      </pivotArea>
    </format>
    <format dxfId="275">
      <pivotArea dataOnly="0" labelOnly="1" fieldPosition="0">
        <references count="6">
          <reference field="0" count="1" selected="0">
            <x v="0"/>
          </reference>
          <reference field="3" count="0" selected="0"/>
          <reference field="4" count="1" selected="0">
            <x v="93"/>
          </reference>
          <reference field="5" count="1" selected="0">
            <x v="11"/>
          </reference>
          <reference field="6" count="1" selected="0">
            <x v="18"/>
          </reference>
          <reference field="8" count="1">
            <x v="10"/>
          </reference>
        </references>
      </pivotArea>
    </format>
    <format dxfId="274">
      <pivotArea dataOnly="0" labelOnly="1" fieldPosition="0">
        <references count="6">
          <reference field="0" count="1" selected="0">
            <x v="1"/>
          </reference>
          <reference field="3" count="0" selected="0"/>
          <reference field="4" count="1" selected="0">
            <x v="94"/>
          </reference>
          <reference field="5" count="1" selected="0">
            <x v="0"/>
          </reference>
          <reference field="6" count="1" selected="0">
            <x v="20"/>
          </reference>
          <reference field="8" count="1">
            <x v="46"/>
          </reference>
        </references>
      </pivotArea>
    </format>
    <format dxfId="273">
      <pivotArea dataOnly="0" labelOnly="1" fieldPosition="0">
        <references count="6">
          <reference field="0" count="1" selected="0">
            <x v="2"/>
          </reference>
          <reference field="3" count="0" selected="0"/>
          <reference field="4" count="1" selected="0">
            <x v="93"/>
          </reference>
          <reference field="5" count="1" selected="0">
            <x v="11"/>
          </reference>
          <reference field="6" count="1" selected="0">
            <x v="22"/>
          </reference>
          <reference field="8" count="1">
            <x v="10"/>
          </reference>
        </references>
      </pivotArea>
    </format>
    <format dxfId="272">
      <pivotArea dataOnly="0" labelOnly="1" fieldPosition="0">
        <references count="6">
          <reference field="0" count="1" selected="0">
            <x v="3"/>
          </reference>
          <reference field="3" count="0" selected="0"/>
          <reference field="4" count="1" selected="0">
            <x v="93"/>
          </reference>
          <reference field="5" count="1" selected="0">
            <x v="12"/>
          </reference>
          <reference field="6" count="1" selected="0">
            <x v="21"/>
          </reference>
          <reference field="8" count="1">
            <x v="10"/>
          </reference>
        </references>
      </pivotArea>
    </format>
    <format dxfId="271">
      <pivotArea dataOnly="0" labelOnly="1" fieldPosition="0">
        <references count="6">
          <reference field="0" count="1" selected="0">
            <x v="4"/>
          </reference>
          <reference field="3" count="0" selected="0"/>
          <reference field="4" count="1" selected="0">
            <x v="93"/>
          </reference>
          <reference field="5" count="1" selected="0">
            <x v="12"/>
          </reference>
          <reference field="6" count="1" selected="0">
            <x v="16"/>
          </reference>
          <reference field="8" count="1">
            <x v="10"/>
          </reference>
        </references>
      </pivotArea>
    </format>
    <format dxfId="270">
      <pivotArea dataOnly="0" labelOnly="1" fieldPosition="0">
        <references count="6">
          <reference field="0" count="1" selected="0">
            <x v="5"/>
          </reference>
          <reference field="3" count="0" selected="0"/>
          <reference field="4" count="1" selected="0">
            <x v="93"/>
          </reference>
          <reference field="5" count="1" selected="0">
            <x v="13"/>
          </reference>
          <reference field="6" count="1" selected="0">
            <x v="23"/>
          </reference>
          <reference field="8" count="1">
            <x v="10"/>
          </reference>
        </references>
      </pivotArea>
    </format>
    <format dxfId="269">
      <pivotArea dataOnly="0" labelOnly="1" fieldPosition="0">
        <references count="6">
          <reference field="0" count="1" selected="0">
            <x v="7"/>
          </reference>
          <reference field="3" count="0" selected="0"/>
          <reference field="4" count="1" selected="0">
            <x v="93"/>
          </reference>
          <reference field="5" count="1" selected="0">
            <x v="11"/>
          </reference>
          <reference field="6" count="1" selected="0">
            <x v="24"/>
          </reference>
          <reference field="8" count="1">
            <x v="10"/>
          </reference>
        </references>
      </pivotArea>
    </format>
    <format dxfId="268">
      <pivotArea dataOnly="0" labelOnly="1" fieldPosition="0">
        <references count="6">
          <reference field="0" count="1" selected="0">
            <x v="8"/>
          </reference>
          <reference field="3" count="0" selected="0"/>
          <reference field="4" count="1" selected="0">
            <x v="93"/>
          </reference>
          <reference field="5" count="1" selected="0">
            <x v="11"/>
          </reference>
          <reference field="6" count="1" selected="0">
            <x v="25"/>
          </reference>
          <reference field="8" count="1">
            <x v="10"/>
          </reference>
        </references>
      </pivotArea>
    </format>
    <format dxfId="267">
      <pivotArea dataOnly="0" labelOnly="1" fieldPosition="0">
        <references count="6">
          <reference field="0" count="1" selected="0">
            <x v="9"/>
          </reference>
          <reference field="3" count="0" selected="0"/>
          <reference field="4" count="1" selected="0">
            <x v="93"/>
          </reference>
          <reference field="5" count="1" selected="0">
            <x v="13"/>
          </reference>
          <reference field="6" count="1" selected="0">
            <x v="22"/>
          </reference>
          <reference field="8" count="1">
            <x v="10"/>
          </reference>
        </references>
      </pivotArea>
    </format>
    <format dxfId="266">
      <pivotArea dataOnly="0" labelOnly="1" fieldPosition="0">
        <references count="6">
          <reference field="0" count="1" selected="0">
            <x v="10"/>
          </reference>
          <reference field="3" count="0" selected="0"/>
          <reference field="4" count="1" selected="0">
            <x v="93"/>
          </reference>
          <reference field="5" count="1" selected="0">
            <x v="0"/>
          </reference>
          <reference field="6" count="1" selected="0">
            <x v="26"/>
          </reference>
          <reference field="8" count="1">
            <x v="46"/>
          </reference>
        </references>
      </pivotArea>
    </format>
    <format dxfId="265">
      <pivotArea dataOnly="0" labelOnly="1" fieldPosition="0">
        <references count="6">
          <reference field="0" count="1" selected="0">
            <x v="11"/>
          </reference>
          <reference field="3" count="0" selected="0"/>
          <reference field="4" count="1" selected="0">
            <x v="99"/>
          </reference>
          <reference field="5" count="1" selected="0">
            <x v="12"/>
          </reference>
          <reference field="6" count="1" selected="0">
            <x v="22"/>
          </reference>
          <reference field="8" count="1">
            <x v="47"/>
          </reference>
        </references>
      </pivotArea>
    </format>
    <format dxfId="264">
      <pivotArea dataOnly="0" labelOnly="1" fieldPosition="0">
        <references count="6">
          <reference field="0" count="1" selected="0">
            <x v="11"/>
          </reference>
          <reference field="3" count="0" selected="0"/>
          <reference field="4" count="1" selected="0">
            <x v="100"/>
          </reference>
          <reference field="5" count="1" selected="0">
            <x v="12"/>
          </reference>
          <reference field="6" count="1" selected="0">
            <x v="27"/>
          </reference>
          <reference field="8" count="1">
            <x v="47"/>
          </reference>
        </references>
      </pivotArea>
    </format>
    <format dxfId="263">
      <pivotArea dataOnly="0" labelOnly="1" fieldPosition="0">
        <references count="6">
          <reference field="0" count="1" selected="0">
            <x v="12"/>
          </reference>
          <reference field="3" count="0" selected="0"/>
          <reference field="4" count="1" selected="0">
            <x v="93"/>
          </reference>
          <reference field="5" count="1" selected="0">
            <x v="13"/>
          </reference>
          <reference field="6" count="1" selected="0">
            <x v="23"/>
          </reference>
          <reference field="8" count="1">
            <x v="10"/>
          </reference>
        </references>
      </pivotArea>
    </format>
    <format dxfId="262">
      <pivotArea type="all" dataOnly="0" outline="0" fieldPosition="0"/>
    </format>
    <format dxfId="261">
      <pivotArea field="0" type="button" dataOnly="0" labelOnly="1" outline="0" axis="axisRow" fieldPosition="0"/>
    </format>
    <format dxfId="260">
      <pivotArea field="3" type="button" dataOnly="0" labelOnly="1" outline="0" axis="axisRow" fieldPosition="1"/>
    </format>
    <format dxfId="259">
      <pivotArea field="4" type="button" dataOnly="0" labelOnly="1" outline="0" axis="axisRow" fieldPosition="2"/>
    </format>
    <format dxfId="258">
      <pivotArea field="5" type="button" dataOnly="0" labelOnly="1" outline="0" axis="axisRow" fieldPosition="3"/>
    </format>
    <format dxfId="257">
      <pivotArea field="6" type="button" dataOnly="0" labelOnly="1" outline="0" axis="axisRow" fieldPosition="4"/>
    </format>
    <format dxfId="256">
      <pivotArea field="8" type="button" dataOnly="0" labelOnly="1" outline="0" axis="axisRow" fieldPosition="5"/>
    </format>
    <format dxfId="255">
      <pivotArea dataOnly="0" labelOnly="1" fieldPosition="0">
        <references count="1">
          <reference field="0" count="12">
            <x v="0"/>
            <x v="1"/>
            <x v="2"/>
            <x v="3"/>
            <x v="4"/>
            <x v="5"/>
            <x v="7"/>
            <x v="8"/>
            <x v="9"/>
            <x v="10"/>
            <x v="11"/>
            <x v="12"/>
          </reference>
        </references>
      </pivotArea>
    </format>
    <format dxfId="254">
      <pivotArea dataOnly="0" labelOnly="1" fieldPosition="0">
        <references count="2">
          <reference field="0" count="1" selected="0">
            <x v="0"/>
          </reference>
          <reference field="3" count="0"/>
        </references>
      </pivotArea>
    </format>
    <format dxfId="253">
      <pivotArea dataOnly="0" labelOnly="1" fieldPosition="0">
        <references count="3">
          <reference field="0" count="1" selected="0">
            <x v="0"/>
          </reference>
          <reference field="3" count="0" selected="0"/>
          <reference field="4" count="1">
            <x v="93"/>
          </reference>
        </references>
      </pivotArea>
    </format>
    <format dxfId="252">
      <pivotArea dataOnly="0" labelOnly="1" fieldPosition="0">
        <references count="3">
          <reference field="0" count="1" selected="0">
            <x v="1"/>
          </reference>
          <reference field="3" count="0" selected="0"/>
          <reference field="4" count="1">
            <x v="94"/>
          </reference>
        </references>
      </pivotArea>
    </format>
    <format dxfId="251">
      <pivotArea dataOnly="0" labelOnly="1" fieldPosition="0">
        <references count="3">
          <reference field="0" count="1" selected="0">
            <x v="2"/>
          </reference>
          <reference field="3" count="0" selected="0"/>
          <reference field="4" count="1">
            <x v="93"/>
          </reference>
        </references>
      </pivotArea>
    </format>
    <format dxfId="250">
      <pivotArea dataOnly="0" labelOnly="1" fieldPosition="0">
        <references count="3">
          <reference field="0" count="1" selected="0">
            <x v="11"/>
          </reference>
          <reference field="3" count="0" selected="0"/>
          <reference field="4" count="2">
            <x v="99"/>
            <x v="100"/>
          </reference>
        </references>
      </pivotArea>
    </format>
    <format dxfId="249">
      <pivotArea dataOnly="0" labelOnly="1" fieldPosition="0">
        <references count="3">
          <reference field="0" count="1" selected="0">
            <x v="12"/>
          </reference>
          <reference field="3" count="0" selected="0"/>
          <reference field="4" count="1">
            <x v="93"/>
          </reference>
        </references>
      </pivotArea>
    </format>
    <format dxfId="248">
      <pivotArea dataOnly="0" labelOnly="1" fieldPosition="0">
        <references count="4">
          <reference field="0" count="1" selected="0">
            <x v="0"/>
          </reference>
          <reference field="3" count="0" selected="0"/>
          <reference field="4" count="1" selected="0">
            <x v="93"/>
          </reference>
          <reference field="5" count="1">
            <x v="11"/>
          </reference>
        </references>
      </pivotArea>
    </format>
    <format dxfId="247">
      <pivotArea dataOnly="0" labelOnly="1" fieldPosition="0">
        <references count="4">
          <reference field="0" count="1" selected="0">
            <x v="1"/>
          </reference>
          <reference field="3" count="0" selected="0"/>
          <reference field="4" count="1" selected="0">
            <x v="94"/>
          </reference>
          <reference field="5" count="1">
            <x v="0"/>
          </reference>
        </references>
      </pivotArea>
    </format>
    <format dxfId="246">
      <pivotArea dataOnly="0" labelOnly="1" fieldPosition="0">
        <references count="4">
          <reference field="0" count="1" selected="0">
            <x v="2"/>
          </reference>
          <reference field="3" count="0" selected="0"/>
          <reference field="4" count="1" selected="0">
            <x v="93"/>
          </reference>
          <reference field="5" count="1">
            <x v="11"/>
          </reference>
        </references>
      </pivotArea>
    </format>
    <format dxfId="245">
      <pivotArea dataOnly="0" labelOnly="1" fieldPosition="0">
        <references count="4">
          <reference field="0" count="1" selected="0">
            <x v="3"/>
          </reference>
          <reference field="3" count="0" selected="0"/>
          <reference field="4" count="1" selected="0">
            <x v="93"/>
          </reference>
          <reference field="5" count="1">
            <x v="12"/>
          </reference>
        </references>
      </pivotArea>
    </format>
    <format dxfId="244">
      <pivotArea dataOnly="0" labelOnly="1" fieldPosition="0">
        <references count="4">
          <reference field="0" count="1" selected="0">
            <x v="5"/>
          </reference>
          <reference field="3" count="0" selected="0"/>
          <reference field="4" count="1" selected="0">
            <x v="93"/>
          </reference>
          <reference field="5" count="1">
            <x v="13"/>
          </reference>
        </references>
      </pivotArea>
    </format>
    <format dxfId="243">
      <pivotArea dataOnly="0" labelOnly="1" fieldPosition="0">
        <references count="4">
          <reference field="0" count="1" selected="0">
            <x v="7"/>
          </reference>
          <reference field="3" count="0" selected="0"/>
          <reference field="4" count="1" selected="0">
            <x v="93"/>
          </reference>
          <reference field="5" count="1">
            <x v="11"/>
          </reference>
        </references>
      </pivotArea>
    </format>
    <format dxfId="242">
      <pivotArea dataOnly="0" labelOnly="1" fieldPosition="0">
        <references count="4">
          <reference field="0" count="1" selected="0">
            <x v="9"/>
          </reference>
          <reference field="3" count="0" selected="0"/>
          <reference field="4" count="1" selected="0">
            <x v="93"/>
          </reference>
          <reference field="5" count="1">
            <x v="13"/>
          </reference>
        </references>
      </pivotArea>
    </format>
    <format dxfId="241">
      <pivotArea dataOnly="0" labelOnly="1" fieldPosition="0">
        <references count="4">
          <reference field="0" count="1" selected="0">
            <x v="10"/>
          </reference>
          <reference field="3" count="0" selected="0"/>
          <reference field="4" count="1" selected="0">
            <x v="93"/>
          </reference>
          <reference field="5" count="1">
            <x v="0"/>
          </reference>
        </references>
      </pivotArea>
    </format>
    <format dxfId="240">
      <pivotArea dataOnly="0" labelOnly="1" fieldPosition="0">
        <references count="4">
          <reference field="0" count="1" selected="0">
            <x v="11"/>
          </reference>
          <reference field="3" count="0" selected="0"/>
          <reference field="4" count="1" selected="0">
            <x v="99"/>
          </reference>
          <reference field="5" count="1">
            <x v="12"/>
          </reference>
        </references>
      </pivotArea>
    </format>
    <format dxfId="239">
      <pivotArea dataOnly="0" labelOnly="1" fieldPosition="0">
        <references count="4">
          <reference field="0" count="1" selected="0">
            <x v="12"/>
          </reference>
          <reference field="3" count="0" selected="0"/>
          <reference field="4" count="1" selected="0">
            <x v="93"/>
          </reference>
          <reference field="5" count="1">
            <x v="13"/>
          </reference>
        </references>
      </pivotArea>
    </format>
    <format dxfId="238">
      <pivotArea dataOnly="0" labelOnly="1" fieldPosition="0">
        <references count="5">
          <reference field="0" count="1" selected="0">
            <x v="0"/>
          </reference>
          <reference field="3" count="0" selected="0"/>
          <reference field="4" count="1" selected="0">
            <x v="93"/>
          </reference>
          <reference field="5" count="1" selected="0">
            <x v="11"/>
          </reference>
          <reference field="6" count="1">
            <x v="18"/>
          </reference>
        </references>
      </pivotArea>
    </format>
    <format dxfId="237">
      <pivotArea dataOnly="0" labelOnly="1" fieldPosition="0">
        <references count="5">
          <reference field="0" count="1" selected="0">
            <x v="1"/>
          </reference>
          <reference field="3" count="0" selected="0"/>
          <reference field="4" count="1" selected="0">
            <x v="94"/>
          </reference>
          <reference field="5" count="1" selected="0">
            <x v="0"/>
          </reference>
          <reference field="6" count="1">
            <x v="20"/>
          </reference>
        </references>
      </pivotArea>
    </format>
    <format dxfId="236">
      <pivotArea dataOnly="0" labelOnly="1" fieldPosition="0">
        <references count="5">
          <reference field="0" count="1" selected="0">
            <x v="2"/>
          </reference>
          <reference field="3" count="0" selected="0"/>
          <reference field="4" count="1" selected="0">
            <x v="93"/>
          </reference>
          <reference field="5" count="1" selected="0">
            <x v="11"/>
          </reference>
          <reference field="6" count="1">
            <x v="22"/>
          </reference>
        </references>
      </pivotArea>
    </format>
    <format dxfId="235">
      <pivotArea dataOnly="0" labelOnly="1" fieldPosition="0">
        <references count="5">
          <reference field="0" count="1" selected="0">
            <x v="3"/>
          </reference>
          <reference field="3" count="0" selected="0"/>
          <reference field="4" count="1" selected="0">
            <x v="93"/>
          </reference>
          <reference field="5" count="1" selected="0">
            <x v="12"/>
          </reference>
          <reference field="6" count="1">
            <x v="21"/>
          </reference>
        </references>
      </pivotArea>
    </format>
    <format dxfId="234">
      <pivotArea dataOnly="0" labelOnly="1" fieldPosition="0">
        <references count="5">
          <reference field="0" count="1" selected="0">
            <x v="4"/>
          </reference>
          <reference field="3" count="0" selected="0"/>
          <reference field="4" count="1" selected="0">
            <x v="93"/>
          </reference>
          <reference field="5" count="1" selected="0">
            <x v="12"/>
          </reference>
          <reference field="6" count="1">
            <x v="16"/>
          </reference>
        </references>
      </pivotArea>
    </format>
    <format dxfId="233">
      <pivotArea dataOnly="0" labelOnly="1" fieldPosition="0">
        <references count="5">
          <reference field="0" count="1" selected="0">
            <x v="5"/>
          </reference>
          <reference field="3" count="0" selected="0"/>
          <reference field="4" count="1" selected="0">
            <x v="93"/>
          </reference>
          <reference field="5" count="1" selected="0">
            <x v="13"/>
          </reference>
          <reference field="6" count="1">
            <x v="23"/>
          </reference>
        </references>
      </pivotArea>
    </format>
    <format dxfId="232">
      <pivotArea dataOnly="0" labelOnly="1" fieldPosition="0">
        <references count="5">
          <reference field="0" count="1" selected="0">
            <x v="7"/>
          </reference>
          <reference field="3" count="0" selected="0"/>
          <reference field="4" count="1" selected="0">
            <x v="93"/>
          </reference>
          <reference field="5" count="1" selected="0">
            <x v="11"/>
          </reference>
          <reference field="6" count="1">
            <x v="24"/>
          </reference>
        </references>
      </pivotArea>
    </format>
    <format dxfId="231">
      <pivotArea dataOnly="0" labelOnly="1" fieldPosition="0">
        <references count="5">
          <reference field="0" count="1" selected="0">
            <x v="8"/>
          </reference>
          <reference field="3" count="0" selected="0"/>
          <reference field="4" count="1" selected="0">
            <x v="93"/>
          </reference>
          <reference field="5" count="1" selected="0">
            <x v="11"/>
          </reference>
          <reference field="6" count="1">
            <x v="25"/>
          </reference>
        </references>
      </pivotArea>
    </format>
    <format dxfId="230">
      <pivotArea dataOnly="0" labelOnly="1" fieldPosition="0">
        <references count="5">
          <reference field="0" count="1" selected="0">
            <x v="9"/>
          </reference>
          <reference field="3" count="0" selected="0"/>
          <reference field="4" count="1" selected="0">
            <x v="93"/>
          </reference>
          <reference field="5" count="1" selected="0">
            <x v="13"/>
          </reference>
          <reference field="6" count="1">
            <x v="22"/>
          </reference>
        </references>
      </pivotArea>
    </format>
    <format dxfId="229">
      <pivotArea dataOnly="0" labelOnly="1" fieldPosition="0">
        <references count="5">
          <reference field="0" count="1" selected="0">
            <x v="10"/>
          </reference>
          <reference field="3" count="0" selected="0"/>
          <reference field="4" count="1" selected="0">
            <x v="93"/>
          </reference>
          <reference field="5" count="1" selected="0">
            <x v="0"/>
          </reference>
          <reference field="6" count="1">
            <x v="26"/>
          </reference>
        </references>
      </pivotArea>
    </format>
    <format dxfId="228">
      <pivotArea dataOnly="0" labelOnly="1" fieldPosition="0">
        <references count="5">
          <reference field="0" count="1" selected="0">
            <x v="11"/>
          </reference>
          <reference field="3" count="0" selected="0"/>
          <reference field="4" count="1" selected="0">
            <x v="99"/>
          </reference>
          <reference field="5" count="1" selected="0">
            <x v="12"/>
          </reference>
          <reference field="6" count="1">
            <x v="22"/>
          </reference>
        </references>
      </pivotArea>
    </format>
    <format dxfId="227">
      <pivotArea dataOnly="0" labelOnly="1" fieldPosition="0">
        <references count="5">
          <reference field="0" count="1" selected="0">
            <x v="11"/>
          </reference>
          <reference field="3" count="0" selected="0"/>
          <reference field="4" count="1" selected="0">
            <x v="100"/>
          </reference>
          <reference field="5" count="1" selected="0">
            <x v="12"/>
          </reference>
          <reference field="6" count="1">
            <x v="27"/>
          </reference>
        </references>
      </pivotArea>
    </format>
    <format dxfId="226">
      <pivotArea dataOnly="0" labelOnly="1" fieldPosition="0">
        <references count="5">
          <reference field="0" count="1" selected="0">
            <x v="12"/>
          </reference>
          <reference field="3" count="0" selected="0"/>
          <reference field="4" count="1" selected="0">
            <x v="93"/>
          </reference>
          <reference field="5" count="1" selected="0">
            <x v="13"/>
          </reference>
          <reference field="6" count="1">
            <x v="23"/>
          </reference>
        </references>
      </pivotArea>
    </format>
    <format dxfId="225">
      <pivotArea dataOnly="0" labelOnly="1" fieldPosition="0">
        <references count="6">
          <reference field="0" count="1" selected="0">
            <x v="0"/>
          </reference>
          <reference field="3" count="0" selected="0"/>
          <reference field="4" count="1" selected="0">
            <x v="93"/>
          </reference>
          <reference field="5" count="1" selected="0">
            <x v="11"/>
          </reference>
          <reference field="6" count="1" selected="0">
            <x v="18"/>
          </reference>
          <reference field="8" count="1">
            <x v="10"/>
          </reference>
        </references>
      </pivotArea>
    </format>
    <format dxfId="224">
      <pivotArea dataOnly="0" labelOnly="1" fieldPosition="0">
        <references count="6">
          <reference field="0" count="1" selected="0">
            <x v="1"/>
          </reference>
          <reference field="3" count="0" selected="0"/>
          <reference field="4" count="1" selected="0">
            <x v="94"/>
          </reference>
          <reference field="5" count="1" selected="0">
            <x v="0"/>
          </reference>
          <reference field="6" count="1" selected="0">
            <x v="20"/>
          </reference>
          <reference field="8" count="1">
            <x v="46"/>
          </reference>
        </references>
      </pivotArea>
    </format>
    <format dxfId="223">
      <pivotArea dataOnly="0" labelOnly="1" fieldPosition="0">
        <references count="6">
          <reference field="0" count="1" selected="0">
            <x v="2"/>
          </reference>
          <reference field="3" count="0" selected="0"/>
          <reference field="4" count="1" selected="0">
            <x v="93"/>
          </reference>
          <reference field="5" count="1" selected="0">
            <x v="11"/>
          </reference>
          <reference field="6" count="1" selected="0">
            <x v="22"/>
          </reference>
          <reference field="8" count="1">
            <x v="10"/>
          </reference>
        </references>
      </pivotArea>
    </format>
    <format dxfId="222">
      <pivotArea dataOnly="0" labelOnly="1" fieldPosition="0">
        <references count="6">
          <reference field="0" count="1" selected="0">
            <x v="3"/>
          </reference>
          <reference field="3" count="0" selected="0"/>
          <reference field="4" count="1" selected="0">
            <x v="93"/>
          </reference>
          <reference field="5" count="1" selected="0">
            <x v="12"/>
          </reference>
          <reference field="6" count="1" selected="0">
            <x v="21"/>
          </reference>
          <reference field="8" count="1">
            <x v="10"/>
          </reference>
        </references>
      </pivotArea>
    </format>
    <format dxfId="221">
      <pivotArea dataOnly="0" labelOnly="1" fieldPosition="0">
        <references count="6">
          <reference field="0" count="1" selected="0">
            <x v="4"/>
          </reference>
          <reference field="3" count="0" selected="0"/>
          <reference field="4" count="1" selected="0">
            <x v="93"/>
          </reference>
          <reference field="5" count="1" selected="0">
            <x v="12"/>
          </reference>
          <reference field="6" count="1" selected="0">
            <x v="16"/>
          </reference>
          <reference field="8" count="1">
            <x v="10"/>
          </reference>
        </references>
      </pivotArea>
    </format>
    <format dxfId="220">
      <pivotArea dataOnly="0" labelOnly="1" fieldPosition="0">
        <references count="6">
          <reference field="0" count="1" selected="0">
            <x v="5"/>
          </reference>
          <reference field="3" count="0" selected="0"/>
          <reference field="4" count="1" selected="0">
            <x v="93"/>
          </reference>
          <reference field="5" count="1" selected="0">
            <x v="13"/>
          </reference>
          <reference field="6" count="1" selected="0">
            <x v="23"/>
          </reference>
          <reference field="8" count="1">
            <x v="10"/>
          </reference>
        </references>
      </pivotArea>
    </format>
    <format dxfId="219">
      <pivotArea dataOnly="0" labelOnly="1" fieldPosition="0">
        <references count="6">
          <reference field="0" count="1" selected="0">
            <x v="7"/>
          </reference>
          <reference field="3" count="0" selected="0"/>
          <reference field="4" count="1" selected="0">
            <x v="93"/>
          </reference>
          <reference field="5" count="1" selected="0">
            <x v="11"/>
          </reference>
          <reference field="6" count="1" selected="0">
            <x v="24"/>
          </reference>
          <reference field="8" count="1">
            <x v="10"/>
          </reference>
        </references>
      </pivotArea>
    </format>
    <format dxfId="218">
      <pivotArea dataOnly="0" labelOnly="1" fieldPosition="0">
        <references count="6">
          <reference field="0" count="1" selected="0">
            <x v="8"/>
          </reference>
          <reference field="3" count="0" selected="0"/>
          <reference field="4" count="1" selected="0">
            <x v="93"/>
          </reference>
          <reference field="5" count="1" selected="0">
            <x v="11"/>
          </reference>
          <reference field="6" count="1" selected="0">
            <x v="25"/>
          </reference>
          <reference field="8" count="1">
            <x v="10"/>
          </reference>
        </references>
      </pivotArea>
    </format>
    <format dxfId="217">
      <pivotArea dataOnly="0" labelOnly="1" fieldPosition="0">
        <references count="6">
          <reference field="0" count="1" selected="0">
            <x v="9"/>
          </reference>
          <reference field="3" count="0" selected="0"/>
          <reference field="4" count="1" selected="0">
            <x v="93"/>
          </reference>
          <reference field="5" count="1" selected="0">
            <x v="13"/>
          </reference>
          <reference field="6" count="1" selected="0">
            <x v="22"/>
          </reference>
          <reference field="8" count="1">
            <x v="10"/>
          </reference>
        </references>
      </pivotArea>
    </format>
    <format dxfId="216">
      <pivotArea dataOnly="0" labelOnly="1" fieldPosition="0">
        <references count="6">
          <reference field="0" count="1" selected="0">
            <x v="10"/>
          </reference>
          <reference field="3" count="0" selected="0"/>
          <reference field="4" count="1" selected="0">
            <x v="93"/>
          </reference>
          <reference field="5" count="1" selected="0">
            <x v="0"/>
          </reference>
          <reference field="6" count="1" selected="0">
            <x v="26"/>
          </reference>
          <reference field="8" count="1">
            <x v="46"/>
          </reference>
        </references>
      </pivotArea>
    </format>
    <format dxfId="215">
      <pivotArea dataOnly="0" labelOnly="1" fieldPosition="0">
        <references count="6">
          <reference field="0" count="1" selected="0">
            <x v="11"/>
          </reference>
          <reference field="3" count="0" selected="0"/>
          <reference field="4" count="1" selected="0">
            <x v="99"/>
          </reference>
          <reference field="5" count="1" selected="0">
            <x v="12"/>
          </reference>
          <reference field="6" count="1" selected="0">
            <x v="22"/>
          </reference>
          <reference field="8" count="1">
            <x v="47"/>
          </reference>
        </references>
      </pivotArea>
    </format>
    <format dxfId="214">
      <pivotArea dataOnly="0" labelOnly="1" fieldPosition="0">
        <references count="6">
          <reference field="0" count="1" selected="0">
            <x v="11"/>
          </reference>
          <reference field="3" count="0" selected="0"/>
          <reference field="4" count="1" selected="0">
            <x v="100"/>
          </reference>
          <reference field="5" count="1" selected="0">
            <x v="12"/>
          </reference>
          <reference field="6" count="1" selected="0">
            <x v="27"/>
          </reference>
          <reference field="8" count="1">
            <x v="47"/>
          </reference>
        </references>
      </pivotArea>
    </format>
    <format dxfId="213">
      <pivotArea dataOnly="0" labelOnly="1" fieldPosition="0">
        <references count="6">
          <reference field="0" count="1" selected="0">
            <x v="12"/>
          </reference>
          <reference field="3" count="0" selected="0"/>
          <reference field="4" count="1" selected="0">
            <x v="93"/>
          </reference>
          <reference field="5" count="1" selected="0">
            <x v="13"/>
          </reference>
          <reference field="6" count="1" selected="0">
            <x v="23"/>
          </reference>
          <reference field="8" count="1">
            <x v="10"/>
          </reference>
        </references>
      </pivotArea>
    </format>
    <format dxfId="212">
      <pivotArea dataOnly="0" labelOnly="1" fieldPosition="0">
        <references count="1">
          <reference field="0" count="1">
            <x v="0"/>
          </reference>
        </references>
      </pivotArea>
    </format>
    <format dxfId="211">
      <pivotArea dataOnly="0" labelOnly="1" fieldPosition="0">
        <references count="1">
          <reference field="0" count="1">
            <x v="2"/>
          </reference>
        </references>
      </pivotArea>
    </format>
    <format dxfId="210">
      <pivotArea dataOnly="0" labelOnly="1" fieldPosition="0">
        <references count="1">
          <reference field="0" count="1">
            <x v="3"/>
          </reference>
        </references>
      </pivotArea>
    </format>
    <format dxfId="209">
      <pivotArea dataOnly="0" labelOnly="1" fieldPosition="0">
        <references count="1">
          <reference field="0" count="1">
            <x v="4"/>
          </reference>
        </references>
      </pivotArea>
    </format>
    <format dxfId="208">
      <pivotArea dataOnly="0" labelOnly="1" fieldPosition="0">
        <references count="1">
          <reference field="0" count="1">
            <x v="9"/>
          </reference>
        </references>
      </pivotArea>
    </format>
    <format dxfId="207">
      <pivotArea type="all" dataOnly="0" outline="0" fieldPosition="0"/>
    </format>
    <format dxfId="206">
      <pivotArea field="0" type="button" dataOnly="0" labelOnly="1" outline="0" axis="axisRow" fieldPosition="0"/>
    </format>
    <format dxfId="205">
      <pivotArea field="3" type="button" dataOnly="0" labelOnly="1" outline="0" axis="axisRow" fieldPosition="1"/>
    </format>
    <format dxfId="204">
      <pivotArea field="4" type="button" dataOnly="0" labelOnly="1" outline="0" axis="axisRow" fieldPosition="2"/>
    </format>
    <format dxfId="203">
      <pivotArea field="5" type="button" dataOnly="0" labelOnly="1" outline="0" axis="axisRow" fieldPosition="3"/>
    </format>
    <format dxfId="202">
      <pivotArea field="6" type="button" dataOnly="0" labelOnly="1" outline="0" axis="axisRow" fieldPosition="4"/>
    </format>
    <format dxfId="201">
      <pivotArea field="8" type="button" dataOnly="0" labelOnly="1" outline="0" axis="axisRow" fieldPosition="5"/>
    </format>
    <format dxfId="200">
      <pivotArea dataOnly="0" labelOnly="1" fieldPosition="0">
        <references count="1">
          <reference field="0" count="12">
            <x v="0"/>
            <x v="1"/>
            <x v="2"/>
            <x v="3"/>
            <x v="4"/>
            <x v="5"/>
            <x v="7"/>
            <x v="8"/>
            <x v="9"/>
            <x v="10"/>
            <x v="11"/>
            <x v="12"/>
          </reference>
        </references>
      </pivotArea>
    </format>
    <format dxfId="199">
      <pivotArea dataOnly="0" labelOnly="1" fieldPosition="0">
        <references count="2">
          <reference field="0" count="1" selected="0">
            <x v="0"/>
          </reference>
          <reference field="3" count="0"/>
        </references>
      </pivotArea>
    </format>
    <format dxfId="198">
      <pivotArea dataOnly="0" labelOnly="1" fieldPosition="0">
        <references count="3">
          <reference field="0" count="1" selected="0">
            <x v="0"/>
          </reference>
          <reference field="3" count="0" selected="0"/>
          <reference field="4" count="1">
            <x v="93"/>
          </reference>
        </references>
      </pivotArea>
    </format>
    <format dxfId="197">
      <pivotArea dataOnly="0" labelOnly="1" fieldPosition="0">
        <references count="3">
          <reference field="0" count="1" selected="0">
            <x v="1"/>
          </reference>
          <reference field="3" count="0" selected="0"/>
          <reference field="4" count="1">
            <x v="94"/>
          </reference>
        </references>
      </pivotArea>
    </format>
    <format dxfId="196">
      <pivotArea dataOnly="0" labelOnly="1" fieldPosition="0">
        <references count="3">
          <reference field="0" count="1" selected="0">
            <x v="2"/>
          </reference>
          <reference field="3" count="0" selected="0"/>
          <reference field="4" count="1">
            <x v="93"/>
          </reference>
        </references>
      </pivotArea>
    </format>
    <format dxfId="195">
      <pivotArea dataOnly="0" labelOnly="1" fieldPosition="0">
        <references count="3">
          <reference field="0" count="1" selected="0">
            <x v="11"/>
          </reference>
          <reference field="3" count="0" selected="0"/>
          <reference field="4" count="2">
            <x v="99"/>
            <x v="100"/>
          </reference>
        </references>
      </pivotArea>
    </format>
    <format dxfId="194">
      <pivotArea dataOnly="0" labelOnly="1" fieldPosition="0">
        <references count="3">
          <reference field="0" count="1" selected="0">
            <x v="12"/>
          </reference>
          <reference field="3" count="0" selected="0"/>
          <reference field="4" count="1">
            <x v="93"/>
          </reference>
        </references>
      </pivotArea>
    </format>
    <format dxfId="193">
      <pivotArea dataOnly="0" labelOnly="1" fieldPosition="0">
        <references count="4">
          <reference field="0" count="1" selected="0">
            <x v="0"/>
          </reference>
          <reference field="3" count="0" selected="0"/>
          <reference field="4" count="1" selected="0">
            <x v="93"/>
          </reference>
          <reference field="5" count="1">
            <x v="11"/>
          </reference>
        </references>
      </pivotArea>
    </format>
    <format dxfId="192">
      <pivotArea dataOnly="0" labelOnly="1" fieldPosition="0">
        <references count="4">
          <reference field="0" count="1" selected="0">
            <x v="1"/>
          </reference>
          <reference field="3" count="0" selected="0"/>
          <reference field="4" count="1" selected="0">
            <x v="94"/>
          </reference>
          <reference field="5" count="1">
            <x v="0"/>
          </reference>
        </references>
      </pivotArea>
    </format>
    <format dxfId="191">
      <pivotArea dataOnly="0" labelOnly="1" fieldPosition="0">
        <references count="4">
          <reference field="0" count="1" selected="0">
            <x v="2"/>
          </reference>
          <reference field="3" count="0" selected="0"/>
          <reference field="4" count="1" selected="0">
            <x v="93"/>
          </reference>
          <reference field="5" count="1">
            <x v="12"/>
          </reference>
        </references>
      </pivotArea>
    </format>
    <format dxfId="190">
      <pivotArea dataOnly="0" labelOnly="1" fieldPosition="0">
        <references count="4">
          <reference field="0" count="1" selected="0">
            <x v="5"/>
          </reference>
          <reference field="3" count="0" selected="0"/>
          <reference field="4" count="1" selected="0">
            <x v="93"/>
          </reference>
          <reference field="5" count="1">
            <x v="13"/>
          </reference>
        </references>
      </pivotArea>
    </format>
    <format dxfId="189">
      <pivotArea dataOnly="0" labelOnly="1" fieldPosition="0">
        <references count="4">
          <reference field="0" count="1" selected="0">
            <x v="7"/>
          </reference>
          <reference field="3" count="0" selected="0"/>
          <reference field="4" count="1" selected="0">
            <x v="93"/>
          </reference>
          <reference field="5" count="1">
            <x v="11"/>
          </reference>
        </references>
      </pivotArea>
    </format>
    <format dxfId="188">
      <pivotArea dataOnly="0" labelOnly="1" fieldPosition="0">
        <references count="4">
          <reference field="0" count="1" selected="0">
            <x v="9"/>
          </reference>
          <reference field="3" count="0" selected="0"/>
          <reference field="4" count="1" selected="0">
            <x v="93"/>
          </reference>
          <reference field="5" count="1">
            <x v="13"/>
          </reference>
        </references>
      </pivotArea>
    </format>
    <format dxfId="187">
      <pivotArea dataOnly="0" labelOnly="1" fieldPosition="0">
        <references count="4">
          <reference field="0" count="1" selected="0">
            <x v="10"/>
          </reference>
          <reference field="3" count="0" selected="0"/>
          <reference field="4" count="1" selected="0">
            <x v="93"/>
          </reference>
          <reference field="5" count="1">
            <x v="0"/>
          </reference>
        </references>
      </pivotArea>
    </format>
    <format dxfId="186">
      <pivotArea dataOnly="0" labelOnly="1" fieldPosition="0">
        <references count="4">
          <reference field="0" count="1" selected="0">
            <x v="11"/>
          </reference>
          <reference field="3" count="0" selected="0"/>
          <reference field="4" count="1" selected="0">
            <x v="99"/>
          </reference>
          <reference field="5" count="1">
            <x v="12"/>
          </reference>
        </references>
      </pivotArea>
    </format>
    <format dxfId="185">
      <pivotArea dataOnly="0" labelOnly="1" fieldPosition="0">
        <references count="4">
          <reference field="0" count="1" selected="0">
            <x v="12"/>
          </reference>
          <reference field="3" count="0" selected="0"/>
          <reference field="4" count="1" selected="0">
            <x v="93"/>
          </reference>
          <reference field="5" count="1">
            <x v="13"/>
          </reference>
        </references>
      </pivotArea>
    </format>
    <format dxfId="184">
      <pivotArea dataOnly="0" labelOnly="1" fieldPosition="0">
        <references count="5">
          <reference field="0" count="1" selected="0">
            <x v="0"/>
          </reference>
          <reference field="3" count="0" selected="0"/>
          <reference field="4" count="1" selected="0">
            <x v="93"/>
          </reference>
          <reference field="5" count="1" selected="0">
            <x v="11"/>
          </reference>
          <reference field="6" count="1">
            <x v="18"/>
          </reference>
        </references>
      </pivotArea>
    </format>
    <format dxfId="183">
      <pivotArea dataOnly="0" labelOnly="1" fieldPosition="0">
        <references count="5">
          <reference field="0" count="1" selected="0">
            <x v="1"/>
          </reference>
          <reference field="3" count="0" selected="0"/>
          <reference field="4" count="1" selected="0">
            <x v="94"/>
          </reference>
          <reference field="5" count="1" selected="0">
            <x v="0"/>
          </reference>
          <reference field="6" count="1">
            <x v="20"/>
          </reference>
        </references>
      </pivotArea>
    </format>
    <format dxfId="182">
      <pivotArea dataOnly="0" labelOnly="1" fieldPosition="0">
        <references count="5">
          <reference field="0" count="1" selected="0">
            <x v="2"/>
          </reference>
          <reference field="3" count="0" selected="0"/>
          <reference field="4" count="1" selected="0">
            <x v="93"/>
          </reference>
          <reference field="5" count="1" selected="0">
            <x v="12"/>
          </reference>
          <reference field="6" count="1">
            <x v="22"/>
          </reference>
        </references>
      </pivotArea>
    </format>
    <format dxfId="181">
      <pivotArea dataOnly="0" labelOnly="1" fieldPosition="0">
        <references count="5">
          <reference field="0" count="1" selected="0">
            <x v="3"/>
          </reference>
          <reference field="3" count="0" selected="0"/>
          <reference field="4" count="1" selected="0">
            <x v="93"/>
          </reference>
          <reference field="5" count="1" selected="0">
            <x v="12"/>
          </reference>
          <reference field="6" count="1">
            <x v="21"/>
          </reference>
        </references>
      </pivotArea>
    </format>
    <format dxfId="180">
      <pivotArea dataOnly="0" labelOnly="1" fieldPosition="0">
        <references count="5">
          <reference field="0" count="1" selected="0">
            <x v="4"/>
          </reference>
          <reference field="3" count="0" selected="0"/>
          <reference field="4" count="1" selected="0">
            <x v="93"/>
          </reference>
          <reference field="5" count="1" selected="0">
            <x v="12"/>
          </reference>
          <reference field="6" count="1">
            <x v="16"/>
          </reference>
        </references>
      </pivotArea>
    </format>
    <format dxfId="179">
      <pivotArea dataOnly="0" labelOnly="1" fieldPosition="0">
        <references count="5">
          <reference field="0" count="1" selected="0">
            <x v="5"/>
          </reference>
          <reference field="3" count="0" selected="0"/>
          <reference field="4" count="1" selected="0">
            <x v="93"/>
          </reference>
          <reference field="5" count="1" selected="0">
            <x v="13"/>
          </reference>
          <reference field="6" count="1">
            <x v="23"/>
          </reference>
        </references>
      </pivotArea>
    </format>
    <format dxfId="178">
      <pivotArea dataOnly="0" labelOnly="1" fieldPosition="0">
        <references count="5">
          <reference field="0" count="1" selected="0">
            <x v="7"/>
          </reference>
          <reference field="3" count="0" selected="0"/>
          <reference field="4" count="1" selected="0">
            <x v="93"/>
          </reference>
          <reference field="5" count="1" selected="0">
            <x v="11"/>
          </reference>
          <reference field="6" count="1">
            <x v="24"/>
          </reference>
        </references>
      </pivotArea>
    </format>
    <format dxfId="177">
      <pivotArea dataOnly="0" labelOnly="1" fieldPosition="0">
        <references count="5">
          <reference field="0" count="1" selected="0">
            <x v="8"/>
          </reference>
          <reference field="3" count="0" selected="0"/>
          <reference field="4" count="1" selected="0">
            <x v="93"/>
          </reference>
          <reference field="5" count="1" selected="0">
            <x v="11"/>
          </reference>
          <reference field="6" count="1">
            <x v="25"/>
          </reference>
        </references>
      </pivotArea>
    </format>
    <format dxfId="176">
      <pivotArea dataOnly="0" labelOnly="1" fieldPosition="0">
        <references count="5">
          <reference field="0" count="1" selected="0">
            <x v="9"/>
          </reference>
          <reference field="3" count="0" selected="0"/>
          <reference field="4" count="1" selected="0">
            <x v="93"/>
          </reference>
          <reference field="5" count="1" selected="0">
            <x v="13"/>
          </reference>
          <reference field="6" count="1">
            <x v="22"/>
          </reference>
        </references>
      </pivotArea>
    </format>
    <format dxfId="175">
      <pivotArea dataOnly="0" labelOnly="1" fieldPosition="0">
        <references count="5">
          <reference field="0" count="1" selected="0">
            <x v="10"/>
          </reference>
          <reference field="3" count="0" selected="0"/>
          <reference field="4" count="1" selected="0">
            <x v="93"/>
          </reference>
          <reference field="5" count="1" selected="0">
            <x v="0"/>
          </reference>
          <reference field="6" count="1">
            <x v="26"/>
          </reference>
        </references>
      </pivotArea>
    </format>
    <format dxfId="174">
      <pivotArea dataOnly="0" labelOnly="1" fieldPosition="0">
        <references count="5">
          <reference field="0" count="1" selected="0">
            <x v="11"/>
          </reference>
          <reference field="3" count="0" selected="0"/>
          <reference field="4" count="1" selected="0">
            <x v="99"/>
          </reference>
          <reference field="5" count="1" selected="0">
            <x v="12"/>
          </reference>
          <reference field="6" count="1">
            <x v="22"/>
          </reference>
        </references>
      </pivotArea>
    </format>
    <format dxfId="173">
      <pivotArea dataOnly="0" labelOnly="1" fieldPosition="0">
        <references count="5">
          <reference field="0" count="1" selected="0">
            <x v="11"/>
          </reference>
          <reference field="3" count="0" selected="0"/>
          <reference field="4" count="1" selected="0">
            <x v="100"/>
          </reference>
          <reference field="5" count="1" selected="0">
            <x v="12"/>
          </reference>
          <reference field="6" count="1">
            <x v="27"/>
          </reference>
        </references>
      </pivotArea>
    </format>
    <format dxfId="172">
      <pivotArea dataOnly="0" labelOnly="1" fieldPosition="0">
        <references count="5">
          <reference field="0" count="1" selected="0">
            <x v="12"/>
          </reference>
          <reference field="3" count="0" selected="0"/>
          <reference field="4" count="1" selected="0">
            <x v="93"/>
          </reference>
          <reference field="5" count="1" selected="0">
            <x v="13"/>
          </reference>
          <reference field="6" count="1">
            <x v="23"/>
          </reference>
        </references>
      </pivotArea>
    </format>
    <format dxfId="171">
      <pivotArea dataOnly="0" labelOnly="1" fieldPosition="0">
        <references count="6">
          <reference field="0" count="1" selected="0">
            <x v="0"/>
          </reference>
          <reference field="3" count="0" selected="0"/>
          <reference field="4" count="1" selected="0">
            <x v="93"/>
          </reference>
          <reference field="5" count="1" selected="0">
            <x v="11"/>
          </reference>
          <reference field="6" count="1" selected="0">
            <x v="18"/>
          </reference>
          <reference field="8" count="1">
            <x v="10"/>
          </reference>
        </references>
      </pivotArea>
    </format>
    <format dxfId="170">
      <pivotArea dataOnly="0" labelOnly="1" fieldPosition="0">
        <references count="6">
          <reference field="0" count="1" selected="0">
            <x v="1"/>
          </reference>
          <reference field="3" count="0" selected="0"/>
          <reference field="4" count="1" selected="0">
            <x v="94"/>
          </reference>
          <reference field="5" count="1" selected="0">
            <x v="0"/>
          </reference>
          <reference field="6" count="1" selected="0">
            <x v="20"/>
          </reference>
          <reference field="8" count="1">
            <x v="46"/>
          </reference>
        </references>
      </pivotArea>
    </format>
    <format dxfId="169">
      <pivotArea dataOnly="0" labelOnly="1" fieldPosition="0">
        <references count="6">
          <reference field="0" count="1" selected="0">
            <x v="2"/>
          </reference>
          <reference field="3" count="0" selected="0"/>
          <reference field="4" count="1" selected="0">
            <x v="93"/>
          </reference>
          <reference field="5" count="1" selected="0">
            <x v="12"/>
          </reference>
          <reference field="6" count="1" selected="0">
            <x v="22"/>
          </reference>
          <reference field="8" count="1">
            <x v="10"/>
          </reference>
        </references>
      </pivotArea>
    </format>
    <format dxfId="168">
      <pivotArea dataOnly="0" labelOnly="1" fieldPosition="0">
        <references count="6">
          <reference field="0" count="1" selected="0">
            <x v="3"/>
          </reference>
          <reference field="3" count="0" selected="0"/>
          <reference field="4" count="1" selected="0">
            <x v="93"/>
          </reference>
          <reference field="5" count="1" selected="0">
            <x v="12"/>
          </reference>
          <reference field="6" count="1" selected="0">
            <x v="21"/>
          </reference>
          <reference field="8" count="1">
            <x v="10"/>
          </reference>
        </references>
      </pivotArea>
    </format>
    <format dxfId="167">
      <pivotArea dataOnly="0" labelOnly="1" fieldPosition="0">
        <references count="6">
          <reference field="0" count="1" selected="0">
            <x v="4"/>
          </reference>
          <reference field="3" count="0" selected="0"/>
          <reference field="4" count="1" selected="0">
            <x v="93"/>
          </reference>
          <reference field="5" count="1" selected="0">
            <x v="12"/>
          </reference>
          <reference field="6" count="1" selected="0">
            <x v="16"/>
          </reference>
          <reference field="8" count="1">
            <x v="10"/>
          </reference>
        </references>
      </pivotArea>
    </format>
    <format dxfId="166">
      <pivotArea dataOnly="0" labelOnly="1" fieldPosition="0">
        <references count="6">
          <reference field="0" count="1" selected="0">
            <x v="5"/>
          </reference>
          <reference field="3" count="0" selected="0"/>
          <reference field="4" count="1" selected="0">
            <x v="93"/>
          </reference>
          <reference field="5" count="1" selected="0">
            <x v="13"/>
          </reference>
          <reference field="6" count="1" selected="0">
            <x v="23"/>
          </reference>
          <reference field="8" count="1">
            <x v="10"/>
          </reference>
        </references>
      </pivotArea>
    </format>
    <format dxfId="165">
      <pivotArea dataOnly="0" labelOnly="1" fieldPosition="0">
        <references count="6">
          <reference field="0" count="1" selected="0">
            <x v="7"/>
          </reference>
          <reference field="3" count="0" selected="0"/>
          <reference field="4" count="1" selected="0">
            <x v="93"/>
          </reference>
          <reference field="5" count="1" selected="0">
            <x v="11"/>
          </reference>
          <reference field="6" count="1" selected="0">
            <x v="24"/>
          </reference>
          <reference field="8" count="1">
            <x v="10"/>
          </reference>
        </references>
      </pivotArea>
    </format>
    <format dxfId="164">
      <pivotArea dataOnly="0" labelOnly="1" fieldPosition="0">
        <references count="6">
          <reference field="0" count="1" selected="0">
            <x v="8"/>
          </reference>
          <reference field="3" count="0" selected="0"/>
          <reference field="4" count="1" selected="0">
            <x v="93"/>
          </reference>
          <reference field="5" count="1" selected="0">
            <x v="11"/>
          </reference>
          <reference field="6" count="1" selected="0">
            <x v="25"/>
          </reference>
          <reference field="8" count="1">
            <x v="10"/>
          </reference>
        </references>
      </pivotArea>
    </format>
    <format dxfId="163">
      <pivotArea dataOnly="0" labelOnly="1" fieldPosition="0">
        <references count="6">
          <reference field="0" count="1" selected="0">
            <x v="9"/>
          </reference>
          <reference field="3" count="0" selected="0"/>
          <reference field="4" count="1" selected="0">
            <x v="93"/>
          </reference>
          <reference field="5" count="1" selected="0">
            <x v="13"/>
          </reference>
          <reference field="6" count="1" selected="0">
            <x v="22"/>
          </reference>
          <reference field="8" count="1">
            <x v="10"/>
          </reference>
        </references>
      </pivotArea>
    </format>
    <format dxfId="162">
      <pivotArea dataOnly="0" labelOnly="1" fieldPosition="0">
        <references count="6">
          <reference field="0" count="1" selected="0">
            <x v="10"/>
          </reference>
          <reference field="3" count="0" selected="0"/>
          <reference field="4" count="1" selected="0">
            <x v="93"/>
          </reference>
          <reference field="5" count="1" selected="0">
            <x v="0"/>
          </reference>
          <reference field="6" count="1" selected="0">
            <x v="26"/>
          </reference>
          <reference field="8" count="1">
            <x v="46"/>
          </reference>
        </references>
      </pivotArea>
    </format>
    <format dxfId="161">
      <pivotArea dataOnly="0" labelOnly="1" fieldPosition="0">
        <references count="6">
          <reference field="0" count="1" selected="0">
            <x v="11"/>
          </reference>
          <reference field="3" count="0" selected="0"/>
          <reference field="4" count="1" selected="0">
            <x v="99"/>
          </reference>
          <reference field="5" count="1" selected="0">
            <x v="12"/>
          </reference>
          <reference field="6" count="1" selected="0">
            <x v="22"/>
          </reference>
          <reference field="8" count="1">
            <x v="47"/>
          </reference>
        </references>
      </pivotArea>
    </format>
    <format dxfId="160">
      <pivotArea dataOnly="0" labelOnly="1" fieldPosition="0">
        <references count="6">
          <reference field="0" count="1" selected="0">
            <x v="11"/>
          </reference>
          <reference field="3" count="0" selected="0"/>
          <reference field="4" count="1" selected="0">
            <x v="100"/>
          </reference>
          <reference field="5" count="1" selected="0">
            <x v="12"/>
          </reference>
          <reference field="6" count="1" selected="0">
            <x v="27"/>
          </reference>
          <reference field="8" count="1">
            <x v="47"/>
          </reference>
        </references>
      </pivotArea>
    </format>
    <format dxfId="159">
      <pivotArea dataOnly="0" labelOnly="1" fieldPosition="0">
        <references count="6">
          <reference field="0" count="1" selected="0">
            <x v="12"/>
          </reference>
          <reference field="3" count="0" selected="0"/>
          <reference field="4" count="1" selected="0">
            <x v="93"/>
          </reference>
          <reference field="5" count="1" selected="0">
            <x v="13"/>
          </reference>
          <reference field="6" count="1" selected="0">
            <x v="23"/>
          </reference>
          <reference field="8" count="1">
            <x v="10"/>
          </reference>
        </references>
      </pivotArea>
    </format>
    <format dxfId="158">
      <pivotArea dataOnly="0" labelOnly="1" fieldPosition="0">
        <references count="1">
          <reference field="0" count="2">
            <x v="7"/>
            <x v="8"/>
          </reference>
        </references>
      </pivotArea>
    </format>
    <format dxfId="157">
      <pivotArea dataOnly="0" labelOnly="1" fieldPosition="0">
        <references count="1">
          <reference field="0" count="1">
            <x v="10"/>
          </reference>
        </references>
      </pivotArea>
    </format>
    <format dxfId="156">
      <pivotArea dataOnly="0" labelOnly="1" fieldPosition="0">
        <references count="1">
          <reference field="0" count="1">
            <x v="1"/>
          </reference>
        </references>
      </pivotArea>
    </format>
    <format dxfId="155">
      <pivotArea dataOnly="0" labelOnly="1" fieldPosition="0">
        <references count="1">
          <reference field="0" count="1">
            <x v="11"/>
          </reference>
        </references>
      </pivotArea>
    </format>
    <format dxfId="154">
      <pivotArea dataOnly="0" labelOnly="1" fieldPosition="0">
        <references count="1">
          <reference field="0" count="1">
            <x v="5"/>
          </reference>
        </references>
      </pivotArea>
    </format>
    <format dxfId="153">
      <pivotArea dataOnly="0" labelOnly="1" fieldPosition="0">
        <references count="1">
          <reference field="0" count="1">
            <x v="12"/>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3306BB-8A26-4E39-BF67-0266AECAA75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2" firstHeaderRow="1" firstDataRow="1" firstDataCol="5" rowPageCount="1" colPageCount="1"/>
  <pivotFields count="12">
    <pivotField axis="axisRow" showAll="0">
      <items count="15">
        <item x="0"/>
        <item x="1"/>
        <item x="2"/>
        <item x="4"/>
        <item x="5"/>
        <item x="6"/>
        <item x="7"/>
        <item x="10"/>
        <item x="11"/>
        <item x="12"/>
        <item x="13"/>
        <item x="3"/>
        <item x="8"/>
        <item x="9"/>
        <item t="default"/>
      </items>
    </pivotField>
    <pivotField showAll="0"/>
    <pivotField axis="axisPage" showAll="0">
      <items count="9">
        <item x="0"/>
        <item x="1"/>
        <item x="3"/>
        <item x="5"/>
        <item x="4"/>
        <item m="1" x="7"/>
        <item m="1" x="6"/>
        <item x="2"/>
        <item t="default"/>
      </items>
    </pivotField>
    <pivotField axis="axisRow" outline="0" showAll="0" defaultSubtotal="0">
      <items count="19">
        <item m="1" x="17"/>
        <item x="5"/>
        <item x="11"/>
        <item m="1" x="16"/>
        <item m="1" x="18"/>
        <item m="1" x="14"/>
        <item m="1" x="15"/>
        <item x="12"/>
        <item x="7"/>
        <item x="13"/>
        <item x="0"/>
        <item x="1"/>
        <item x="2"/>
        <item x="3"/>
        <item h="1" x="4"/>
        <item h="1" x="9"/>
        <item x="8"/>
        <item h="1" x="6"/>
        <item h="1" x="10"/>
      </items>
    </pivotField>
    <pivotField axis="axisRow" outline="0" showAll="0" defaultSubtotal="0">
      <items count="105">
        <item m="1" x="94"/>
        <item m="1" x="98"/>
        <item x="80"/>
        <item x="84"/>
        <item x="81"/>
        <item x="82"/>
        <item x="83"/>
        <item x="34"/>
        <item x="0"/>
        <item x="35"/>
        <item x="21"/>
        <item x="1"/>
        <item x="32"/>
        <item x="75"/>
        <item x="25"/>
        <item x="26"/>
        <item x="27"/>
        <item x="28"/>
        <item x="29"/>
        <item m="1" x="100"/>
        <item x="17"/>
        <item x="20"/>
        <item m="1" x="101"/>
        <item m="1" x="90"/>
        <item x="56"/>
        <item m="1" x="93"/>
        <item x="76"/>
        <item m="1" x="102"/>
        <item x="71"/>
        <item x="8"/>
        <item x="6"/>
        <item x="74"/>
        <item x="39"/>
        <item m="1" x="103"/>
        <item x="7"/>
        <item x="5"/>
        <item m="1" x="95"/>
        <item m="1" x="92"/>
        <item x="38"/>
        <item x="42"/>
        <item x="30"/>
        <item m="1" x="104"/>
        <item x="78"/>
        <item x="79"/>
        <item x="44"/>
        <item x="73"/>
        <item x="22"/>
        <item x="86"/>
        <item x="23"/>
        <item x="72"/>
        <item m="1" x="97"/>
        <item m="1" x="99"/>
        <item x="43"/>
        <item x="40"/>
        <item x="46"/>
        <item x="69"/>
        <item x="70"/>
        <item x="16"/>
        <item x="52"/>
        <item x="50"/>
        <item x="48"/>
        <item x="41"/>
        <item x="2"/>
        <item x="14"/>
        <item x="13"/>
        <item x="85"/>
        <item m="1" x="96"/>
        <item x="3"/>
        <item x="15"/>
        <item x="53"/>
        <item x="77"/>
        <item x="45"/>
        <item x="33"/>
        <item m="1" x="91"/>
        <item x="4"/>
        <item x="55"/>
        <item x="57"/>
        <item x="59"/>
        <item x="60"/>
        <item x="61"/>
        <item x="62"/>
        <item x="63"/>
        <item x="64"/>
        <item x="65"/>
        <item x="66"/>
        <item x="67"/>
        <item x="36"/>
        <item x="37"/>
        <item x="10"/>
        <item x="54"/>
        <item x="12"/>
        <item x="58"/>
        <item x="18"/>
        <item x="11"/>
        <item x="19"/>
        <item x="89"/>
        <item x="24"/>
        <item x="31"/>
        <item x="68"/>
        <item x="87"/>
        <item x="88"/>
        <item x="9"/>
        <item x="47"/>
        <item x="49"/>
        <item x="51"/>
      </items>
    </pivotField>
    <pivotField axis="axisRow" outline="0" showAll="0" defaultSubtotal="0">
      <items count="14">
        <item x="0"/>
        <item x="5"/>
        <item x="1"/>
        <item m="1" x="13"/>
        <item x="2"/>
        <item sd="0" x="7"/>
        <item m="1" x="12"/>
        <item x="3"/>
        <item x="6"/>
        <item x="9"/>
        <item x="8"/>
        <item x="4"/>
        <item x="10"/>
        <item x="11"/>
      </items>
    </pivotField>
    <pivotField axis="axisRow" outline="0" showAll="0" defaultSubtotal="0">
      <items count="30">
        <item x="17"/>
        <item x="14"/>
        <item x="24"/>
        <item x="23"/>
        <item x="25"/>
        <item x="15"/>
        <item x="0"/>
        <item x="21"/>
        <item m="1" x="29"/>
        <item x="1"/>
        <item x="2"/>
        <item x="4"/>
        <item x="13"/>
        <item m="1" x="28"/>
        <item x="5"/>
        <item x="9"/>
        <item x="10"/>
        <item x="7"/>
        <item x="3"/>
        <item m="1" x="27"/>
        <item x="8"/>
        <item x="11"/>
        <item x="12"/>
        <item x="18"/>
        <item x="19"/>
        <item x="20"/>
        <item x="22"/>
        <item x="26"/>
        <item x="6"/>
        <item x="16"/>
      </items>
    </pivotField>
    <pivotField showAll="0"/>
    <pivotField axis="axisRow" showAll="0">
      <items count="50">
        <item x="25"/>
        <item x="6"/>
        <item x="9"/>
        <item x="0"/>
        <item x="30"/>
        <item x="37"/>
        <item x="19"/>
        <item m="1" x="44"/>
        <item x="20"/>
        <item m="1" x="48"/>
        <item x="5"/>
        <item x="23"/>
        <item x="33"/>
        <item x="32"/>
        <item x="35"/>
        <item x="13"/>
        <item x="15"/>
        <item x="7"/>
        <item x="2"/>
        <item x="26"/>
        <item x="27"/>
        <item x="38"/>
        <item x="14"/>
        <item x="4"/>
        <item x="1"/>
        <item x="18"/>
        <item x="11"/>
        <item x="17"/>
        <item x="22"/>
        <item x="36"/>
        <item x="34"/>
        <item x="3"/>
        <item x="31"/>
        <item x="29"/>
        <item x="12"/>
        <item x="21"/>
        <item m="1" x="45"/>
        <item x="40"/>
        <item m="1" x="41"/>
        <item m="1" x="42"/>
        <item m="1" x="47"/>
        <item m="1" x="46"/>
        <item x="10"/>
        <item m="1" x="43"/>
        <item x="28"/>
        <item x="16"/>
        <item x="8"/>
        <item x="39"/>
        <item x="24"/>
        <item t="default"/>
      </items>
    </pivotField>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6">
    <field x="0"/>
    <field x="3"/>
    <field x="4"/>
    <field x="5"/>
    <field x="6"/>
    <field x="8"/>
  </rowFields>
  <rowItems count="59">
    <i>
      <x/>
    </i>
    <i r="1">
      <x v="10"/>
      <x v="8"/>
      <x/>
      <x v="6"/>
      <x v="3"/>
    </i>
    <i r="1">
      <x v="11"/>
      <x v="11"/>
      <x/>
      <x v="9"/>
      <x v="24"/>
    </i>
    <i r="1">
      <x v="12"/>
      <x v="62"/>
      <x/>
      <x v="10"/>
      <x v="18"/>
    </i>
    <i r="1">
      <x v="13"/>
      <x v="67"/>
      <x v="2"/>
      <x v="18"/>
      <x v="24"/>
    </i>
    <i>
      <x v="1"/>
    </i>
    <i r="1">
      <x v="10"/>
      <x v="8"/>
      <x v="1"/>
      <x v="11"/>
      <x v="31"/>
    </i>
    <i r="1">
      <x v="11"/>
      <x v="11"/>
      <x v="1"/>
      <x v="11"/>
      <x v="31"/>
    </i>
    <i r="1">
      <x v="12"/>
      <x v="63"/>
      <x v="1"/>
      <x v="11"/>
      <x v="31"/>
    </i>
    <i r="1">
      <x v="13"/>
      <x v="68"/>
      <x v="8"/>
      <x v="10"/>
      <x v="1"/>
    </i>
    <i>
      <x v="2"/>
    </i>
    <i r="1">
      <x v="10"/>
      <x v="8"/>
      <x v="8"/>
      <x v="10"/>
      <x v="42"/>
    </i>
    <i r="1">
      <x v="11"/>
      <x v="10"/>
      <x v="9"/>
      <x v="15"/>
      <x v="26"/>
    </i>
    <i r="1">
      <x v="12"/>
      <x v="63"/>
      <x v="9"/>
      <x v="15"/>
      <x v="3"/>
    </i>
    <i r="1">
      <x v="13"/>
      <x v="67"/>
      <x v="2"/>
      <x v="16"/>
      <x v="34"/>
    </i>
    <i>
      <x v="3"/>
    </i>
    <i r="1">
      <x v="10"/>
      <x v="7"/>
      <x v="8"/>
      <x v="12"/>
      <x v="16"/>
    </i>
    <i r="1">
      <x v="11"/>
      <x v="9"/>
      <x v="9"/>
      <x v="14"/>
      <x v="24"/>
    </i>
    <i r="1">
      <x v="12"/>
      <x v="63"/>
      <x v="2"/>
      <x v="11"/>
      <x v="45"/>
    </i>
    <i r="1">
      <x v="13"/>
      <x v="67"/>
      <x v="2"/>
      <x v="11"/>
      <x v="31"/>
    </i>
    <i>
      <x v="4"/>
    </i>
    <i r="1">
      <x v="10"/>
      <x v="8"/>
      <x v="8"/>
      <x v="29"/>
      <x v="42"/>
    </i>
    <i r="1">
      <x v="11"/>
      <x v="9"/>
      <x v="9"/>
      <x v="29"/>
      <x v="35"/>
    </i>
    <i r="1">
      <x v="12"/>
      <x v="102"/>
      <x v="4"/>
      <x v="17"/>
      <x v="28"/>
    </i>
    <i r="1">
      <x v="13"/>
      <x v="67"/>
      <x v="2"/>
      <x v="11"/>
      <x v="31"/>
    </i>
    <i>
      <x v="5"/>
    </i>
    <i r="1">
      <x v="10"/>
      <x v="7"/>
      <x/>
      <x/>
      <x v="31"/>
    </i>
    <i r="1">
      <x v="11"/>
      <x v="9"/>
      <x/>
      <x/>
      <x v="19"/>
    </i>
    <i r="1">
      <x v="12"/>
      <x v="63"/>
      <x v="2"/>
      <x v="9"/>
      <x v="28"/>
    </i>
    <i r="1">
      <x v="13"/>
      <x v="67"/>
      <x v="2"/>
      <x v="11"/>
      <x v="20"/>
    </i>
    <i>
      <x v="6"/>
    </i>
    <i r="1">
      <x v="10"/>
      <x v="8"/>
      <x/>
      <x v="9"/>
      <x v="4"/>
    </i>
    <i r="1">
      <x v="11"/>
      <x v="9"/>
      <x/>
      <x v="12"/>
      <x v="32"/>
    </i>
    <i r="1">
      <x v="12"/>
      <x v="63"/>
      <x v="2"/>
      <x v="11"/>
      <x v="10"/>
    </i>
    <i r="1">
      <x v="13"/>
      <x v="67"/>
      <x v="2"/>
      <x v="11"/>
      <x v="32"/>
    </i>
    <i>
      <x v="7"/>
    </i>
    <i r="1">
      <x v="10"/>
      <x v="7"/>
      <x v="4"/>
      <x v="14"/>
      <x v="16"/>
    </i>
    <i r="1">
      <x v="11"/>
      <x v="9"/>
      <x v="9"/>
      <x v="15"/>
      <x v="24"/>
    </i>
    <i r="1">
      <x v="12"/>
      <x v="63"/>
      <x v="4"/>
      <x v="17"/>
      <x v="28"/>
    </i>
    <i r="1">
      <x v="13"/>
      <x v="67"/>
      <x v="2"/>
      <x v="11"/>
      <x v="31"/>
    </i>
    <i>
      <x v="8"/>
    </i>
    <i r="1">
      <x v="10"/>
      <x v="8"/>
      <x/>
      <x v="9"/>
      <x v="28"/>
    </i>
    <i r="1">
      <x v="11"/>
      <x v="9"/>
      <x/>
      <x v="11"/>
      <x v="30"/>
    </i>
    <i r="1">
      <x v="12"/>
      <x v="63"/>
      <x/>
      <x v="11"/>
      <x v="28"/>
    </i>
    <i r="1">
      <x v="13"/>
      <x v="67"/>
      <x v="4"/>
      <x v="14"/>
      <x v="30"/>
    </i>
    <i>
      <x v="9"/>
    </i>
    <i r="1">
      <x v="11"/>
      <x v="2"/>
      <x/>
      <x v="3"/>
      <x v="4"/>
    </i>
    <i r="2">
      <x v="3"/>
      <x/>
      <x v="9"/>
      <x v="29"/>
    </i>
    <i r="2">
      <x v="4"/>
      <x/>
      <x v="2"/>
      <x v="4"/>
    </i>
    <i r="2">
      <x v="5"/>
      <x/>
      <x v="4"/>
      <x v="4"/>
    </i>
    <i r="2">
      <x v="6"/>
      <x/>
      <x v="9"/>
      <x v="29"/>
    </i>
    <i r="1">
      <x v="12"/>
      <x v="63"/>
      <x v="4"/>
      <x v="17"/>
      <x v="4"/>
    </i>
    <i r="1">
      <x v="13"/>
      <x v="67"/>
      <x v="2"/>
      <x v="11"/>
      <x v="31"/>
    </i>
    <i>
      <x v="10"/>
    </i>
    <i r="1">
      <x v="10"/>
      <x v="8"/>
      <x/>
      <x/>
      <x v="31"/>
    </i>
    <i r="1">
      <x v="11"/>
      <x v="9"/>
      <x/>
      <x/>
      <x v="19"/>
    </i>
    <i r="1">
      <x v="12"/>
      <x v="63"/>
      <x/>
      <x v="9"/>
      <x v="28"/>
    </i>
    <i r="1">
      <x v="13"/>
      <x v="67"/>
      <x v="2"/>
      <x v="11"/>
      <x v="37"/>
    </i>
    <i t="grand">
      <x/>
    </i>
  </rowItems>
  <colItems count="1">
    <i/>
  </colItems>
  <pageFields count="1">
    <pageField fld="2" item="0" hier="-1"/>
  </pageFields>
  <formats count="37">
    <format dxfId="152">
      <pivotArea dataOnly="0" labelOnly="1" fieldPosition="0">
        <references count="6">
          <reference field="0" count="1" selected="0">
            <x v="0"/>
          </reference>
          <reference field="3" count="1" selected="0">
            <x v="13"/>
          </reference>
          <reference field="4" count="1" selected="0">
            <x v="67"/>
          </reference>
          <reference field="5" count="1" selected="0">
            <x v="5"/>
          </reference>
          <reference field="6" count="1" selected="0">
            <x v="11"/>
          </reference>
          <reference field="8" count="1">
            <x v="31"/>
          </reference>
        </references>
      </pivotArea>
    </format>
    <format dxfId="151">
      <pivotArea dataOnly="0" labelOnly="1" fieldPosition="0">
        <references count="6">
          <reference field="0" count="1" selected="0">
            <x v="0"/>
          </reference>
          <reference field="3" count="1" selected="0">
            <x v="14"/>
          </reference>
          <reference field="4" count="1" selected="0">
            <x v="74"/>
          </reference>
          <reference field="5" count="1" selected="0">
            <x v="5"/>
          </reference>
          <reference field="6" count="1" selected="0">
            <x v="11"/>
          </reference>
          <reference field="8" count="1">
            <x v="31"/>
          </reference>
        </references>
      </pivotArea>
    </format>
    <format dxfId="150">
      <pivotArea dataOnly="0" labelOnly="1" fieldPosition="0">
        <references count="4">
          <reference field="0" count="1" selected="0">
            <x v="1"/>
          </reference>
          <reference field="3" count="1" selected="0">
            <x v="13"/>
          </reference>
          <reference field="4" count="1" selected="0">
            <x v="68"/>
          </reference>
          <reference field="5" count="1">
            <x v="2"/>
          </reference>
        </references>
      </pivotArea>
    </format>
    <format dxfId="149">
      <pivotArea dataOnly="0" labelOnly="1" fieldPosition="0">
        <references count="5">
          <reference field="0" count="1" selected="0">
            <x v="1"/>
          </reference>
          <reference field="3" count="1" selected="0">
            <x v="13"/>
          </reference>
          <reference field="4" count="1" selected="0">
            <x v="68"/>
          </reference>
          <reference field="5" count="1" selected="0">
            <x v="2"/>
          </reference>
          <reference field="6" count="1">
            <x v="10"/>
          </reference>
        </references>
      </pivotArea>
    </format>
    <format dxfId="148">
      <pivotArea dataOnly="0" labelOnly="1" fieldPosition="0">
        <references count="6">
          <reference field="0" count="1" selected="0">
            <x v="1"/>
          </reference>
          <reference field="3" count="1" selected="0">
            <x v="13"/>
          </reference>
          <reference field="4" count="1" selected="0">
            <x v="68"/>
          </reference>
          <reference field="5" count="1" selected="0">
            <x v="2"/>
          </reference>
          <reference field="6" count="1" selected="0">
            <x v="10"/>
          </reference>
          <reference field="8" count="1">
            <x v="1"/>
          </reference>
        </references>
      </pivotArea>
    </format>
    <format dxfId="147">
      <pivotArea dataOnly="0" labelOnly="1" fieldPosition="0">
        <references count="4">
          <reference field="0" count="1" selected="0">
            <x v="0"/>
          </reference>
          <reference field="3" count="1" selected="0">
            <x v="11"/>
          </reference>
          <reference field="4" count="1" selected="0">
            <x v="11"/>
          </reference>
          <reference field="5" count="1">
            <x v="4"/>
          </reference>
        </references>
      </pivotArea>
    </format>
    <format dxfId="146">
      <pivotArea dataOnly="0" labelOnly="1" fieldPosition="0">
        <references count="5">
          <reference field="0" count="1" selected="0">
            <x v="0"/>
          </reference>
          <reference field="3" count="1" selected="0">
            <x v="11"/>
          </reference>
          <reference field="4" count="1" selected="0">
            <x v="11"/>
          </reference>
          <reference field="5" count="1" selected="0">
            <x v="4"/>
          </reference>
          <reference field="6" count="1">
            <x v="9"/>
          </reference>
        </references>
      </pivotArea>
    </format>
    <format dxfId="145">
      <pivotArea dataOnly="0" labelOnly="1" fieldPosition="0">
        <references count="5">
          <reference field="0" count="1" selected="0">
            <x v="0"/>
          </reference>
          <reference field="3" count="1" selected="0">
            <x v="12"/>
          </reference>
          <reference field="4" count="1" selected="0">
            <x v="62"/>
          </reference>
          <reference field="5" count="1" selected="0">
            <x v="4"/>
          </reference>
          <reference field="6" count="1">
            <x v="10"/>
          </reference>
        </references>
      </pivotArea>
    </format>
    <format dxfId="144">
      <pivotArea dataOnly="0" labelOnly="1" fieldPosition="0">
        <references count="6">
          <reference field="0" count="1" selected="0">
            <x v="0"/>
          </reference>
          <reference field="3" count="1" selected="0">
            <x v="11"/>
          </reference>
          <reference field="4" count="1" selected="0">
            <x v="11"/>
          </reference>
          <reference field="5" count="1" selected="0">
            <x v="4"/>
          </reference>
          <reference field="6" count="1" selected="0">
            <x v="9"/>
          </reference>
          <reference field="8" count="1">
            <x v="24"/>
          </reference>
        </references>
      </pivotArea>
    </format>
    <format dxfId="143">
      <pivotArea dataOnly="0" labelOnly="1" fieldPosition="0">
        <references count="6">
          <reference field="0" count="1" selected="0">
            <x v="0"/>
          </reference>
          <reference field="3" count="1" selected="0">
            <x v="12"/>
          </reference>
          <reference field="4" count="1" selected="0">
            <x v="62"/>
          </reference>
          <reference field="5" count="1" selected="0">
            <x v="4"/>
          </reference>
          <reference field="6" count="1" selected="0">
            <x v="10"/>
          </reference>
          <reference field="8" count="1">
            <x v="18"/>
          </reference>
        </references>
      </pivotArea>
    </format>
    <format dxfId="142">
      <pivotArea dataOnly="0" labelOnly="1" fieldPosition="0">
        <references count="2">
          <reference field="0" count="1" selected="0">
            <x v="1"/>
          </reference>
          <reference field="3" count="1">
            <x v="13"/>
          </reference>
        </references>
      </pivotArea>
    </format>
    <format dxfId="141">
      <pivotArea dataOnly="0" labelOnly="1" fieldPosition="0">
        <references count="3">
          <reference field="0" count="1" selected="0">
            <x v="1"/>
          </reference>
          <reference field="3" count="1" selected="0">
            <x v="13"/>
          </reference>
          <reference field="4" count="1">
            <x v="68"/>
          </reference>
        </references>
      </pivotArea>
    </format>
    <format dxfId="140">
      <pivotArea dataOnly="0" labelOnly="1" fieldPosition="0">
        <references count="2">
          <reference field="0" count="1" selected="0">
            <x v="2"/>
          </reference>
          <reference field="3" count="1">
            <x v="10"/>
          </reference>
        </references>
      </pivotArea>
    </format>
    <format dxfId="139">
      <pivotArea dataOnly="0" labelOnly="1" fieldPosition="0">
        <references count="3">
          <reference field="0" count="1" selected="0">
            <x v="2"/>
          </reference>
          <reference field="3" count="1" selected="0">
            <x v="10"/>
          </reference>
          <reference field="4" count="1">
            <x v="8"/>
          </reference>
        </references>
      </pivotArea>
    </format>
    <format dxfId="138">
      <pivotArea dataOnly="0" labelOnly="1" fieldPosition="0">
        <references count="2">
          <reference field="0" count="1" selected="0">
            <x v="3"/>
          </reference>
          <reference field="3" count="1">
            <x v="10"/>
          </reference>
        </references>
      </pivotArea>
    </format>
    <format dxfId="137">
      <pivotArea dataOnly="0" labelOnly="1" fieldPosition="0">
        <references count="3">
          <reference field="0" count="1" selected="0">
            <x v="3"/>
          </reference>
          <reference field="3" count="1" selected="0">
            <x v="10"/>
          </reference>
          <reference field="4" count="1">
            <x v="7"/>
          </reference>
        </references>
      </pivotArea>
    </format>
    <format dxfId="136">
      <pivotArea dataOnly="0" labelOnly="1" offset="IV1" fieldPosition="0">
        <references count="2">
          <reference field="0" count="1" selected="0">
            <x v="4"/>
          </reference>
          <reference field="3" count="1">
            <x v="10"/>
          </reference>
        </references>
      </pivotArea>
    </format>
    <format dxfId="135">
      <pivotArea dataOnly="0" labelOnly="1" fieldPosition="0">
        <references count="3">
          <reference field="0" count="1" selected="0">
            <x v="4"/>
          </reference>
          <reference field="3" count="1" selected="0">
            <x v="10"/>
          </reference>
          <reference field="4" count="1">
            <x v="8"/>
          </reference>
        </references>
      </pivotArea>
    </format>
    <format dxfId="134">
      <pivotArea dataOnly="0" labelOnly="1" fieldPosition="0">
        <references count="2">
          <reference field="0" count="1" selected="0">
            <x v="5"/>
          </reference>
          <reference field="3" count="1">
            <x v="12"/>
          </reference>
        </references>
      </pivotArea>
    </format>
    <format dxfId="133">
      <pivotArea dataOnly="0" labelOnly="1" fieldPosition="0">
        <references count="3">
          <reference field="0" count="1" selected="0">
            <x v="5"/>
          </reference>
          <reference field="3" count="1" selected="0">
            <x v="12"/>
          </reference>
          <reference field="4" count="1">
            <x v="63"/>
          </reference>
        </references>
      </pivotArea>
    </format>
    <format dxfId="132">
      <pivotArea dataOnly="0" labelOnly="1" fieldPosition="0">
        <references count="2">
          <reference field="0" count="1" selected="0">
            <x v="0"/>
          </reference>
          <reference field="3" count="2">
            <x v="11"/>
            <x v="12"/>
          </reference>
        </references>
      </pivotArea>
    </format>
    <format dxfId="131">
      <pivotArea dataOnly="0" labelOnly="1" fieldPosition="0">
        <references count="3">
          <reference field="0" count="1" selected="0">
            <x v="0"/>
          </reference>
          <reference field="3" count="1" selected="0">
            <x v="11"/>
          </reference>
          <reference field="4" count="1">
            <x v="11"/>
          </reference>
        </references>
      </pivotArea>
    </format>
    <format dxfId="130">
      <pivotArea dataOnly="0" labelOnly="1" fieldPosition="0">
        <references count="3">
          <reference field="0" count="1" selected="0">
            <x v="0"/>
          </reference>
          <reference field="3" count="1" selected="0">
            <x v="12"/>
          </reference>
          <reference field="4" count="1">
            <x v="62"/>
          </reference>
        </references>
      </pivotArea>
    </format>
    <format dxfId="129">
      <pivotArea dataOnly="0" labelOnly="1" fieldPosition="0">
        <references count="2">
          <reference field="0" count="1" selected="0">
            <x v="0"/>
          </reference>
          <reference field="3" count="1">
            <x v="13"/>
          </reference>
        </references>
      </pivotArea>
    </format>
    <format dxfId="128">
      <pivotArea dataOnly="0" labelOnly="1" fieldPosition="0">
        <references count="3">
          <reference field="0" count="1" selected="0">
            <x v="0"/>
          </reference>
          <reference field="3" count="1" selected="0">
            <x v="13"/>
          </reference>
          <reference field="4" count="1">
            <x v="67"/>
          </reference>
        </references>
      </pivotArea>
    </format>
    <format dxfId="127">
      <pivotArea dataOnly="0" labelOnly="1" fieldPosition="0">
        <references count="2">
          <reference field="0" count="1" selected="0">
            <x v="6"/>
          </reference>
          <reference field="3" count="1">
            <x v="12"/>
          </reference>
        </references>
      </pivotArea>
    </format>
    <format dxfId="126">
      <pivotArea dataOnly="0" labelOnly="1" fieldPosition="0">
        <references count="3">
          <reference field="0" count="1" selected="0">
            <x v="6"/>
          </reference>
          <reference field="3" count="1" selected="0">
            <x v="12"/>
          </reference>
          <reference field="4" count="1">
            <x v="63"/>
          </reference>
        </references>
      </pivotArea>
    </format>
    <format dxfId="125">
      <pivotArea dataOnly="0" labelOnly="1" fieldPosition="0">
        <references count="2">
          <reference field="0" count="1" selected="0">
            <x v="7"/>
          </reference>
          <reference field="3" count="1">
            <x v="10"/>
          </reference>
        </references>
      </pivotArea>
    </format>
    <format dxfId="124">
      <pivotArea dataOnly="0" labelOnly="1" fieldPosition="0">
        <references count="3">
          <reference field="0" count="1" selected="0">
            <x v="7"/>
          </reference>
          <reference field="3" count="1" selected="0">
            <x v="10"/>
          </reference>
          <reference field="4" count="1">
            <x v="7"/>
          </reference>
        </references>
      </pivotArea>
    </format>
    <format dxfId="123">
      <pivotArea dataOnly="0" labelOnly="1" fieldPosition="0">
        <references count="2">
          <reference field="0" count="1" selected="0">
            <x v="8"/>
          </reference>
          <reference field="3" count="1">
            <x v="13"/>
          </reference>
        </references>
      </pivotArea>
    </format>
    <format dxfId="122">
      <pivotArea dataOnly="0" labelOnly="1" fieldPosition="0">
        <references count="3">
          <reference field="0" count="1" selected="0">
            <x v="8"/>
          </reference>
          <reference field="3" count="1" selected="0">
            <x v="13"/>
          </reference>
          <reference field="4" count="1">
            <x v="67"/>
          </reference>
        </references>
      </pivotArea>
    </format>
    <format dxfId="121">
      <pivotArea dataOnly="0" labelOnly="1" fieldPosition="0">
        <references count="2">
          <reference field="0" count="1" selected="0">
            <x v="9"/>
          </reference>
          <reference field="3" count="1">
            <x v="12"/>
          </reference>
        </references>
      </pivotArea>
    </format>
    <format dxfId="120">
      <pivotArea dataOnly="0" labelOnly="1" fieldPosition="0">
        <references count="3">
          <reference field="0" count="1" selected="0">
            <x v="9"/>
          </reference>
          <reference field="3" count="1" selected="0">
            <x v="12"/>
          </reference>
          <reference field="4" count="1">
            <x v="63"/>
          </reference>
        </references>
      </pivotArea>
    </format>
    <format dxfId="119">
      <pivotArea dataOnly="0" labelOnly="1" fieldPosition="0">
        <references count="2">
          <reference field="0" count="1" selected="0">
            <x v="10"/>
          </reference>
          <reference field="3" count="1">
            <x v="13"/>
          </reference>
        </references>
      </pivotArea>
    </format>
    <format dxfId="118">
      <pivotArea dataOnly="0" labelOnly="1" fieldPosition="0">
        <references count="3">
          <reference field="0" count="1" selected="0">
            <x v="10"/>
          </reference>
          <reference field="3" count="1" selected="0">
            <x v="13"/>
          </reference>
          <reference field="4" count="1">
            <x v="67"/>
          </reference>
        </references>
      </pivotArea>
    </format>
    <format dxfId="117">
      <pivotArea dataOnly="0" labelOnly="1" fieldPosition="0">
        <references count="2">
          <reference field="0" count="1" selected="0">
            <x v="10"/>
          </reference>
          <reference field="3" count="1">
            <x v="12"/>
          </reference>
        </references>
      </pivotArea>
    </format>
    <format dxfId="116">
      <pivotArea dataOnly="0" labelOnly="1" fieldPosition="0">
        <references count="3">
          <reference field="0" count="1" selected="0">
            <x v="10"/>
          </reference>
          <reference field="3" count="1" selected="0">
            <x v="12"/>
          </reference>
          <reference field="4" count="1">
            <x v="6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9F112-2BA0-4F25-8991-21E03C1AC2F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0" firstHeaderRow="1" firstDataRow="1" firstDataCol="6" rowPageCount="1" colPageCount="1"/>
  <pivotFields count="12">
    <pivotField axis="axisRow" showAll="0">
      <items count="15">
        <item x="0"/>
        <item x="1"/>
        <item x="2"/>
        <item x="4"/>
        <item x="5"/>
        <item x="6"/>
        <item x="7"/>
        <item x="10"/>
        <item x="11"/>
        <item x="12"/>
        <item x="13"/>
        <item x="3"/>
        <item x="8"/>
        <item x="9"/>
        <item t="default"/>
      </items>
    </pivotField>
    <pivotField axis="axisRow" outline="0" showAll="0" defaultSubtotal="0">
      <items count="5">
        <item x="1"/>
        <item x="2"/>
        <item x="0"/>
        <item x="3"/>
        <item x="4"/>
      </items>
    </pivotField>
    <pivotField axis="axisPage" showAll="0">
      <items count="9">
        <item x="0"/>
        <item x="1"/>
        <item x="3"/>
        <item x="5"/>
        <item x="4"/>
        <item m="1" x="7"/>
        <item m="1" x="6"/>
        <item x="2"/>
        <item t="default"/>
      </items>
    </pivotField>
    <pivotField axis="axisRow" outline="0" showAll="0" defaultSubtotal="0">
      <items count="19">
        <item m="1" x="17"/>
        <item x="5"/>
        <item x="11"/>
        <item m="1" x="16"/>
        <item m="1" x="18"/>
        <item m="1" x="14"/>
        <item m="1" x="15"/>
        <item x="12"/>
        <item x="7"/>
        <item x="13"/>
        <item x="0"/>
        <item x="1"/>
        <item x="2"/>
        <item x="3"/>
        <item x="4"/>
        <item x="9"/>
        <item x="8"/>
        <item x="6"/>
        <item x="10"/>
      </items>
    </pivotField>
    <pivotField axis="axisRow" outline="0" showAll="0" defaultSubtotal="0">
      <items count="105">
        <item m="1" x="94"/>
        <item m="1" x="98"/>
        <item x="80"/>
        <item x="84"/>
        <item x="81"/>
        <item x="82"/>
        <item x="83"/>
        <item x="34"/>
        <item x="0"/>
        <item x="35"/>
        <item x="21"/>
        <item x="1"/>
        <item x="32"/>
        <item x="75"/>
        <item x="25"/>
        <item x="26"/>
        <item x="27"/>
        <item x="28"/>
        <item x="29"/>
        <item m="1" x="100"/>
        <item x="17"/>
        <item x="20"/>
        <item m="1" x="101"/>
        <item m="1" x="90"/>
        <item x="56"/>
        <item m="1" x="93"/>
        <item x="76"/>
        <item m="1" x="102"/>
        <item x="71"/>
        <item x="8"/>
        <item x="6"/>
        <item x="74"/>
        <item x="39"/>
        <item m="1" x="103"/>
        <item x="7"/>
        <item x="5"/>
        <item m="1" x="95"/>
        <item m="1" x="92"/>
        <item x="38"/>
        <item x="42"/>
        <item x="30"/>
        <item m="1" x="104"/>
        <item x="78"/>
        <item x="79"/>
        <item x="44"/>
        <item x="73"/>
        <item x="22"/>
        <item x="86"/>
        <item x="23"/>
        <item x="72"/>
        <item m="1" x="97"/>
        <item m="1" x="99"/>
        <item x="43"/>
        <item x="40"/>
        <item x="46"/>
        <item x="69"/>
        <item x="70"/>
        <item x="16"/>
        <item x="52"/>
        <item x="50"/>
        <item x="48"/>
        <item x="41"/>
        <item x="2"/>
        <item x="14"/>
        <item x="13"/>
        <item x="85"/>
        <item m="1" x="96"/>
        <item x="3"/>
        <item x="15"/>
        <item x="53"/>
        <item x="77"/>
        <item x="45"/>
        <item x="33"/>
        <item m="1" x="91"/>
        <item x="4"/>
        <item x="55"/>
        <item x="57"/>
        <item x="59"/>
        <item x="60"/>
        <item x="61"/>
        <item x="62"/>
        <item x="63"/>
        <item x="64"/>
        <item x="65"/>
        <item x="66"/>
        <item x="67"/>
        <item x="36"/>
        <item x="37"/>
        <item x="10"/>
        <item x="54"/>
        <item x="12"/>
        <item x="58"/>
        <item x="18"/>
        <item x="11"/>
        <item x="19"/>
        <item x="89"/>
        <item x="24"/>
        <item x="31"/>
        <item x="68"/>
        <item x="87"/>
        <item x="88"/>
        <item x="9"/>
        <item x="47"/>
        <item x="49"/>
        <item x="51"/>
      </items>
    </pivotField>
    <pivotField axis="axisRow" outline="0" showAll="0" defaultSubtotal="0">
      <items count="14">
        <item x="0"/>
        <item x="5"/>
        <item x="1"/>
        <item m="1" x="13"/>
        <item x="2"/>
        <item sd="0" x="7"/>
        <item m="1" x="12"/>
        <item x="3"/>
        <item x="6"/>
        <item x="9"/>
        <item x="8"/>
        <item x="4"/>
        <item x="10"/>
        <item x="11"/>
      </items>
    </pivotField>
    <pivotField axis="axisRow" outline="0" showAll="0" defaultSubtotal="0">
      <items count="30">
        <item x="17"/>
        <item x="14"/>
        <item x="24"/>
        <item x="23"/>
        <item x="25"/>
        <item x="15"/>
        <item x="0"/>
        <item x="21"/>
        <item m="1" x="29"/>
        <item x="1"/>
        <item x="2"/>
        <item x="4"/>
        <item x="13"/>
        <item m="1" x="28"/>
        <item x="5"/>
        <item x="9"/>
        <item x="10"/>
        <item x="7"/>
        <item x="3"/>
        <item m="1" x="27"/>
        <item x="8"/>
        <item x="11"/>
        <item x="12"/>
        <item x="18"/>
        <item x="19"/>
        <item x="20"/>
        <item x="22"/>
        <item x="26"/>
        <item x="6"/>
        <item x="16"/>
      </items>
    </pivotField>
    <pivotField showAll="0"/>
    <pivotField axis="axisRow" showAll="0">
      <items count="50">
        <item x="25"/>
        <item x="6"/>
        <item x="9"/>
        <item x="0"/>
        <item x="30"/>
        <item x="37"/>
        <item x="19"/>
        <item m="1" x="44"/>
        <item x="20"/>
        <item m="1" x="48"/>
        <item x="5"/>
        <item x="23"/>
        <item x="33"/>
        <item x="32"/>
        <item x="35"/>
        <item x="13"/>
        <item x="15"/>
        <item x="7"/>
        <item x="2"/>
        <item x="26"/>
        <item x="27"/>
        <item x="38"/>
        <item x="14"/>
        <item x="4"/>
        <item x="1"/>
        <item x="18"/>
        <item x="11"/>
        <item x="17"/>
        <item x="22"/>
        <item x="36"/>
        <item x="34"/>
        <item x="3"/>
        <item x="31"/>
        <item x="29"/>
        <item x="12"/>
        <item x="21"/>
        <item m="1" x="45"/>
        <item x="40"/>
        <item m="1" x="41"/>
        <item m="1" x="42"/>
        <item m="1" x="47"/>
        <item m="1" x="46"/>
        <item x="10"/>
        <item m="1" x="43"/>
        <item x="28"/>
        <item x="16"/>
        <item x="8"/>
        <item x="39"/>
        <item x="24"/>
        <item t="default"/>
      </items>
    </pivotField>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7">
    <field x="0"/>
    <field x="3"/>
    <field x="4"/>
    <field x="5"/>
    <field x="6"/>
    <field x="1"/>
    <field x="8"/>
  </rowFields>
  <rowItems count="57">
    <i>
      <x/>
    </i>
    <i r="1">
      <x v="1"/>
      <x v="29"/>
      <x/>
      <x v="14"/>
      <x/>
      <x v="18"/>
    </i>
    <i r="2">
      <x v="30"/>
      <x/>
      <x v="14"/>
      <x/>
      <x v="18"/>
    </i>
    <i r="2">
      <x v="34"/>
      <x/>
      <x v="14"/>
      <x/>
      <x v="18"/>
    </i>
    <i r="2">
      <x v="35"/>
      <x/>
      <x v="11"/>
      <x v="2"/>
      <x v="18"/>
    </i>
    <i r="2">
      <x v="88"/>
      <x v="7"/>
      <x v="17"/>
      <x/>
      <x v="23"/>
    </i>
    <i>
      <x v="1"/>
    </i>
    <i r="1">
      <x v="1"/>
      <x v="20"/>
      <x v="4"/>
      <x v="14"/>
      <x v="3"/>
      <x v="10"/>
    </i>
    <i r="2">
      <x v="57"/>
      <x/>
      <x v="14"/>
      <x v="3"/>
      <x v="10"/>
    </i>
    <i r="2">
      <x v="92"/>
      <x v="2"/>
      <x v="11"/>
      <x v="3"/>
      <x v="17"/>
    </i>
    <i>
      <x v="2"/>
    </i>
    <i r="1">
      <x v="1"/>
      <x v="14"/>
      <x v="4"/>
      <x v="16"/>
      <x v="2"/>
      <x v="23"/>
    </i>
    <i r="2">
      <x v="15"/>
      <x v="4"/>
      <x v="16"/>
      <x v="2"/>
      <x v="23"/>
    </i>
    <i r="2">
      <x v="16"/>
      <x v="4"/>
      <x v="16"/>
      <x v="2"/>
      <x v="23"/>
    </i>
    <i r="2">
      <x v="17"/>
      <x v="4"/>
      <x v="16"/>
      <x v="2"/>
      <x v="23"/>
    </i>
    <i r="2">
      <x v="18"/>
      <x v="4"/>
      <x v="16"/>
      <x v="2"/>
      <x v="23"/>
    </i>
    <i r="2">
      <x v="48"/>
      <x v="4"/>
      <x v="18"/>
      <x/>
      <x v="23"/>
    </i>
    <i r="2">
      <x v="96"/>
      <x v="5"/>
    </i>
    <i r="1">
      <x v="18"/>
      <x v="40"/>
      <x v="2"/>
      <x v="11"/>
      <x v="2"/>
      <x v="22"/>
    </i>
    <i>
      <x v="3"/>
    </i>
    <i r="1">
      <x v="1"/>
      <x v="38"/>
      <x/>
      <x v="1"/>
      <x v="2"/>
      <x v="23"/>
    </i>
    <i r="2">
      <x v="86"/>
      <x/>
      <x v="1"/>
      <x v="2"/>
      <x v="23"/>
    </i>
    <i r="2">
      <x v="87"/>
      <x v="4"/>
      <x v="14"/>
      <x/>
      <x v="10"/>
    </i>
    <i r="1">
      <x v="2"/>
      <x v="74"/>
      <x/>
      <x v="5"/>
      <x v="2"/>
      <x v="31"/>
    </i>
    <i>
      <x v="4"/>
    </i>
    <i r="1">
      <x v="1"/>
      <x v="104"/>
      <x v="2"/>
      <x v="11"/>
      <x v="2"/>
      <x v="23"/>
    </i>
    <i r="6">
      <x v="48"/>
    </i>
    <i>
      <x v="5"/>
    </i>
    <i r="1">
      <x v="1"/>
      <x v="24"/>
      <x v="4"/>
      <x v="14"/>
      <x/>
      <x v="10"/>
    </i>
    <i r="2">
      <x v="75"/>
      <x v="4"/>
      <x v="12"/>
      <x v="2"/>
      <x v="10"/>
    </i>
    <i r="2">
      <x v="76"/>
      <x v="4"/>
      <x v="15"/>
      <x/>
      <x v="10"/>
    </i>
    <i>
      <x v="6"/>
    </i>
    <i r="1">
      <x v="1"/>
      <x v="79"/>
      <x/>
      <x v="6"/>
      <x v="2"/>
      <x v="10"/>
    </i>
    <i r="2">
      <x v="80"/>
      <x/>
      <x v="14"/>
      <x/>
      <x v="10"/>
    </i>
    <i r="2">
      <x v="81"/>
      <x v="4"/>
      <x v="15"/>
      <x/>
      <x v="13"/>
    </i>
    <i r="2">
      <x v="82"/>
      <x v="8"/>
      <x v="9"/>
      <x/>
      <x v="12"/>
    </i>
    <i r="2">
      <x v="83"/>
      <x v="4"/>
      <x v="18"/>
      <x v="2"/>
      <x v="31"/>
    </i>
    <i r="2">
      <x v="84"/>
      <x v="2"/>
      <x v="18"/>
      <x v="2"/>
      <x v="31"/>
    </i>
    <i r="2">
      <x v="85"/>
      <x v="2"/>
      <x v="16"/>
      <x v="2"/>
      <x v="31"/>
    </i>
    <i r="2">
      <x v="98"/>
      <x v="4"/>
      <x v="15"/>
      <x v="2"/>
      <x v="10"/>
    </i>
    <i>
      <x v="7"/>
    </i>
    <i r="1">
      <x v="1"/>
      <x v="13"/>
      <x v="4"/>
      <x v="11"/>
      <x v="2"/>
      <x v="31"/>
    </i>
    <i r="2">
      <x v="31"/>
      <x v="4"/>
      <x v="11"/>
      <x v="2"/>
      <x v="31"/>
    </i>
    <i r="2">
      <x v="45"/>
      <x v="2"/>
      <x v="17"/>
      <x v="4"/>
      <x v="16"/>
    </i>
    <i>
      <x v="8"/>
    </i>
    <i r="1">
      <x v="1"/>
      <x v="26"/>
      <x/>
      <x v="11"/>
      <x v="2"/>
      <x v="28"/>
    </i>
    <i r="2">
      <x v="70"/>
      <x v="2"/>
      <x v="7"/>
      <x v="2"/>
      <x v="14"/>
    </i>
    <i>
      <x v="9"/>
    </i>
    <i r="1">
      <x v="1"/>
      <x v="47"/>
      <x v="4"/>
      <x v="11"/>
      <x v="2"/>
      <x v="21"/>
    </i>
    <i r="2">
      <x v="65"/>
      <x v="4"/>
      <x v="11"/>
      <x v="2"/>
      <x v="5"/>
    </i>
    <i>
      <x v="10"/>
    </i>
    <i r="1">
      <x v="1"/>
      <x v="24"/>
      <x v="4"/>
      <x v="14"/>
      <x/>
      <x v="10"/>
    </i>
    <i r="2">
      <x v="75"/>
      <x v="4"/>
      <x v="12"/>
      <x v="2"/>
      <x v="10"/>
    </i>
    <i r="2">
      <x v="76"/>
      <x v="2"/>
      <x v="15"/>
      <x/>
      <x v="10"/>
    </i>
    <i>
      <x v="11"/>
    </i>
    <i r="1">
      <x v="1"/>
      <x v="97"/>
      <x v="2"/>
      <x v="21"/>
      <x v="2"/>
      <x v="23"/>
    </i>
    <i t="grand">
      <x/>
    </i>
  </rowItems>
  <colItems count="1">
    <i/>
  </colItems>
  <pageFields count="1">
    <pageField fld="2" item="1" hier="-1"/>
  </pageFields>
  <formats count="15">
    <format dxfId="115">
      <pivotArea dataOnly="0" labelOnly="1" fieldPosition="0">
        <references count="2">
          <reference field="0" count="1" selected="0">
            <x v="1"/>
          </reference>
          <reference field="3" count="1">
            <x v="13"/>
          </reference>
        </references>
      </pivotArea>
    </format>
    <format dxfId="114">
      <pivotArea dataOnly="0" labelOnly="1" fieldPosition="0">
        <references count="3">
          <reference field="0" count="1" selected="0">
            <x v="1"/>
          </reference>
          <reference field="3" count="1" selected="0">
            <x v="13"/>
          </reference>
          <reference field="4" count="1">
            <x v="68"/>
          </reference>
        </references>
      </pivotArea>
    </format>
    <format dxfId="113">
      <pivotArea dataOnly="0" labelOnly="1" fieldPosition="0">
        <references count="4">
          <reference field="0" count="1" selected="0">
            <x v="1"/>
          </reference>
          <reference field="3" count="1" selected="0">
            <x v="13"/>
          </reference>
          <reference field="4" count="1" selected="0">
            <x v="68"/>
          </reference>
          <reference field="5" count="1">
            <x v="2"/>
          </reference>
        </references>
      </pivotArea>
    </format>
    <format dxfId="112">
      <pivotArea dataOnly="0" labelOnly="1" fieldPosition="0">
        <references count="5">
          <reference field="0" count="1" selected="0">
            <x v="1"/>
          </reference>
          <reference field="3" count="1" selected="0">
            <x v="13"/>
          </reference>
          <reference field="4" count="1" selected="0">
            <x v="68"/>
          </reference>
          <reference field="5" count="1" selected="0">
            <x v="2"/>
          </reference>
          <reference field="6" count="1">
            <x v="10"/>
          </reference>
        </references>
      </pivotArea>
    </format>
    <format dxfId="111">
      <pivotArea dataOnly="0" labelOnly="1" fieldPosition="0">
        <references count="6">
          <reference field="0" count="1" selected="0">
            <x v="1"/>
          </reference>
          <reference field="3" count="1" selected="0">
            <x v="13"/>
          </reference>
          <reference field="4" count="1" selected="0">
            <x v="68"/>
          </reference>
          <reference field="5" count="1" selected="0">
            <x v="2"/>
          </reference>
          <reference field="6" count="1" selected="0">
            <x v="10"/>
          </reference>
          <reference field="8" count="1">
            <x v="1"/>
          </reference>
        </references>
      </pivotArea>
    </format>
    <format dxfId="110">
      <pivotArea dataOnly="0" labelOnly="1" fieldPosition="0">
        <references count="2">
          <reference field="0" count="1" selected="0">
            <x v="0"/>
          </reference>
          <reference field="3" count="2">
            <x v="11"/>
            <x v="12"/>
          </reference>
        </references>
      </pivotArea>
    </format>
    <format dxfId="109">
      <pivotArea dataOnly="0" labelOnly="1" fieldPosition="0">
        <references count="3">
          <reference field="0" count="1" selected="0">
            <x v="0"/>
          </reference>
          <reference field="3" count="1" selected="0">
            <x v="11"/>
          </reference>
          <reference field="4" count="1">
            <x v="11"/>
          </reference>
        </references>
      </pivotArea>
    </format>
    <format dxfId="108">
      <pivotArea dataOnly="0" labelOnly="1" fieldPosition="0">
        <references count="3">
          <reference field="0" count="1" selected="0">
            <x v="0"/>
          </reference>
          <reference field="3" count="1" selected="0">
            <x v="12"/>
          </reference>
          <reference field="4" count="1">
            <x v="62"/>
          </reference>
        </references>
      </pivotArea>
    </format>
    <format dxfId="107">
      <pivotArea dataOnly="0" labelOnly="1" fieldPosition="0">
        <references count="4">
          <reference field="0" count="1" selected="0">
            <x v="0"/>
          </reference>
          <reference field="3" count="1" selected="0">
            <x v="11"/>
          </reference>
          <reference field="4" count="1" selected="0">
            <x v="11"/>
          </reference>
          <reference field="5" count="1">
            <x v="4"/>
          </reference>
        </references>
      </pivotArea>
    </format>
    <format dxfId="106">
      <pivotArea dataOnly="0" labelOnly="1" fieldPosition="0">
        <references count="5">
          <reference field="0" count="1" selected="0">
            <x v="0"/>
          </reference>
          <reference field="3" count="1" selected="0">
            <x v="11"/>
          </reference>
          <reference field="4" count="1" selected="0">
            <x v="11"/>
          </reference>
          <reference field="5" count="1" selected="0">
            <x v="4"/>
          </reference>
          <reference field="6" count="1">
            <x v="9"/>
          </reference>
        </references>
      </pivotArea>
    </format>
    <format dxfId="105">
      <pivotArea dataOnly="0" labelOnly="1" fieldPosition="0">
        <references count="5">
          <reference field="0" count="1" selected="0">
            <x v="0"/>
          </reference>
          <reference field="3" count="1" selected="0">
            <x v="12"/>
          </reference>
          <reference field="4" count="1" selected="0">
            <x v="62"/>
          </reference>
          <reference field="5" count="1" selected="0">
            <x v="4"/>
          </reference>
          <reference field="6" count="1">
            <x v="10"/>
          </reference>
        </references>
      </pivotArea>
    </format>
    <format dxfId="104">
      <pivotArea dataOnly="0" labelOnly="1" fieldPosition="0">
        <references count="6">
          <reference field="0" count="1" selected="0">
            <x v="0"/>
          </reference>
          <reference field="3" count="1" selected="0">
            <x v="11"/>
          </reference>
          <reference field="4" count="1" selected="0">
            <x v="11"/>
          </reference>
          <reference field="5" count="1" selected="0">
            <x v="4"/>
          </reference>
          <reference field="6" count="1" selected="0">
            <x v="9"/>
          </reference>
          <reference field="8" count="1">
            <x v="24"/>
          </reference>
        </references>
      </pivotArea>
    </format>
    <format dxfId="103">
      <pivotArea dataOnly="0" labelOnly="1" fieldPosition="0">
        <references count="6">
          <reference field="0" count="1" selected="0">
            <x v="0"/>
          </reference>
          <reference field="3" count="1" selected="0">
            <x v="12"/>
          </reference>
          <reference field="4" count="1" selected="0">
            <x v="62"/>
          </reference>
          <reference field="5" count="1" selected="0">
            <x v="4"/>
          </reference>
          <reference field="6" count="1" selected="0">
            <x v="10"/>
          </reference>
          <reference field="8" count="1">
            <x v="18"/>
          </reference>
        </references>
      </pivotArea>
    </format>
    <format dxfId="102">
      <pivotArea dataOnly="0" labelOnly="1" fieldPosition="0">
        <references count="6">
          <reference field="0" count="1" selected="0">
            <x v="0"/>
          </reference>
          <reference field="3" count="1" selected="0">
            <x v="13"/>
          </reference>
          <reference field="4" count="1" selected="0">
            <x v="67"/>
          </reference>
          <reference field="5" count="1" selected="0">
            <x v="5"/>
          </reference>
          <reference field="6" count="1" selected="0">
            <x v="11"/>
          </reference>
          <reference field="8" count="1">
            <x v="31"/>
          </reference>
        </references>
      </pivotArea>
    </format>
    <format dxfId="101">
      <pivotArea dataOnly="0" labelOnly="1" fieldPosition="0">
        <references count="6">
          <reference field="0" count="1" selected="0">
            <x v="0"/>
          </reference>
          <reference field="3" count="1" selected="0">
            <x v="14"/>
          </reference>
          <reference field="4" count="1" selected="0">
            <x v="74"/>
          </reference>
          <reference field="5" count="1" selected="0">
            <x v="5"/>
          </reference>
          <reference field="6" count="1" selected="0">
            <x v="11"/>
          </reference>
          <reference field="8" count="1">
            <x v="3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75D456-C63D-4792-880E-7D7DD5101F1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1" firstHeaderRow="1" firstDataRow="1" firstDataCol="1"/>
  <pivotFields count="37">
    <pivotField axis="axisRow" showAll="0">
      <items count="13">
        <item x="0"/>
        <item x="1"/>
        <item x="2"/>
        <item x="4"/>
        <item x="5"/>
        <item x="7"/>
        <item x="8"/>
        <item x="9"/>
        <item x="3"/>
        <item x="6"/>
        <item x="10"/>
        <item x="11"/>
        <item t="default"/>
      </items>
    </pivotField>
    <pivotField showAll="0"/>
    <pivotField axis="axisRow" showAll="0">
      <items count="42">
        <item x="16"/>
        <item x="3"/>
        <item x="2"/>
        <item x="6"/>
        <item x="23"/>
        <item x="10"/>
        <item x="9"/>
        <item x="8"/>
        <item x="36"/>
        <item x="34"/>
        <item x="31"/>
        <item x="33"/>
        <item x="32"/>
        <item x="35"/>
        <item x="21"/>
        <item x="20"/>
        <item x="13"/>
        <item x="12"/>
        <item x="11"/>
        <item x="29"/>
        <item x="30"/>
        <item x="24"/>
        <item x="22"/>
        <item x="4"/>
        <item x="5"/>
        <item x="37"/>
        <item x="0"/>
        <item x="1"/>
        <item x="28"/>
        <item x="14"/>
        <item x="15"/>
        <item x="7"/>
        <item x="25"/>
        <item x="27"/>
        <item x="18"/>
        <item x="19"/>
        <item x="26"/>
        <item x="38"/>
        <item x="39"/>
        <item x="17"/>
        <item x="40"/>
        <item t="default"/>
      </items>
    </pivotField>
    <pivotField showAll="0"/>
    <pivotField showAll="0"/>
    <pivotField showAll="0"/>
    <pivotField showAll="0"/>
    <pivotField showAll="0"/>
    <pivotField axis="axisRow" showAll="0">
      <items count="8">
        <item x="5"/>
        <item x="4"/>
        <item x="3"/>
        <item x="1"/>
        <item x="0"/>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8"/>
    <field x="0"/>
    <field x="2"/>
  </rowFields>
  <rowItems count="68">
    <i>
      <x/>
    </i>
    <i r="1">
      <x v="9"/>
    </i>
    <i r="2">
      <x v="9"/>
    </i>
    <i r="2">
      <x v="11"/>
    </i>
    <i>
      <x v="1"/>
    </i>
    <i r="1">
      <x v="3"/>
    </i>
    <i r="2">
      <x v="5"/>
    </i>
    <i r="2">
      <x v="6"/>
    </i>
    <i r="2">
      <x v="7"/>
    </i>
    <i r="2">
      <x v="17"/>
    </i>
    <i r="2">
      <x v="18"/>
    </i>
    <i r="1">
      <x v="6"/>
    </i>
    <i r="2">
      <x v="4"/>
    </i>
    <i r="2">
      <x v="21"/>
    </i>
    <i r="2">
      <x v="32"/>
    </i>
    <i r="2">
      <x v="33"/>
    </i>
    <i r="2">
      <x v="36"/>
    </i>
    <i>
      <x v="2"/>
    </i>
    <i r="1">
      <x v="8"/>
    </i>
    <i r="2">
      <x v="3"/>
    </i>
    <i r="2">
      <x v="31"/>
    </i>
    <i r="1">
      <x v="9"/>
    </i>
    <i r="2">
      <x/>
    </i>
    <i>
      <x v="3"/>
    </i>
    <i r="1">
      <x v="1"/>
    </i>
    <i r="2">
      <x v="1"/>
    </i>
    <i r="2">
      <x v="2"/>
    </i>
    <i>
      <x v="4"/>
    </i>
    <i r="1">
      <x/>
    </i>
    <i r="2">
      <x v="26"/>
    </i>
    <i r="2">
      <x v="27"/>
    </i>
    <i r="1">
      <x v="4"/>
    </i>
    <i r="2">
      <x v="16"/>
    </i>
    <i r="2">
      <x v="29"/>
    </i>
    <i r="2">
      <x v="30"/>
    </i>
    <i r="2">
      <x v="35"/>
    </i>
    <i r="2">
      <x v="39"/>
    </i>
    <i r="1">
      <x v="5"/>
    </i>
    <i r="2">
      <x v="14"/>
    </i>
    <i r="2">
      <x v="15"/>
    </i>
    <i r="1">
      <x v="6"/>
    </i>
    <i r="2">
      <x v="22"/>
    </i>
    <i r="1">
      <x v="7"/>
    </i>
    <i r="2">
      <x v="28"/>
    </i>
    <i r="1">
      <x v="9"/>
    </i>
    <i r="2">
      <x v="12"/>
    </i>
    <i r="2">
      <x v="13"/>
    </i>
    <i r="2">
      <x v="25"/>
    </i>
    <i r="1">
      <x v="10"/>
    </i>
    <i r="2">
      <x v="37"/>
    </i>
    <i r="2">
      <x v="38"/>
    </i>
    <i>
      <x v="5"/>
    </i>
    <i r="1">
      <x v="2"/>
    </i>
    <i r="2">
      <x v="23"/>
    </i>
    <i r="2">
      <x v="24"/>
    </i>
    <i r="1">
      <x v="4"/>
    </i>
    <i r="2">
      <x v="34"/>
    </i>
    <i r="1">
      <x v="8"/>
    </i>
    <i r="2">
      <x v="19"/>
    </i>
    <i r="2">
      <x v="20"/>
    </i>
    <i r="1">
      <x v="9"/>
    </i>
    <i r="2">
      <x v="10"/>
    </i>
    <i>
      <x v="6"/>
    </i>
    <i r="1">
      <x v="9"/>
    </i>
    <i r="2">
      <x v="8"/>
    </i>
    <i r="1">
      <x v="11"/>
    </i>
    <i r="2">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04F7D4-AA6E-4021-96AB-088871BF8EB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wner/Interface">
  <location ref="A3:E52" firstHeaderRow="1" firstDataRow="1" firstDataCol="5" rowPageCount="1" colPageCount="1"/>
  <pivotFields count="12">
    <pivotField axis="axisRow" outline="0" showAll="0" defaultSubtotal="0">
      <items count="14">
        <item x="0"/>
        <item x="1"/>
        <item x="2"/>
        <item x="4"/>
        <item x="5"/>
        <item x="6"/>
        <item x="7"/>
        <item x="10"/>
        <item x="11"/>
        <item x="12"/>
        <item x="13"/>
        <item x="3"/>
        <item x="8"/>
        <item x="9"/>
      </items>
    </pivotField>
    <pivotField axis="axisPage" showAll="0">
      <items count="6">
        <item x="1"/>
        <item x="2"/>
        <item x="0"/>
        <item x="3"/>
        <item x="4"/>
        <item t="default"/>
      </items>
    </pivotField>
    <pivotField showAll="0"/>
    <pivotField showAll="0"/>
    <pivotField axis="axisRow" outline="0" showAll="0" defaultSubtotal="0">
      <items count="105">
        <item m="1" x="94"/>
        <item m="1" x="98"/>
        <item x="80"/>
        <item x="84"/>
        <item x="81"/>
        <item x="82"/>
        <item x="83"/>
        <item x="34"/>
        <item x="0"/>
        <item x="35"/>
        <item x="21"/>
        <item x="1"/>
        <item x="32"/>
        <item x="75"/>
        <item x="25"/>
        <item x="26"/>
        <item x="27"/>
        <item x="28"/>
        <item x="29"/>
        <item n="CenPOS credit card integration - schedule CONSID meeting" m="1" x="100"/>
        <item x="17"/>
        <item x="20"/>
        <item m="1" x="101"/>
        <item m="1" x="90"/>
        <item x="56"/>
        <item m="1" x="93"/>
        <item x="76"/>
        <item m="1" x="102"/>
        <item x="71"/>
        <item x="8"/>
        <item x="6"/>
        <item x="74"/>
        <item x="39"/>
        <item m="1" x="103"/>
        <item x="7"/>
        <item x="5"/>
        <item m="1" x="95"/>
        <item m="1" x="92"/>
        <item x="38"/>
        <item x="42"/>
        <item x="30"/>
        <item m="1" x="104"/>
        <item x="78"/>
        <item x="79"/>
        <item x="44"/>
        <item x="73"/>
        <item x="22"/>
        <item x="86"/>
        <item x="23"/>
        <item x="72"/>
        <item m="1" x="97"/>
        <item m="1" x="99"/>
        <item x="43"/>
        <item x="40"/>
        <item x="46"/>
        <item x="69"/>
        <item x="70"/>
        <item x="16"/>
        <item x="52"/>
        <item x="50"/>
        <item x="41"/>
        <item x="2"/>
        <item x="14"/>
        <item x="13"/>
        <item x="85"/>
        <item m="1" x="96"/>
        <item x="3"/>
        <item x="15"/>
        <item x="53"/>
        <item x="77"/>
        <item x="45"/>
        <item x="33"/>
        <item m="1" x="91"/>
        <item x="4"/>
        <item x="48"/>
        <item x="55"/>
        <item x="57"/>
        <item x="59"/>
        <item x="60"/>
        <item x="61"/>
        <item x="62"/>
        <item x="63"/>
        <item x="64"/>
        <item x="65"/>
        <item x="66"/>
        <item x="67"/>
        <item x="36"/>
        <item x="37"/>
        <item x="10"/>
        <item x="54"/>
        <item x="12"/>
        <item x="58"/>
        <item x="18"/>
        <item x="11"/>
        <item x="19"/>
        <item x="89"/>
        <item x="24"/>
        <item x="31"/>
        <item x="68"/>
        <item x="87"/>
        <item x="88"/>
        <item x="9"/>
        <item x="47"/>
        <item x="49"/>
        <item x="51"/>
      </items>
    </pivotField>
    <pivotField axis="axisRow" outline="0" showAll="0" defaultSubtotal="0">
      <items count="14">
        <item x="0"/>
        <item x="2"/>
        <item x="5"/>
        <item x="1"/>
        <item x="7"/>
        <item m="1" x="12"/>
        <item x="3"/>
        <item x="6"/>
        <item x="9"/>
        <item m="1" x="13"/>
        <item x="8"/>
        <item x="4"/>
        <item x="10"/>
        <item x="11"/>
      </items>
    </pivotField>
    <pivotField axis="axisRow" outline="0" showAll="0" defaultSubtotal="0">
      <items count="30">
        <item x="17"/>
        <item x="14"/>
        <item x="24"/>
        <item x="23"/>
        <item x="25"/>
        <item x="15"/>
        <item x="0"/>
        <item x="21"/>
        <item m="1" x="29"/>
        <item x="2"/>
        <item x="1"/>
        <item x="4"/>
        <item x="13"/>
        <item m="1" x="28"/>
        <item x="5"/>
        <item x="9"/>
        <item x="10"/>
        <item x="7"/>
        <item x="3"/>
        <item m="1" x="27"/>
        <item x="8"/>
        <item x="11"/>
        <item x="12"/>
        <item x="18"/>
        <item x="19"/>
        <item x="20"/>
        <item x="22"/>
        <item x="26"/>
        <item x="6"/>
        <item x="16"/>
      </items>
    </pivotField>
    <pivotField showAll="0"/>
    <pivotField axis="axisRow" showAll="0">
      <items count="50">
        <item x="25"/>
        <item x="6"/>
        <item x="9"/>
        <item x="0"/>
        <item x="30"/>
        <item x="37"/>
        <item x="19"/>
        <item m="1" x="44"/>
        <item x="20"/>
        <item m="1" x="48"/>
        <item x="5"/>
        <item x="23"/>
        <item x="33"/>
        <item x="32"/>
        <item x="35"/>
        <item x="13"/>
        <item x="15"/>
        <item x="7"/>
        <item x="2"/>
        <item x="26"/>
        <item x="27"/>
        <item x="38"/>
        <item x="14"/>
        <item x="4"/>
        <item x="1"/>
        <item x="18"/>
        <item x="11"/>
        <item x="17"/>
        <item x="22"/>
        <item x="36"/>
        <item x="34"/>
        <item x="3"/>
        <item x="31"/>
        <item x="29"/>
        <item x="12"/>
        <item x="21"/>
        <item m="1" x="45"/>
        <item x="40"/>
        <item m="1" x="41"/>
        <item m="1" x="42"/>
        <item m="1" x="47"/>
        <item m="1" x="46"/>
        <item x="10"/>
        <item m="1" x="43"/>
        <item x="28"/>
        <item x="16"/>
        <item x="8"/>
        <item x="39"/>
        <item x="24"/>
        <item t="default"/>
      </items>
    </pivotField>
    <pivotField axis="axisRow" showAll="0">
      <items count="25">
        <item x="16"/>
        <item x="3"/>
        <item x="7"/>
        <item x="17"/>
        <item x="14"/>
        <item x="19"/>
        <item m="1" x="22"/>
        <item x="18"/>
        <item m="1" x="23"/>
        <item x="8"/>
        <item x="0"/>
        <item x="6"/>
        <item x="10"/>
        <item x="13"/>
        <item m="1" x="21"/>
        <item m="1" x="20"/>
        <item x="9"/>
        <item x="1"/>
        <item x="12"/>
        <item x="4"/>
        <item x="5"/>
        <item x="2"/>
        <item x="11"/>
        <item x="15"/>
        <item t="default"/>
      </items>
    </pivotField>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numFmtId="166" outline="0" showAll="0" defaultSubtotal="0">
      <items count="14">
        <item sd="0" x="0"/>
        <item sd="0" x="1"/>
        <item sd="0" x="2"/>
        <item sd="0" x="3"/>
        <item sd="0" x="4"/>
        <item sd="0" x="5"/>
        <item sd="0" x="6"/>
        <item sd="0" x="7"/>
        <item sd="0" x="8"/>
        <item sd="0" x="9"/>
        <item sd="0" x="10"/>
        <item sd="0" x="11"/>
        <item sd="0" x="12"/>
        <item sd="0" x="13"/>
      </items>
    </pivotField>
  </pivotFields>
  <rowFields count="6">
    <field x="8"/>
    <field x="0"/>
    <field x="4"/>
    <field x="6"/>
    <field x="5"/>
    <field x="9"/>
  </rowFields>
  <rowItems count="49">
    <i>
      <x v="1"/>
    </i>
    <i r="1">
      <x v="1"/>
      <x v="67"/>
      <x v="9"/>
      <x v="7"/>
      <x v="1"/>
    </i>
    <i>
      <x v="3"/>
    </i>
    <i r="1">
      <x v="2"/>
      <x v="62"/>
      <x v="15"/>
      <x v="8"/>
      <x v="11"/>
    </i>
    <i>
      <x v="4"/>
    </i>
    <i r="1">
      <x v="6"/>
      <x v="8"/>
      <x v="10"/>
      <x/>
      <x v="10"/>
    </i>
    <i r="1">
      <x v="9"/>
      <x v="62"/>
      <x v="17"/>
      <x v="1"/>
      <x v="3"/>
    </i>
    <i>
      <x v="10"/>
    </i>
    <i r="1">
      <x v="3"/>
      <x v="87"/>
      <x v="14"/>
      <x v="1"/>
      <x v="12"/>
    </i>
    <i r="1">
      <x v="5"/>
      <x v="24"/>
      <x v="14"/>
      <x v="1"/>
      <x v="10"/>
    </i>
    <i r="2">
      <x v="76"/>
      <x v="15"/>
      <x v="1"/>
      <x v="10"/>
    </i>
    <i r="2">
      <x v="89"/>
      <x v="14"/>
      <x/>
      <x v="10"/>
    </i>
    <i r="1">
      <x v="6"/>
      <x v="80"/>
      <x v="14"/>
      <x/>
      <x v="10"/>
    </i>
    <i r="1">
      <x v="10"/>
      <x v="24"/>
      <x v="14"/>
      <x v="1"/>
      <x v="5"/>
    </i>
    <i r="2">
      <x v="76"/>
      <x v="15"/>
      <x v="3"/>
      <x v="10"/>
    </i>
    <i>
      <x v="12"/>
    </i>
    <i r="1">
      <x v="6"/>
      <x v="82"/>
      <x v="10"/>
      <x v="7"/>
      <x v="13"/>
    </i>
    <i>
      <x v="13"/>
    </i>
    <i r="1">
      <x v="6"/>
      <x v="81"/>
      <x v="15"/>
      <x v="1"/>
      <x v="10"/>
    </i>
    <i>
      <x v="16"/>
    </i>
    <i r="1">
      <x v="3"/>
      <x v="7"/>
      <x v="12"/>
      <x v="7"/>
      <x v="16"/>
    </i>
    <i r="1">
      <x v="7"/>
      <x v="7"/>
      <x v="14"/>
      <x v="1"/>
      <x v="10"/>
    </i>
    <i>
      <x v="18"/>
    </i>
    <i r="1">
      <x/>
      <x v="29"/>
      <x v="14"/>
      <x/>
      <x v="21"/>
    </i>
    <i r="2">
      <x v="30"/>
      <x v="14"/>
      <x/>
      <x v="21"/>
    </i>
    <i r="2">
      <x v="34"/>
      <x v="14"/>
      <x/>
      <x v="21"/>
    </i>
    <i>
      <x v="23"/>
    </i>
    <i r="1">
      <x/>
      <x v="88"/>
      <x v="17"/>
      <x v="6"/>
      <x v="10"/>
    </i>
    <i r="1">
      <x v="2"/>
      <x v="48"/>
      <x v="18"/>
      <x v="1"/>
      <x v="10"/>
    </i>
    <i>
      <x v="24"/>
    </i>
    <i r="1">
      <x/>
      <x v="11"/>
      <x v="10"/>
      <x/>
      <x v="17"/>
    </i>
    <i r="1">
      <x v="3"/>
      <x v="9"/>
      <x v="14"/>
      <x v="8"/>
      <x v="10"/>
    </i>
    <i r="1">
      <x v="7"/>
      <x v="9"/>
      <x v="15"/>
      <x v="8"/>
      <x v="10"/>
    </i>
    <i>
      <x v="26"/>
    </i>
    <i r="1">
      <x v="2"/>
      <x v="10"/>
      <x v="15"/>
      <x v="8"/>
      <x v="10"/>
    </i>
    <i>
      <x v="28"/>
    </i>
    <i r="1">
      <x v="4"/>
      <x v="102"/>
      <x v="17"/>
      <x v="1"/>
      <x v="10"/>
    </i>
    <i>
      <x v="30"/>
    </i>
    <i r="1">
      <x v="8"/>
      <x v="66"/>
      <x v="14"/>
      <x v="1"/>
      <x v="10"/>
    </i>
    <i>
      <x v="32"/>
    </i>
    <i r="1">
      <x v="6"/>
      <x v="9"/>
      <x v="12"/>
      <x/>
      <x v="18"/>
    </i>
    <i>
      <x v="35"/>
    </i>
    <i r="1">
      <x v="4"/>
      <x v="9"/>
      <x v="29"/>
      <x v="8"/>
      <x v="22"/>
    </i>
    <i>
      <x v="42"/>
    </i>
    <i r="1">
      <x v="2"/>
      <x v="8"/>
      <x v="9"/>
      <x v="7"/>
      <x v="20"/>
    </i>
    <i r="1">
      <x v="4"/>
      <x v="8"/>
      <x v="29"/>
      <x v="7"/>
      <x v="10"/>
    </i>
    <i>
      <x v="48"/>
    </i>
    <i r="1">
      <x v="4"/>
      <x v="103"/>
      <x v="29"/>
      <x v="3"/>
      <x v="10"/>
    </i>
    <i t="grand">
      <x/>
    </i>
  </rowItems>
  <colItems count="1">
    <i/>
  </colItems>
  <pageFields count="1">
    <pageField fld="1" item="0" hier="-1"/>
  </pageFields>
  <formats count="74">
    <format dxfId="100">
      <pivotArea dataOnly="0" labelOnly="1" fieldPosition="0">
        <references count="1">
          <reference field="0" count="0"/>
        </references>
      </pivotArea>
    </format>
    <format dxfId="99">
      <pivotArea dataOnly="0" labelOnly="1" fieldPosition="0">
        <references count="4">
          <reference field="0" count="1" selected="0">
            <x v="9"/>
          </reference>
          <reference field="4" count="1" selected="0">
            <x v="6"/>
          </reference>
          <reference field="6" count="1">
            <x v="10"/>
          </reference>
          <reference field="8" count="1" selected="0">
            <x v="29"/>
          </reference>
        </references>
      </pivotArea>
    </format>
    <format dxfId="98">
      <pivotArea dataOnly="0" labelOnly="1" fieldPosition="0">
        <references count="2">
          <reference field="0" count="1">
            <x v="8"/>
          </reference>
          <reference field="8" count="1" selected="0">
            <x v="30"/>
          </reference>
        </references>
      </pivotArea>
    </format>
    <format dxfId="97">
      <pivotArea dataOnly="0" labelOnly="1" fieldPosition="0">
        <references count="3">
          <reference field="0" count="1" selected="0">
            <x v="8"/>
          </reference>
          <reference field="4" count="1">
            <x v="66"/>
          </reference>
          <reference field="8" count="1" selected="0">
            <x v="30"/>
          </reference>
        </references>
      </pivotArea>
    </format>
    <format dxfId="96">
      <pivotArea dataOnly="0" labelOnly="1" fieldPosition="0">
        <references count="4">
          <reference field="0" count="1" selected="0">
            <x v="8"/>
          </reference>
          <reference field="4" count="1" selected="0">
            <x v="66"/>
          </reference>
          <reference field="6" count="1">
            <x v="9"/>
          </reference>
          <reference field="8" count="1" selected="0">
            <x v="30"/>
          </reference>
        </references>
      </pivotArea>
    </format>
    <format dxfId="95">
      <pivotArea dataOnly="0" labelOnly="1" fieldPosition="0">
        <references count="2">
          <reference field="0" count="3">
            <x v="2"/>
            <x v="3"/>
            <x v="7"/>
          </reference>
          <reference field="8" count="1" selected="0">
            <x v="16"/>
          </reference>
        </references>
      </pivotArea>
    </format>
    <format dxfId="94">
      <pivotArea dataOnly="0" labelOnly="1" fieldPosition="0">
        <references count="3">
          <reference field="0" count="1" selected="0">
            <x v="2"/>
          </reference>
          <reference field="4" count="1">
            <x v="8"/>
          </reference>
          <reference field="8" count="1" selected="0">
            <x v="16"/>
          </reference>
        </references>
      </pivotArea>
    </format>
    <format dxfId="93">
      <pivotArea dataOnly="0" labelOnly="1" fieldPosition="0">
        <references count="3">
          <reference field="0" count="1" selected="0">
            <x v="7"/>
          </reference>
          <reference field="4" count="1">
            <x v="8"/>
          </reference>
          <reference field="8" count="1" selected="0">
            <x v="16"/>
          </reference>
        </references>
      </pivotArea>
    </format>
    <format dxfId="92">
      <pivotArea dataOnly="0" labelOnly="1" fieldPosition="0">
        <references count="4">
          <reference field="0" count="1" selected="0">
            <x v="2"/>
          </reference>
          <reference field="4" count="1" selected="0">
            <x v="8"/>
          </reference>
          <reference field="6" count="1">
            <x v="9"/>
          </reference>
          <reference field="8" count="1" selected="0">
            <x v="16"/>
          </reference>
        </references>
      </pivotArea>
    </format>
    <format dxfId="91">
      <pivotArea dataOnly="0" labelOnly="1" fieldPosition="0">
        <references count="4">
          <reference field="0" count="1" selected="0">
            <x v="7"/>
          </reference>
          <reference field="4" count="1" selected="0">
            <x v="8"/>
          </reference>
          <reference field="6" count="1">
            <x v="10"/>
          </reference>
          <reference field="8" count="1" selected="0">
            <x v="16"/>
          </reference>
        </references>
      </pivotArea>
    </format>
    <format dxfId="90">
      <pivotArea dataOnly="0" labelOnly="1" fieldPosition="0">
        <references count="4">
          <reference field="0" count="1" selected="0">
            <x v="3"/>
          </reference>
          <reference field="4" count="1" selected="0">
            <x v="7"/>
          </reference>
          <reference field="6" count="1">
            <x v="10"/>
          </reference>
          <reference field="8" count="1" selected="0">
            <x v="16"/>
          </reference>
        </references>
      </pivotArea>
    </format>
    <format dxfId="89">
      <pivotArea dataOnly="0" labelOnly="1" fieldPosition="0">
        <references count="2">
          <reference field="0" count="1">
            <x v="1"/>
          </reference>
          <reference field="8" count="1" selected="0">
            <x v="1"/>
          </reference>
        </references>
      </pivotArea>
    </format>
    <format dxfId="88">
      <pivotArea dataOnly="0" labelOnly="1" fieldPosition="0">
        <references count="2">
          <reference field="0" count="1">
            <x v="6"/>
          </reference>
          <reference field="8" count="1" selected="0">
            <x v="4"/>
          </reference>
        </references>
      </pivotArea>
    </format>
    <format dxfId="87">
      <pivotArea dataOnly="0" labelOnly="1" fieldPosition="0">
        <references count="2">
          <reference field="0" count="2">
            <x v="5"/>
            <x v="10"/>
          </reference>
          <reference field="8" count="1" selected="0">
            <x v="10"/>
          </reference>
        </references>
      </pivotArea>
    </format>
    <format dxfId="86">
      <pivotArea dataOnly="0" labelOnly="1" fieldPosition="0">
        <references count="2">
          <reference field="0" count="1">
            <x v="4"/>
          </reference>
          <reference field="8" count="1" selected="0">
            <x v="11"/>
          </reference>
        </references>
      </pivotArea>
    </format>
    <format dxfId="85">
      <pivotArea dataOnly="0" labelOnly="1" fieldPosition="0">
        <references count="2">
          <reference field="0" count="1">
            <x v="6"/>
          </reference>
          <reference field="8" count="1" selected="0">
            <x v="12"/>
          </reference>
        </references>
      </pivotArea>
    </format>
    <format dxfId="84">
      <pivotArea dataOnly="0" labelOnly="1" fieldPosition="0">
        <references count="2">
          <reference field="0" count="2">
            <x v="3"/>
            <x v="7"/>
          </reference>
          <reference field="8" count="1" selected="0">
            <x v="16"/>
          </reference>
        </references>
      </pivotArea>
    </format>
    <format dxfId="83">
      <pivotArea dataOnly="0" labelOnly="1" fieldPosition="0">
        <references count="2">
          <reference field="0" count="1">
            <x v="0"/>
          </reference>
          <reference field="8" count="1" selected="0">
            <x v="18"/>
          </reference>
        </references>
      </pivotArea>
    </format>
    <format dxfId="82">
      <pivotArea dataOnly="0" labelOnly="1" fieldPosition="0">
        <references count="2">
          <reference field="0" count="1">
            <x v="4"/>
          </reference>
          <reference field="8" count="1" selected="0">
            <x v="23"/>
          </reference>
        </references>
      </pivotArea>
    </format>
    <format dxfId="81">
      <pivotArea dataOnly="0" labelOnly="1" fieldPosition="0">
        <references count="2">
          <reference field="0" count="2">
            <x v="0"/>
            <x v="7"/>
          </reference>
          <reference field="8" count="1" selected="0">
            <x v="24"/>
          </reference>
        </references>
      </pivotArea>
    </format>
    <format dxfId="80">
      <pivotArea dataOnly="0" labelOnly="1" fieldPosition="0">
        <references count="2">
          <reference field="0" count="1">
            <x v="9"/>
          </reference>
          <reference field="8" count="1" selected="0">
            <x v="29"/>
          </reference>
        </references>
      </pivotArea>
    </format>
    <format dxfId="79">
      <pivotArea dataOnly="0" labelOnly="1" fieldPosition="0">
        <references count="2">
          <reference field="0" count="1">
            <x v="8"/>
          </reference>
          <reference field="8" count="1" selected="0">
            <x v="30"/>
          </reference>
        </references>
      </pivotArea>
    </format>
    <format dxfId="78">
      <pivotArea dataOnly="0" labelOnly="1" fieldPosition="0">
        <references count="2">
          <reference field="0" count="1">
            <x v="6"/>
          </reference>
          <reference field="8" count="1" selected="0">
            <x v="32"/>
          </reference>
        </references>
      </pivotArea>
    </format>
    <format dxfId="77">
      <pivotArea dataOnly="0" labelOnly="1" fieldPosition="0">
        <references count="2">
          <reference field="0" count="1">
            <x v="2"/>
          </reference>
          <reference field="8" count="1" selected="0">
            <x v="40"/>
          </reference>
        </references>
      </pivotArea>
    </format>
    <format dxfId="76">
      <pivotArea dataOnly="0" labelOnly="1" fieldPosition="0">
        <references count="3">
          <reference field="0" count="1" selected="0">
            <x v="1"/>
          </reference>
          <reference field="4" count="1">
            <x v="67"/>
          </reference>
          <reference field="8" count="1" selected="0">
            <x v="1"/>
          </reference>
        </references>
      </pivotArea>
    </format>
    <format dxfId="75">
      <pivotArea dataOnly="0" labelOnly="1" fieldPosition="0">
        <references count="3">
          <reference field="0" count="1" selected="0">
            <x v="6"/>
          </reference>
          <reference field="4" count="1">
            <x v="8"/>
          </reference>
          <reference field="8" count="1" selected="0">
            <x v="4"/>
          </reference>
        </references>
      </pivotArea>
    </format>
    <format dxfId="74">
      <pivotArea dataOnly="0" labelOnly="1" fieldPosition="0">
        <references count="3">
          <reference field="0" count="1" selected="0">
            <x v="5"/>
          </reference>
          <reference field="4" count="2">
            <x v="24"/>
            <x v="76"/>
          </reference>
          <reference field="8" count="1" selected="0">
            <x v="10"/>
          </reference>
        </references>
      </pivotArea>
    </format>
    <format dxfId="73">
      <pivotArea dataOnly="0" labelOnly="1" fieldPosition="0">
        <references count="3">
          <reference field="0" count="1" selected="0">
            <x v="10"/>
          </reference>
          <reference field="4" count="2">
            <x v="24"/>
            <x v="76"/>
          </reference>
          <reference field="8" count="1" selected="0">
            <x v="10"/>
          </reference>
        </references>
      </pivotArea>
    </format>
    <format dxfId="72">
      <pivotArea dataOnly="0" labelOnly="1" fieldPosition="0">
        <references count="3">
          <reference field="0" count="1" selected="0">
            <x v="4"/>
          </reference>
          <reference field="4" count="1">
            <x v="74"/>
          </reference>
          <reference field="8" count="1" selected="0">
            <x v="11"/>
          </reference>
        </references>
      </pivotArea>
    </format>
    <format dxfId="71">
      <pivotArea dataOnly="0" labelOnly="1" fieldPosition="0">
        <references count="3">
          <reference field="0" count="1" selected="0">
            <x v="6"/>
          </reference>
          <reference field="4" count="1">
            <x v="82"/>
          </reference>
          <reference field="8" count="1" selected="0">
            <x v="12"/>
          </reference>
        </references>
      </pivotArea>
    </format>
    <format dxfId="70">
      <pivotArea dataOnly="0" labelOnly="1" fieldPosition="0">
        <references count="3">
          <reference field="0" count="1" selected="0">
            <x v="3"/>
          </reference>
          <reference field="4" count="1">
            <x v="7"/>
          </reference>
          <reference field="8" count="1" selected="0">
            <x v="16"/>
          </reference>
        </references>
      </pivotArea>
    </format>
    <format dxfId="69">
      <pivotArea dataOnly="0" labelOnly="1" fieldPosition="0">
        <references count="3">
          <reference field="0" count="1" selected="0">
            <x v="0"/>
          </reference>
          <reference field="4" count="1">
            <x v="61"/>
          </reference>
          <reference field="8" count="1" selected="0">
            <x v="18"/>
          </reference>
        </references>
      </pivotArea>
    </format>
    <format dxfId="68">
      <pivotArea dataOnly="0" labelOnly="1" fieldPosition="0">
        <references count="3">
          <reference field="0" count="1" selected="0">
            <x v="4"/>
          </reference>
          <reference field="4" count="1">
            <x v="59"/>
          </reference>
          <reference field="8" count="1" selected="0">
            <x v="23"/>
          </reference>
        </references>
      </pivotArea>
    </format>
    <format dxfId="67">
      <pivotArea dataOnly="0" labelOnly="1" fieldPosition="0">
        <references count="3">
          <reference field="0" count="1" selected="0">
            <x v="0"/>
          </reference>
          <reference field="4" count="1">
            <x v="11"/>
          </reference>
          <reference field="8" count="1" selected="0">
            <x v="24"/>
          </reference>
        </references>
      </pivotArea>
    </format>
    <format dxfId="66">
      <pivotArea dataOnly="0" labelOnly="1" fieldPosition="0">
        <references count="3">
          <reference field="0" count="1" selected="0">
            <x v="7"/>
          </reference>
          <reference field="4" count="1">
            <x v="9"/>
          </reference>
          <reference field="8" count="1" selected="0">
            <x v="24"/>
          </reference>
        </references>
      </pivotArea>
    </format>
    <format dxfId="65">
      <pivotArea dataOnly="0" labelOnly="1" fieldPosition="0">
        <references count="3">
          <reference field="0" count="1" selected="0">
            <x v="9"/>
          </reference>
          <reference field="4" count="2">
            <x v="3"/>
            <x v="6"/>
          </reference>
          <reference field="8" count="1" selected="0">
            <x v="29"/>
          </reference>
        </references>
      </pivotArea>
    </format>
    <format dxfId="64">
      <pivotArea dataOnly="0" labelOnly="1" fieldPosition="0">
        <references count="3">
          <reference field="0" count="1" selected="0">
            <x v="8"/>
          </reference>
          <reference field="4" count="1">
            <x v="66"/>
          </reference>
          <reference field="8" count="1" selected="0">
            <x v="30"/>
          </reference>
        </references>
      </pivotArea>
    </format>
    <format dxfId="63">
      <pivotArea dataOnly="0" labelOnly="1" fieldPosition="0">
        <references count="3">
          <reference field="0" count="1" selected="0">
            <x v="6"/>
          </reference>
          <reference field="4" count="1">
            <x v="9"/>
          </reference>
          <reference field="8" count="1" selected="0">
            <x v="32"/>
          </reference>
        </references>
      </pivotArea>
    </format>
    <format dxfId="62">
      <pivotArea dataOnly="0" labelOnly="1" fieldPosition="0">
        <references count="3">
          <reference field="0" count="1" selected="0">
            <x v="2"/>
          </reference>
          <reference field="4" count="1">
            <x v="8"/>
          </reference>
          <reference field="8" count="1" selected="0">
            <x v="40"/>
          </reference>
        </references>
      </pivotArea>
    </format>
    <format dxfId="61">
      <pivotArea dataOnly="0" labelOnly="1" fieldPosition="0">
        <references count="4">
          <reference field="0" count="1" selected="0">
            <x v="1"/>
          </reference>
          <reference field="4" count="1" selected="0">
            <x v="67"/>
          </reference>
          <reference field="6" count="1">
            <x v="9"/>
          </reference>
          <reference field="8" count="1" selected="0">
            <x v="1"/>
          </reference>
        </references>
      </pivotArea>
    </format>
    <format dxfId="60">
      <pivotArea dataOnly="0" labelOnly="1" fieldPosition="0">
        <references count="4">
          <reference field="0" count="1" selected="0">
            <x v="6"/>
          </reference>
          <reference field="4" count="1" selected="0">
            <x v="8"/>
          </reference>
          <reference field="6" count="1">
            <x v="10"/>
          </reference>
          <reference field="8" count="1" selected="0">
            <x v="4"/>
          </reference>
        </references>
      </pivotArea>
    </format>
    <format dxfId="59">
      <pivotArea dataOnly="0" labelOnly="1" fieldPosition="0">
        <references count="4">
          <reference field="0" count="1" selected="0">
            <x v="5"/>
          </reference>
          <reference field="4" count="1" selected="0">
            <x v="24"/>
          </reference>
          <reference field="6" count="1">
            <x v="14"/>
          </reference>
          <reference field="8" count="1" selected="0">
            <x v="10"/>
          </reference>
        </references>
      </pivotArea>
    </format>
    <format dxfId="58">
      <pivotArea dataOnly="0" labelOnly="1" fieldPosition="0">
        <references count="4">
          <reference field="0" count="1" selected="0">
            <x v="4"/>
          </reference>
          <reference field="4" count="1" selected="0">
            <x v="74"/>
          </reference>
          <reference field="6" count="1">
            <x v="10"/>
          </reference>
          <reference field="8" count="1" selected="0">
            <x v="11"/>
          </reference>
        </references>
      </pivotArea>
    </format>
    <format dxfId="57">
      <pivotArea dataOnly="0" labelOnly="1" fieldPosition="0">
        <references count="4">
          <reference field="0" count="1" selected="0">
            <x v="6"/>
          </reference>
          <reference field="4" count="1" selected="0">
            <x v="82"/>
          </reference>
          <reference field="6" count="1">
            <x v="10"/>
          </reference>
          <reference field="8" count="1" selected="0">
            <x v="12"/>
          </reference>
        </references>
      </pivotArea>
    </format>
    <format dxfId="56">
      <pivotArea dataOnly="0" labelOnly="1" fieldPosition="0">
        <references count="4">
          <reference field="0" count="1" selected="0">
            <x v="3"/>
          </reference>
          <reference field="4" count="1" selected="0">
            <x v="7"/>
          </reference>
          <reference field="6" count="1">
            <x v="12"/>
          </reference>
          <reference field="8" count="1" selected="0">
            <x v="16"/>
          </reference>
        </references>
      </pivotArea>
    </format>
    <format dxfId="55">
      <pivotArea dataOnly="0" labelOnly="1" fieldPosition="0">
        <references count="4">
          <reference field="0" count="1" selected="0">
            <x v="7"/>
          </reference>
          <reference field="4" count="1" selected="0">
            <x v="7"/>
          </reference>
          <reference field="6" count="1">
            <x v="14"/>
          </reference>
          <reference field="8" count="1" selected="0">
            <x v="16"/>
          </reference>
        </references>
      </pivotArea>
    </format>
    <format dxfId="54">
      <pivotArea dataOnly="0" labelOnly="1" fieldPosition="0">
        <references count="4">
          <reference field="0" count="1" selected="0">
            <x v="0"/>
          </reference>
          <reference field="4" count="1" selected="0">
            <x v="61"/>
          </reference>
          <reference field="6" count="1">
            <x v="9"/>
          </reference>
          <reference field="8" count="1" selected="0">
            <x v="18"/>
          </reference>
        </references>
      </pivotArea>
    </format>
    <format dxfId="53">
      <pivotArea dataOnly="0" labelOnly="1" fieldPosition="0">
        <references count="4">
          <reference field="0" count="1" selected="0">
            <x v="4"/>
          </reference>
          <reference field="4" count="1" selected="0">
            <x v="59"/>
          </reference>
          <reference field="6" count="1">
            <x v="7"/>
          </reference>
          <reference field="8" count="1" selected="0">
            <x v="23"/>
          </reference>
        </references>
      </pivotArea>
    </format>
    <format dxfId="52">
      <pivotArea dataOnly="0" labelOnly="1" fieldPosition="0">
        <references count="4">
          <reference field="0" count="1" selected="0">
            <x v="0"/>
          </reference>
          <reference field="4" count="1" selected="0">
            <x v="11"/>
          </reference>
          <reference field="6" count="1">
            <x v="10"/>
          </reference>
          <reference field="8" count="1" selected="0">
            <x v="24"/>
          </reference>
        </references>
      </pivotArea>
    </format>
    <format dxfId="51">
      <pivotArea dataOnly="0" labelOnly="1" fieldPosition="0">
        <references count="4">
          <reference field="0" count="1" selected="0">
            <x v="7"/>
          </reference>
          <reference field="4" count="1" selected="0">
            <x v="9"/>
          </reference>
          <reference field="6" count="1">
            <x v="11"/>
          </reference>
          <reference field="8" count="1" selected="0">
            <x v="24"/>
          </reference>
        </references>
      </pivotArea>
    </format>
    <format dxfId="50">
      <pivotArea dataOnly="0" labelOnly="1" fieldPosition="0">
        <references count="4">
          <reference field="0" count="1" selected="0">
            <x v="9"/>
          </reference>
          <reference field="4" count="1" selected="0">
            <x v="3"/>
          </reference>
          <reference field="6" count="1">
            <x v="10"/>
          </reference>
          <reference field="8" count="1" selected="0">
            <x v="29"/>
          </reference>
        </references>
      </pivotArea>
    </format>
    <format dxfId="49">
      <pivotArea dataOnly="0" labelOnly="1" fieldPosition="0">
        <references count="4">
          <reference field="0" count="1" selected="0">
            <x v="8"/>
          </reference>
          <reference field="4" count="1" selected="0">
            <x v="66"/>
          </reference>
          <reference field="6" count="1">
            <x v="9"/>
          </reference>
          <reference field="8" count="1" selected="0">
            <x v="30"/>
          </reference>
        </references>
      </pivotArea>
    </format>
    <format dxfId="48">
      <pivotArea dataOnly="0" labelOnly="1" fieldPosition="0">
        <references count="4">
          <reference field="0" count="1" selected="0">
            <x v="6"/>
          </reference>
          <reference field="4" count="1" selected="0">
            <x v="9"/>
          </reference>
          <reference field="6" count="1">
            <x v="12"/>
          </reference>
          <reference field="8" count="1" selected="0">
            <x v="32"/>
          </reference>
        </references>
      </pivotArea>
    </format>
    <format dxfId="47">
      <pivotArea dataOnly="0" labelOnly="1" fieldPosition="0">
        <references count="4">
          <reference field="0" count="1" selected="0">
            <x v="2"/>
          </reference>
          <reference field="4" count="1" selected="0">
            <x v="8"/>
          </reference>
          <reference field="6" count="1">
            <x v="9"/>
          </reference>
          <reference field="8" count="1" selected="0">
            <x v="40"/>
          </reference>
        </references>
      </pivotArea>
    </format>
    <format dxfId="46">
      <pivotArea dataOnly="0" labelOnly="1" fieldPosition="0">
        <references count="5">
          <reference field="0" count="1" selected="0">
            <x v="1"/>
          </reference>
          <reference field="4" count="1" selected="0">
            <x v="67"/>
          </reference>
          <reference field="5" count="1">
            <x v="3"/>
          </reference>
          <reference field="6" count="1" selected="0">
            <x v="9"/>
          </reference>
          <reference field="8" count="1" selected="0">
            <x v="1"/>
          </reference>
        </references>
      </pivotArea>
    </format>
    <format dxfId="45">
      <pivotArea dataOnly="0" labelOnly="1" fieldPosition="0">
        <references count="5">
          <reference field="0" count="1" selected="0">
            <x v="6"/>
          </reference>
          <reference field="4" count="1" selected="0">
            <x v="8"/>
          </reference>
          <reference field="5" count="1">
            <x v="1"/>
          </reference>
          <reference field="6" count="1" selected="0">
            <x v="10"/>
          </reference>
          <reference field="8" count="1" selected="0">
            <x v="4"/>
          </reference>
        </references>
      </pivotArea>
    </format>
    <format dxfId="44">
      <pivotArea dataOnly="0" labelOnly="1" fieldPosition="0">
        <references count="5">
          <reference field="0" count="1" selected="0">
            <x v="5"/>
          </reference>
          <reference field="4" count="1" selected="0">
            <x v="24"/>
          </reference>
          <reference field="5" count="1">
            <x v="1"/>
          </reference>
          <reference field="6" count="1" selected="0">
            <x v="14"/>
          </reference>
          <reference field="8" count="1" selected="0">
            <x v="10"/>
          </reference>
        </references>
      </pivotArea>
    </format>
    <format dxfId="43">
      <pivotArea dataOnly="0" labelOnly="1" fieldPosition="0">
        <references count="5">
          <reference field="0" count="1" selected="0">
            <x v="5"/>
          </reference>
          <reference field="4" count="1" selected="0">
            <x v="76"/>
          </reference>
          <reference field="5" count="1">
            <x v="3"/>
          </reference>
          <reference field="6" count="1" selected="0">
            <x v="14"/>
          </reference>
          <reference field="8" count="1" selected="0">
            <x v="10"/>
          </reference>
        </references>
      </pivotArea>
    </format>
    <format dxfId="42">
      <pivotArea dataOnly="0" labelOnly="1" fieldPosition="0">
        <references count="5">
          <reference field="0" count="1" selected="0">
            <x v="10"/>
          </reference>
          <reference field="4" count="1" selected="0">
            <x v="24"/>
          </reference>
          <reference field="5" count="1">
            <x v="3"/>
          </reference>
          <reference field="6" count="1" selected="0">
            <x v="14"/>
          </reference>
          <reference field="8" count="1" selected="0">
            <x v="10"/>
          </reference>
        </references>
      </pivotArea>
    </format>
    <format dxfId="41">
      <pivotArea dataOnly="0" labelOnly="1" fieldPosition="0">
        <references count="5">
          <reference field="0" count="1" selected="0">
            <x v="10"/>
          </reference>
          <reference field="4" count="1" selected="0">
            <x v="76"/>
          </reference>
          <reference field="5" count="1">
            <x v="3"/>
          </reference>
          <reference field="6" count="1" selected="0">
            <x v="14"/>
          </reference>
          <reference field="8" count="1" selected="0">
            <x v="10"/>
          </reference>
        </references>
      </pivotArea>
    </format>
    <format dxfId="40">
      <pivotArea dataOnly="0" labelOnly="1" fieldPosition="0">
        <references count="5">
          <reference field="0" count="1" selected="0">
            <x v="4"/>
          </reference>
          <reference field="4" count="1" selected="0">
            <x v="74"/>
          </reference>
          <reference field="5" count="1">
            <x v="0"/>
          </reference>
          <reference field="6" count="1" selected="0">
            <x v="10"/>
          </reference>
          <reference field="8" count="1" selected="0">
            <x v="11"/>
          </reference>
        </references>
      </pivotArea>
    </format>
    <format dxfId="39">
      <pivotArea dataOnly="0" labelOnly="1" fieldPosition="0">
        <references count="5">
          <reference field="0" count="1" selected="0">
            <x v="6"/>
          </reference>
          <reference field="4" count="1" selected="0">
            <x v="82"/>
          </reference>
          <reference field="5" count="1">
            <x v="3"/>
          </reference>
          <reference field="6" count="1" selected="0">
            <x v="10"/>
          </reference>
          <reference field="8" count="1" selected="0">
            <x v="12"/>
          </reference>
        </references>
      </pivotArea>
    </format>
    <format dxfId="38">
      <pivotArea dataOnly="0" labelOnly="1" fieldPosition="0">
        <references count="5">
          <reference field="0" count="1" selected="0">
            <x v="3"/>
          </reference>
          <reference field="4" count="1" selected="0">
            <x v="7"/>
          </reference>
          <reference field="5" count="1">
            <x v="1"/>
          </reference>
          <reference field="6" count="1" selected="0">
            <x v="12"/>
          </reference>
          <reference field="8" count="1" selected="0">
            <x v="16"/>
          </reference>
        </references>
      </pivotArea>
    </format>
    <format dxfId="37">
      <pivotArea dataOnly="0" labelOnly="1" fieldPosition="0">
        <references count="5">
          <reference field="0" count="1" selected="0">
            <x v="7"/>
          </reference>
          <reference field="4" count="1" selected="0">
            <x v="7"/>
          </reference>
          <reference field="5" count="1">
            <x v="1"/>
          </reference>
          <reference field="6" count="1" selected="0">
            <x v="14"/>
          </reference>
          <reference field="8" count="1" selected="0">
            <x v="16"/>
          </reference>
        </references>
      </pivotArea>
    </format>
    <format dxfId="36">
      <pivotArea dataOnly="0" labelOnly="1" fieldPosition="0">
        <references count="5">
          <reference field="0" count="1" selected="0">
            <x v="0"/>
          </reference>
          <reference field="4" count="1" selected="0">
            <x v="61"/>
          </reference>
          <reference field="5" count="1">
            <x v="0"/>
          </reference>
          <reference field="6" count="1" selected="0">
            <x v="9"/>
          </reference>
          <reference field="8" count="1" selected="0">
            <x v="18"/>
          </reference>
        </references>
      </pivotArea>
    </format>
    <format dxfId="35">
      <pivotArea dataOnly="0" labelOnly="1" fieldPosition="0">
        <references count="5">
          <reference field="0" count="1" selected="0">
            <x v="4"/>
          </reference>
          <reference field="4" count="1" selected="0">
            <x v="59"/>
          </reference>
          <reference field="5" count="1">
            <x v="3"/>
          </reference>
          <reference field="6" count="1" selected="0">
            <x v="7"/>
          </reference>
          <reference field="8" count="1" selected="0">
            <x v="23"/>
          </reference>
        </references>
      </pivotArea>
    </format>
    <format dxfId="34">
      <pivotArea dataOnly="0" labelOnly="1" fieldPosition="0">
        <references count="5">
          <reference field="0" count="1" selected="0">
            <x v="0"/>
          </reference>
          <reference field="4" count="1" selected="0">
            <x v="11"/>
          </reference>
          <reference field="5" count="1">
            <x v="1"/>
          </reference>
          <reference field="6" count="1" selected="0">
            <x v="10"/>
          </reference>
          <reference field="8" count="1" selected="0">
            <x v="24"/>
          </reference>
        </references>
      </pivotArea>
    </format>
    <format dxfId="33">
      <pivotArea dataOnly="0" labelOnly="1" fieldPosition="0">
        <references count="5">
          <reference field="0" count="1" selected="0">
            <x v="7"/>
          </reference>
          <reference field="4" count="1" selected="0">
            <x v="9"/>
          </reference>
          <reference field="5" count="1">
            <x v="3"/>
          </reference>
          <reference field="6" count="1" selected="0">
            <x v="11"/>
          </reference>
          <reference field="8" count="1" selected="0">
            <x v="24"/>
          </reference>
        </references>
      </pivotArea>
    </format>
    <format dxfId="32">
      <pivotArea dataOnly="0" labelOnly="1" fieldPosition="0">
        <references count="5">
          <reference field="0" count="1" selected="0">
            <x v="9"/>
          </reference>
          <reference field="4" count="1" selected="0">
            <x v="3"/>
          </reference>
          <reference field="5" count="1">
            <x v="1"/>
          </reference>
          <reference field="6" count="1" selected="0">
            <x v="10"/>
          </reference>
          <reference field="8" count="1" selected="0">
            <x v="29"/>
          </reference>
        </references>
      </pivotArea>
    </format>
    <format dxfId="31">
      <pivotArea dataOnly="0" labelOnly="1" fieldPosition="0">
        <references count="5">
          <reference field="0" count="1" selected="0">
            <x v="9"/>
          </reference>
          <reference field="4" count="1" selected="0">
            <x v="6"/>
          </reference>
          <reference field="5" count="1">
            <x v="1"/>
          </reference>
          <reference field="6" count="1" selected="0">
            <x v="10"/>
          </reference>
          <reference field="8" count="1" selected="0">
            <x v="29"/>
          </reference>
        </references>
      </pivotArea>
    </format>
    <format dxfId="30">
      <pivotArea dataOnly="0" labelOnly="1" fieldPosition="0">
        <references count="5">
          <reference field="0" count="1" selected="0">
            <x v="8"/>
          </reference>
          <reference field="4" count="1" selected="0">
            <x v="66"/>
          </reference>
          <reference field="5" count="1">
            <x v="1"/>
          </reference>
          <reference field="6" count="1" selected="0">
            <x v="9"/>
          </reference>
          <reference field="8" count="1" selected="0">
            <x v="30"/>
          </reference>
        </references>
      </pivotArea>
    </format>
    <format dxfId="29">
      <pivotArea dataOnly="0" labelOnly="1" fieldPosition="0">
        <references count="5">
          <reference field="0" count="1" selected="0">
            <x v="6"/>
          </reference>
          <reference field="4" count="1" selected="0">
            <x v="9"/>
          </reference>
          <reference field="5" count="1">
            <x v="1"/>
          </reference>
          <reference field="6" count="1" selected="0">
            <x v="12"/>
          </reference>
          <reference field="8" count="1" selected="0">
            <x v="32"/>
          </reference>
        </references>
      </pivotArea>
    </format>
    <format dxfId="28">
      <pivotArea dataOnly="0" labelOnly="1" fieldPosition="0">
        <references count="5">
          <reference field="0" count="1" selected="0">
            <x v="2"/>
          </reference>
          <reference field="4" count="1" selected="0">
            <x v="8"/>
          </reference>
          <reference field="5" count="1">
            <x v="1"/>
          </reference>
          <reference field="6" count="1" selected="0">
            <x v="9"/>
          </reference>
          <reference field="8" count="1" selected="0">
            <x v="40"/>
          </reference>
        </references>
      </pivotArea>
    </format>
    <format dxfId="27">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43765-C4DC-4120-B014-EAEAEA4A5376}" name="Table1" displayName="Table1" ref="A1:H60" totalsRowShown="0" headerRowDxfId="360" dataDxfId="359">
  <autoFilter ref="A1:H60" xr:uid="{AD843765-C4DC-4120-B014-EAEAEA4A5376}">
    <filterColumn colId="6">
      <filters blank="1">
        <filter val="Need test machine"/>
        <filter val="Not Started"/>
        <filter val="Started"/>
        <filter val="working through current bugs"/>
      </filters>
    </filterColumn>
  </autoFilter>
  <sortState xmlns:xlrd2="http://schemas.microsoft.com/office/spreadsheetml/2017/richdata2" ref="A13:H60">
    <sortCondition descending="1" ref="F17:F60"/>
  </sortState>
  <tableColumns count="8">
    <tableColumn id="1" xr3:uid="{C7934820-51C5-4E21-8A75-423445C7F503}" name="Date Added" dataDxfId="358"/>
    <tableColumn id="2" xr3:uid="{0BA2082C-FE2F-4453-ADCE-4351697295F3}" name="Integration" dataDxfId="357"/>
    <tableColumn id="9" xr3:uid="{31979133-1CB1-42BD-B1AE-91CAF7A76974}" name="Priority" dataDxfId="356"/>
    <tableColumn id="3" xr3:uid="{FA108640-F7FA-431D-B170-F9343E2EB42A}" name="Action" dataDxfId="355"/>
    <tableColumn id="4" xr3:uid="{9CE54D72-1476-4930-ADCD-5294FEFE5EEC}" name="Owner" dataDxfId="354"/>
    <tableColumn id="5" xr3:uid="{8AC6426C-A6A0-45C0-B6ED-DCE44E3531E3}" name="Due Date" dataDxfId="353"/>
    <tableColumn id="6" xr3:uid="{119AB8DB-5295-422B-AE51-836E03A75DFF}" name="Status" dataDxfId="352"/>
    <tableColumn id="10" xr3:uid="{B7422502-8936-41D2-82D6-01F2BB860493}" name="Comment" dataDxfId="35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11-13T14:44:48.87" personId="{BFB682F9-A4E5-4822-A790-BFECF8C0C3DC}" id="{08216989-1A71-4444-9445-99025D2EF80F}">
    <text>This has to be confirmed by Barnes</text>
  </threadedComment>
  <threadedComment ref="H1" dT="2023-11-13T14:45:08.77" personId="{BFB682F9-A4E5-4822-A790-BFECF8C0C3DC}" id="{E497BFB9-10E3-4CFF-8ECF-DB31386170D9}">
    <text>To be confirmed by Barnes</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spscommerce.sharepoint.com/sites/EnterpriseImplementationProjectManagement/Courtney%20Pribyl/Associated%20Spring%20Raymond%20Scope%20%26%20Timeline.xlsx?e=4%3atA8y89&amp;web=1&amp;at=9___.YXAzOmJnaW5jOmE6bzo2NjMxMWFkNjA0OTZjYmQ2N2VhOTBjMzJmNjMwZDIxOTo2OjRkMjU6NGFlODQ3NjU5ZjMzOWJiYzg4OGQ2MzJkZGQ3ODA3MmM5NjgyM2I3MTUwM2QwYjBiNTBiYTJjZjA5YTUzYjkyNDpoOlQ6Tg"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4CA0-1837-4FF1-8EDB-8AE1CA2DEE53}">
  <dimension ref="B2:K15"/>
  <sheetViews>
    <sheetView showGridLines="0" zoomScaleNormal="100" workbookViewId="0">
      <pane xSplit="2" ySplit="4" topLeftCell="C14" activePane="bottomRight" state="frozen"/>
      <selection pane="topRight"/>
      <selection pane="bottomLeft"/>
      <selection pane="bottomRight" activeCell="B14" sqref="B14"/>
    </sheetView>
  </sheetViews>
  <sheetFormatPr baseColWidth="10" defaultColWidth="8.83203125" defaultRowHeight="15" x14ac:dyDescent="0.2"/>
  <cols>
    <col min="2" max="2" width="21.33203125" style="3" customWidth="1"/>
    <col min="3" max="8" width="10.33203125" style="9" customWidth="1"/>
    <col min="9" max="9" width="57.6640625" style="3" customWidth="1"/>
    <col min="10" max="10" width="39.6640625" style="3" customWidth="1"/>
    <col min="11" max="11" width="80.6640625" customWidth="1"/>
  </cols>
  <sheetData>
    <row r="2" spans="2:11" x14ac:dyDescent="0.2">
      <c r="C2" s="19" t="s">
        <v>0</v>
      </c>
    </row>
    <row r="3" spans="2:11" ht="16" x14ac:dyDescent="0.2">
      <c r="B3" s="14" t="s">
        <v>1</v>
      </c>
      <c r="C3" s="10">
        <v>45408</v>
      </c>
      <c r="D3" s="10">
        <v>45408</v>
      </c>
      <c r="E3" s="10">
        <v>45443</v>
      </c>
      <c r="F3" s="10">
        <v>45460</v>
      </c>
      <c r="G3" s="10">
        <v>45460</v>
      </c>
      <c r="H3" s="10">
        <v>45586</v>
      </c>
      <c r="I3" s="14"/>
      <c r="J3" s="14"/>
    </row>
    <row r="4" spans="2:11" ht="48" x14ac:dyDescent="0.2">
      <c r="B4" s="15" t="s">
        <v>2</v>
      </c>
      <c r="C4" s="11" t="s">
        <v>3</v>
      </c>
      <c r="D4" s="11" t="s">
        <v>4</v>
      </c>
      <c r="E4" s="11" t="s">
        <v>5</v>
      </c>
      <c r="F4" s="11" t="s">
        <v>6</v>
      </c>
      <c r="G4" s="11" t="s">
        <v>7</v>
      </c>
      <c r="H4" s="11" t="s">
        <v>8</v>
      </c>
      <c r="I4" s="15" t="s">
        <v>9</v>
      </c>
      <c r="J4" s="21" t="s">
        <v>10</v>
      </c>
    </row>
    <row r="5" spans="2:11" s="16" customFormat="1" ht="64" x14ac:dyDescent="0.2">
      <c r="B5" s="20" t="s">
        <v>11</v>
      </c>
      <c r="C5" s="18" t="s">
        <v>12</v>
      </c>
      <c r="D5" s="18" t="s">
        <v>12</v>
      </c>
      <c r="E5" s="18" t="s">
        <v>12</v>
      </c>
      <c r="F5" s="24" t="s">
        <v>13</v>
      </c>
      <c r="G5" s="18"/>
      <c r="H5" s="18"/>
      <c r="I5" s="17" t="s">
        <v>14</v>
      </c>
      <c r="J5" s="17"/>
    </row>
    <row r="6" spans="2:11" s="16" customFormat="1" ht="16" x14ac:dyDescent="0.2">
      <c r="B6" s="20" t="s">
        <v>15</v>
      </c>
      <c r="C6" s="18"/>
      <c r="D6" s="18"/>
      <c r="E6" s="18"/>
      <c r="F6" s="24"/>
      <c r="G6" s="18"/>
      <c r="H6" s="18"/>
      <c r="I6" s="17"/>
      <c r="J6" s="17"/>
    </row>
    <row r="7" spans="2:11" s="16" customFormat="1" ht="16" x14ac:dyDescent="0.2">
      <c r="B7" s="20" t="s">
        <v>16</v>
      </c>
      <c r="C7" s="18" t="s">
        <v>17</v>
      </c>
      <c r="D7" s="18" t="s">
        <v>17</v>
      </c>
      <c r="E7" s="18" t="s">
        <v>12</v>
      </c>
      <c r="F7" s="18" t="s">
        <v>12</v>
      </c>
      <c r="G7" s="18" t="s">
        <v>12</v>
      </c>
      <c r="H7" s="18"/>
      <c r="I7" s="17" t="s">
        <v>18</v>
      </c>
      <c r="J7" s="17"/>
    </row>
    <row r="8" spans="2:11" s="16" customFormat="1" ht="48" x14ac:dyDescent="0.2">
      <c r="B8" s="20" t="s">
        <v>19</v>
      </c>
      <c r="C8" s="18" t="s">
        <v>12</v>
      </c>
      <c r="D8" s="18" t="s">
        <v>12</v>
      </c>
      <c r="E8" s="18" t="s">
        <v>12</v>
      </c>
      <c r="F8" s="18"/>
      <c r="G8" s="18"/>
      <c r="H8" s="18"/>
      <c r="I8" s="17" t="s">
        <v>20</v>
      </c>
      <c r="J8" s="17" t="s">
        <v>21</v>
      </c>
    </row>
    <row r="9" spans="2:11" s="16" customFormat="1" ht="30.75" customHeight="1" x14ac:dyDescent="0.2">
      <c r="B9" s="20" t="s">
        <v>22</v>
      </c>
      <c r="C9" s="18" t="s">
        <v>23</v>
      </c>
      <c r="D9" s="18" t="s">
        <v>12</v>
      </c>
      <c r="E9" s="18"/>
      <c r="F9" s="18"/>
      <c r="G9" s="18"/>
      <c r="H9" s="18"/>
      <c r="I9" s="17" t="s">
        <v>24</v>
      </c>
      <c r="J9" s="17" t="s">
        <v>25</v>
      </c>
    </row>
    <row r="10" spans="2:11" s="16" customFormat="1" ht="48" x14ac:dyDescent="0.2">
      <c r="B10" s="20" t="s">
        <v>26</v>
      </c>
      <c r="C10" s="23" t="s">
        <v>23</v>
      </c>
      <c r="D10" s="18" t="s">
        <v>12</v>
      </c>
      <c r="E10" s="18"/>
      <c r="F10" s="18"/>
      <c r="G10" s="18"/>
      <c r="H10" s="18"/>
      <c r="I10" s="17" t="s">
        <v>24</v>
      </c>
      <c r="J10" s="17" t="s">
        <v>25</v>
      </c>
    </row>
    <row r="11" spans="2:11" s="16" customFormat="1" ht="48" x14ac:dyDescent="0.2">
      <c r="B11" s="20" t="s">
        <v>27</v>
      </c>
      <c r="C11" s="23" t="s">
        <v>23</v>
      </c>
      <c r="D11" s="18" t="s">
        <v>12</v>
      </c>
      <c r="E11" s="18" t="s">
        <v>12</v>
      </c>
      <c r="F11" s="18"/>
      <c r="G11" s="18"/>
      <c r="H11" s="18"/>
      <c r="I11" s="17" t="s">
        <v>28</v>
      </c>
      <c r="J11" s="17" t="s">
        <v>29</v>
      </c>
    </row>
    <row r="12" spans="2:11" s="16" customFormat="1" ht="16" x14ac:dyDescent="0.2">
      <c r="B12" s="20" t="s">
        <v>30</v>
      </c>
      <c r="C12" s="18" t="s">
        <v>17</v>
      </c>
      <c r="D12" s="18" t="s">
        <v>12</v>
      </c>
      <c r="E12" s="18" t="s">
        <v>12</v>
      </c>
      <c r="F12" s="18"/>
      <c r="G12" s="18"/>
      <c r="H12" s="18"/>
      <c r="I12" s="17" t="s">
        <v>31</v>
      </c>
      <c r="J12" s="17" t="s">
        <v>32</v>
      </c>
      <c r="K12" s="16" t="s">
        <v>33</v>
      </c>
    </row>
    <row r="13" spans="2:11" s="16" customFormat="1" ht="16" x14ac:dyDescent="0.2">
      <c r="B13" s="20" t="s">
        <v>34</v>
      </c>
      <c r="C13" s="18" t="s">
        <v>17</v>
      </c>
      <c r="D13" s="18" t="s">
        <v>12</v>
      </c>
      <c r="E13" s="18" t="s">
        <v>12</v>
      </c>
      <c r="F13" s="18"/>
      <c r="G13" s="18"/>
      <c r="H13" s="18"/>
      <c r="I13" s="17" t="s">
        <v>31</v>
      </c>
      <c r="J13" s="17" t="s">
        <v>32</v>
      </c>
    </row>
    <row r="14" spans="2:11" s="16" customFormat="1" ht="80" x14ac:dyDescent="0.2">
      <c r="B14" s="22" t="s">
        <v>35</v>
      </c>
      <c r="C14" s="18" t="s">
        <v>12</v>
      </c>
      <c r="D14" s="18" t="s">
        <v>12</v>
      </c>
      <c r="E14" s="18" t="s">
        <v>12</v>
      </c>
      <c r="F14" s="18"/>
      <c r="G14" s="18"/>
      <c r="H14" s="18"/>
      <c r="I14" s="17" t="s">
        <v>36</v>
      </c>
      <c r="J14" s="17" t="s">
        <v>37</v>
      </c>
      <c r="K14" s="16" t="s">
        <v>38</v>
      </c>
    </row>
    <row r="15" spans="2:11" s="16" customFormat="1" ht="69.75" customHeight="1" x14ac:dyDescent="0.2">
      <c r="B15" s="20" t="s">
        <v>39</v>
      </c>
      <c r="C15" s="18" t="s">
        <v>17</v>
      </c>
      <c r="D15" s="18" t="s">
        <v>12</v>
      </c>
      <c r="E15" s="18" t="s">
        <v>12</v>
      </c>
      <c r="F15" s="18"/>
      <c r="G15" s="18"/>
      <c r="H15" s="18"/>
      <c r="I15" s="17" t="s">
        <v>40</v>
      </c>
      <c r="J15" s="17" t="s">
        <v>41</v>
      </c>
    </row>
  </sheetData>
  <conditionalFormatting sqref="C5:H15">
    <cfRule type="cellIs" dxfId="26" priority="1" operator="equal">
      <formula>"C"</formula>
    </cfRule>
    <cfRule type="cellIs" dxfId="25" priority="2" operator="equal">
      <formula>"W"</formula>
    </cfRule>
    <cfRule type="cellIs" dxfId="24" priority="3" operator="equal">
      <formula>"R"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0B8A-128E-47FD-B1CD-04E8D8DBB21B}">
  <dimension ref="A3:L26"/>
  <sheetViews>
    <sheetView workbookViewId="0">
      <selection activeCell="H4" sqref="H4"/>
    </sheetView>
  </sheetViews>
  <sheetFormatPr baseColWidth="10" defaultColWidth="8.83203125" defaultRowHeight="15" x14ac:dyDescent="0.2"/>
  <cols>
    <col min="1" max="2" width="20.5" bestFit="1" customWidth="1"/>
    <col min="3" max="3" width="21" bestFit="1" customWidth="1"/>
    <col min="4" max="4" width="15" bestFit="1" customWidth="1"/>
    <col min="5" max="5" width="21.6640625" bestFit="1" customWidth="1"/>
    <col min="6" max="6" width="14.6640625" bestFit="1" customWidth="1"/>
    <col min="7" max="7" width="7" bestFit="1" customWidth="1"/>
    <col min="8" max="8" width="5.33203125" bestFit="1" customWidth="1"/>
    <col min="9" max="9" width="6.33203125" bestFit="1" customWidth="1"/>
    <col min="10" max="10" width="11" bestFit="1" customWidth="1"/>
    <col min="11" max="11" width="7.33203125" bestFit="1" customWidth="1"/>
    <col min="12" max="12" width="5.5" bestFit="1" customWidth="1"/>
  </cols>
  <sheetData>
    <row r="3" spans="1:12" x14ac:dyDescent="0.2">
      <c r="A3" s="25" t="s">
        <v>42</v>
      </c>
      <c r="B3" s="25" t="s">
        <v>43</v>
      </c>
    </row>
    <row r="4" spans="1:12" s="3" customFormat="1" ht="48" x14ac:dyDescent="0.2">
      <c r="A4" s="70" t="s">
        <v>44</v>
      </c>
      <c r="B4" t="s">
        <v>45</v>
      </c>
      <c r="C4" t="s">
        <v>46</v>
      </c>
      <c r="D4" t="s">
        <v>47</v>
      </c>
      <c r="E4" t="s">
        <v>48</v>
      </c>
      <c r="F4" t="s">
        <v>49</v>
      </c>
      <c r="G4" t="s">
        <v>50</v>
      </c>
      <c r="H4" s="3" t="s">
        <v>51</v>
      </c>
      <c r="I4"/>
      <c r="J4"/>
      <c r="K4"/>
      <c r="L4"/>
    </row>
    <row r="5" spans="1:12" x14ac:dyDescent="0.2">
      <c r="A5" s="132" t="s">
        <v>52</v>
      </c>
      <c r="D5">
        <v>2</v>
      </c>
      <c r="H5">
        <v>2</v>
      </c>
    </row>
    <row r="6" spans="1:12" x14ac:dyDescent="0.2">
      <c r="A6" s="132" t="s">
        <v>53</v>
      </c>
      <c r="F6">
        <v>2</v>
      </c>
      <c r="H6">
        <v>2</v>
      </c>
    </row>
    <row r="7" spans="1:12" x14ac:dyDescent="0.2">
      <c r="A7" s="132" t="s">
        <v>27</v>
      </c>
      <c r="B7">
        <v>5</v>
      </c>
      <c r="H7">
        <v>5</v>
      </c>
    </row>
    <row r="8" spans="1:12" x14ac:dyDescent="0.2">
      <c r="A8" s="132" t="s">
        <v>54</v>
      </c>
      <c r="B8">
        <v>2</v>
      </c>
      <c r="C8">
        <v>3</v>
      </c>
      <c r="E8">
        <v>1</v>
      </c>
      <c r="H8">
        <v>6</v>
      </c>
    </row>
    <row r="9" spans="1:12" x14ac:dyDescent="0.2">
      <c r="A9" s="132" t="s">
        <v>30</v>
      </c>
      <c r="C9">
        <v>2</v>
      </c>
      <c r="H9">
        <v>2</v>
      </c>
    </row>
    <row r="10" spans="1:12" x14ac:dyDescent="0.2">
      <c r="A10" s="132" t="s">
        <v>39</v>
      </c>
      <c r="B10">
        <v>5</v>
      </c>
      <c r="C10">
        <v>1</v>
      </c>
      <c r="H10">
        <v>6</v>
      </c>
    </row>
    <row r="11" spans="1:12" x14ac:dyDescent="0.2">
      <c r="A11" s="132" t="s">
        <v>16</v>
      </c>
      <c r="F11">
        <v>2</v>
      </c>
      <c r="H11">
        <v>2</v>
      </c>
    </row>
    <row r="12" spans="1:12" x14ac:dyDescent="0.2">
      <c r="A12" s="132" t="s">
        <v>19</v>
      </c>
      <c r="B12">
        <v>1</v>
      </c>
      <c r="C12">
        <v>4</v>
      </c>
      <c r="E12">
        <v>1</v>
      </c>
      <c r="G12">
        <v>1</v>
      </c>
      <c r="H12">
        <v>7</v>
      </c>
    </row>
    <row r="13" spans="1:12" x14ac:dyDescent="0.2">
      <c r="A13" s="132" t="s">
        <v>34</v>
      </c>
      <c r="C13">
        <v>2</v>
      </c>
      <c r="H13">
        <v>2</v>
      </c>
    </row>
    <row r="14" spans="1:12" x14ac:dyDescent="0.2">
      <c r="A14" s="132" t="s">
        <v>55</v>
      </c>
      <c r="B14">
        <v>2</v>
      </c>
      <c r="H14">
        <v>2</v>
      </c>
    </row>
    <row r="15" spans="1:12" x14ac:dyDescent="0.2">
      <c r="A15" s="132" t="s">
        <v>56</v>
      </c>
      <c r="B15">
        <v>1</v>
      </c>
      <c r="H15">
        <v>1</v>
      </c>
    </row>
    <row r="16" spans="1:12" x14ac:dyDescent="0.2">
      <c r="A16" s="19" t="s">
        <v>51</v>
      </c>
      <c r="B16">
        <v>16</v>
      </c>
      <c r="C16">
        <v>12</v>
      </c>
      <c r="D16">
        <v>2</v>
      </c>
      <c r="E16">
        <v>2</v>
      </c>
      <c r="F16">
        <v>4</v>
      </c>
      <c r="G16">
        <v>1</v>
      </c>
      <c r="H16">
        <v>37</v>
      </c>
    </row>
    <row r="21" spans="2:6" x14ac:dyDescent="0.2">
      <c r="B21" t="s">
        <v>57</v>
      </c>
      <c r="C21" t="s">
        <v>58</v>
      </c>
      <c r="D21" t="s">
        <v>59</v>
      </c>
      <c r="E21" t="s">
        <v>60</v>
      </c>
      <c r="F21" t="s">
        <v>61</v>
      </c>
    </row>
    <row r="22" spans="2:6" x14ac:dyDescent="0.2">
      <c r="B22" t="s">
        <v>62</v>
      </c>
      <c r="C22" t="s">
        <v>63</v>
      </c>
      <c r="D22" t="s">
        <v>64</v>
      </c>
      <c r="E22" t="s">
        <v>65</v>
      </c>
    </row>
    <row r="23" spans="2:6" x14ac:dyDescent="0.2">
      <c r="B23" t="s">
        <v>27</v>
      </c>
      <c r="D23" t="s">
        <v>66</v>
      </c>
      <c r="E23" s="19" t="s">
        <v>53</v>
      </c>
    </row>
    <row r="24" spans="2:6" x14ac:dyDescent="0.2">
      <c r="B24" t="s">
        <v>67</v>
      </c>
    </row>
    <row r="25" spans="2:6" x14ac:dyDescent="0.2">
      <c r="B25" s="19" t="s">
        <v>55</v>
      </c>
    </row>
    <row r="26" spans="2:6" x14ac:dyDescent="0.2">
      <c r="B26" s="133"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7BF2-F552-4A89-8E5D-5078DF4E0B67}">
  <sheetPr filterMode="1">
    <tabColor theme="8"/>
  </sheetPr>
  <dimension ref="A1:AR44"/>
  <sheetViews>
    <sheetView zoomScaleNormal="100" workbookViewId="0">
      <pane xSplit="6" ySplit="1" topLeftCell="T18" activePane="bottomRight" state="frozen"/>
      <selection pane="topRight" activeCell="G1" sqref="G1"/>
      <selection pane="bottomLeft" activeCell="A2" sqref="A2"/>
      <selection pane="bottomRight" activeCell="X21" sqref="X21"/>
    </sheetView>
  </sheetViews>
  <sheetFormatPr baseColWidth="10" defaultColWidth="9.1640625" defaultRowHeight="15" x14ac:dyDescent="0.2"/>
  <cols>
    <col min="1" max="1" width="23.33203125" style="35" customWidth="1"/>
    <col min="2" max="2" width="9.6640625" style="35" customWidth="1"/>
    <col min="3" max="3" width="27" style="35" customWidth="1"/>
    <col min="4" max="4" width="9.5" style="35" customWidth="1"/>
    <col min="5" max="5" width="12.33203125" style="35" bestFit="1" customWidth="1"/>
    <col min="6" max="6" width="12.5" style="35" customWidth="1"/>
    <col min="7" max="7" width="12.83203125" style="35" customWidth="1"/>
    <col min="8" max="8" width="10.5" style="35" customWidth="1"/>
    <col min="9" max="9" width="14.33203125" style="35" customWidth="1"/>
    <col min="10" max="10" width="13.1640625" style="35" customWidth="1"/>
    <col min="11" max="11" width="20.33203125" style="35" bestFit="1" customWidth="1"/>
    <col min="12" max="12" width="8.83203125" style="35" customWidth="1"/>
    <col min="13" max="13" width="8.83203125" style="75" customWidth="1"/>
    <col min="14" max="14" width="7.1640625" style="75" customWidth="1"/>
    <col min="15" max="15" width="7.83203125" style="75" customWidth="1"/>
    <col min="16" max="16" width="12" style="75" customWidth="1"/>
    <col min="17" max="17" width="12.33203125" style="35" customWidth="1"/>
    <col min="18" max="18" width="10" style="35" customWidth="1"/>
    <col min="19" max="19" width="14.5" style="35" customWidth="1"/>
    <col min="20" max="20" width="15.33203125" style="36" customWidth="1"/>
    <col min="21" max="21" width="12.1640625" style="36" customWidth="1"/>
    <col min="22" max="22" width="10.5" style="36" customWidth="1"/>
    <col min="23" max="23" width="10.5" style="35" customWidth="1"/>
    <col min="24" max="25" width="12" style="35" customWidth="1"/>
    <col min="26" max="26" width="11.6640625" style="35" customWidth="1"/>
    <col min="27" max="27" width="10.33203125" style="36" customWidth="1"/>
    <col min="28" max="28" width="10.83203125" style="36" customWidth="1"/>
    <col min="29" max="29" width="14.83203125" style="36" customWidth="1"/>
    <col min="30" max="31" width="12.6640625" style="36" customWidth="1"/>
    <col min="32" max="33" width="10.83203125" style="36" customWidth="1"/>
    <col min="34" max="34" width="16.5" style="36" customWidth="1"/>
    <col min="35" max="35" width="14.5" style="36" customWidth="1"/>
    <col min="36" max="36" width="14.5" style="35" customWidth="1"/>
    <col min="37" max="37" width="23.33203125" style="35" customWidth="1"/>
    <col min="38" max="38" width="69" style="35" customWidth="1"/>
    <col min="39" max="39" width="28.1640625" style="35" customWidth="1"/>
    <col min="40" max="40" width="41.6640625" style="35" customWidth="1"/>
    <col min="41" max="42" width="9.1640625" style="35"/>
    <col min="43" max="43" width="66.5" style="35" bestFit="1" customWidth="1"/>
    <col min="44" max="44" width="56.83203125" style="32" bestFit="1" customWidth="1"/>
    <col min="45" max="16384" width="9.1640625" style="35"/>
  </cols>
  <sheetData>
    <row r="1" spans="1:44" s="27" customFormat="1" ht="50" thickTop="1" thickBot="1" x14ac:dyDescent="0.25">
      <c r="A1" s="41" t="s">
        <v>68</v>
      </c>
      <c r="B1" s="41" t="s">
        <v>69</v>
      </c>
      <c r="C1" s="41" t="s">
        <v>70</v>
      </c>
      <c r="D1" s="41" t="s">
        <v>71</v>
      </c>
      <c r="E1" s="41" t="s">
        <v>72</v>
      </c>
      <c r="F1" s="41" t="s">
        <v>73</v>
      </c>
      <c r="G1" s="39" t="s">
        <v>74</v>
      </c>
      <c r="H1" s="39" t="s">
        <v>75</v>
      </c>
      <c r="I1" s="26" t="s">
        <v>76</v>
      </c>
      <c r="J1" s="26" t="s">
        <v>77</v>
      </c>
      <c r="K1" s="26" t="s">
        <v>78</v>
      </c>
      <c r="L1" s="81" t="s">
        <v>79</v>
      </c>
      <c r="M1" s="81" t="s">
        <v>80</v>
      </c>
      <c r="N1" s="77" t="s">
        <v>81</v>
      </c>
      <c r="O1" s="77" t="s">
        <v>82</v>
      </c>
      <c r="P1" s="83" t="s">
        <v>83</v>
      </c>
      <c r="Q1" s="53" t="s">
        <v>84</v>
      </c>
      <c r="R1" s="53" t="s">
        <v>85</v>
      </c>
      <c r="S1" s="53" t="s">
        <v>86</v>
      </c>
      <c r="T1" s="67" t="s">
        <v>87</v>
      </c>
      <c r="U1" s="66" t="s">
        <v>88</v>
      </c>
      <c r="V1" s="67" t="s">
        <v>89</v>
      </c>
      <c r="W1" s="54" t="s">
        <v>90</v>
      </c>
      <c r="X1" s="54" t="s">
        <v>91</v>
      </c>
      <c r="Y1" s="54" t="s">
        <v>77</v>
      </c>
      <c r="Z1" s="54" t="s">
        <v>92</v>
      </c>
      <c r="AA1" s="66" t="s">
        <v>93</v>
      </c>
      <c r="AB1" s="68" t="s">
        <v>94</v>
      </c>
      <c r="AC1" s="71" t="s">
        <v>95</v>
      </c>
      <c r="AD1" s="71" t="s">
        <v>96</v>
      </c>
      <c r="AE1" s="69" t="s">
        <v>97</v>
      </c>
      <c r="AF1" s="69" t="s">
        <v>98</v>
      </c>
      <c r="AG1" s="69" t="s">
        <v>77</v>
      </c>
      <c r="AH1" s="69" t="s">
        <v>99</v>
      </c>
      <c r="AI1" s="69" t="s">
        <v>100</v>
      </c>
      <c r="AJ1" s="40" t="s">
        <v>101</v>
      </c>
      <c r="AK1" s="40" t="s">
        <v>102</v>
      </c>
      <c r="AL1" s="41" t="s">
        <v>103</v>
      </c>
      <c r="AM1" s="41" t="s">
        <v>104</v>
      </c>
      <c r="AR1" s="47"/>
    </row>
    <row r="2" spans="1:44" s="32" customFormat="1" ht="97" hidden="1" thickTop="1" x14ac:dyDescent="0.2">
      <c r="A2" s="28" t="s">
        <v>55</v>
      </c>
      <c r="B2" s="28" t="s">
        <v>105</v>
      </c>
      <c r="C2" s="28" t="s">
        <v>106</v>
      </c>
      <c r="D2" s="28" t="s">
        <v>107</v>
      </c>
      <c r="E2" s="28" t="s">
        <v>108</v>
      </c>
      <c r="F2" s="28" t="s">
        <v>109</v>
      </c>
      <c r="G2" s="28" t="s">
        <v>110</v>
      </c>
      <c r="H2" s="28" t="s">
        <v>111</v>
      </c>
      <c r="I2" s="29" t="s">
        <v>112</v>
      </c>
      <c r="J2" s="29" t="s">
        <v>63</v>
      </c>
      <c r="K2" s="29" t="s">
        <v>113</v>
      </c>
      <c r="L2" s="29"/>
      <c r="M2" s="78"/>
      <c r="N2" s="86">
        <f>VLOOKUP(K2,'Drop Down'!$I$2:$K$14,3,FALSE)</f>
        <v>30</v>
      </c>
      <c r="O2" s="78">
        <f t="shared" ref="O2:O20" si="0">SUM(M2:N2)</f>
        <v>30</v>
      </c>
      <c r="P2" s="80">
        <f t="shared" ref="P2:P20" ca="1" si="1">TODAY()+O2</f>
        <v>46325</v>
      </c>
      <c r="Q2" s="28" t="s">
        <v>114</v>
      </c>
      <c r="R2" s="28"/>
      <c r="S2" s="115" t="s">
        <v>115</v>
      </c>
      <c r="T2" s="30" t="s">
        <v>110</v>
      </c>
      <c r="U2" s="116">
        <v>45562</v>
      </c>
      <c r="V2" s="31"/>
      <c r="W2" s="109" t="s">
        <v>116</v>
      </c>
      <c r="X2" s="28"/>
      <c r="Y2" s="28"/>
      <c r="Z2" s="29"/>
      <c r="AA2" s="30"/>
      <c r="AB2" s="30"/>
      <c r="AC2" s="30"/>
      <c r="AD2" s="30"/>
      <c r="AE2" s="30"/>
      <c r="AF2" s="30"/>
      <c r="AG2" s="30"/>
      <c r="AH2" s="30"/>
      <c r="AI2" s="30"/>
      <c r="AJ2" s="28"/>
      <c r="AK2" s="28"/>
      <c r="AL2" s="29" t="s">
        <v>117</v>
      </c>
      <c r="AM2" s="111" t="s">
        <v>118</v>
      </c>
      <c r="AN2" s="32" t="s">
        <v>119</v>
      </c>
      <c r="AQ2" s="32" t="str">
        <f t="shared" ref="AQ2:AQ15" si="2">CONCATENATE(B2, " ", A2, " ",C2, " ", E2)</f>
        <v>FIN001 (SPS) PNC Bank (AR) PNC Lockbox EDI 823 checks Finance</v>
      </c>
      <c r="AR2" s="32" t="s">
        <v>120</v>
      </c>
    </row>
    <row r="3" spans="1:44" s="33" customFormat="1" ht="97" hidden="1" thickTop="1" x14ac:dyDescent="0.2">
      <c r="A3" s="33" t="s">
        <v>55</v>
      </c>
      <c r="B3" s="33" t="s">
        <v>121</v>
      </c>
      <c r="C3" s="33" t="s">
        <v>122</v>
      </c>
      <c r="D3" s="28" t="s">
        <v>107</v>
      </c>
      <c r="E3" s="33" t="s">
        <v>108</v>
      </c>
      <c r="F3" s="33" t="s">
        <v>109</v>
      </c>
      <c r="G3" s="33" t="s">
        <v>110</v>
      </c>
      <c r="H3" s="33" t="s">
        <v>111</v>
      </c>
      <c r="I3" s="33" t="s">
        <v>112</v>
      </c>
      <c r="J3" s="33" t="s">
        <v>63</v>
      </c>
      <c r="K3" s="33" t="s">
        <v>113</v>
      </c>
      <c r="L3" s="34"/>
      <c r="M3" s="98"/>
      <c r="N3" s="86">
        <f>VLOOKUP(K3,'Drop Down'!$I$2:$K$14,3,FALSE)</f>
        <v>30</v>
      </c>
      <c r="O3" s="78">
        <f t="shared" si="0"/>
        <v>30</v>
      </c>
      <c r="P3" s="80">
        <f t="shared" ca="1" si="1"/>
        <v>46325</v>
      </c>
      <c r="Q3" s="28" t="s">
        <v>114</v>
      </c>
      <c r="S3" s="115" t="s">
        <v>115</v>
      </c>
      <c r="T3" s="65"/>
      <c r="U3" s="116">
        <v>45562</v>
      </c>
      <c r="V3" s="116"/>
      <c r="W3" s="109" t="s">
        <v>116</v>
      </c>
      <c r="Z3" s="34"/>
      <c r="AA3" s="65"/>
      <c r="AB3" s="65"/>
      <c r="AC3" s="65"/>
      <c r="AD3" s="65"/>
      <c r="AE3" s="65"/>
      <c r="AF3" s="30"/>
      <c r="AG3" s="65"/>
      <c r="AH3" s="65"/>
      <c r="AI3" s="65"/>
      <c r="AL3" s="34" t="s">
        <v>123</v>
      </c>
      <c r="AM3" s="120" t="s">
        <v>118</v>
      </c>
      <c r="AQ3" s="33" t="str">
        <f t="shared" si="2"/>
        <v>FIN005 (SPS) PNC Bank (AR) PNC Lockbox EDI820 flat file ACH ad wires Finance</v>
      </c>
      <c r="AR3" s="33" t="s">
        <v>124</v>
      </c>
    </row>
    <row r="4" spans="1:44" s="33" customFormat="1" ht="97" thickTop="1" x14ac:dyDescent="0.2">
      <c r="A4" s="33" t="s">
        <v>52</v>
      </c>
      <c r="B4" s="33" t="s">
        <v>125</v>
      </c>
      <c r="C4" s="112" t="s">
        <v>126</v>
      </c>
      <c r="D4" s="28" t="s">
        <v>107</v>
      </c>
      <c r="E4" s="33" t="s">
        <v>108</v>
      </c>
      <c r="F4" s="33" t="s">
        <v>109</v>
      </c>
      <c r="G4" s="33" t="s">
        <v>110</v>
      </c>
      <c r="H4" s="33" t="s">
        <v>111</v>
      </c>
      <c r="I4" s="34" t="s">
        <v>127</v>
      </c>
      <c r="J4" s="34" t="s">
        <v>108</v>
      </c>
      <c r="K4" s="34" t="s">
        <v>128</v>
      </c>
      <c r="L4" s="34"/>
      <c r="M4" s="98"/>
      <c r="N4" s="78">
        <f>VLOOKUP(K4,'Drop Down'!$I$2:$K$14,3,FALSE)</f>
        <v>15</v>
      </c>
      <c r="O4" s="78">
        <f t="shared" si="0"/>
        <v>15</v>
      </c>
      <c r="P4" s="80">
        <f t="shared" ca="1" si="1"/>
        <v>46310</v>
      </c>
      <c r="Q4" s="28" t="s">
        <v>129</v>
      </c>
      <c r="S4" s="34" t="s">
        <v>130</v>
      </c>
      <c r="T4" s="65"/>
      <c r="U4" s="116"/>
      <c r="V4" s="116"/>
      <c r="W4" s="109" t="s">
        <v>131</v>
      </c>
      <c r="X4" s="33" t="s">
        <v>130</v>
      </c>
      <c r="Z4" s="34"/>
      <c r="AA4" s="65"/>
      <c r="AB4" s="65"/>
      <c r="AC4" s="65">
        <v>45548</v>
      </c>
      <c r="AD4" s="65">
        <v>45576</v>
      </c>
      <c r="AE4" s="65"/>
      <c r="AF4" s="30"/>
      <c r="AG4" s="65"/>
      <c r="AH4" s="65"/>
      <c r="AI4" s="65"/>
      <c r="AL4" s="34" t="s">
        <v>132</v>
      </c>
      <c r="AM4" s="34" t="s">
        <v>133</v>
      </c>
      <c r="AQ4" s="33" t="str">
        <f t="shared" si="2"/>
        <v>FIN003 BoA Shared Service (AP) Check Run Header Finance</v>
      </c>
      <c r="AR4" s="33" t="s">
        <v>134</v>
      </c>
    </row>
    <row r="5" spans="1:44" s="33" customFormat="1" ht="96" x14ac:dyDescent="0.2">
      <c r="A5" s="33" t="s">
        <v>52</v>
      </c>
      <c r="B5" s="33" t="s">
        <v>135</v>
      </c>
      <c r="C5" s="112" t="s">
        <v>136</v>
      </c>
      <c r="D5" s="28" t="s">
        <v>107</v>
      </c>
      <c r="E5" s="33" t="s">
        <v>108</v>
      </c>
      <c r="F5" s="33" t="s">
        <v>109</v>
      </c>
      <c r="G5" s="33" t="s">
        <v>110</v>
      </c>
      <c r="H5" s="33" t="s">
        <v>111</v>
      </c>
      <c r="I5" s="34" t="s">
        <v>127</v>
      </c>
      <c r="J5" s="34" t="s">
        <v>108</v>
      </c>
      <c r="K5" s="34" t="s">
        <v>128</v>
      </c>
      <c r="L5" s="34"/>
      <c r="M5" s="98"/>
      <c r="N5" s="78">
        <f>VLOOKUP(K5,'Drop Down'!$I$2:$K$14,3,FALSE)</f>
        <v>15</v>
      </c>
      <c r="O5" s="78">
        <f t="shared" si="0"/>
        <v>15</v>
      </c>
      <c r="P5" s="80">
        <f t="shared" ca="1" si="1"/>
        <v>46310</v>
      </c>
      <c r="Q5" s="28" t="s">
        <v>129</v>
      </c>
      <c r="S5" s="34" t="s">
        <v>130</v>
      </c>
      <c r="T5" s="65"/>
      <c r="U5" s="116"/>
      <c r="V5" s="116"/>
      <c r="W5" s="109" t="s">
        <v>131</v>
      </c>
      <c r="X5" s="33" t="s">
        <v>130</v>
      </c>
      <c r="Z5" s="34"/>
      <c r="AA5" s="65"/>
      <c r="AB5" s="65"/>
      <c r="AC5" s="65">
        <v>45548</v>
      </c>
      <c r="AD5" s="65">
        <v>45576</v>
      </c>
      <c r="AE5" s="65"/>
      <c r="AF5" s="30"/>
      <c r="AG5" s="65"/>
      <c r="AH5" s="65"/>
      <c r="AI5" s="65"/>
      <c r="AL5" s="34" t="s">
        <v>132</v>
      </c>
      <c r="AM5" s="34" t="s">
        <v>133</v>
      </c>
      <c r="AQ5" s="33" t="str">
        <f t="shared" si="2"/>
        <v>FIN004 BoA Shared Service (AP) Check Run Details Finance</v>
      </c>
      <c r="AR5" s="33" t="s">
        <v>137</v>
      </c>
    </row>
    <row r="6" spans="1:44" s="33" customFormat="1" ht="97" hidden="1" thickTop="1" x14ac:dyDescent="0.2">
      <c r="A6" s="112" t="s">
        <v>53</v>
      </c>
      <c r="B6" s="33" t="s">
        <v>138</v>
      </c>
      <c r="C6" s="85" t="s">
        <v>139</v>
      </c>
      <c r="D6" s="96" t="s">
        <v>140</v>
      </c>
      <c r="E6" s="33" t="s">
        <v>141</v>
      </c>
      <c r="F6" s="33" t="s">
        <v>109</v>
      </c>
      <c r="G6" s="33" t="s">
        <v>142</v>
      </c>
      <c r="H6" s="33" t="s">
        <v>143</v>
      </c>
      <c r="I6" s="34" t="s">
        <v>98</v>
      </c>
      <c r="J6" s="34" t="s">
        <v>108</v>
      </c>
      <c r="K6" s="34" t="s">
        <v>49</v>
      </c>
      <c r="L6" s="34"/>
      <c r="M6" s="98"/>
      <c r="N6" s="78">
        <f>VLOOKUP(K6,'Drop Down'!$I$2:$K$14,3,FALSE)</f>
        <v>2</v>
      </c>
      <c r="O6" s="78">
        <f t="shared" si="0"/>
        <v>2</v>
      </c>
      <c r="P6" s="80">
        <f t="shared" ca="1" si="1"/>
        <v>46297</v>
      </c>
      <c r="Q6" s="28" t="s">
        <v>144</v>
      </c>
      <c r="S6" s="34" t="s">
        <v>145</v>
      </c>
      <c r="T6" s="65"/>
      <c r="U6" s="65"/>
      <c r="V6" s="65"/>
      <c r="W6" s="28" t="s">
        <v>146</v>
      </c>
      <c r="X6" s="33" t="s">
        <v>145</v>
      </c>
      <c r="Z6" s="34"/>
      <c r="AA6" s="65"/>
      <c r="AB6" s="65"/>
      <c r="AC6" s="65"/>
      <c r="AD6" s="65"/>
      <c r="AE6" s="65"/>
      <c r="AF6" s="30"/>
      <c r="AG6" s="65"/>
      <c r="AH6" s="65"/>
      <c r="AI6" s="65"/>
      <c r="AK6" s="33" t="s">
        <v>145</v>
      </c>
      <c r="AL6" s="34" t="s">
        <v>147</v>
      </c>
      <c r="AM6" s="33" t="s">
        <v>148</v>
      </c>
      <c r="AQ6" s="33" t="str">
        <f t="shared" si="2"/>
        <v>CNP001 CenPos Payment Authorization OTC</v>
      </c>
      <c r="AR6" s="33" t="s">
        <v>149</v>
      </c>
    </row>
    <row r="7" spans="1:44" s="32" customFormat="1" ht="81" hidden="1" thickTop="1" x14ac:dyDescent="0.2">
      <c r="A7" s="38" t="s">
        <v>53</v>
      </c>
      <c r="B7" s="32" t="s">
        <v>150</v>
      </c>
      <c r="C7" s="84" t="s">
        <v>151</v>
      </c>
      <c r="D7" s="96" t="s">
        <v>140</v>
      </c>
      <c r="E7" s="32" t="s">
        <v>141</v>
      </c>
      <c r="F7" s="32" t="s">
        <v>109</v>
      </c>
      <c r="G7" s="32" t="s">
        <v>142</v>
      </c>
      <c r="H7" s="32" t="s">
        <v>143</v>
      </c>
      <c r="I7" s="29" t="s">
        <v>98</v>
      </c>
      <c r="J7" s="29" t="s">
        <v>108</v>
      </c>
      <c r="K7" s="29" t="s">
        <v>49</v>
      </c>
      <c r="L7" s="35"/>
      <c r="M7" s="75"/>
      <c r="N7" s="78">
        <f>VLOOKUP(K7,'Drop Down'!$I$2:$K$14,3,FALSE)</f>
        <v>2</v>
      </c>
      <c r="O7" s="78">
        <f t="shared" si="0"/>
        <v>2</v>
      </c>
      <c r="P7" s="80">
        <f t="shared" ca="1" si="1"/>
        <v>46297</v>
      </c>
      <c r="Q7" s="32" t="s">
        <v>144</v>
      </c>
      <c r="S7" s="35" t="s">
        <v>145</v>
      </c>
      <c r="T7" s="30"/>
      <c r="U7" s="36"/>
      <c r="V7" s="36"/>
      <c r="W7" s="28" t="s">
        <v>146</v>
      </c>
      <c r="X7" s="28" t="s">
        <v>145</v>
      </c>
      <c r="Y7" s="28"/>
      <c r="Z7" s="35"/>
      <c r="AA7" s="36"/>
      <c r="AB7" s="36"/>
      <c r="AC7" s="36"/>
      <c r="AD7" s="36"/>
      <c r="AE7" s="36"/>
      <c r="AF7" s="36"/>
      <c r="AG7" s="36"/>
      <c r="AH7" s="36"/>
      <c r="AI7" s="36"/>
      <c r="AK7" s="32" t="s">
        <v>145</v>
      </c>
      <c r="AL7" s="35" t="s">
        <v>152</v>
      </c>
      <c r="AM7" s="32" t="s">
        <v>148</v>
      </c>
      <c r="AN7" s="35" t="s">
        <v>119</v>
      </c>
      <c r="AQ7" s="32" t="str">
        <f t="shared" si="2"/>
        <v>CNP002 CenPos Payment Capture OTC</v>
      </c>
      <c r="AR7" s="32" t="s">
        <v>153</v>
      </c>
    </row>
    <row r="8" spans="1:44" s="48" customFormat="1" ht="64" x14ac:dyDescent="0.2">
      <c r="A8" s="48" t="s">
        <v>16</v>
      </c>
      <c r="B8" s="49" t="s">
        <v>154</v>
      </c>
      <c r="C8" s="49" t="s">
        <v>155</v>
      </c>
      <c r="D8" s="49"/>
      <c r="E8" s="49" t="s">
        <v>141</v>
      </c>
      <c r="F8" s="49" t="s">
        <v>156</v>
      </c>
      <c r="G8" s="49" t="s">
        <v>157</v>
      </c>
      <c r="H8" s="49" t="s">
        <v>158</v>
      </c>
      <c r="I8" s="49" t="s">
        <v>159</v>
      </c>
      <c r="J8" s="49"/>
      <c r="K8" s="49" t="s">
        <v>159</v>
      </c>
      <c r="L8" s="49"/>
      <c r="M8" s="74"/>
      <c r="N8" s="78">
        <f>VLOOKUP(K8,'Drop Down'!$I$2:$K$14,3,FALSE)</f>
        <v>60</v>
      </c>
      <c r="O8" s="78">
        <f t="shared" si="0"/>
        <v>60</v>
      </c>
      <c r="P8" s="80">
        <f t="shared" ca="1" si="1"/>
        <v>46355</v>
      </c>
      <c r="Q8" s="49"/>
      <c r="R8" s="49"/>
      <c r="S8" s="49" t="s">
        <v>145</v>
      </c>
      <c r="T8" s="50">
        <v>45349</v>
      </c>
      <c r="U8" s="50"/>
      <c r="V8" s="50"/>
      <c r="W8" s="28" t="s">
        <v>160</v>
      </c>
      <c r="X8" s="49"/>
      <c r="Y8" s="49" t="s">
        <v>161</v>
      </c>
      <c r="Z8" s="49"/>
      <c r="AA8" s="49"/>
      <c r="AB8" s="72"/>
      <c r="AC8" s="72"/>
      <c r="AD8" s="72"/>
      <c r="AE8" s="72"/>
      <c r="AF8" s="49"/>
      <c r="AG8" s="49"/>
      <c r="AH8" s="49" t="s">
        <v>162</v>
      </c>
      <c r="AI8" s="49"/>
      <c r="AJ8" s="49"/>
      <c r="AK8" s="49" t="s">
        <v>161</v>
      </c>
      <c r="AL8" s="51" t="s">
        <v>163</v>
      </c>
      <c r="AM8" s="48" t="s">
        <v>160</v>
      </c>
      <c r="AQ8" s="48" t="str">
        <f t="shared" si="2"/>
        <v>SFDC02 Salesforce Customer OTC</v>
      </c>
      <c r="AR8" s="48" t="s">
        <v>164</v>
      </c>
    </row>
    <row r="9" spans="1:44" s="48" customFormat="1" ht="80" x14ac:dyDescent="0.2">
      <c r="A9" s="49" t="s">
        <v>16</v>
      </c>
      <c r="B9" s="49" t="s">
        <v>165</v>
      </c>
      <c r="C9" s="52" t="s">
        <v>166</v>
      </c>
      <c r="D9" s="52"/>
      <c r="E9" s="49" t="s">
        <v>141</v>
      </c>
      <c r="F9" s="49" t="s">
        <v>156</v>
      </c>
      <c r="G9" s="49" t="s">
        <v>157</v>
      </c>
      <c r="H9" s="49" t="s">
        <v>158</v>
      </c>
      <c r="I9" s="49" t="s">
        <v>159</v>
      </c>
      <c r="J9" s="49"/>
      <c r="K9" s="49" t="s">
        <v>159</v>
      </c>
      <c r="L9" s="49"/>
      <c r="M9" s="74"/>
      <c r="N9" s="78">
        <f>VLOOKUP(K9,'Drop Down'!$I$2:$K$14,3,FALSE)</f>
        <v>60</v>
      </c>
      <c r="O9" s="78">
        <f t="shared" si="0"/>
        <v>60</v>
      </c>
      <c r="P9" s="80">
        <f t="shared" ca="1" si="1"/>
        <v>46355</v>
      </c>
      <c r="Q9" s="49"/>
      <c r="R9" s="49"/>
      <c r="S9" s="49" t="s">
        <v>145</v>
      </c>
      <c r="T9" s="50">
        <v>45349</v>
      </c>
      <c r="U9" s="50"/>
      <c r="V9" s="50"/>
      <c r="W9" s="28" t="s">
        <v>160</v>
      </c>
      <c r="X9" s="49"/>
      <c r="Y9" s="49" t="s">
        <v>161</v>
      </c>
      <c r="Z9" s="49"/>
      <c r="AA9" s="49"/>
      <c r="AB9" s="72"/>
      <c r="AC9" s="72"/>
      <c r="AD9" s="72"/>
      <c r="AE9" s="72"/>
      <c r="AF9" s="49"/>
      <c r="AG9" s="49"/>
      <c r="AH9" s="49" t="s">
        <v>162</v>
      </c>
      <c r="AI9" s="49"/>
      <c r="AJ9" s="49"/>
      <c r="AK9" s="49" t="s">
        <v>161</v>
      </c>
      <c r="AL9" s="51" t="s">
        <v>167</v>
      </c>
      <c r="AM9" s="48" t="s">
        <v>160</v>
      </c>
      <c r="AQ9" s="48" t="str">
        <f t="shared" si="2"/>
        <v>SFDC03 Salesforce ShipToPartyMaster / Addresses OTC</v>
      </c>
      <c r="AR9" s="48" t="s">
        <v>168</v>
      </c>
    </row>
    <row r="10" spans="1:44" s="32" customFormat="1" ht="48" x14ac:dyDescent="0.2">
      <c r="A10" s="32" t="s">
        <v>27</v>
      </c>
      <c r="B10" s="32" t="s">
        <v>169</v>
      </c>
      <c r="C10" s="32" t="s">
        <v>170</v>
      </c>
      <c r="D10" s="28" t="s">
        <v>107</v>
      </c>
      <c r="E10" s="32" t="s">
        <v>108</v>
      </c>
      <c r="F10" s="32" t="s">
        <v>156</v>
      </c>
      <c r="G10" s="32" t="s">
        <v>110</v>
      </c>
      <c r="H10" s="32" t="s">
        <v>171</v>
      </c>
      <c r="I10" s="28" t="s">
        <v>172</v>
      </c>
      <c r="J10" s="28"/>
      <c r="K10" s="28" t="s">
        <v>113</v>
      </c>
      <c r="M10" s="97"/>
      <c r="N10" s="78">
        <f>VLOOKUP(K10,'Drop Down'!$I$2:$K$14,3,FALSE)</f>
        <v>30</v>
      </c>
      <c r="O10" s="78">
        <f t="shared" si="0"/>
        <v>30</v>
      </c>
      <c r="P10" s="80">
        <f t="shared" ca="1" si="1"/>
        <v>46325</v>
      </c>
      <c r="Q10" s="32" t="s">
        <v>173</v>
      </c>
      <c r="S10" s="115" t="s">
        <v>115</v>
      </c>
      <c r="T10" s="33"/>
      <c r="U10" s="134">
        <v>45565</v>
      </c>
      <c r="W10" s="109" t="s">
        <v>160</v>
      </c>
      <c r="Y10" s="32" t="s">
        <v>171</v>
      </c>
      <c r="AK10" s="32" t="s">
        <v>171</v>
      </c>
      <c r="AL10" s="35" t="s">
        <v>174</v>
      </c>
      <c r="AM10" s="35"/>
      <c r="AN10" s="35" t="s">
        <v>119</v>
      </c>
      <c r="AQ10" s="32" t="str">
        <f t="shared" si="2"/>
        <v>CFO001 Cforia Customer Payments &amp; Credits Finance</v>
      </c>
      <c r="AR10" s="32" t="s">
        <v>175</v>
      </c>
    </row>
    <row r="11" spans="1:44" ht="48" x14ac:dyDescent="0.2">
      <c r="A11" s="32" t="s">
        <v>27</v>
      </c>
      <c r="B11" s="32" t="s">
        <v>176</v>
      </c>
      <c r="C11" s="32" t="s">
        <v>177</v>
      </c>
      <c r="D11" s="28" t="s">
        <v>107</v>
      </c>
      <c r="E11" s="32" t="s">
        <v>108</v>
      </c>
      <c r="F11" s="32" t="s">
        <v>156</v>
      </c>
      <c r="G11" s="32" t="s">
        <v>110</v>
      </c>
      <c r="H11" s="32" t="s">
        <v>171</v>
      </c>
      <c r="I11" s="28" t="s">
        <v>172</v>
      </c>
      <c r="J11" s="28"/>
      <c r="K11" s="28" t="s">
        <v>113</v>
      </c>
      <c r="L11" s="32"/>
      <c r="M11" s="97"/>
      <c r="N11" s="78">
        <f>VLOOKUP(K11,'Drop Down'!$I$2:$K$14,3,FALSE)</f>
        <v>30</v>
      </c>
      <c r="O11" s="78">
        <f t="shared" si="0"/>
        <v>30</v>
      </c>
      <c r="P11" s="80">
        <f t="shared" ca="1" si="1"/>
        <v>46325</v>
      </c>
      <c r="Q11" s="32" t="s">
        <v>173</v>
      </c>
      <c r="R11" s="99"/>
      <c r="S11" s="115" t="s">
        <v>115</v>
      </c>
      <c r="T11" s="59"/>
      <c r="U11" s="134">
        <v>45565</v>
      </c>
      <c r="V11" s="93"/>
      <c r="W11" s="43" t="s">
        <v>160</v>
      </c>
      <c r="X11" s="32"/>
      <c r="Y11" s="32" t="s">
        <v>171</v>
      </c>
      <c r="Z11" s="32"/>
      <c r="AA11" s="32"/>
      <c r="AB11" s="32"/>
      <c r="AC11" s="32"/>
      <c r="AD11" s="32"/>
      <c r="AE11" s="32"/>
      <c r="AF11" s="32"/>
      <c r="AG11" s="32"/>
      <c r="AH11" s="32"/>
      <c r="AI11" s="32"/>
      <c r="AJ11" s="32"/>
      <c r="AK11" s="32" t="s">
        <v>171</v>
      </c>
      <c r="AL11" s="35" t="s">
        <v>178</v>
      </c>
      <c r="AQ11" s="35" t="str">
        <f t="shared" si="2"/>
        <v>CFO002 Cforia Customer Order Finance</v>
      </c>
      <c r="AR11" s="32" t="s">
        <v>179</v>
      </c>
    </row>
    <row r="12" spans="1:44" ht="48" x14ac:dyDescent="0.2">
      <c r="A12" s="32" t="s">
        <v>27</v>
      </c>
      <c r="B12" s="32" t="s">
        <v>180</v>
      </c>
      <c r="C12" s="32" t="s">
        <v>181</v>
      </c>
      <c r="D12" s="28" t="s">
        <v>107</v>
      </c>
      <c r="E12" s="32" t="s">
        <v>108</v>
      </c>
      <c r="F12" s="32" t="s">
        <v>156</v>
      </c>
      <c r="G12" s="32" t="s">
        <v>110</v>
      </c>
      <c r="H12" s="32" t="s">
        <v>171</v>
      </c>
      <c r="I12" s="28" t="s">
        <v>172</v>
      </c>
      <c r="J12" s="28"/>
      <c r="K12" s="28" t="s">
        <v>113</v>
      </c>
      <c r="L12" s="32"/>
      <c r="M12" s="97"/>
      <c r="N12" s="78">
        <f>VLOOKUP(K12,'Drop Down'!$I$2:$K$14,3,FALSE)</f>
        <v>30</v>
      </c>
      <c r="O12" s="78">
        <f t="shared" si="0"/>
        <v>30</v>
      </c>
      <c r="P12" s="80">
        <f t="shared" ca="1" si="1"/>
        <v>46325</v>
      </c>
      <c r="Q12" s="32" t="s">
        <v>173</v>
      </c>
      <c r="R12" s="99"/>
      <c r="S12" s="115" t="s">
        <v>115</v>
      </c>
      <c r="T12" s="59"/>
      <c r="U12" s="134">
        <v>45565</v>
      </c>
      <c r="V12" s="93"/>
      <c r="W12" s="43" t="s">
        <v>160</v>
      </c>
      <c r="X12" s="32"/>
      <c r="Y12" s="32" t="s">
        <v>171</v>
      </c>
      <c r="Z12" s="32"/>
      <c r="AA12" s="32"/>
      <c r="AB12" s="32"/>
      <c r="AC12" s="32"/>
      <c r="AD12" s="32"/>
      <c r="AE12" s="32"/>
      <c r="AF12" s="32"/>
      <c r="AG12" s="32"/>
      <c r="AH12" s="32"/>
      <c r="AI12" s="32"/>
      <c r="AJ12" s="32"/>
      <c r="AK12" s="32" t="s">
        <v>171</v>
      </c>
      <c r="AL12" s="35" t="s">
        <v>178</v>
      </c>
      <c r="AQ12" s="35" t="str">
        <f t="shared" si="2"/>
        <v>CFO003 Cforia Customer Master Finance</v>
      </c>
      <c r="AR12" s="32" t="s">
        <v>182</v>
      </c>
    </row>
    <row r="13" spans="1:44" ht="48" x14ac:dyDescent="0.2">
      <c r="A13" s="32" t="s">
        <v>27</v>
      </c>
      <c r="B13" s="32" t="s">
        <v>183</v>
      </c>
      <c r="C13" s="32" t="s">
        <v>184</v>
      </c>
      <c r="D13" s="28" t="s">
        <v>107</v>
      </c>
      <c r="E13" s="32" t="s">
        <v>108</v>
      </c>
      <c r="F13" s="32" t="s">
        <v>156</v>
      </c>
      <c r="G13" s="32" t="s">
        <v>110</v>
      </c>
      <c r="H13" s="32" t="s">
        <v>171</v>
      </c>
      <c r="I13" s="32" t="s">
        <v>172</v>
      </c>
      <c r="J13" s="28"/>
      <c r="K13" s="28" t="s">
        <v>113</v>
      </c>
      <c r="L13" s="32"/>
      <c r="M13" s="97"/>
      <c r="N13" s="78">
        <f>VLOOKUP(K13,'Drop Down'!$I$2:$K$14,3,FALSE)</f>
        <v>30</v>
      </c>
      <c r="O13" s="78">
        <f t="shared" si="0"/>
        <v>30</v>
      </c>
      <c r="P13" s="80">
        <f t="shared" ca="1" si="1"/>
        <v>46325</v>
      </c>
      <c r="Q13" s="32" t="s">
        <v>173</v>
      </c>
      <c r="R13" s="59"/>
      <c r="S13" s="115" t="s">
        <v>115</v>
      </c>
      <c r="T13" s="59"/>
      <c r="U13" s="134">
        <v>45565</v>
      </c>
      <c r="V13" s="93"/>
      <c r="W13" s="43" t="s">
        <v>160</v>
      </c>
      <c r="X13" s="32"/>
      <c r="Y13" s="32" t="s">
        <v>171</v>
      </c>
      <c r="Z13" s="32"/>
      <c r="AA13" s="32"/>
      <c r="AB13" s="32"/>
      <c r="AC13" s="32"/>
      <c r="AD13" s="32"/>
      <c r="AE13" s="32"/>
      <c r="AF13" s="32"/>
      <c r="AG13" s="32"/>
      <c r="AH13" s="32"/>
      <c r="AI13" s="32"/>
      <c r="AJ13" s="32"/>
      <c r="AK13" s="32" t="s">
        <v>171</v>
      </c>
      <c r="AL13" s="35" t="s">
        <v>178</v>
      </c>
      <c r="AQ13" s="35" t="str">
        <f t="shared" si="2"/>
        <v>CFO004 Cforia Invoice Payment History Finance</v>
      </c>
      <c r="AR13" s="32" t="s">
        <v>185</v>
      </c>
    </row>
    <row r="14" spans="1:44" ht="48" x14ac:dyDescent="0.2">
      <c r="A14" s="32" t="s">
        <v>27</v>
      </c>
      <c r="B14" s="32" t="s">
        <v>186</v>
      </c>
      <c r="C14" s="32" t="s">
        <v>187</v>
      </c>
      <c r="D14" s="28" t="s">
        <v>107</v>
      </c>
      <c r="E14" s="32" t="s">
        <v>108</v>
      </c>
      <c r="F14" s="32" t="s">
        <v>156</v>
      </c>
      <c r="G14" s="32" t="s">
        <v>110</v>
      </c>
      <c r="H14" s="32" t="s">
        <v>171</v>
      </c>
      <c r="I14" s="32" t="s">
        <v>172</v>
      </c>
      <c r="J14" s="28"/>
      <c r="K14" s="28" t="s">
        <v>113</v>
      </c>
      <c r="L14" s="32"/>
      <c r="M14" s="97"/>
      <c r="N14" s="78">
        <f>VLOOKUP(K14,'Drop Down'!$I$2:$K$14,3,FALSE)</f>
        <v>30</v>
      </c>
      <c r="O14" s="78">
        <f t="shared" si="0"/>
        <v>30</v>
      </c>
      <c r="P14" s="80">
        <f t="shared" ca="1" si="1"/>
        <v>46325</v>
      </c>
      <c r="Q14" s="32" t="s">
        <v>173</v>
      </c>
      <c r="R14" s="99"/>
      <c r="S14" s="115" t="s">
        <v>115</v>
      </c>
      <c r="T14" s="59"/>
      <c r="U14" s="134">
        <v>45565</v>
      </c>
      <c r="V14" s="93"/>
      <c r="W14" s="43" t="s">
        <v>160</v>
      </c>
      <c r="X14" s="32"/>
      <c r="Y14" s="32" t="s">
        <v>188</v>
      </c>
      <c r="Z14" s="32"/>
      <c r="AA14" s="32"/>
      <c r="AB14" s="32"/>
      <c r="AC14" s="32"/>
      <c r="AD14" s="32"/>
      <c r="AE14" s="32"/>
      <c r="AF14" s="32"/>
      <c r="AG14" s="32"/>
      <c r="AH14" s="32"/>
      <c r="AI14" s="32"/>
      <c r="AJ14" s="32"/>
      <c r="AK14" s="32" t="s">
        <v>188</v>
      </c>
      <c r="AL14" s="35" t="s">
        <v>178</v>
      </c>
      <c r="AQ14" s="35" t="str">
        <f t="shared" si="2"/>
        <v>CFO005 Cforia Invoice Copies IDM (PDF) Finance</v>
      </c>
      <c r="AR14" s="32" t="s">
        <v>189</v>
      </c>
    </row>
    <row r="15" spans="1:44" ht="112" x14ac:dyDescent="0.2">
      <c r="A15" s="32" t="s">
        <v>54</v>
      </c>
      <c r="B15" s="32" t="s">
        <v>190</v>
      </c>
      <c r="C15" s="32" t="s">
        <v>191</v>
      </c>
      <c r="D15" s="28" t="s">
        <v>107</v>
      </c>
      <c r="E15" s="32" t="s">
        <v>108</v>
      </c>
      <c r="F15" s="32" t="s">
        <v>156</v>
      </c>
      <c r="G15" s="32" t="s">
        <v>110</v>
      </c>
      <c r="H15" s="32" t="s">
        <v>192</v>
      </c>
      <c r="I15" s="32" t="s">
        <v>112</v>
      </c>
      <c r="J15" s="32"/>
      <c r="K15" s="32" t="s">
        <v>193</v>
      </c>
      <c r="L15" s="32"/>
      <c r="M15" s="97"/>
      <c r="N15" s="78">
        <f>VLOOKUP(K15,'Drop Down'!$I$2:$K$14,3,FALSE)</f>
        <v>12</v>
      </c>
      <c r="O15" s="78">
        <f t="shared" si="0"/>
        <v>12</v>
      </c>
      <c r="P15" s="80">
        <f t="shared" ca="1" si="1"/>
        <v>46307</v>
      </c>
      <c r="Q15" s="32" t="s">
        <v>114</v>
      </c>
      <c r="R15" s="99"/>
      <c r="S15" s="29" t="s">
        <v>115</v>
      </c>
      <c r="T15" s="59"/>
      <c r="U15" s="36">
        <v>45555</v>
      </c>
      <c r="V15" s="93"/>
      <c r="W15" s="32" t="s">
        <v>160</v>
      </c>
      <c r="X15" s="32"/>
      <c r="Y15" s="32" t="s">
        <v>171</v>
      </c>
      <c r="Z15" s="32"/>
      <c r="AA15" s="32"/>
      <c r="AB15" s="32"/>
      <c r="AC15" s="32"/>
      <c r="AD15" s="32"/>
      <c r="AE15" s="32"/>
      <c r="AF15" s="36" t="s">
        <v>194</v>
      </c>
      <c r="AH15" s="32"/>
      <c r="AI15" s="32"/>
      <c r="AJ15" s="32"/>
      <c r="AK15" s="32" t="s">
        <v>171</v>
      </c>
      <c r="AL15" s="92" t="s">
        <v>195</v>
      </c>
      <c r="AM15" s="32" t="s">
        <v>196</v>
      </c>
      <c r="AQ15" s="35" t="str">
        <f t="shared" si="2"/>
        <v>CON002 Concur  Goods Receipts Finance</v>
      </c>
      <c r="AR15" s="32" t="s">
        <v>197</v>
      </c>
    </row>
    <row r="16" spans="1:44" ht="112" x14ac:dyDescent="0.2">
      <c r="A16" s="32" t="s">
        <v>54</v>
      </c>
      <c r="B16" s="32" t="s">
        <v>198</v>
      </c>
      <c r="C16" s="32" t="s">
        <v>199</v>
      </c>
      <c r="D16" s="28" t="s">
        <v>107</v>
      </c>
      <c r="E16" s="32" t="s">
        <v>108</v>
      </c>
      <c r="F16" s="32" t="s">
        <v>156</v>
      </c>
      <c r="G16" s="32" t="s">
        <v>110</v>
      </c>
      <c r="H16" s="32" t="s">
        <v>192</v>
      </c>
      <c r="I16" s="32" t="s">
        <v>112</v>
      </c>
      <c r="J16" s="32"/>
      <c r="K16" s="32" t="s">
        <v>200</v>
      </c>
      <c r="L16" s="32"/>
      <c r="M16" s="97"/>
      <c r="N16" s="78">
        <f>VLOOKUP(K16,'Drop Down'!$I$2:$K$14,3,FALSE)</f>
        <v>25</v>
      </c>
      <c r="O16" s="78">
        <f t="shared" si="0"/>
        <v>25</v>
      </c>
      <c r="P16" s="80">
        <f t="shared" ca="1" si="1"/>
        <v>46320</v>
      </c>
      <c r="Q16" s="32" t="s">
        <v>114</v>
      </c>
      <c r="R16" s="99"/>
      <c r="S16" s="29" t="s">
        <v>115</v>
      </c>
      <c r="T16" s="59"/>
      <c r="U16" s="36">
        <v>45555</v>
      </c>
      <c r="V16" s="93"/>
      <c r="W16" s="32" t="s">
        <v>160</v>
      </c>
      <c r="X16" s="32"/>
      <c r="Y16" s="32" t="s">
        <v>171</v>
      </c>
      <c r="Z16" s="32"/>
      <c r="AA16" s="32"/>
      <c r="AB16" s="32"/>
      <c r="AC16" s="32"/>
      <c r="AD16" s="32"/>
      <c r="AE16" s="32"/>
      <c r="AF16" s="36" t="s">
        <v>194</v>
      </c>
      <c r="AH16" s="32"/>
      <c r="AI16" s="32"/>
      <c r="AJ16" s="32"/>
      <c r="AK16" s="32" t="s">
        <v>171</v>
      </c>
      <c r="AL16" s="92" t="s">
        <v>195</v>
      </c>
    </row>
    <row r="17" spans="1:44" ht="112" x14ac:dyDescent="0.2">
      <c r="A17" s="32" t="s">
        <v>54</v>
      </c>
      <c r="B17" s="32" t="s">
        <v>201</v>
      </c>
      <c r="C17" s="32" t="s">
        <v>202</v>
      </c>
      <c r="D17" s="28" t="s">
        <v>107</v>
      </c>
      <c r="E17" s="32" t="s">
        <v>108</v>
      </c>
      <c r="F17" s="32" t="s">
        <v>156</v>
      </c>
      <c r="G17" s="32" t="s">
        <v>110</v>
      </c>
      <c r="H17" s="32" t="s">
        <v>192</v>
      </c>
      <c r="I17" s="32" t="s">
        <v>112</v>
      </c>
      <c r="J17" s="32"/>
      <c r="K17" s="32" t="s">
        <v>200</v>
      </c>
      <c r="L17" s="32"/>
      <c r="M17" s="97"/>
      <c r="N17" s="78">
        <f>VLOOKUP(K17,'Drop Down'!$I$2:$K$14,3,FALSE)</f>
        <v>25</v>
      </c>
      <c r="O17" s="78">
        <f t="shared" si="0"/>
        <v>25</v>
      </c>
      <c r="P17" s="80">
        <f t="shared" ca="1" si="1"/>
        <v>46320</v>
      </c>
      <c r="Q17" s="32" t="s">
        <v>114</v>
      </c>
      <c r="R17" s="99"/>
      <c r="S17" s="29" t="s">
        <v>115</v>
      </c>
      <c r="T17" s="59"/>
      <c r="U17" s="36">
        <v>45555</v>
      </c>
      <c r="V17" s="93"/>
      <c r="W17" s="32" t="s">
        <v>160</v>
      </c>
      <c r="X17" s="32"/>
      <c r="Y17" s="32" t="s">
        <v>171</v>
      </c>
      <c r="Z17" s="32"/>
      <c r="AA17" s="32"/>
      <c r="AB17" s="32"/>
      <c r="AC17" s="32"/>
      <c r="AD17" s="32"/>
      <c r="AE17" s="32"/>
      <c r="AF17" s="36" t="s">
        <v>194</v>
      </c>
      <c r="AH17" s="32"/>
      <c r="AI17" s="32"/>
      <c r="AJ17" s="32"/>
      <c r="AK17" s="32" t="s">
        <v>171</v>
      </c>
      <c r="AL17" s="92" t="s">
        <v>195</v>
      </c>
      <c r="AQ17" s="35" t="str">
        <f t="shared" ref="AQ17:AQ40" si="3">CONCATENATE(B17, " ", A17, " ",C17, " ", E17)</f>
        <v>CON004 Concur  PO Lines Finance</v>
      </c>
      <c r="AR17" s="32" t="s">
        <v>203</v>
      </c>
    </row>
    <row r="18" spans="1:44" s="45" customFormat="1" ht="48" x14ac:dyDescent="0.2">
      <c r="A18" s="43" t="s">
        <v>19</v>
      </c>
      <c r="B18" s="43" t="s">
        <v>204</v>
      </c>
      <c r="C18" s="43" t="s">
        <v>205</v>
      </c>
      <c r="D18" s="43"/>
      <c r="E18" s="43" t="s">
        <v>141</v>
      </c>
      <c r="F18" s="43" t="s">
        <v>109</v>
      </c>
      <c r="G18" s="43" t="s">
        <v>206</v>
      </c>
      <c r="H18" s="43" t="s">
        <v>111</v>
      </c>
      <c r="I18" s="43" t="s">
        <v>159</v>
      </c>
      <c r="J18" s="43"/>
      <c r="K18" s="43" t="s">
        <v>159</v>
      </c>
      <c r="L18" s="43"/>
      <c r="M18" s="76"/>
      <c r="N18" s="78">
        <f>VLOOKUP(K18,'Drop Down'!$I$2:$K$14,3,FALSE)</f>
        <v>60</v>
      </c>
      <c r="O18" s="78">
        <f t="shared" si="0"/>
        <v>60</v>
      </c>
      <c r="P18" s="80">
        <f t="shared" ca="1" si="1"/>
        <v>46355</v>
      </c>
      <c r="Q18" s="43" t="s">
        <v>207</v>
      </c>
      <c r="R18" s="61"/>
      <c r="S18" s="57" t="s">
        <v>146</v>
      </c>
      <c r="T18" s="58" t="s">
        <v>146</v>
      </c>
      <c r="U18" s="58" t="s">
        <v>146</v>
      </c>
      <c r="V18" s="64" t="s">
        <v>146</v>
      </c>
      <c r="W18" s="43" t="s">
        <v>160</v>
      </c>
      <c r="X18" s="44" t="s">
        <v>146</v>
      </c>
      <c r="Y18" s="44"/>
      <c r="Z18" s="44" t="s">
        <v>146</v>
      </c>
      <c r="AA18" s="44" t="s">
        <v>146</v>
      </c>
      <c r="AB18" s="44" t="s">
        <v>146</v>
      </c>
      <c r="AC18" s="44"/>
      <c r="AD18" s="44"/>
      <c r="AE18" s="44"/>
      <c r="AF18" s="44"/>
      <c r="AG18" s="44"/>
      <c r="AH18" s="44"/>
      <c r="AI18" s="44" t="s">
        <v>146</v>
      </c>
      <c r="AJ18" s="44" t="s">
        <v>146</v>
      </c>
      <c r="AK18" s="44" t="s">
        <v>146</v>
      </c>
      <c r="AL18" s="45" t="s">
        <v>208</v>
      </c>
      <c r="AM18" s="94" t="s">
        <v>146</v>
      </c>
      <c r="AQ18" s="45" t="str">
        <f t="shared" si="3"/>
        <v>EDI007 SPS Commerce EDI Application Advice EDI 824 OTC</v>
      </c>
      <c r="AR18" s="46" t="s">
        <v>209</v>
      </c>
    </row>
    <row r="19" spans="1:44" s="32" customFormat="1" ht="112" x14ac:dyDescent="0.2">
      <c r="A19" s="32" t="s">
        <v>54</v>
      </c>
      <c r="B19" s="32" t="s">
        <v>210</v>
      </c>
      <c r="C19" s="32" t="s">
        <v>211</v>
      </c>
      <c r="D19" s="28" t="s">
        <v>107</v>
      </c>
      <c r="E19" s="32" t="s">
        <v>108</v>
      </c>
      <c r="F19" s="32" t="s">
        <v>156</v>
      </c>
      <c r="G19" s="32" t="s">
        <v>110</v>
      </c>
      <c r="H19" s="32" t="s">
        <v>192</v>
      </c>
      <c r="I19" s="32" t="s">
        <v>112</v>
      </c>
      <c r="K19" s="32" t="s">
        <v>200</v>
      </c>
      <c r="M19" s="97"/>
      <c r="N19" s="78">
        <f>VLOOKUP(K19,'Drop Down'!$I$2:$K$14,3,FALSE)</f>
        <v>25</v>
      </c>
      <c r="O19" s="78">
        <f t="shared" si="0"/>
        <v>25</v>
      </c>
      <c r="P19" s="80">
        <f t="shared" ca="1" si="1"/>
        <v>46320</v>
      </c>
      <c r="Q19" s="32" t="s">
        <v>114</v>
      </c>
      <c r="S19" s="29" t="s">
        <v>115</v>
      </c>
      <c r="T19" s="28"/>
      <c r="U19" s="36">
        <v>45555</v>
      </c>
      <c r="W19" s="32" t="s">
        <v>160</v>
      </c>
      <c r="Y19" s="32" t="s">
        <v>171</v>
      </c>
      <c r="AF19" s="36" t="s">
        <v>194</v>
      </c>
      <c r="AG19" s="36"/>
      <c r="AK19" s="32" t="s">
        <v>171</v>
      </c>
      <c r="AL19" s="92" t="s">
        <v>195</v>
      </c>
      <c r="AM19" s="17"/>
      <c r="AN19" s="3" t="s">
        <v>212</v>
      </c>
      <c r="AQ19" s="32" t="str">
        <f t="shared" si="3"/>
        <v>CON005 Concur  Vendor Infor Finance</v>
      </c>
      <c r="AR19" s="32" t="s">
        <v>213</v>
      </c>
    </row>
    <row r="20" spans="1:44" s="32" customFormat="1" ht="112" x14ac:dyDescent="0.2">
      <c r="A20" s="32" t="s">
        <v>54</v>
      </c>
      <c r="B20" s="32" t="s">
        <v>214</v>
      </c>
      <c r="C20" s="32" t="s">
        <v>215</v>
      </c>
      <c r="D20" s="28" t="s">
        <v>140</v>
      </c>
      <c r="E20" s="32" t="s">
        <v>108</v>
      </c>
      <c r="F20" s="32" t="s">
        <v>109</v>
      </c>
      <c r="G20" s="32" t="s">
        <v>110</v>
      </c>
      <c r="H20" s="32" t="s">
        <v>192</v>
      </c>
      <c r="I20" s="35" t="s">
        <v>98</v>
      </c>
      <c r="J20" s="35"/>
      <c r="K20" s="35" t="s">
        <v>113</v>
      </c>
      <c r="L20" s="35"/>
      <c r="M20" s="75"/>
      <c r="N20" s="78">
        <f>VLOOKUP(K20,'Drop Down'!$I$2:$K$14,3,FALSE)</f>
        <v>30</v>
      </c>
      <c r="O20" s="78">
        <f t="shared" si="0"/>
        <v>30</v>
      </c>
      <c r="P20" s="80">
        <f t="shared" ca="1" si="1"/>
        <v>46325</v>
      </c>
      <c r="Q20" s="32" t="s">
        <v>114</v>
      </c>
      <c r="S20" s="29" t="s">
        <v>115</v>
      </c>
      <c r="T20" s="36"/>
      <c r="U20" s="36">
        <v>45555</v>
      </c>
      <c r="V20" s="36"/>
      <c r="W20" s="32" t="s">
        <v>216</v>
      </c>
      <c r="X20" s="32" t="s">
        <v>130</v>
      </c>
      <c r="Z20" s="32" t="s">
        <v>130</v>
      </c>
      <c r="AA20" s="36"/>
      <c r="AB20" s="36"/>
      <c r="AC20" s="36" t="s">
        <v>130</v>
      </c>
      <c r="AD20" s="36">
        <v>45415</v>
      </c>
      <c r="AE20" s="36"/>
      <c r="AF20" s="36" t="s">
        <v>194</v>
      </c>
      <c r="AG20" s="36" t="s">
        <v>217</v>
      </c>
      <c r="AH20" s="36"/>
      <c r="AI20" s="36"/>
      <c r="AL20" s="92" t="s">
        <v>195</v>
      </c>
      <c r="AM20" s="17" t="s">
        <v>218</v>
      </c>
      <c r="AN20" s="3" t="s">
        <v>219</v>
      </c>
      <c r="AQ20" s="32" t="str">
        <f t="shared" si="3"/>
        <v>CON001 Concur  SupplierInvoice Finance</v>
      </c>
      <c r="AR20" s="32" t="s">
        <v>220</v>
      </c>
    </row>
    <row r="21" spans="1:44" s="32" customFormat="1" ht="32" x14ac:dyDescent="0.2">
      <c r="A21" s="32" t="s">
        <v>54</v>
      </c>
      <c r="B21" s="32" t="s">
        <v>221</v>
      </c>
      <c r="C21" s="32" t="s">
        <v>222</v>
      </c>
      <c r="D21" s="28" t="s">
        <v>107</v>
      </c>
      <c r="E21" s="32" t="s">
        <v>108</v>
      </c>
      <c r="F21" s="32" t="s">
        <v>109</v>
      </c>
      <c r="G21" s="32" t="s">
        <v>110</v>
      </c>
      <c r="H21" s="32" t="s">
        <v>192</v>
      </c>
      <c r="I21" s="33" t="s">
        <v>112</v>
      </c>
      <c r="J21" s="33"/>
      <c r="K21" s="33" t="s">
        <v>113</v>
      </c>
      <c r="M21" s="97"/>
      <c r="N21" s="78"/>
      <c r="O21" s="78"/>
      <c r="P21" s="80"/>
      <c r="Q21" s="32" t="s">
        <v>173</v>
      </c>
      <c r="S21" s="29" t="s">
        <v>115</v>
      </c>
      <c r="U21" s="36">
        <v>45565</v>
      </c>
      <c r="W21" s="32" t="s">
        <v>160</v>
      </c>
      <c r="Z21" s="35"/>
      <c r="AA21" s="35"/>
      <c r="AB21" s="35"/>
      <c r="AC21" s="35"/>
      <c r="AD21" s="35"/>
      <c r="AE21" s="35"/>
      <c r="AF21" s="35"/>
      <c r="AG21" s="35"/>
      <c r="AH21" s="110"/>
      <c r="AI21" s="131"/>
      <c r="AL21" s="92" t="s">
        <v>223</v>
      </c>
      <c r="AM21" s="59" t="s">
        <v>224</v>
      </c>
      <c r="AN21" s="3" t="s">
        <v>212</v>
      </c>
      <c r="AQ21" s="32" t="str">
        <f t="shared" si="3"/>
        <v>CONO06 Concur  T&amp;E expense posting Finance</v>
      </c>
    </row>
    <row r="22" spans="1:44" s="32" customFormat="1" ht="176" x14ac:dyDescent="0.2">
      <c r="A22" s="42" t="s">
        <v>30</v>
      </c>
      <c r="B22" s="42" t="s">
        <v>225</v>
      </c>
      <c r="C22" s="42" t="s">
        <v>226</v>
      </c>
      <c r="D22" s="28" t="s">
        <v>107</v>
      </c>
      <c r="E22" s="42" t="s">
        <v>227</v>
      </c>
      <c r="F22" s="42" t="s">
        <v>109</v>
      </c>
      <c r="G22" s="42" t="s">
        <v>228</v>
      </c>
      <c r="H22" s="42" t="s">
        <v>111</v>
      </c>
      <c r="I22" s="42" t="s">
        <v>112</v>
      </c>
      <c r="J22" s="42"/>
      <c r="K22" s="42" t="s">
        <v>200</v>
      </c>
      <c r="L22" s="42"/>
      <c r="M22" s="75"/>
      <c r="N22" s="78">
        <f>VLOOKUP(K22,'Drop Down'!$I$2:$K$14,3,FALSE)</f>
        <v>25</v>
      </c>
      <c r="O22" s="78">
        <f t="shared" ref="O22:O37" si="4">SUM(M22:N22)</f>
        <v>25</v>
      </c>
      <c r="P22" s="80">
        <f t="shared" ref="P22:P37" ca="1" si="5">TODAY()+O22</f>
        <v>46320</v>
      </c>
      <c r="Q22" s="42" t="s">
        <v>229</v>
      </c>
      <c r="R22" s="42" t="s">
        <v>115</v>
      </c>
      <c r="S22" s="42" t="s">
        <v>130</v>
      </c>
      <c r="T22" s="101">
        <v>45457</v>
      </c>
      <c r="U22" s="101" t="s">
        <v>230</v>
      </c>
      <c r="V22" s="103">
        <v>45407</v>
      </c>
      <c r="W22" s="42" t="s">
        <v>160</v>
      </c>
      <c r="X22" s="42" t="s">
        <v>127</v>
      </c>
      <c r="Y22" s="42" t="s">
        <v>171</v>
      </c>
      <c r="Z22" s="35"/>
      <c r="AA22" s="36"/>
      <c r="AB22" s="36"/>
      <c r="AC22" s="36"/>
      <c r="AD22" s="36"/>
      <c r="AE22" s="36"/>
      <c r="AF22" s="36" t="s">
        <v>194</v>
      </c>
      <c r="AG22" s="36" t="s">
        <v>171</v>
      </c>
      <c r="AH22" s="36"/>
      <c r="AI22" s="36"/>
      <c r="AJ22" s="35"/>
      <c r="AK22" s="35"/>
      <c r="AL22" s="92" t="s">
        <v>231</v>
      </c>
      <c r="AM22" s="17" t="s">
        <v>232</v>
      </c>
      <c r="AN22" s="93" t="s">
        <v>233</v>
      </c>
      <c r="AQ22" s="32" t="str">
        <f t="shared" si="3"/>
        <v>FED001 Fedex FedEx Tracking Number Update Supply chain</v>
      </c>
      <c r="AR22" s="32" t="s">
        <v>234</v>
      </c>
    </row>
    <row r="23" spans="1:44" s="32" customFormat="1" ht="16" hidden="1" x14ac:dyDescent="0.2">
      <c r="A23" s="32" t="s">
        <v>30</v>
      </c>
      <c r="B23" s="32" t="s">
        <v>235</v>
      </c>
      <c r="C23" s="84" t="s">
        <v>236</v>
      </c>
      <c r="D23" s="96" t="s">
        <v>140</v>
      </c>
      <c r="E23" s="32" t="s">
        <v>227</v>
      </c>
      <c r="F23" s="32" t="s">
        <v>156</v>
      </c>
      <c r="G23" s="32" t="s">
        <v>237</v>
      </c>
      <c r="H23" s="32" t="s">
        <v>111</v>
      </c>
      <c r="I23" s="32" t="s">
        <v>112</v>
      </c>
      <c r="K23" s="32" t="s">
        <v>200</v>
      </c>
      <c r="M23" s="97"/>
      <c r="N23" s="78">
        <f>VLOOKUP(K23,'Drop Down'!$I$2:$K$14,3,FALSE)</f>
        <v>25</v>
      </c>
      <c r="O23" s="78">
        <f t="shared" si="4"/>
        <v>25</v>
      </c>
      <c r="P23" s="80">
        <f t="shared" ca="1" si="5"/>
        <v>46320</v>
      </c>
      <c r="T23" s="32" t="s">
        <v>238</v>
      </c>
      <c r="Y23" s="32" t="s">
        <v>111</v>
      </c>
      <c r="AK23" s="32" t="s">
        <v>111</v>
      </c>
      <c r="AL23" s="99"/>
      <c r="AM23" s="59"/>
      <c r="AN23" s="93" t="s">
        <v>233</v>
      </c>
      <c r="AQ23" s="32" t="str">
        <f t="shared" si="3"/>
        <v>FED002 Fedex FedEx Shipping information Supply chain</v>
      </c>
      <c r="AR23" s="32" t="s">
        <v>239</v>
      </c>
    </row>
    <row r="24" spans="1:44" s="33" customFormat="1" ht="96" x14ac:dyDescent="0.2">
      <c r="A24" s="95" t="s">
        <v>39</v>
      </c>
      <c r="B24" s="95" t="s">
        <v>240</v>
      </c>
      <c r="C24" s="95" t="s">
        <v>241</v>
      </c>
      <c r="D24" s="28" t="s">
        <v>107</v>
      </c>
      <c r="E24" s="95" t="s">
        <v>141</v>
      </c>
      <c r="F24" s="95" t="s">
        <v>109</v>
      </c>
      <c r="G24" s="33" t="s">
        <v>242</v>
      </c>
      <c r="H24" s="95" t="s">
        <v>143</v>
      </c>
      <c r="I24" s="95" t="s">
        <v>112</v>
      </c>
      <c r="J24" s="95"/>
      <c r="K24" s="95" t="s">
        <v>200</v>
      </c>
      <c r="L24" s="95"/>
      <c r="M24" s="98"/>
      <c r="N24" s="78">
        <f>VLOOKUP(K24,'Drop Down'!$I$2:$K$14,3,FALSE)</f>
        <v>25</v>
      </c>
      <c r="O24" s="78">
        <f t="shared" si="4"/>
        <v>25</v>
      </c>
      <c r="P24" s="80">
        <f t="shared" ca="1" si="5"/>
        <v>46320</v>
      </c>
      <c r="Q24" s="95" t="s">
        <v>207</v>
      </c>
      <c r="R24" s="95" t="s">
        <v>115</v>
      </c>
      <c r="S24" s="95" t="s">
        <v>130</v>
      </c>
      <c r="T24" s="105">
        <v>45470</v>
      </c>
      <c r="U24" s="105" t="s">
        <v>230</v>
      </c>
      <c r="V24" s="108">
        <v>45430</v>
      </c>
      <c r="W24" s="42" t="s">
        <v>160</v>
      </c>
      <c r="X24" s="95" t="s">
        <v>130</v>
      </c>
      <c r="Y24" s="95"/>
      <c r="Z24" s="34"/>
      <c r="AA24" s="65"/>
      <c r="AB24" s="65"/>
      <c r="AC24" s="65" t="s">
        <v>130</v>
      </c>
      <c r="AD24" s="65"/>
      <c r="AE24" s="65"/>
      <c r="AF24" s="65" t="s">
        <v>194</v>
      </c>
      <c r="AG24" s="65"/>
      <c r="AH24" s="65"/>
      <c r="AI24" s="65"/>
      <c r="AJ24" s="34"/>
      <c r="AK24" s="34"/>
      <c r="AL24" s="34" t="s">
        <v>243</v>
      </c>
      <c r="AM24" s="34" t="s">
        <v>244</v>
      </c>
      <c r="AQ24" s="33" t="str">
        <f t="shared" si="3"/>
        <v>OPT006 Optimizely Order (email) OTC</v>
      </c>
      <c r="AR24" s="33" t="s">
        <v>245</v>
      </c>
    </row>
    <row r="25" spans="1:44" s="33" customFormat="1" hidden="1" x14ac:dyDescent="0.2">
      <c r="A25" s="33" t="s">
        <v>39</v>
      </c>
      <c r="B25" s="33" t="s">
        <v>246</v>
      </c>
      <c r="C25" s="33" t="s">
        <v>247</v>
      </c>
      <c r="D25" s="28" t="s">
        <v>107</v>
      </c>
      <c r="E25" s="33" t="s">
        <v>141</v>
      </c>
      <c r="F25" s="33" t="s">
        <v>156</v>
      </c>
      <c r="G25" s="33" t="s">
        <v>242</v>
      </c>
      <c r="H25" s="33" t="s">
        <v>111</v>
      </c>
      <c r="I25" s="33" t="s">
        <v>172</v>
      </c>
      <c r="K25" s="33" t="s">
        <v>113</v>
      </c>
      <c r="M25" s="73"/>
      <c r="N25" s="78">
        <f>VLOOKUP(K25,'Drop Down'!$I$2:$K$14,3,FALSE)</f>
        <v>30</v>
      </c>
      <c r="O25" s="78">
        <f t="shared" si="4"/>
        <v>30</v>
      </c>
      <c r="P25" s="80">
        <f t="shared" ca="1" si="5"/>
        <v>46325</v>
      </c>
      <c r="Q25" s="33" t="s">
        <v>144</v>
      </c>
      <c r="S25" s="33" t="s">
        <v>130</v>
      </c>
      <c r="W25" s="32"/>
      <c r="Y25" s="33" t="s">
        <v>171</v>
      </c>
      <c r="AK25" s="33" t="s">
        <v>171</v>
      </c>
      <c r="AL25" s="33" t="s">
        <v>248</v>
      </c>
      <c r="AQ25" s="33" t="str">
        <f t="shared" si="3"/>
        <v>OPT001 Optimizely Customer and Addresses OTC</v>
      </c>
      <c r="AR25" s="33" t="s">
        <v>249</v>
      </c>
    </row>
    <row r="26" spans="1:44" s="33" customFormat="1" ht="32" hidden="1" x14ac:dyDescent="0.2">
      <c r="A26" s="33" t="s">
        <v>39</v>
      </c>
      <c r="B26" s="33" t="s">
        <v>250</v>
      </c>
      <c r="C26" s="33" t="s">
        <v>251</v>
      </c>
      <c r="D26" s="28" t="s">
        <v>107</v>
      </c>
      <c r="E26" s="33" t="s">
        <v>141</v>
      </c>
      <c r="F26" s="33" t="s">
        <v>156</v>
      </c>
      <c r="G26" s="33" t="s">
        <v>242</v>
      </c>
      <c r="H26" s="33" t="s">
        <v>111</v>
      </c>
      <c r="I26" s="33" t="s">
        <v>172</v>
      </c>
      <c r="K26" s="33" t="s">
        <v>113</v>
      </c>
      <c r="M26" s="73"/>
      <c r="N26" s="78">
        <f>VLOOKUP(K26,'Drop Down'!$I$2:$K$14,3,FALSE)</f>
        <v>30</v>
      </c>
      <c r="O26" s="78">
        <f t="shared" si="4"/>
        <v>30</v>
      </c>
      <c r="P26" s="80">
        <f t="shared" ca="1" si="5"/>
        <v>46325</v>
      </c>
      <c r="Q26" s="33" t="s">
        <v>144</v>
      </c>
      <c r="S26" s="33" t="s">
        <v>130</v>
      </c>
      <c r="W26" s="32"/>
      <c r="Y26" s="33" t="s">
        <v>171</v>
      </c>
      <c r="AK26" s="33" t="s">
        <v>171</v>
      </c>
      <c r="AL26" s="119" t="s">
        <v>252</v>
      </c>
      <c r="AQ26" s="33" t="str">
        <f t="shared" si="3"/>
        <v>OPT002 Optimizely Items OTC</v>
      </c>
      <c r="AR26" s="33" t="s">
        <v>253</v>
      </c>
    </row>
    <row r="27" spans="1:44" s="33" customFormat="1" ht="32" hidden="1" x14ac:dyDescent="0.2">
      <c r="A27" s="33" t="s">
        <v>39</v>
      </c>
      <c r="B27" s="33" t="s">
        <v>254</v>
      </c>
      <c r="C27" s="33" t="s">
        <v>255</v>
      </c>
      <c r="D27" s="28" t="s">
        <v>107</v>
      </c>
      <c r="E27" s="33" t="s">
        <v>141</v>
      </c>
      <c r="F27" s="33" t="s">
        <v>156</v>
      </c>
      <c r="G27" s="33" t="s">
        <v>242</v>
      </c>
      <c r="H27" s="33" t="s">
        <v>111</v>
      </c>
      <c r="I27" s="33" t="s">
        <v>172</v>
      </c>
      <c r="K27" s="33" t="s">
        <v>113</v>
      </c>
      <c r="M27" s="73"/>
      <c r="N27" s="78">
        <f>VLOOKUP(K27,'Drop Down'!$I$2:$K$14,3,FALSE)</f>
        <v>30</v>
      </c>
      <c r="O27" s="78">
        <f t="shared" si="4"/>
        <v>30</v>
      </c>
      <c r="P27" s="80">
        <f t="shared" ca="1" si="5"/>
        <v>46325</v>
      </c>
      <c r="Q27" s="33" t="s">
        <v>144</v>
      </c>
      <c r="S27" s="33" t="s">
        <v>130</v>
      </c>
      <c r="W27" s="32"/>
      <c r="Y27" s="33" t="s">
        <v>171</v>
      </c>
      <c r="AK27" s="33" t="s">
        <v>171</v>
      </c>
      <c r="AL27" s="119" t="s">
        <v>252</v>
      </c>
      <c r="AQ27" s="33" t="str">
        <f t="shared" si="3"/>
        <v>OPT003 Optimizely Std Price, Cust price, Disc OTC</v>
      </c>
      <c r="AR27" s="33" t="s">
        <v>256</v>
      </c>
    </row>
    <row r="28" spans="1:44" s="33" customFormat="1" ht="32" hidden="1" x14ac:dyDescent="0.2">
      <c r="A28" s="33" t="s">
        <v>39</v>
      </c>
      <c r="B28" s="33" t="s">
        <v>257</v>
      </c>
      <c r="C28" s="33" t="s">
        <v>258</v>
      </c>
      <c r="D28" s="28" t="s">
        <v>107</v>
      </c>
      <c r="E28" s="33" t="s">
        <v>141</v>
      </c>
      <c r="F28" s="33" t="s">
        <v>156</v>
      </c>
      <c r="G28" s="33" t="s">
        <v>242</v>
      </c>
      <c r="H28" s="33" t="s">
        <v>111</v>
      </c>
      <c r="I28" s="33" t="s">
        <v>172</v>
      </c>
      <c r="K28" s="33" t="s">
        <v>113</v>
      </c>
      <c r="M28" s="73"/>
      <c r="N28" s="78">
        <f>VLOOKUP(K28,'Drop Down'!$I$2:$K$14,3,FALSE)</f>
        <v>30</v>
      </c>
      <c r="O28" s="78">
        <f t="shared" si="4"/>
        <v>30</v>
      </c>
      <c r="P28" s="80">
        <f t="shared" ca="1" si="5"/>
        <v>46325</v>
      </c>
      <c r="Q28" s="33" t="s">
        <v>144</v>
      </c>
      <c r="S28" s="33" t="s">
        <v>130</v>
      </c>
      <c r="W28" s="32"/>
      <c r="Y28" s="33" t="s">
        <v>171</v>
      </c>
      <c r="AK28" s="33" t="s">
        <v>171</v>
      </c>
      <c r="AL28" s="119" t="s">
        <v>252</v>
      </c>
      <c r="AQ28" s="33" t="str">
        <f t="shared" si="3"/>
        <v>OPT004 Optimizely Tax exemption OTC</v>
      </c>
      <c r="AR28" s="33" t="s">
        <v>259</v>
      </c>
    </row>
    <row r="29" spans="1:44" ht="48" hidden="1" x14ac:dyDescent="0.2">
      <c r="A29" s="32" t="s">
        <v>39</v>
      </c>
      <c r="B29" s="32" t="s">
        <v>260</v>
      </c>
      <c r="C29" s="32" t="s">
        <v>261</v>
      </c>
      <c r="D29" s="28" t="s">
        <v>107</v>
      </c>
      <c r="E29" s="32" t="s">
        <v>141</v>
      </c>
      <c r="F29" s="32" t="s">
        <v>156</v>
      </c>
      <c r="G29" s="33" t="s">
        <v>242</v>
      </c>
      <c r="H29" s="32" t="s">
        <v>111</v>
      </c>
      <c r="I29" s="32" t="s">
        <v>172</v>
      </c>
      <c r="J29" s="33"/>
      <c r="K29" s="33" t="s">
        <v>113</v>
      </c>
      <c r="L29" s="32"/>
      <c r="M29" s="97"/>
      <c r="N29" s="78">
        <f>VLOOKUP(K29,'Drop Down'!$I$2:$K$14,3,FALSE)</f>
        <v>30</v>
      </c>
      <c r="O29" s="78">
        <f t="shared" si="4"/>
        <v>30</v>
      </c>
      <c r="P29" s="80">
        <f t="shared" ca="1" si="5"/>
        <v>46325</v>
      </c>
      <c r="Q29" s="32" t="s">
        <v>144</v>
      </c>
      <c r="R29" s="99"/>
      <c r="S29" s="59" t="s">
        <v>130</v>
      </c>
      <c r="T29" s="59"/>
      <c r="U29" s="59"/>
      <c r="V29" s="93"/>
      <c r="W29" s="32"/>
      <c r="X29" s="32"/>
      <c r="Y29" s="32" t="s">
        <v>171</v>
      </c>
      <c r="Z29" s="32"/>
      <c r="AA29" s="32"/>
      <c r="AB29" s="32"/>
      <c r="AC29" s="32"/>
      <c r="AD29" s="32"/>
      <c r="AE29" s="32"/>
      <c r="AF29" s="32"/>
      <c r="AG29" s="32"/>
      <c r="AH29" s="32"/>
      <c r="AI29" s="32"/>
      <c r="AJ29" s="32"/>
      <c r="AK29" s="32" t="s">
        <v>171</v>
      </c>
      <c r="AL29" s="35" t="s">
        <v>262</v>
      </c>
      <c r="AM29" s="32" t="s">
        <v>263</v>
      </c>
      <c r="AN29" s="35" t="s">
        <v>264</v>
      </c>
      <c r="AQ29" s="35" t="str">
        <f t="shared" si="3"/>
        <v>OPT005 Optimizely Stock OTC</v>
      </c>
      <c r="AR29" s="32" t="s">
        <v>265</v>
      </c>
    </row>
    <row r="30" spans="1:44" s="33" customFormat="1" ht="80" x14ac:dyDescent="0.2">
      <c r="A30" s="33" t="s">
        <v>56</v>
      </c>
      <c r="B30" s="33" t="s">
        <v>266</v>
      </c>
      <c r="C30" s="112" t="s">
        <v>267</v>
      </c>
      <c r="D30" s="32" t="s">
        <v>107</v>
      </c>
      <c r="E30" s="33" t="s">
        <v>108</v>
      </c>
      <c r="F30" s="33" t="s">
        <v>109</v>
      </c>
      <c r="G30" s="33" t="s">
        <v>110</v>
      </c>
      <c r="H30" s="33" t="s">
        <v>111</v>
      </c>
      <c r="I30" s="34" t="s">
        <v>112</v>
      </c>
      <c r="J30" s="34"/>
      <c r="K30" s="34" t="s">
        <v>113</v>
      </c>
      <c r="L30" s="34"/>
      <c r="M30" s="98"/>
      <c r="N30" s="86">
        <f>VLOOKUP(K30,'Drop Down'!$I$2:$K$14,3,FALSE)</f>
        <v>30</v>
      </c>
      <c r="O30" s="78">
        <f t="shared" si="4"/>
        <v>30</v>
      </c>
      <c r="P30" s="80">
        <f t="shared" ca="1" si="5"/>
        <v>46325</v>
      </c>
      <c r="Q30" s="33" t="s">
        <v>114</v>
      </c>
      <c r="S30" s="115" t="s">
        <v>115</v>
      </c>
      <c r="T30" s="65"/>
      <c r="U30" s="116">
        <v>45562</v>
      </c>
      <c r="V30" s="116"/>
      <c r="W30" s="117" t="s">
        <v>160</v>
      </c>
      <c r="Z30" s="34"/>
      <c r="AA30" s="65"/>
      <c r="AB30" s="65"/>
      <c r="AC30" s="65"/>
      <c r="AD30" s="65"/>
      <c r="AE30" s="65"/>
      <c r="AF30" s="65"/>
      <c r="AG30" s="65"/>
      <c r="AH30" s="65"/>
      <c r="AI30" s="65"/>
      <c r="AL30" s="34" t="s">
        <v>268</v>
      </c>
      <c r="AM30" s="121" t="s">
        <v>269</v>
      </c>
      <c r="AQ30" s="33" t="str">
        <f t="shared" si="3"/>
        <v>FIN002 PNC Bank (AR) (SPS) PNC Matcher file Finance</v>
      </c>
      <c r="AR30" s="33" t="s">
        <v>270</v>
      </c>
    </row>
    <row r="31" spans="1:44" ht="128" x14ac:dyDescent="0.2">
      <c r="A31" s="32" t="s">
        <v>16</v>
      </c>
      <c r="B31" s="32" t="s">
        <v>271</v>
      </c>
      <c r="C31" s="32" t="s">
        <v>272</v>
      </c>
      <c r="D31" s="28" t="s">
        <v>107</v>
      </c>
      <c r="E31" s="32" t="s">
        <v>141</v>
      </c>
      <c r="F31" s="32" t="s">
        <v>109</v>
      </c>
      <c r="G31" s="32" t="s">
        <v>158</v>
      </c>
      <c r="H31" s="32" t="s">
        <v>158</v>
      </c>
      <c r="I31" s="35" t="s">
        <v>98</v>
      </c>
      <c r="K31" s="35" t="s">
        <v>49</v>
      </c>
      <c r="N31" s="78">
        <f>VLOOKUP(K31,'Drop Down'!$I$2:$K$14,3,FALSE)</f>
        <v>2</v>
      </c>
      <c r="O31" s="78">
        <f t="shared" si="4"/>
        <v>2</v>
      </c>
      <c r="P31" s="80">
        <f t="shared" ca="1" si="5"/>
        <v>46297</v>
      </c>
      <c r="Q31" s="32" t="s">
        <v>216</v>
      </c>
      <c r="R31" s="99"/>
      <c r="S31" s="17" t="s">
        <v>130</v>
      </c>
      <c r="T31" s="102">
        <v>45349</v>
      </c>
      <c r="U31" s="106"/>
      <c r="V31" s="107"/>
      <c r="W31" s="32" t="s">
        <v>216</v>
      </c>
      <c r="X31" s="32" t="s">
        <v>130</v>
      </c>
      <c r="Y31" s="32"/>
      <c r="Z31" s="37" t="s">
        <v>130</v>
      </c>
      <c r="AF31" s="36" t="s">
        <v>194</v>
      </c>
      <c r="AG31" s="36" t="s">
        <v>273</v>
      </c>
      <c r="AI31" s="36" t="s">
        <v>274</v>
      </c>
      <c r="AJ31" s="32"/>
      <c r="AK31" s="32"/>
      <c r="AL31" s="35" t="s">
        <v>275</v>
      </c>
      <c r="AM31" s="35" t="s">
        <v>273</v>
      </c>
      <c r="AN31" s="35" t="s">
        <v>276</v>
      </c>
      <c r="AQ31" s="35" t="str">
        <f t="shared" si="3"/>
        <v>SFDC01 Salesforce Item OTC</v>
      </c>
      <c r="AR31" s="32" t="s">
        <v>277</v>
      </c>
    </row>
    <row r="32" spans="1:44" s="33" customFormat="1" ht="176" x14ac:dyDescent="0.2">
      <c r="A32" s="33" t="s">
        <v>16</v>
      </c>
      <c r="B32" s="33" t="s">
        <v>278</v>
      </c>
      <c r="C32" s="33" t="s">
        <v>279</v>
      </c>
      <c r="D32" s="28" t="s">
        <v>107</v>
      </c>
      <c r="E32" s="33" t="s">
        <v>141</v>
      </c>
      <c r="F32" s="33" t="s">
        <v>109</v>
      </c>
      <c r="G32" s="33" t="s">
        <v>158</v>
      </c>
      <c r="H32" s="33" t="s">
        <v>158</v>
      </c>
      <c r="I32" s="34" t="s">
        <v>98</v>
      </c>
      <c r="J32" s="34"/>
      <c r="K32" s="34" t="s">
        <v>49</v>
      </c>
      <c r="L32" s="34"/>
      <c r="M32" s="98"/>
      <c r="N32" s="78">
        <f>VLOOKUP(K32,'Drop Down'!$I$2:$K$14,3,FALSE)</f>
        <v>2</v>
      </c>
      <c r="O32" s="78">
        <f t="shared" si="4"/>
        <v>2</v>
      </c>
      <c r="P32" s="80">
        <f t="shared" ca="1" si="5"/>
        <v>46297</v>
      </c>
      <c r="Q32" s="33" t="s">
        <v>216</v>
      </c>
      <c r="R32" s="62"/>
      <c r="S32" s="17" t="s">
        <v>130</v>
      </c>
      <c r="T32" s="102">
        <v>45349</v>
      </c>
      <c r="U32" s="106"/>
      <c r="V32" s="107"/>
      <c r="W32" s="33" t="s">
        <v>216</v>
      </c>
      <c r="X32" s="33" t="s">
        <v>130</v>
      </c>
      <c r="Z32" s="33" t="s">
        <v>130</v>
      </c>
      <c r="AA32" s="65"/>
      <c r="AB32" s="65"/>
      <c r="AC32" s="65"/>
      <c r="AD32" s="65"/>
      <c r="AE32" s="65"/>
      <c r="AF32" s="65" t="s">
        <v>194</v>
      </c>
      <c r="AG32" s="65" t="s">
        <v>273</v>
      </c>
      <c r="AH32" s="65"/>
      <c r="AI32" s="65" t="s">
        <v>274</v>
      </c>
      <c r="AL32" s="34" t="s">
        <v>280</v>
      </c>
      <c r="AM32" s="34" t="s">
        <v>273</v>
      </c>
      <c r="AQ32" s="33" t="str">
        <f t="shared" si="3"/>
        <v>SFDC04 Salesforce Item Pricing OTC</v>
      </c>
      <c r="AR32" s="33" t="s">
        <v>281</v>
      </c>
    </row>
    <row r="33" spans="1:44" s="32" customFormat="1" ht="176" x14ac:dyDescent="0.2">
      <c r="A33" s="42" t="s">
        <v>19</v>
      </c>
      <c r="B33" s="42" t="s">
        <v>282</v>
      </c>
      <c r="C33" s="42" t="s">
        <v>283</v>
      </c>
      <c r="D33" s="32" t="s">
        <v>107</v>
      </c>
      <c r="E33" s="42" t="s">
        <v>141</v>
      </c>
      <c r="F33" s="42" t="s">
        <v>109</v>
      </c>
      <c r="G33" s="42" t="s">
        <v>206</v>
      </c>
      <c r="H33" s="42" t="s">
        <v>111</v>
      </c>
      <c r="I33" s="35" t="s">
        <v>98</v>
      </c>
      <c r="J33" s="35"/>
      <c r="K33" s="35" t="s">
        <v>193</v>
      </c>
      <c r="L33" s="42" t="s">
        <v>98</v>
      </c>
      <c r="M33" s="82">
        <v>10</v>
      </c>
      <c r="N33" s="78">
        <f>VLOOKUP(K33,'Drop Down'!$I$2:$K$14,3,FALSE)</f>
        <v>12</v>
      </c>
      <c r="O33" s="78">
        <f t="shared" si="4"/>
        <v>22</v>
      </c>
      <c r="P33" s="80">
        <f t="shared" ca="1" si="5"/>
        <v>46317</v>
      </c>
      <c r="Q33" s="42" t="s">
        <v>207</v>
      </c>
      <c r="R33" s="87" t="s">
        <v>284</v>
      </c>
      <c r="S33" s="100" t="s">
        <v>130</v>
      </c>
      <c r="T33" s="104">
        <v>45460</v>
      </c>
      <c r="U33" s="104" t="s">
        <v>130</v>
      </c>
      <c r="V33" s="103">
        <v>45430</v>
      </c>
      <c r="W33" s="42" t="s">
        <v>160</v>
      </c>
      <c r="X33" s="42"/>
      <c r="Y33" s="42"/>
      <c r="Z33" s="35"/>
      <c r="AA33" s="36"/>
      <c r="AB33" s="36">
        <v>45460</v>
      </c>
      <c r="AC33" s="36"/>
      <c r="AD33" s="36"/>
      <c r="AE33" s="36"/>
      <c r="AF33" s="36" t="s">
        <v>285</v>
      </c>
      <c r="AG33" s="36"/>
      <c r="AH33" s="36">
        <v>45461</v>
      </c>
      <c r="AI33" s="36"/>
      <c r="AJ33" s="35"/>
      <c r="AK33" s="35"/>
      <c r="AL33" s="35" t="s">
        <v>286</v>
      </c>
      <c r="AM33" s="35" t="s">
        <v>287</v>
      </c>
      <c r="AN33" s="35" t="s">
        <v>288</v>
      </c>
      <c r="AQ33" s="32" t="str">
        <f t="shared" si="3"/>
        <v>EDI001 SPS Commerce EDI EDI Sales Order 850 OTC</v>
      </c>
      <c r="AR33" s="32" t="s">
        <v>289</v>
      </c>
    </row>
    <row r="34" spans="1:44" s="32" customFormat="1" ht="192" x14ac:dyDescent="0.2">
      <c r="A34" s="42" t="s">
        <v>19</v>
      </c>
      <c r="B34" s="42" t="s">
        <v>290</v>
      </c>
      <c r="C34" s="42" t="s">
        <v>291</v>
      </c>
      <c r="D34" s="32" t="s">
        <v>107</v>
      </c>
      <c r="E34" s="42" t="s">
        <v>141</v>
      </c>
      <c r="F34" s="42" t="s">
        <v>109</v>
      </c>
      <c r="G34" s="42" t="s">
        <v>206</v>
      </c>
      <c r="H34" s="42" t="s">
        <v>111</v>
      </c>
      <c r="I34" s="35" t="s">
        <v>112</v>
      </c>
      <c r="J34" s="35"/>
      <c r="K34" s="35" t="s">
        <v>200</v>
      </c>
      <c r="L34" s="42"/>
      <c r="M34" s="82">
        <v>20</v>
      </c>
      <c r="N34" s="78">
        <f>VLOOKUP(K34,'Drop Down'!$I$2:$K$14,3,FALSE)</f>
        <v>25</v>
      </c>
      <c r="O34" s="78">
        <f t="shared" si="4"/>
        <v>45</v>
      </c>
      <c r="P34" s="80">
        <f t="shared" ca="1" si="5"/>
        <v>46340</v>
      </c>
      <c r="Q34" s="42" t="s">
        <v>207</v>
      </c>
      <c r="R34" s="87" t="s">
        <v>284</v>
      </c>
      <c r="S34" s="42" t="s">
        <v>130</v>
      </c>
      <c r="T34" s="114" t="s">
        <v>284</v>
      </c>
      <c r="U34" s="101" t="s">
        <v>230</v>
      </c>
      <c r="V34" s="103"/>
      <c r="W34" s="42" t="s">
        <v>160</v>
      </c>
      <c r="X34" s="42" t="s">
        <v>115</v>
      </c>
      <c r="Y34" s="42"/>
      <c r="Z34" s="35"/>
      <c r="AA34" s="36"/>
      <c r="AB34" s="36"/>
      <c r="AC34" s="36"/>
      <c r="AD34" s="36"/>
      <c r="AE34" s="36"/>
      <c r="AF34" s="36"/>
      <c r="AG34" s="36"/>
      <c r="AH34" s="36"/>
      <c r="AI34" s="36"/>
      <c r="AJ34" s="35"/>
      <c r="AK34" s="35"/>
      <c r="AL34" s="35" t="s">
        <v>292</v>
      </c>
      <c r="AM34" s="35" t="s">
        <v>293</v>
      </c>
      <c r="AN34" s="35" t="s">
        <v>288</v>
      </c>
      <c r="AQ34" s="32" t="str">
        <f t="shared" si="3"/>
        <v>EDI002 SPS Commerce EDI EDI Shipment 856 OTC</v>
      </c>
      <c r="AR34" s="32" t="s">
        <v>294</v>
      </c>
    </row>
    <row r="35" spans="1:44" s="33" customFormat="1" ht="128" x14ac:dyDescent="0.2">
      <c r="A35" s="95" t="s">
        <v>19</v>
      </c>
      <c r="B35" s="95" t="s">
        <v>295</v>
      </c>
      <c r="C35" s="95" t="s">
        <v>296</v>
      </c>
      <c r="D35" s="28" t="s">
        <v>107</v>
      </c>
      <c r="E35" s="95" t="s">
        <v>141</v>
      </c>
      <c r="F35" s="95" t="s">
        <v>109</v>
      </c>
      <c r="G35" s="95" t="s">
        <v>206</v>
      </c>
      <c r="H35" s="95" t="s">
        <v>111</v>
      </c>
      <c r="I35" s="95" t="s">
        <v>128</v>
      </c>
      <c r="J35" s="95"/>
      <c r="K35" s="95" t="s">
        <v>113</v>
      </c>
      <c r="L35" s="95"/>
      <c r="M35" s="113">
        <v>20</v>
      </c>
      <c r="N35" s="78">
        <f>VLOOKUP(K35,'Drop Down'!$I$2:$K$14,3,FALSE)</f>
        <v>30</v>
      </c>
      <c r="O35" s="78">
        <f t="shared" si="4"/>
        <v>50</v>
      </c>
      <c r="P35" s="80">
        <f t="shared" ca="1" si="5"/>
        <v>46345</v>
      </c>
      <c r="Q35" s="95" t="s">
        <v>207</v>
      </c>
      <c r="R35" s="114" t="s">
        <v>284</v>
      </c>
      <c r="S35" s="95" t="s">
        <v>130</v>
      </c>
      <c r="T35" s="114" t="s">
        <v>284</v>
      </c>
      <c r="U35" s="105" t="s">
        <v>230</v>
      </c>
      <c r="V35" s="108"/>
      <c r="W35" s="95" t="s">
        <v>160</v>
      </c>
      <c r="X35" s="95"/>
      <c r="Y35" s="95"/>
      <c r="Z35" s="34"/>
      <c r="AA35" s="65"/>
      <c r="AB35" s="65"/>
      <c r="AC35" s="65"/>
      <c r="AD35" s="65"/>
      <c r="AE35" s="65"/>
      <c r="AF35" s="65"/>
      <c r="AG35" s="65"/>
      <c r="AH35" s="65"/>
      <c r="AI35" s="65"/>
      <c r="AJ35" s="34"/>
      <c r="AK35" s="34"/>
      <c r="AL35" s="119" t="s">
        <v>297</v>
      </c>
      <c r="AM35" s="34" t="s">
        <v>293</v>
      </c>
      <c r="AQ35" s="33" t="str">
        <f t="shared" si="3"/>
        <v>EDI003 SPS Commerce EDI EDI Sales Order Ack OTC</v>
      </c>
      <c r="AR35" s="33" t="s">
        <v>298</v>
      </c>
    </row>
    <row r="36" spans="1:44" s="33" customFormat="1" ht="144" x14ac:dyDescent="0.2">
      <c r="A36" s="95" t="s">
        <v>19</v>
      </c>
      <c r="B36" s="95" t="s">
        <v>299</v>
      </c>
      <c r="C36" s="95" t="s">
        <v>300</v>
      </c>
      <c r="D36" s="28" t="s">
        <v>107</v>
      </c>
      <c r="E36" s="95" t="s">
        <v>141</v>
      </c>
      <c r="F36" s="95" t="s">
        <v>109</v>
      </c>
      <c r="G36" s="95" t="s">
        <v>206</v>
      </c>
      <c r="H36" s="95" t="s">
        <v>111</v>
      </c>
      <c r="I36" s="95" t="s">
        <v>128</v>
      </c>
      <c r="J36" s="95"/>
      <c r="K36" s="95" t="s">
        <v>200</v>
      </c>
      <c r="L36" s="95"/>
      <c r="M36" s="113">
        <v>20</v>
      </c>
      <c r="N36" s="78">
        <f>VLOOKUP(K36,'Drop Down'!$I$2:$K$14,3,FALSE)</f>
        <v>25</v>
      </c>
      <c r="O36" s="78">
        <f t="shared" si="4"/>
        <v>45</v>
      </c>
      <c r="P36" s="80">
        <f t="shared" ca="1" si="5"/>
        <v>46340</v>
      </c>
      <c r="Q36" s="95" t="s">
        <v>207</v>
      </c>
      <c r="R36" s="114" t="s">
        <v>284</v>
      </c>
      <c r="S36" s="95" t="s">
        <v>130</v>
      </c>
      <c r="T36" s="105">
        <v>45519</v>
      </c>
      <c r="U36" s="105" t="s">
        <v>230</v>
      </c>
      <c r="V36" s="108"/>
      <c r="W36" s="95" t="s">
        <v>160</v>
      </c>
      <c r="X36" s="95"/>
      <c r="Y36" s="95"/>
      <c r="Z36" s="34"/>
      <c r="AA36" s="65"/>
      <c r="AB36" s="65"/>
      <c r="AC36" s="65"/>
      <c r="AD36" s="65"/>
      <c r="AE36" s="65"/>
      <c r="AF36" s="65"/>
      <c r="AG36" s="65"/>
      <c r="AH36" s="65"/>
      <c r="AI36" s="65"/>
      <c r="AJ36" s="34"/>
      <c r="AK36" s="34"/>
      <c r="AL36" s="119" t="s">
        <v>301</v>
      </c>
      <c r="AM36" s="34" t="s">
        <v>293</v>
      </c>
      <c r="AQ36" s="33" t="str">
        <f t="shared" si="3"/>
        <v>EDI004 SPS Commerce EDI EDI Invoice OTC</v>
      </c>
      <c r="AR36" s="33" t="s">
        <v>302</v>
      </c>
    </row>
    <row r="37" spans="1:44" s="33" customFormat="1" ht="144" x14ac:dyDescent="0.2">
      <c r="A37" s="95" t="s">
        <v>19</v>
      </c>
      <c r="B37" s="95" t="s">
        <v>303</v>
      </c>
      <c r="C37" s="95" t="s">
        <v>304</v>
      </c>
      <c r="D37" s="28" t="s">
        <v>107</v>
      </c>
      <c r="E37" s="95" t="s">
        <v>141</v>
      </c>
      <c r="F37" s="95" t="s">
        <v>109</v>
      </c>
      <c r="G37" s="95" t="s">
        <v>206</v>
      </c>
      <c r="H37" s="95" t="s">
        <v>111</v>
      </c>
      <c r="I37" s="95" t="s">
        <v>112</v>
      </c>
      <c r="J37" s="95"/>
      <c r="K37" s="95" t="s">
        <v>200</v>
      </c>
      <c r="L37" s="95"/>
      <c r="M37" s="113">
        <v>20</v>
      </c>
      <c r="N37" s="78">
        <f>VLOOKUP(K37,'Drop Down'!$I$2:$K$14,3,FALSE)</f>
        <v>25</v>
      </c>
      <c r="O37" s="78">
        <f t="shared" si="4"/>
        <v>45</v>
      </c>
      <c r="P37" s="80">
        <f t="shared" ca="1" si="5"/>
        <v>46340</v>
      </c>
      <c r="Q37" s="95" t="s">
        <v>207</v>
      </c>
      <c r="R37" s="114" t="s">
        <v>284</v>
      </c>
      <c r="S37" s="95" t="s">
        <v>130</v>
      </c>
      <c r="T37" s="105">
        <v>45460</v>
      </c>
      <c r="U37" s="105" t="s">
        <v>230</v>
      </c>
      <c r="V37" s="108">
        <v>45474</v>
      </c>
      <c r="W37" s="95" t="s">
        <v>160</v>
      </c>
      <c r="X37" s="95"/>
      <c r="Y37" s="95"/>
      <c r="Z37" s="34"/>
      <c r="AA37" s="65"/>
      <c r="AB37" s="65"/>
      <c r="AC37" s="65"/>
      <c r="AD37" s="65"/>
      <c r="AE37" s="65"/>
      <c r="AF37" s="65"/>
      <c r="AG37" s="65"/>
      <c r="AH37" s="65"/>
      <c r="AI37" s="65"/>
      <c r="AJ37" s="34"/>
      <c r="AK37" s="34"/>
      <c r="AL37" s="119" t="s">
        <v>305</v>
      </c>
      <c r="AM37" s="34" t="s">
        <v>293</v>
      </c>
      <c r="AQ37" s="33" t="str">
        <f t="shared" si="3"/>
        <v>EDI005 SPS Commerce EDI EDI Shipment Schedule EDI 862 OTC</v>
      </c>
      <c r="AR37" s="33" t="s">
        <v>306</v>
      </c>
    </row>
    <row r="38" spans="1:44" s="33" customFormat="1" ht="16" hidden="1" x14ac:dyDescent="0.2">
      <c r="A38" s="95" t="s">
        <v>19</v>
      </c>
      <c r="B38" s="95" t="s">
        <v>116</v>
      </c>
      <c r="C38" s="95" t="s">
        <v>307</v>
      </c>
      <c r="D38" s="28"/>
      <c r="E38" s="95"/>
      <c r="F38" s="95"/>
      <c r="G38" s="95"/>
      <c r="H38" s="95"/>
      <c r="I38" s="95"/>
      <c r="J38" s="95"/>
      <c r="K38" s="95"/>
      <c r="L38" s="95"/>
      <c r="M38" s="113"/>
      <c r="N38" s="78"/>
      <c r="O38" s="78"/>
      <c r="P38" s="80"/>
      <c r="Q38" s="95"/>
      <c r="R38" s="114"/>
      <c r="S38" s="95"/>
      <c r="T38" s="105"/>
      <c r="U38" s="105"/>
      <c r="V38" s="108"/>
      <c r="W38" s="95"/>
      <c r="X38" s="118"/>
      <c r="Y38" s="118"/>
      <c r="Z38" s="34"/>
      <c r="AA38" s="65"/>
      <c r="AB38" s="65"/>
      <c r="AC38" s="65"/>
      <c r="AD38" s="65"/>
      <c r="AE38" s="65"/>
      <c r="AF38" s="65"/>
      <c r="AG38" s="65"/>
      <c r="AH38" s="65"/>
      <c r="AI38" s="65"/>
      <c r="AJ38" s="34"/>
      <c r="AK38" s="34"/>
      <c r="AL38" s="119"/>
      <c r="AM38" s="34"/>
      <c r="AQ38" s="33" t="str">
        <f t="shared" si="3"/>
        <v xml:space="preserve">TBD SPS Commerce EDI DSV </v>
      </c>
      <c r="AR38" s="33" t="s">
        <v>308</v>
      </c>
    </row>
    <row r="39" spans="1:44" s="33" customFormat="1" ht="160" x14ac:dyDescent="0.2">
      <c r="A39" s="95" t="s">
        <v>19</v>
      </c>
      <c r="B39" s="95" t="s">
        <v>309</v>
      </c>
      <c r="C39" s="95" t="s">
        <v>310</v>
      </c>
      <c r="D39" s="28" t="s">
        <v>107</v>
      </c>
      <c r="E39" s="95" t="s">
        <v>141</v>
      </c>
      <c r="F39" s="95" t="s">
        <v>109</v>
      </c>
      <c r="G39" s="95" t="s">
        <v>206</v>
      </c>
      <c r="H39" s="95" t="s">
        <v>111</v>
      </c>
      <c r="I39" s="95" t="s">
        <v>112</v>
      </c>
      <c r="J39" s="95"/>
      <c r="K39" s="95" t="s">
        <v>200</v>
      </c>
      <c r="L39" s="95" t="s">
        <v>98</v>
      </c>
      <c r="M39" s="113">
        <v>10</v>
      </c>
      <c r="N39" s="78">
        <f>VLOOKUP(K39,'Drop Down'!$I$2:$K$14,3,FALSE)</f>
        <v>25</v>
      </c>
      <c r="O39" s="78">
        <f>SUM(M39:N39)</f>
        <v>35</v>
      </c>
      <c r="P39" s="80">
        <f ca="1">TODAY()+O39</f>
        <v>46330</v>
      </c>
      <c r="Q39" s="95" t="s">
        <v>207</v>
      </c>
      <c r="R39" s="114" t="s">
        <v>284</v>
      </c>
      <c r="S39" s="95" t="s">
        <v>130</v>
      </c>
      <c r="T39" s="105">
        <v>45460</v>
      </c>
      <c r="U39" s="105" t="s">
        <v>230</v>
      </c>
      <c r="V39" s="108">
        <v>45483</v>
      </c>
      <c r="W39" s="95" t="s">
        <v>160</v>
      </c>
      <c r="X39" s="95"/>
      <c r="Y39" s="95"/>
      <c r="Z39" s="34"/>
      <c r="AA39" s="65"/>
      <c r="AB39" s="65"/>
      <c r="AC39" s="65"/>
      <c r="AD39" s="65"/>
      <c r="AE39" s="65"/>
      <c r="AF39" s="65"/>
      <c r="AG39" s="65"/>
      <c r="AH39" s="65">
        <v>45492</v>
      </c>
      <c r="AI39" s="65"/>
      <c r="AJ39" s="34"/>
      <c r="AK39" s="34"/>
      <c r="AL39" s="119" t="s">
        <v>311</v>
      </c>
      <c r="AM39" s="34" t="s">
        <v>293</v>
      </c>
      <c r="AQ39" s="33" t="str">
        <f t="shared" si="3"/>
        <v>EDI006 SPS Commerce EDI Planning Schedule EDI 830 OTC</v>
      </c>
      <c r="AR39" s="33" t="s">
        <v>312</v>
      </c>
    </row>
    <row r="40" spans="1:44" ht="16" hidden="1" x14ac:dyDescent="0.2">
      <c r="A40" s="32" t="s">
        <v>34</v>
      </c>
      <c r="B40" s="32" t="s">
        <v>313</v>
      </c>
      <c r="C40" s="32" t="s">
        <v>314</v>
      </c>
      <c r="D40" s="28" t="s">
        <v>107</v>
      </c>
      <c r="E40" s="32" t="s">
        <v>227</v>
      </c>
      <c r="F40" s="32" t="s">
        <v>156</v>
      </c>
      <c r="G40" s="32" t="s">
        <v>237</v>
      </c>
      <c r="H40" s="32" t="s">
        <v>111</v>
      </c>
      <c r="I40" s="32" t="s">
        <v>112</v>
      </c>
      <c r="J40" s="32"/>
      <c r="K40" s="32" t="s">
        <v>200</v>
      </c>
      <c r="L40" s="32"/>
      <c r="M40" s="97"/>
      <c r="N40" s="78">
        <f>VLOOKUP(K40,'Drop Down'!$I$2:$K$14,3,FALSE)</f>
        <v>25</v>
      </c>
      <c r="O40" s="78">
        <f>SUM(M40:N40)</f>
        <v>25</v>
      </c>
      <c r="P40" s="80">
        <f ca="1">TODAY()+O40</f>
        <v>46320</v>
      </c>
      <c r="Q40" s="32" t="s">
        <v>229</v>
      </c>
      <c r="R40" s="99" t="s">
        <v>115</v>
      </c>
      <c r="S40" s="59" t="s">
        <v>130</v>
      </c>
      <c r="T40" s="56">
        <v>45457</v>
      </c>
      <c r="U40" s="60" t="s">
        <v>230</v>
      </c>
      <c r="V40" s="63">
        <v>45407</v>
      </c>
      <c r="W40" s="32"/>
      <c r="X40" s="32" t="s">
        <v>130</v>
      </c>
      <c r="Y40" s="32"/>
      <c r="Z40" s="32"/>
      <c r="AA40" s="32"/>
      <c r="AB40" s="32"/>
      <c r="AC40" s="32"/>
      <c r="AD40" s="32"/>
      <c r="AE40" s="32"/>
      <c r="AF40" s="32"/>
      <c r="AG40" s="32"/>
      <c r="AH40" s="32"/>
      <c r="AI40" s="32"/>
      <c r="AJ40" s="32"/>
      <c r="AK40" s="32" t="s">
        <v>111</v>
      </c>
      <c r="AL40" s="32"/>
      <c r="AM40" s="32"/>
      <c r="AN40" s="35" t="s">
        <v>315</v>
      </c>
      <c r="AQ40" s="35" t="str">
        <f t="shared" si="3"/>
        <v>UPS002 UPS UPS Shipping Information Supply chain</v>
      </c>
      <c r="AR40" s="32" t="s">
        <v>316</v>
      </c>
    </row>
    <row r="41" spans="1:44" s="33" customFormat="1" ht="160" x14ac:dyDescent="0.2">
      <c r="A41" s="95" t="s">
        <v>34</v>
      </c>
      <c r="B41" s="95" t="s">
        <v>317</v>
      </c>
      <c r="C41" s="95" t="s">
        <v>318</v>
      </c>
      <c r="D41" s="33" t="s">
        <v>107</v>
      </c>
      <c r="E41" s="95" t="s">
        <v>227</v>
      </c>
      <c r="F41" s="95" t="s">
        <v>109</v>
      </c>
      <c r="G41" s="95" t="s">
        <v>228</v>
      </c>
      <c r="H41" s="95" t="s">
        <v>111</v>
      </c>
      <c r="I41" s="95" t="s">
        <v>112</v>
      </c>
      <c r="J41" s="95"/>
      <c r="K41" s="95" t="s">
        <v>200</v>
      </c>
      <c r="L41" s="95"/>
      <c r="M41" s="98"/>
      <c r="N41" s="78">
        <f>VLOOKUP(K41,'Drop Down'!$I$2:$K$14,3,FALSE)</f>
        <v>25</v>
      </c>
      <c r="O41" s="78">
        <f>SUM(M41:N41)</f>
        <v>25</v>
      </c>
      <c r="P41" s="80">
        <f ca="1">TODAY()+O41</f>
        <v>46320</v>
      </c>
      <c r="Q41" s="95" t="s">
        <v>229</v>
      </c>
      <c r="R41" s="95" t="s">
        <v>115</v>
      </c>
      <c r="S41" s="95" t="s">
        <v>130</v>
      </c>
      <c r="T41" s="105">
        <v>45457</v>
      </c>
      <c r="U41" s="105" t="s">
        <v>230</v>
      </c>
      <c r="V41" s="108">
        <v>45407</v>
      </c>
      <c r="W41" s="95" t="s">
        <v>161</v>
      </c>
      <c r="X41" s="95" t="s">
        <v>130</v>
      </c>
      <c r="Y41" s="95"/>
      <c r="Z41" s="34"/>
      <c r="AA41" s="65"/>
      <c r="AB41" s="65"/>
      <c r="AC41" s="65"/>
      <c r="AD41" s="65"/>
      <c r="AE41" s="65"/>
      <c r="AF41" s="65"/>
      <c r="AG41" s="65"/>
      <c r="AH41" s="65"/>
      <c r="AI41" s="65"/>
      <c r="AJ41" s="34"/>
      <c r="AK41" s="34"/>
      <c r="AL41" s="34" t="s">
        <v>319</v>
      </c>
      <c r="AM41" s="34" t="s">
        <v>232</v>
      </c>
      <c r="AQ41" s="33" t="str">
        <f>CONCATENATE(B41, " ", A41, " ",C41, " ", E41)</f>
        <v>UPS001 UPS UPS Tracking Number Update Supply chain</v>
      </c>
    </row>
    <row r="44" spans="1:44" x14ac:dyDescent="0.15">
      <c r="C44" s="88"/>
      <c r="D44" s="89"/>
    </row>
  </sheetData>
  <autoFilter ref="A1:AN41" xr:uid="{54E37BF2-F552-4A89-8E5D-5078DF4E0B67}">
    <filterColumn colId="22">
      <filters>
        <filter val="Isaiah John Tolentino"/>
        <filter val="Jen"/>
        <filter val="Martin"/>
      </filters>
    </filterColumn>
  </autoFilter>
  <phoneticPr fontId="2" type="noConversion"/>
  <conditionalFormatting sqref="A1:XFD18 A19:AL20 AN19:XFD21 A21:AK21 A22:XFD42 A43:B43 E43:XFD43 A44:XFD1048576">
    <cfRule type="cellIs" dxfId="23" priority="3" operator="equal">
      <formula>"Completed"</formula>
    </cfRule>
  </conditionalFormatting>
  <conditionalFormatting sqref="K1:K1048576">
    <cfRule type="cellIs" dxfId="22" priority="2" operator="equal">
      <formula>"Confirm Completed"</formula>
    </cfRule>
  </conditionalFormatting>
  <conditionalFormatting sqref="L1">
    <cfRule type="cellIs" dxfId="21" priority="1" operator="equal">
      <formula>"Confirm Completed"</formula>
    </cfRule>
  </conditionalFormatting>
  <dataValidations count="1">
    <dataValidation type="list" allowBlank="1" showInputMessage="1" showErrorMessage="1" sqref="AF1:AF1048576" xr:uid="{2B2ACA30-EC0B-49CE-BFBE-69B3E97C3666}">
      <formula1>"Technical,Functional,Business"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8DCA430B-6D72-468B-9A16-D9082A3F1E10}">
          <x14:formula1>
            <xm:f>'Drop Down'!$I$2:$I$14</xm:f>
          </x14:formula1>
          <xm:sqref>K1:K1048576</xm:sqref>
        </x14:dataValidation>
        <x14:dataValidation type="list" allowBlank="1" showInputMessage="1" showErrorMessage="1" xr:uid="{221518E8-529B-40B4-AA16-4D487B0A4E62}">
          <x14:formula1>
            <xm:f>'Drop Down'!$B$1:$B$9</xm:f>
          </x14:formula1>
          <xm:sqref>I1:I1048576</xm:sqref>
        </x14:dataValidation>
        <x14:dataValidation type="list" allowBlank="1" showInputMessage="1" showErrorMessage="1" xr:uid="{0336179C-1BCE-4D69-9748-1E7A92F05414}">
          <x14:formula1>
            <xm:f>'Drop Down'!$D$2:$D$6</xm:f>
          </x14:formula1>
          <xm:sqref>X1:X1048576 S1:S1048576</xm:sqref>
        </x14:dataValidation>
        <x14:dataValidation type="list" allowBlank="1" showInputMessage="1" showErrorMessage="1" xr:uid="{59D012EB-E809-4A27-B932-E3E5FF77FFE3}">
          <x14:formula1>
            <xm:f>'Drop Down'!$D$2:$D$8</xm:f>
          </x14:formula1>
          <xm:sqref>AI1:AI1048576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F0AF-7B73-4D98-92E0-49291C49AA9C}">
  <sheetPr>
    <tabColor theme="9"/>
  </sheetPr>
  <dimension ref="A1:K60"/>
  <sheetViews>
    <sheetView workbookViewId="0">
      <selection activeCell="D33" sqref="D33"/>
    </sheetView>
  </sheetViews>
  <sheetFormatPr baseColWidth="10" defaultColWidth="22.6640625" defaultRowHeight="15" x14ac:dyDescent="0.2"/>
  <cols>
    <col min="1" max="1" width="13.6640625" style="4" bestFit="1" customWidth="1"/>
    <col min="2" max="2" width="31.1640625" style="4" bestFit="1" customWidth="1"/>
    <col min="3" max="3" width="8.83203125" style="4" bestFit="1" customWidth="1"/>
    <col min="4" max="4" width="104.6640625" style="4" bestFit="1" customWidth="1"/>
    <col min="5" max="5" width="16.83203125" style="4" bestFit="1" customWidth="1"/>
    <col min="6" max="6" width="11.5" style="5" bestFit="1" customWidth="1"/>
    <col min="7" max="7" width="27.5" style="4" bestFit="1" customWidth="1"/>
    <col min="8" max="8" width="125.5" style="6" bestFit="1" customWidth="1"/>
    <col min="9" max="9" width="22.6640625" style="4"/>
    <col min="10" max="10" width="8.6640625" style="4" bestFit="1" customWidth="1"/>
    <col min="11" max="16384" width="22.6640625" style="4"/>
  </cols>
  <sheetData>
    <row r="1" spans="1:11" s="6" customFormat="1" ht="16" x14ac:dyDescent="0.2">
      <c r="A1" s="6" t="s">
        <v>320</v>
      </c>
      <c r="B1" s="6" t="s">
        <v>321</v>
      </c>
      <c r="C1" s="6" t="s">
        <v>322</v>
      </c>
      <c r="D1" s="6" t="s">
        <v>77</v>
      </c>
      <c r="E1" s="6" t="s">
        <v>323</v>
      </c>
      <c r="F1" s="12" t="s">
        <v>324</v>
      </c>
      <c r="G1" s="6" t="s">
        <v>76</v>
      </c>
      <c r="H1" s="6" t="s">
        <v>325</v>
      </c>
      <c r="J1" s="12">
        <f ca="1">TODAY()</f>
        <v>46295</v>
      </c>
      <c r="K1" s="12"/>
    </row>
    <row r="2" spans="1:11" ht="32" hidden="1" x14ac:dyDescent="0.2">
      <c r="A2" s="5">
        <v>45303</v>
      </c>
      <c r="B2" s="4" t="s">
        <v>19</v>
      </c>
      <c r="D2" s="6" t="s">
        <v>326</v>
      </c>
      <c r="E2" s="4" t="s">
        <v>111</v>
      </c>
      <c r="F2" s="5">
        <v>45310</v>
      </c>
      <c r="G2" s="4" t="s">
        <v>327</v>
      </c>
    </row>
    <row r="3" spans="1:11" ht="16" hidden="1" x14ac:dyDescent="0.2">
      <c r="A3" s="5">
        <v>45303</v>
      </c>
      <c r="B3" s="4" t="s">
        <v>39</v>
      </c>
      <c r="D3" s="6" t="s">
        <v>328</v>
      </c>
      <c r="E3" s="4" t="s">
        <v>329</v>
      </c>
      <c r="F3" s="5">
        <v>45310</v>
      </c>
      <c r="G3" s="4" t="s">
        <v>327</v>
      </c>
    </row>
    <row r="4" spans="1:11" ht="16" hidden="1" x14ac:dyDescent="0.2">
      <c r="A4" s="5">
        <v>45303</v>
      </c>
      <c r="B4" s="4" t="s">
        <v>330</v>
      </c>
      <c r="D4" s="6" t="s">
        <v>331</v>
      </c>
      <c r="E4" s="4" t="s">
        <v>329</v>
      </c>
      <c r="F4" s="5">
        <v>45310</v>
      </c>
      <c r="G4" s="4" t="s">
        <v>327</v>
      </c>
    </row>
    <row r="5" spans="1:11" ht="16" hidden="1" x14ac:dyDescent="0.2">
      <c r="A5" s="5">
        <v>45303</v>
      </c>
      <c r="B5" s="4" t="s">
        <v>19</v>
      </c>
      <c r="D5" s="6" t="s">
        <v>332</v>
      </c>
      <c r="E5" s="4" t="s">
        <v>111</v>
      </c>
      <c r="F5" s="5">
        <v>45317</v>
      </c>
      <c r="G5" s="4" t="s">
        <v>327</v>
      </c>
    </row>
    <row r="6" spans="1:11" ht="16" hidden="1" x14ac:dyDescent="0.2">
      <c r="A6" s="5">
        <v>45310</v>
      </c>
      <c r="B6" s="4" t="s">
        <v>67</v>
      </c>
      <c r="D6" s="6" t="s">
        <v>333</v>
      </c>
      <c r="E6" s="4" t="s">
        <v>334</v>
      </c>
      <c r="F6" s="5">
        <v>45317</v>
      </c>
      <c r="G6" s="4" t="s">
        <v>327</v>
      </c>
    </row>
    <row r="7" spans="1:11" ht="16" hidden="1" x14ac:dyDescent="0.2">
      <c r="A7" s="5">
        <v>45366</v>
      </c>
      <c r="B7" s="4" t="s">
        <v>335</v>
      </c>
      <c r="D7" s="6" t="s">
        <v>336</v>
      </c>
      <c r="E7" s="4" t="s">
        <v>334</v>
      </c>
      <c r="F7" s="5">
        <v>45387</v>
      </c>
      <c r="G7" s="4" t="s">
        <v>327</v>
      </c>
      <c r="H7" s="13" t="str">
        <f>CONCATENATE(Table1[[#This Row],[Integration]], ", ", Table1[[#This Row],[Action]], ", ", Table1[[#This Row],[Owner]])</f>
        <v>All, Switch testing to 910, Daniel</v>
      </c>
      <c r="I7" s="8"/>
      <c r="J7" s="8"/>
    </row>
    <row r="8" spans="1:11" ht="16" hidden="1" x14ac:dyDescent="0.2">
      <c r="A8" s="5">
        <v>45366</v>
      </c>
      <c r="B8" s="4" t="s">
        <v>335</v>
      </c>
      <c r="D8" s="6" t="s">
        <v>337</v>
      </c>
      <c r="E8" s="4" t="s">
        <v>111</v>
      </c>
      <c r="F8" s="5">
        <v>45373</v>
      </c>
      <c r="G8" s="4" t="s">
        <v>338</v>
      </c>
      <c r="H8" s="13" t="str">
        <f>CONCATENATE(Table1[[#This Row],[Integration]], ", ", Table1[[#This Row],[Action]], ", ", Table1[[#This Row],[Owner]])</f>
        <v>All, Need service account created in M3 for file drop, Jeff</v>
      </c>
    </row>
    <row r="9" spans="1:11" ht="16" hidden="1" x14ac:dyDescent="0.2">
      <c r="A9" s="5">
        <v>45310</v>
      </c>
      <c r="B9" s="4" t="s">
        <v>330</v>
      </c>
      <c r="D9" s="6" t="s">
        <v>339</v>
      </c>
      <c r="E9" s="4" t="s">
        <v>111</v>
      </c>
      <c r="F9" s="5">
        <v>45317</v>
      </c>
      <c r="G9" s="4" t="s">
        <v>327</v>
      </c>
    </row>
    <row r="10" spans="1:11" ht="32" hidden="1" x14ac:dyDescent="0.2">
      <c r="A10" s="5">
        <v>45317</v>
      </c>
      <c r="B10" s="3" t="s">
        <v>122</v>
      </c>
      <c r="C10" s="3"/>
      <c r="D10" s="6" t="s">
        <v>340</v>
      </c>
      <c r="E10" s="4" t="s">
        <v>111</v>
      </c>
      <c r="F10" s="5">
        <v>45324</v>
      </c>
      <c r="G10" s="4" t="s">
        <v>338</v>
      </c>
    </row>
    <row r="11" spans="1:11" ht="16" hidden="1" x14ac:dyDescent="0.2">
      <c r="A11" s="5">
        <v>45324</v>
      </c>
      <c r="B11" s="4" t="s">
        <v>67</v>
      </c>
      <c r="D11" s="6" t="s">
        <v>341</v>
      </c>
      <c r="E11" s="4" t="s">
        <v>342</v>
      </c>
      <c r="F11" s="5">
        <v>45345</v>
      </c>
      <c r="G11" s="4" t="s">
        <v>338</v>
      </c>
      <c r="H11" s="13" t="str">
        <f>CONCATENATE(Table1[[#This Row],[Integration]], ", ", Table1[[#This Row],[Action]], ", ", Table1[[#This Row],[Owner]])</f>
        <v>Concur, Emailed Steve to add to packaging standard / packing slip , Sonja</v>
      </c>
    </row>
    <row r="12" spans="1:11" ht="16" hidden="1" x14ac:dyDescent="0.2">
      <c r="A12" s="5">
        <v>45324</v>
      </c>
      <c r="B12" s="4" t="s">
        <v>67</v>
      </c>
      <c r="D12" s="6" t="s">
        <v>343</v>
      </c>
      <c r="E12" s="4" t="s">
        <v>344</v>
      </c>
      <c r="F12" s="5">
        <v>45330</v>
      </c>
      <c r="G12" s="4" t="s">
        <v>327</v>
      </c>
    </row>
    <row r="13" spans="1:11" ht="16" x14ac:dyDescent="0.2">
      <c r="A13" s="5">
        <v>45527</v>
      </c>
      <c r="B13" s="4" t="s">
        <v>67</v>
      </c>
      <c r="D13" s="6" t="s">
        <v>345</v>
      </c>
      <c r="E13" s="4" t="s">
        <v>171</v>
      </c>
      <c r="F13" s="5">
        <v>45627</v>
      </c>
    </row>
    <row r="14" spans="1:11" ht="16" x14ac:dyDescent="0.2">
      <c r="A14" s="5">
        <v>45527</v>
      </c>
      <c r="B14" s="4" t="s">
        <v>16</v>
      </c>
      <c r="D14" s="6" t="s">
        <v>346</v>
      </c>
      <c r="E14" s="4" t="s">
        <v>347</v>
      </c>
      <c r="F14" s="5">
        <v>45627</v>
      </c>
    </row>
    <row r="15" spans="1:11" ht="16" hidden="1" x14ac:dyDescent="0.2">
      <c r="A15" s="5">
        <v>45324</v>
      </c>
      <c r="B15" s="4" t="s">
        <v>67</v>
      </c>
      <c r="D15" s="6" t="s">
        <v>348</v>
      </c>
      <c r="E15" s="4" t="s">
        <v>334</v>
      </c>
      <c r="F15" s="5">
        <v>45331</v>
      </c>
      <c r="G15" s="4" t="s">
        <v>338</v>
      </c>
    </row>
    <row r="16" spans="1:11" ht="32" hidden="1" x14ac:dyDescent="0.2">
      <c r="A16" s="5">
        <v>45310</v>
      </c>
      <c r="B16" s="4" t="s">
        <v>349</v>
      </c>
      <c r="D16" s="6" t="s">
        <v>350</v>
      </c>
      <c r="E16" s="4" t="s">
        <v>111</v>
      </c>
      <c r="F16" s="7">
        <v>45317</v>
      </c>
      <c r="G16" s="4" t="s">
        <v>327</v>
      </c>
      <c r="H16" s="13" t="str">
        <f>CONCATENATE(Table1[[#This Row],[Integration]], ", ", Table1[[#This Row],[Action]], ", ", Table1[[#This Row],[Owner]])</f>
        <v>Fedex / UPS, Need sample files to test
2/16: Jeff will send files going up today.  , Jeff</v>
      </c>
    </row>
    <row r="17" spans="1:8" ht="16" x14ac:dyDescent="0.2">
      <c r="A17" s="5">
        <v>45527</v>
      </c>
      <c r="B17" s="4" t="s">
        <v>67</v>
      </c>
      <c r="D17" s="6" t="s">
        <v>351</v>
      </c>
      <c r="E17" s="4" t="s">
        <v>352</v>
      </c>
      <c r="F17" s="5">
        <v>45566</v>
      </c>
    </row>
    <row r="18" spans="1:8" ht="16" hidden="1" x14ac:dyDescent="0.2">
      <c r="A18" s="5">
        <v>45310</v>
      </c>
      <c r="B18" s="4" t="s">
        <v>349</v>
      </c>
      <c r="C18" s="4">
        <v>1</v>
      </c>
      <c r="D18" s="6" t="s">
        <v>353</v>
      </c>
      <c r="E18" s="4" t="s">
        <v>229</v>
      </c>
      <c r="F18" s="5">
        <v>45366</v>
      </c>
      <c r="G18" s="4" t="s">
        <v>338</v>
      </c>
      <c r="H18" s="13" t="str">
        <f>CONCATENATE(Table1[[#This Row],[Integration]], ", ", Table1[[#This Row],[Action]], ", ", Table1[[#This Row],[Owner]])</f>
        <v>Fedex / UPS, Draft functional spec ready to review with Barnes, Cheska</v>
      </c>
    </row>
    <row r="19" spans="1:8" ht="16" x14ac:dyDescent="0.2">
      <c r="A19" s="5">
        <v>45527</v>
      </c>
      <c r="B19" s="4" t="s">
        <v>55</v>
      </c>
      <c r="D19" s="6" t="s">
        <v>354</v>
      </c>
      <c r="E19" s="4" t="s">
        <v>114</v>
      </c>
      <c r="F19" s="5">
        <v>45538</v>
      </c>
    </row>
    <row r="20" spans="1:8" ht="16" hidden="1" x14ac:dyDescent="0.2">
      <c r="A20" s="5">
        <v>45345</v>
      </c>
      <c r="B20" s="4" t="s">
        <v>67</v>
      </c>
      <c r="D20" s="6" t="s">
        <v>355</v>
      </c>
      <c r="E20" s="4" t="s">
        <v>188</v>
      </c>
      <c r="F20" s="5">
        <v>45352</v>
      </c>
      <c r="G20" s="4" t="s">
        <v>327</v>
      </c>
      <c r="H20" s="13" t="str">
        <f>CONCATENATE(Table1[[#This Row],[Integration]], ", ", Table1[[#This Row],[Action]], ", ", Table1[[#This Row],[Owner]])</f>
        <v>Concur, Setup SFTP for data transfer, Karin</v>
      </c>
    </row>
    <row r="21" spans="1:8" ht="16" x14ac:dyDescent="0.2">
      <c r="A21" s="5">
        <v>45530</v>
      </c>
      <c r="B21" s="4" t="s">
        <v>55</v>
      </c>
      <c r="D21" s="6" t="s">
        <v>356</v>
      </c>
      <c r="F21" s="5">
        <v>45538</v>
      </c>
    </row>
    <row r="22" spans="1:8" ht="16" hidden="1" x14ac:dyDescent="0.2">
      <c r="A22" s="5">
        <v>45359</v>
      </c>
      <c r="B22" s="4" t="s">
        <v>349</v>
      </c>
      <c r="D22" s="6" t="s">
        <v>357</v>
      </c>
      <c r="E22" s="4" t="s">
        <v>229</v>
      </c>
      <c r="F22" s="5">
        <v>45366</v>
      </c>
      <c r="G22" s="4" t="s">
        <v>338</v>
      </c>
      <c r="H22" s="13" t="str">
        <f>CONCATENATE(Table1[[#This Row],[Integration]], ", ", Table1[[#This Row],[Action]], ", ", Table1[[#This Row],[Owner]])</f>
        <v>Fedex / UPS, Need to review mapping to/from JBA, Cheska</v>
      </c>
    </row>
    <row r="23" spans="1:8" ht="16" hidden="1" x14ac:dyDescent="0.2">
      <c r="A23" s="5">
        <v>45310</v>
      </c>
      <c r="B23" s="4" t="s">
        <v>16</v>
      </c>
      <c r="D23" s="6" t="s">
        <v>358</v>
      </c>
      <c r="E23" s="4" t="s">
        <v>161</v>
      </c>
      <c r="F23" s="5">
        <v>45338</v>
      </c>
      <c r="G23" s="4" t="s">
        <v>338</v>
      </c>
    </row>
    <row r="24" spans="1:8" ht="16" hidden="1" x14ac:dyDescent="0.2">
      <c r="A24" s="5">
        <v>45324</v>
      </c>
      <c r="B24" s="4" t="s">
        <v>16</v>
      </c>
      <c r="C24" s="4">
        <v>1</v>
      </c>
      <c r="D24" s="6" t="s">
        <v>359</v>
      </c>
      <c r="E24" s="4" t="s">
        <v>161</v>
      </c>
      <c r="F24" s="5">
        <v>45342</v>
      </c>
      <c r="G24" s="4" t="s">
        <v>338</v>
      </c>
      <c r="H24" s="13" t="str">
        <f>CONCATENATE(Table1[[#This Row],[Integration]], ", ", Table1[[#This Row],[Action]], ", ", Table1[[#This Row],[Owner]])</f>
        <v>Salesforce, Need to review with Torbjörn when he returns, Martin</v>
      </c>
    </row>
    <row r="25" spans="1:8" ht="16" hidden="1" x14ac:dyDescent="0.2">
      <c r="A25" s="5">
        <v>45338</v>
      </c>
      <c r="B25" s="4" t="s">
        <v>16</v>
      </c>
      <c r="C25" s="4">
        <v>1</v>
      </c>
      <c r="D25" s="6" t="s">
        <v>360</v>
      </c>
      <c r="E25" s="4" t="s">
        <v>171</v>
      </c>
      <c r="F25" s="5">
        <v>45345</v>
      </c>
      <c r="G25" s="4" t="s">
        <v>338</v>
      </c>
      <c r="H25" s="13" t="str">
        <f>CONCATENATE(Table1[[#This Row],[Integration]], ", ", Table1[[#This Row],[Action]], ", ", Table1[[#This Row],[Owner]])</f>
        <v>Salesforce, Daniel sent out functional spec, need Barnes review/approval, Dean</v>
      </c>
    </row>
    <row r="26" spans="1:8" ht="16" x14ac:dyDescent="0.2">
      <c r="A26" s="5">
        <v>45530</v>
      </c>
      <c r="B26" s="4" t="s">
        <v>52</v>
      </c>
      <c r="D26" s="6" t="s">
        <v>356</v>
      </c>
      <c r="E26" s="4" t="s">
        <v>361</v>
      </c>
      <c r="F26" s="5">
        <v>45548</v>
      </c>
    </row>
    <row r="27" spans="1:8" ht="16" x14ac:dyDescent="0.2">
      <c r="A27" s="5">
        <v>45527</v>
      </c>
      <c r="B27" s="4" t="s">
        <v>362</v>
      </c>
      <c r="D27" s="6" t="s">
        <v>354</v>
      </c>
      <c r="E27" s="4" t="s">
        <v>114</v>
      </c>
      <c r="F27" s="5">
        <v>45538</v>
      </c>
    </row>
    <row r="28" spans="1:8" ht="16" hidden="1" x14ac:dyDescent="0.2">
      <c r="A28" s="5">
        <v>45373</v>
      </c>
      <c r="B28" s="4" t="s">
        <v>39</v>
      </c>
      <c r="D28" s="6" t="s">
        <v>363</v>
      </c>
      <c r="E28" s="4" t="s">
        <v>342</v>
      </c>
      <c r="F28" s="5">
        <v>45379</v>
      </c>
      <c r="G28" s="4" t="s">
        <v>338</v>
      </c>
    </row>
    <row r="29" spans="1:8" ht="16" hidden="1" x14ac:dyDescent="0.2">
      <c r="A29" s="5">
        <v>45310</v>
      </c>
      <c r="B29" s="4" t="s">
        <v>330</v>
      </c>
      <c r="D29" s="6" t="s">
        <v>364</v>
      </c>
      <c r="E29" s="4" t="s">
        <v>365</v>
      </c>
      <c r="F29" s="5">
        <v>45345</v>
      </c>
      <c r="G29" s="4" t="s">
        <v>338</v>
      </c>
      <c r="H29" s="13" t="str">
        <f>CONCATENATE(Table1[[#This Row],[Integration]], ", ", Table1[[#This Row],[Action]], ", ", Table1[[#This Row],[Owner]])</f>
        <v>Worldpay, Need a call with Worldpay to understand technical details &amp; setup account - Jeff, Amy B, Daniel, Catherine L, Sonja, Annastasia</v>
      </c>
    </row>
    <row r="30" spans="1:8" ht="16" hidden="1" x14ac:dyDescent="0.2">
      <c r="A30" s="5">
        <v>45338</v>
      </c>
      <c r="B30" s="4" t="s">
        <v>330</v>
      </c>
      <c r="D30" s="6" t="s">
        <v>366</v>
      </c>
      <c r="E30" s="4" t="s">
        <v>334</v>
      </c>
      <c r="F30" s="5">
        <v>45366</v>
      </c>
      <c r="G30" s="4" t="s">
        <v>338</v>
      </c>
      <c r="H30" s="13" t="str">
        <f>CONCATENATE(Table1[[#This Row],[Integration]], ", ", Table1[[#This Row],[Action]], ", ", Table1[[#This Row],[Owner]])</f>
        <v>Worldpay, functional spec, Daniel</v>
      </c>
    </row>
    <row r="31" spans="1:8" ht="16" x14ac:dyDescent="0.2">
      <c r="A31" s="5">
        <v>45310</v>
      </c>
      <c r="B31" s="4" t="s">
        <v>367</v>
      </c>
      <c r="C31" s="4">
        <v>3</v>
      </c>
      <c r="D31" s="6" t="s">
        <v>368</v>
      </c>
      <c r="E31" s="4" t="s">
        <v>114</v>
      </c>
      <c r="F31" s="5">
        <v>45538</v>
      </c>
    </row>
    <row r="32" spans="1:8" ht="16" x14ac:dyDescent="0.2">
      <c r="A32" s="5">
        <v>45530</v>
      </c>
      <c r="B32" s="4" t="s">
        <v>367</v>
      </c>
      <c r="D32" s="6" t="s">
        <v>356</v>
      </c>
      <c r="E32" s="4" t="s">
        <v>369</v>
      </c>
      <c r="F32" s="5">
        <v>45538</v>
      </c>
    </row>
    <row r="33" spans="1:8" ht="16" x14ac:dyDescent="0.2">
      <c r="A33" s="5">
        <v>45530</v>
      </c>
      <c r="B33" s="90" t="s">
        <v>53</v>
      </c>
      <c r="D33" s="6" t="s">
        <v>370</v>
      </c>
      <c r="E33" s="4" t="s">
        <v>371</v>
      </c>
      <c r="F33" s="5">
        <v>45538</v>
      </c>
    </row>
    <row r="34" spans="1:8" ht="32" hidden="1" x14ac:dyDescent="0.2">
      <c r="A34" s="5">
        <v>45366</v>
      </c>
      <c r="B34" s="4" t="s">
        <v>349</v>
      </c>
      <c r="D34" s="6" t="s">
        <v>372</v>
      </c>
      <c r="E34" s="4" t="s">
        <v>342</v>
      </c>
      <c r="F34" s="5">
        <v>45401</v>
      </c>
      <c r="G34" s="4" t="s">
        <v>338</v>
      </c>
      <c r="H34" s="13" t="s">
        <v>373</v>
      </c>
    </row>
    <row r="35" spans="1:8" ht="32" hidden="1" x14ac:dyDescent="0.2">
      <c r="A35" s="5">
        <v>45359</v>
      </c>
      <c r="B35" s="4" t="s">
        <v>16</v>
      </c>
      <c r="D35" s="6" t="s">
        <v>374</v>
      </c>
      <c r="E35" s="4" t="s">
        <v>342</v>
      </c>
      <c r="F35" s="5">
        <v>45366</v>
      </c>
      <c r="G35" s="4" t="s">
        <v>338</v>
      </c>
    </row>
    <row r="36" spans="1:8" ht="16" x14ac:dyDescent="0.2">
      <c r="A36" s="5">
        <v>45310</v>
      </c>
      <c r="B36" s="4" t="s">
        <v>27</v>
      </c>
      <c r="C36" s="4">
        <v>4</v>
      </c>
      <c r="D36" s="6" t="s">
        <v>375</v>
      </c>
      <c r="E36" s="4" t="s">
        <v>114</v>
      </c>
      <c r="F36" s="5">
        <v>45538</v>
      </c>
      <c r="G36" s="4" t="s">
        <v>172</v>
      </c>
      <c r="H36" s="13" t="str">
        <f>CONCATENATE(Table1[[#This Row],[Integration]], ", ", Table1[[#This Row],[Action]], ", ", Table1[[#This Row],[Owner]])</f>
        <v>Cforia, Start functional spec in Feb, not started, will start after Concur &amp; PNC, Dennis</v>
      </c>
    </row>
    <row r="37" spans="1:8" ht="32" hidden="1" x14ac:dyDescent="0.2">
      <c r="A37" s="5">
        <v>45366</v>
      </c>
      <c r="B37" s="4" t="s">
        <v>349</v>
      </c>
      <c r="D37" s="6" t="s">
        <v>376</v>
      </c>
      <c r="E37" s="4" t="s">
        <v>111</v>
      </c>
      <c r="F37" s="5">
        <v>45373</v>
      </c>
      <c r="G37" s="4" t="s">
        <v>338</v>
      </c>
      <c r="H37" s="13" t="s">
        <v>377</v>
      </c>
    </row>
    <row r="38" spans="1:8" ht="16" x14ac:dyDescent="0.2">
      <c r="A38" s="5">
        <v>45317</v>
      </c>
      <c r="B38" s="4" t="s">
        <v>27</v>
      </c>
      <c r="C38" s="4">
        <v>4</v>
      </c>
      <c r="D38" s="6" t="s">
        <v>378</v>
      </c>
      <c r="E38" s="4" t="s">
        <v>192</v>
      </c>
      <c r="F38" s="5">
        <v>45538</v>
      </c>
      <c r="G38" s="4" t="s">
        <v>379</v>
      </c>
      <c r="H38" s="13" t="str">
        <f>CONCATENATE(Table1[[#This Row],[Integration]], ", ", Table1[[#This Row],[Action]], ", ", Table1[[#This Row],[Owner]])</f>
        <v>Cforia, Kevin is starting the technical spec, next step to find missing fields, Kevin</v>
      </c>
    </row>
    <row r="39" spans="1:8" ht="16" x14ac:dyDescent="0.2">
      <c r="A39" s="5">
        <v>45317</v>
      </c>
      <c r="B39" s="4" t="s">
        <v>67</v>
      </c>
      <c r="C39" s="4">
        <v>1</v>
      </c>
      <c r="D39" s="6" t="s">
        <v>380</v>
      </c>
      <c r="E39" s="4" t="s">
        <v>381</v>
      </c>
      <c r="F39" s="5">
        <v>45538</v>
      </c>
      <c r="G39" s="4" t="s">
        <v>379</v>
      </c>
      <c r="H39" s="13" t="str">
        <f>CONCATENATE(Table1[[#This Row],[Integration]], ", ", Table1[[#This Row],[Action]], ", ", Table1[[#This Row],[Owner]])</f>
        <v>Concur, Jane W is starting technical spec, mapping in process, Jane</v>
      </c>
    </row>
    <row r="40" spans="1:8" ht="16" hidden="1" x14ac:dyDescent="0.2">
      <c r="A40" s="5">
        <v>45366</v>
      </c>
      <c r="B40" s="4" t="s">
        <v>19</v>
      </c>
      <c r="D40" s="6" t="s">
        <v>382</v>
      </c>
      <c r="E40" s="4" t="s">
        <v>342</v>
      </c>
      <c r="F40" s="5">
        <v>45373</v>
      </c>
      <c r="G40" s="4" t="s">
        <v>327</v>
      </c>
    </row>
    <row r="41" spans="1:8" ht="16" hidden="1" x14ac:dyDescent="0.2">
      <c r="A41" s="5">
        <v>45345</v>
      </c>
      <c r="B41" s="4" t="s">
        <v>330</v>
      </c>
      <c r="D41" s="6" t="s">
        <v>383</v>
      </c>
      <c r="E41" s="4" t="s">
        <v>365</v>
      </c>
      <c r="F41" s="5">
        <v>45373</v>
      </c>
      <c r="G41" s="4" t="s">
        <v>327</v>
      </c>
    </row>
    <row r="42" spans="1:8" ht="48" x14ac:dyDescent="0.2">
      <c r="A42" s="5">
        <v>45338</v>
      </c>
      <c r="B42" s="4" t="s">
        <v>67</v>
      </c>
      <c r="C42" s="4">
        <v>1</v>
      </c>
      <c r="D42" s="6" t="s">
        <v>384</v>
      </c>
      <c r="E42" s="4" t="s">
        <v>110</v>
      </c>
      <c r="F42" s="5">
        <v>45538</v>
      </c>
      <c r="H42" s="13" t="str">
        <f>CONCATENATE(Table1[[#This Row],[Integration]], ", ", Table1[[#This Row],[Action]], ", ", Table1[[#This Row],[Owner]])</f>
        <v>Concur, functional spec - schedule review for week of 3/18
4/12 - did this happen last week?
8/26: Schedule approval/review of ANA-050, Kim</v>
      </c>
    </row>
    <row r="43" spans="1:8" ht="32" hidden="1" x14ac:dyDescent="0.2">
      <c r="A43" s="5">
        <v>45338</v>
      </c>
      <c r="B43" s="4" t="s">
        <v>39</v>
      </c>
      <c r="C43" s="4">
        <v>1</v>
      </c>
      <c r="D43" s="6" t="s">
        <v>385</v>
      </c>
      <c r="E43" s="4" t="s">
        <v>365</v>
      </c>
      <c r="F43" s="5">
        <v>45387</v>
      </c>
      <c r="G43" s="4" t="s">
        <v>338</v>
      </c>
      <c r="H43" s="13" t="str">
        <f>CONCATENATE(Table1[[#This Row],[Integration]], ", ", Table1[[#This Row],[Action]], ", ", Table1[[#This Row],[Owner]])</f>
        <v>Optimizely, Sales order automation option?  follow up sent 3/8
3/22: Glenn will be sending Europe setup to model the same, Annastasia</v>
      </c>
    </row>
    <row r="44" spans="1:8" ht="16" x14ac:dyDescent="0.2">
      <c r="A44" s="5">
        <v>45530</v>
      </c>
      <c r="B44" s="4" t="s">
        <v>349</v>
      </c>
      <c r="D44" s="6" t="s">
        <v>386</v>
      </c>
      <c r="E44" s="4" t="s">
        <v>111</v>
      </c>
      <c r="F44" s="5">
        <v>45538</v>
      </c>
    </row>
    <row r="45" spans="1:8" ht="16" x14ac:dyDescent="0.2">
      <c r="A45" s="5">
        <v>45310</v>
      </c>
      <c r="B45" s="4" t="s">
        <v>39</v>
      </c>
      <c r="C45" s="4">
        <v>1</v>
      </c>
      <c r="D45" s="6" t="s">
        <v>387</v>
      </c>
      <c r="E45" s="4" t="s">
        <v>171</v>
      </c>
      <c r="F45" s="5">
        <v>45538</v>
      </c>
      <c r="G45" s="4" t="s">
        <v>388</v>
      </c>
      <c r="H45" s="13" t="str">
        <f>CONCATENATE(Table1[[#This Row],[Integration]], ", ", Table1[[#This Row],[Action]], ", ", Table1[[#This Row],[Owner]])</f>
        <v>Optimizely, Start on extracts / technical spec, Dean</v>
      </c>
    </row>
    <row r="46" spans="1:8" ht="32" x14ac:dyDescent="0.2">
      <c r="A46" s="5">
        <v>45310</v>
      </c>
      <c r="B46" s="4" t="s">
        <v>39</v>
      </c>
      <c r="C46" s="4">
        <v>1</v>
      </c>
      <c r="D46" s="6" t="s">
        <v>389</v>
      </c>
      <c r="E46" s="4" t="s">
        <v>371</v>
      </c>
      <c r="F46" s="5">
        <v>45538</v>
      </c>
      <c r="H46" s="13" t="str">
        <f>CONCATENATE(Table1[[#This Row],[Integration]], ", ", Table1[[#This Row],[Action]], ", ", Table1[[#This Row],[Owner]])</f>
        <v>Optimizely, Start on functional spec
3/22: Need more info on how new customers are handled (dummy acct or all new?), Hubert</v>
      </c>
    </row>
    <row r="47" spans="1:8" ht="16" x14ac:dyDescent="0.2">
      <c r="A47" s="5">
        <v>45366</v>
      </c>
      <c r="B47" s="4" t="s">
        <v>39</v>
      </c>
      <c r="D47" s="6" t="s">
        <v>390</v>
      </c>
      <c r="E47" s="4" t="s">
        <v>391</v>
      </c>
      <c r="F47" s="5">
        <v>45538</v>
      </c>
    </row>
    <row r="48" spans="1:8" ht="16" x14ac:dyDescent="0.2">
      <c r="A48" s="5">
        <v>45527</v>
      </c>
      <c r="B48" s="4" t="s">
        <v>22</v>
      </c>
      <c r="D48" s="6" t="s">
        <v>354</v>
      </c>
      <c r="E48" s="4" t="s">
        <v>114</v>
      </c>
      <c r="F48" s="5">
        <v>45538</v>
      </c>
    </row>
    <row r="49" spans="1:8" ht="16" x14ac:dyDescent="0.2">
      <c r="A49" s="5">
        <v>45530</v>
      </c>
      <c r="B49" s="4" t="s">
        <v>22</v>
      </c>
      <c r="D49" s="6" t="s">
        <v>356</v>
      </c>
      <c r="E49" s="4" t="s">
        <v>161</v>
      </c>
      <c r="F49" s="5">
        <v>45538</v>
      </c>
    </row>
    <row r="50" spans="1:8" ht="16" x14ac:dyDescent="0.2">
      <c r="A50" s="5">
        <v>45530</v>
      </c>
      <c r="B50" s="4" t="s">
        <v>19</v>
      </c>
      <c r="D50" s="6" t="s">
        <v>392</v>
      </c>
      <c r="E50" s="4" t="s">
        <v>111</v>
      </c>
      <c r="F50" s="5">
        <v>45538</v>
      </c>
    </row>
    <row r="51" spans="1:8" ht="16" x14ac:dyDescent="0.2">
      <c r="A51" s="5">
        <v>45530</v>
      </c>
      <c r="B51" s="4" t="s">
        <v>19</v>
      </c>
      <c r="D51" s="6" t="s">
        <v>393</v>
      </c>
      <c r="E51" s="4" t="s">
        <v>394</v>
      </c>
      <c r="F51" s="5">
        <v>45538</v>
      </c>
    </row>
    <row r="52" spans="1:8" ht="16" hidden="1" x14ac:dyDescent="0.2">
      <c r="A52" s="5">
        <v>45359</v>
      </c>
      <c r="B52" s="4" t="s">
        <v>16</v>
      </c>
      <c r="D52" s="6" t="s">
        <v>395</v>
      </c>
      <c r="E52" s="4" t="s">
        <v>171</v>
      </c>
      <c r="F52" s="5">
        <v>45394</v>
      </c>
      <c r="G52" s="4" t="s">
        <v>338</v>
      </c>
    </row>
    <row r="53" spans="1:8" ht="16" x14ac:dyDescent="0.2">
      <c r="A53" s="5">
        <v>45527</v>
      </c>
      <c r="B53" s="4" t="s">
        <v>16</v>
      </c>
      <c r="D53" s="6" t="s">
        <v>396</v>
      </c>
      <c r="E53" s="4" t="s">
        <v>273</v>
      </c>
      <c r="F53" s="5">
        <v>45534</v>
      </c>
    </row>
    <row r="54" spans="1:8" ht="16" x14ac:dyDescent="0.2">
      <c r="A54" s="5">
        <v>45527</v>
      </c>
      <c r="B54" s="4" t="s">
        <v>16</v>
      </c>
      <c r="D54" s="6" t="s">
        <v>397</v>
      </c>
      <c r="E54" s="4" t="s">
        <v>273</v>
      </c>
      <c r="F54" s="5">
        <v>45534</v>
      </c>
    </row>
    <row r="55" spans="1:8" ht="16" x14ac:dyDescent="0.2">
      <c r="A55" s="5">
        <v>45533</v>
      </c>
      <c r="B55" s="90" t="s">
        <v>53</v>
      </c>
      <c r="D55" s="6" t="s">
        <v>398</v>
      </c>
      <c r="E55" s="4" t="s">
        <v>371</v>
      </c>
      <c r="F55" s="5">
        <v>45534</v>
      </c>
    </row>
    <row r="56" spans="1:8" ht="16" hidden="1" x14ac:dyDescent="0.2">
      <c r="A56" s="5">
        <v>45310</v>
      </c>
      <c r="B56" s="4" t="s">
        <v>19</v>
      </c>
      <c r="D56" s="6" t="s">
        <v>399</v>
      </c>
      <c r="E56" s="4" t="s">
        <v>229</v>
      </c>
      <c r="F56" s="5">
        <v>45394</v>
      </c>
      <c r="G56" s="4" t="s">
        <v>338</v>
      </c>
    </row>
    <row r="57" spans="1:8" ht="32" x14ac:dyDescent="0.2">
      <c r="A57" s="5">
        <v>45359</v>
      </c>
      <c r="B57" s="4" t="s">
        <v>16</v>
      </c>
      <c r="D57" s="6" t="s">
        <v>400</v>
      </c>
      <c r="E57" s="4" t="s">
        <v>161</v>
      </c>
      <c r="F57" s="5">
        <v>45531</v>
      </c>
      <c r="H57" s="6" t="s">
        <v>401</v>
      </c>
    </row>
    <row r="58" spans="1:8" ht="16" x14ac:dyDescent="0.2">
      <c r="A58" s="5">
        <v>45527</v>
      </c>
      <c r="B58" s="4" t="s">
        <v>67</v>
      </c>
      <c r="D58" s="6" t="s">
        <v>402</v>
      </c>
      <c r="E58" s="4" t="s">
        <v>342</v>
      </c>
      <c r="F58" s="5">
        <v>45530</v>
      </c>
    </row>
    <row r="59" spans="1:8" ht="16" x14ac:dyDescent="0.2">
      <c r="A59" s="5">
        <v>45338</v>
      </c>
      <c r="B59" s="4" t="s">
        <v>349</v>
      </c>
      <c r="C59" s="4">
        <v>1</v>
      </c>
      <c r="D59" s="6" t="s">
        <v>403</v>
      </c>
      <c r="E59" s="4" t="s">
        <v>171</v>
      </c>
      <c r="F59" s="5">
        <v>45387</v>
      </c>
      <c r="G59" s="4" t="s">
        <v>404</v>
      </c>
      <c r="H59" s="13" t="str">
        <f>CONCATENATE(Table1[[#This Row],[Integration]], ", ", Table1[[#This Row],[Action]], ", ", Table1[[#This Row],[Owner]])</f>
        <v>Fedex / UPS, Can we connect UPS/Fedex to Azure? - Schedule call with Dean , Dean</v>
      </c>
    </row>
    <row r="60" spans="1:8" ht="16" x14ac:dyDescent="0.2">
      <c r="A60" s="5">
        <v>45457</v>
      </c>
      <c r="B60" s="4" t="s">
        <v>19</v>
      </c>
      <c r="D60" s="6" t="s">
        <v>405</v>
      </c>
      <c r="E60" s="4" t="s">
        <v>171</v>
      </c>
    </row>
  </sheetData>
  <conditionalFormatting sqref="B52">
    <cfRule type="cellIs" dxfId="20" priority="8" operator="equal">
      <formula>"Completed"</formula>
    </cfRule>
  </conditionalFormatting>
  <conditionalFormatting sqref="B54:B59">
    <cfRule type="cellIs" dxfId="19" priority="1" operator="equal">
      <formula>"Completed"</formula>
    </cfRule>
  </conditionalFormatting>
  <conditionalFormatting sqref="F1:F1048576">
    <cfRule type="cellIs" dxfId="18" priority="7" operator="lessThan">
      <formula>$J$1</formula>
    </cfRule>
    <cfRule type="containsBlanks" priority="12" stopIfTrue="1">
      <formula>LEN(TRIM(F1))=0</formula>
    </cfRule>
    <cfRule type="cellIs" dxfId="17" priority="13" operator="lessThan">
      <formula>$K$1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B201-9060-4B95-8F21-A99C49DED377}">
  <dimension ref="C1:P185"/>
  <sheetViews>
    <sheetView workbookViewId="0">
      <selection activeCell="M2" sqref="M2"/>
    </sheetView>
  </sheetViews>
  <sheetFormatPr baseColWidth="10" defaultColWidth="8.83203125" defaultRowHeight="15" x14ac:dyDescent="0.2"/>
  <cols>
    <col min="3" max="3" width="57.5" bestFit="1" customWidth="1"/>
    <col min="16" max="16" width="9.33203125" style="2"/>
  </cols>
  <sheetData>
    <row r="1" spans="3:13" x14ac:dyDescent="0.2">
      <c r="C1" t="s">
        <v>120</v>
      </c>
      <c r="D1" t="s">
        <v>214</v>
      </c>
    </row>
    <row r="2" spans="3:13" x14ac:dyDescent="0.2">
      <c r="C2" s="2" t="s">
        <v>406</v>
      </c>
      <c r="D2" t="s">
        <v>190</v>
      </c>
      <c r="I2" t="s">
        <v>214</v>
      </c>
      <c r="J2" s="1" t="s">
        <v>407</v>
      </c>
      <c r="M2" t="str">
        <f>CONCATENATE(I2," ",J2)</f>
        <v>CON001 - ANA-50 - Func Spec</v>
      </c>
    </row>
    <row r="3" spans="3:13" x14ac:dyDescent="0.2">
      <c r="C3" s="2" t="s">
        <v>408</v>
      </c>
      <c r="D3" t="s">
        <v>198</v>
      </c>
      <c r="I3" t="s">
        <v>214</v>
      </c>
      <c r="J3" s="1" t="s">
        <v>409</v>
      </c>
      <c r="M3" t="str">
        <f t="shared" ref="M3:M66" si="0">CONCATENATE(I3," ",J3)</f>
        <v>CON001 - TAR-040 - Tech Spec</v>
      </c>
    </row>
    <row r="4" spans="3:13" x14ac:dyDescent="0.2">
      <c r="C4" s="2" t="s">
        <v>410</v>
      </c>
      <c r="D4" t="s">
        <v>201</v>
      </c>
      <c r="I4" t="s">
        <v>214</v>
      </c>
      <c r="J4" s="1" t="s">
        <v>411</v>
      </c>
      <c r="M4" t="str">
        <f t="shared" si="0"/>
        <v>CON001 - TES-070 - Tech Spec</v>
      </c>
    </row>
    <row r="5" spans="3:13" x14ac:dyDescent="0.2">
      <c r="C5" s="2" t="s">
        <v>412</v>
      </c>
      <c r="D5" t="s">
        <v>210</v>
      </c>
      <c r="I5" t="s">
        <v>214</v>
      </c>
      <c r="J5" s="1" t="s">
        <v>413</v>
      </c>
      <c r="M5" t="str">
        <f t="shared" si="0"/>
        <v>CON001 - DES-030 - Tech Spec</v>
      </c>
    </row>
    <row r="6" spans="3:13" x14ac:dyDescent="0.2">
      <c r="C6" t="s">
        <v>124</v>
      </c>
      <c r="D6" t="s">
        <v>271</v>
      </c>
      <c r="I6" t="s">
        <v>190</v>
      </c>
      <c r="J6" s="1" t="s">
        <v>407</v>
      </c>
      <c r="M6" t="str">
        <f t="shared" si="0"/>
        <v>CON002 - ANA-50 - Func Spec</v>
      </c>
    </row>
    <row r="7" spans="3:13" x14ac:dyDescent="0.2">
      <c r="C7" s="2" t="s">
        <v>414</v>
      </c>
      <c r="D7" t="s">
        <v>154</v>
      </c>
      <c r="I7" t="s">
        <v>190</v>
      </c>
      <c r="J7" s="1" t="s">
        <v>409</v>
      </c>
      <c r="M7" t="str">
        <f t="shared" si="0"/>
        <v>CON002 - TAR-040 - Tech Spec</v>
      </c>
    </row>
    <row r="8" spans="3:13" x14ac:dyDescent="0.2">
      <c r="C8" s="2" t="s">
        <v>415</v>
      </c>
      <c r="D8" t="s">
        <v>165</v>
      </c>
      <c r="I8" t="s">
        <v>190</v>
      </c>
      <c r="J8" s="1" t="s">
        <v>411</v>
      </c>
      <c r="M8" t="str">
        <f t="shared" si="0"/>
        <v>CON002 - TES-070 - Tech Spec</v>
      </c>
    </row>
    <row r="9" spans="3:13" x14ac:dyDescent="0.2">
      <c r="C9" s="2" t="s">
        <v>416</v>
      </c>
      <c r="D9" t="s">
        <v>278</v>
      </c>
      <c r="I9" t="s">
        <v>190</v>
      </c>
      <c r="J9" s="1" t="s">
        <v>413</v>
      </c>
      <c r="M9" t="str">
        <f t="shared" si="0"/>
        <v>CON002 - DES-030 - Tech Spec</v>
      </c>
    </row>
    <row r="10" spans="3:13" x14ac:dyDescent="0.2">
      <c r="C10" s="2" t="s">
        <v>417</v>
      </c>
      <c r="D10" t="s">
        <v>282</v>
      </c>
      <c r="I10" t="s">
        <v>198</v>
      </c>
      <c r="J10" s="1" t="s">
        <v>407</v>
      </c>
      <c r="M10" t="str">
        <f t="shared" si="0"/>
        <v>CON003 - ANA-50 - Func Spec</v>
      </c>
    </row>
    <row r="11" spans="3:13" x14ac:dyDescent="0.2">
      <c r="C11" t="s">
        <v>134</v>
      </c>
      <c r="D11" t="s">
        <v>290</v>
      </c>
      <c r="I11" t="s">
        <v>198</v>
      </c>
      <c r="J11" s="1" t="s">
        <v>409</v>
      </c>
      <c r="M11" t="str">
        <f t="shared" si="0"/>
        <v>CON003 - TAR-040 - Tech Spec</v>
      </c>
    </row>
    <row r="12" spans="3:13" x14ac:dyDescent="0.2">
      <c r="C12" s="2" t="s">
        <v>418</v>
      </c>
      <c r="D12" t="s">
        <v>295</v>
      </c>
      <c r="I12" t="s">
        <v>198</v>
      </c>
      <c r="J12" s="1" t="s">
        <v>411</v>
      </c>
      <c r="M12" t="str">
        <f t="shared" si="0"/>
        <v>CON003 - TES-070 - Tech Spec</v>
      </c>
    </row>
    <row r="13" spans="3:13" x14ac:dyDescent="0.2">
      <c r="C13" s="2" t="s">
        <v>419</v>
      </c>
      <c r="D13" t="s">
        <v>299</v>
      </c>
      <c r="I13" t="s">
        <v>198</v>
      </c>
      <c r="J13" s="1" t="s">
        <v>413</v>
      </c>
      <c r="M13" t="str">
        <f t="shared" si="0"/>
        <v>CON003 - DES-030 - Tech Spec</v>
      </c>
    </row>
    <row r="14" spans="3:13" x14ac:dyDescent="0.2">
      <c r="C14" s="2" t="s">
        <v>420</v>
      </c>
      <c r="I14" t="s">
        <v>201</v>
      </c>
      <c r="J14" s="1" t="s">
        <v>407</v>
      </c>
      <c r="M14" t="str">
        <f t="shared" si="0"/>
        <v>CON004 - ANA-50 - Func Spec</v>
      </c>
    </row>
    <row r="15" spans="3:13" x14ac:dyDescent="0.2">
      <c r="C15" s="2" t="s">
        <v>421</v>
      </c>
      <c r="I15" t="s">
        <v>201</v>
      </c>
      <c r="J15" s="1" t="s">
        <v>409</v>
      </c>
      <c r="M15" t="str">
        <f t="shared" si="0"/>
        <v>CON004 - TAR-040 - Tech Spec</v>
      </c>
    </row>
    <row r="16" spans="3:13" x14ac:dyDescent="0.2">
      <c r="C16" t="s">
        <v>137</v>
      </c>
      <c r="I16" t="s">
        <v>201</v>
      </c>
      <c r="J16" s="1" t="s">
        <v>411</v>
      </c>
      <c r="M16" t="str">
        <f t="shared" si="0"/>
        <v>CON004 - TES-070 - Tech Spec</v>
      </c>
    </row>
    <row r="17" spans="3:13" x14ac:dyDescent="0.2">
      <c r="C17" s="2" t="s">
        <v>422</v>
      </c>
      <c r="I17" t="s">
        <v>201</v>
      </c>
      <c r="J17" s="1" t="s">
        <v>413</v>
      </c>
      <c r="M17" t="str">
        <f t="shared" si="0"/>
        <v>CON004 - DES-030 - Tech Spec</v>
      </c>
    </row>
    <row r="18" spans="3:13" x14ac:dyDescent="0.2">
      <c r="C18" s="2" t="s">
        <v>423</v>
      </c>
      <c r="I18" t="s">
        <v>210</v>
      </c>
      <c r="J18" s="1" t="s">
        <v>407</v>
      </c>
      <c r="M18" t="str">
        <f t="shared" si="0"/>
        <v>CON005 - ANA-50 - Func Spec</v>
      </c>
    </row>
    <row r="19" spans="3:13" x14ac:dyDescent="0.2">
      <c r="C19" s="2" t="s">
        <v>424</v>
      </c>
      <c r="I19" t="s">
        <v>210</v>
      </c>
      <c r="J19" s="1" t="s">
        <v>409</v>
      </c>
      <c r="M19" t="str">
        <f t="shared" si="0"/>
        <v>CON005 - TAR-040 - Tech Spec</v>
      </c>
    </row>
    <row r="20" spans="3:13" x14ac:dyDescent="0.2">
      <c r="C20" s="2" t="s">
        <v>425</v>
      </c>
      <c r="I20" t="s">
        <v>210</v>
      </c>
      <c r="J20" s="1" t="s">
        <v>411</v>
      </c>
      <c r="M20" t="str">
        <f t="shared" si="0"/>
        <v>CON005 - TES-070 - Tech Spec</v>
      </c>
    </row>
    <row r="21" spans="3:13" x14ac:dyDescent="0.2">
      <c r="C21" t="s">
        <v>149</v>
      </c>
      <c r="I21" t="s">
        <v>210</v>
      </c>
      <c r="J21" s="1" t="s">
        <v>413</v>
      </c>
      <c r="M21" t="str">
        <f t="shared" si="0"/>
        <v>CON005 - DES-030 - Tech Spec</v>
      </c>
    </row>
    <row r="22" spans="3:13" x14ac:dyDescent="0.2">
      <c r="C22" s="2" t="s">
        <v>426</v>
      </c>
      <c r="I22" t="s">
        <v>271</v>
      </c>
      <c r="J22" s="1" t="s">
        <v>407</v>
      </c>
      <c r="M22" t="str">
        <f t="shared" si="0"/>
        <v>SFDC01 - ANA-50 - Func Spec</v>
      </c>
    </row>
    <row r="23" spans="3:13" x14ac:dyDescent="0.2">
      <c r="C23" s="2" t="s">
        <v>427</v>
      </c>
      <c r="I23" t="s">
        <v>271</v>
      </c>
      <c r="J23" s="1" t="s">
        <v>409</v>
      </c>
      <c r="M23" t="str">
        <f t="shared" si="0"/>
        <v>SFDC01 - TAR-040 - Tech Spec</v>
      </c>
    </row>
    <row r="24" spans="3:13" x14ac:dyDescent="0.2">
      <c r="C24" s="2" t="s">
        <v>428</v>
      </c>
      <c r="I24" t="s">
        <v>271</v>
      </c>
      <c r="J24" s="1" t="s">
        <v>411</v>
      </c>
      <c r="M24" t="str">
        <f t="shared" si="0"/>
        <v>SFDC01 - TES-070 - Tech Spec</v>
      </c>
    </row>
    <row r="25" spans="3:13" x14ac:dyDescent="0.2">
      <c r="C25" s="2" t="s">
        <v>429</v>
      </c>
      <c r="I25" t="s">
        <v>271</v>
      </c>
      <c r="J25" s="1" t="s">
        <v>413</v>
      </c>
      <c r="M25" t="str">
        <f t="shared" si="0"/>
        <v>SFDC01 - DES-030 - Tech Spec</v>
      </c>
    </row>
    <row r="26" spans="3:13" x14ac:dyDescent="0.2">
      <c r="C26" t="s">
        <v>153</v>
      </c>
      <c r="I26" t="s">
        <v>154</v>
      </c>
      <c r="J26" s="1" t="s">
        <v>407</v>
      </c>
      <c r="M26" t="str">
        <f t="shared" si="0"/>
        <v>SFDC02 - ANA-50 - Func Spec</v>
      </c>
    </row>
    <row r="27" spans="3:13" x14ac:dyDescent="0.2">
      <c r="C27" s="2" t="s">
        <v>430</v>
      </c>
      <c r="I27" t="s">
        <v>154</v>
      </c>
      <c r="J27" s="1" t="s">
        <v>409</v>
      </c>
      <c r="M27" t="str">
        <f t="shared" si="0"/>
        <v>SFDC02 - TAR-040 - Tech Spec</v>
      </c>
    </row>
    <row r="28" spans="3:13" x14ac:dyDescent="0.2">
      <c r="C28" s="2" t="s">
        <v>431</v>
      </c>
      <c r="I28" t="s">
        <v>154</v>
      </c>
      <c r="J28" s="1" t="s">
        <v>411</v>
      </c>
      <c r="M28" t="str">
        <f t="shared" si="0"/>
        <v>SFDC02 - TES-070 - Tech Spec</v>
      </c>
    </row>
    <row r="29" spans="3:13" x14ac:dyDescent="0.2">
      <c r="C29" s="2" t="s">
        <v>432</v>
      </c>
      <c r="I29" t="s">
        <v>154</v>
      </c>
      <c r="J29" s="1" t="s">
        <v>413</v>
      </c>
      <c r="M29" t="str">
        <f t="shared" si="0"/>
        <v>SFDC02 - DES-030 - Tech Spec</v>
      </c>
    </row>
    <row r="30" spans="3:13" x14ac:dyDescent="0.2">
      <c r="C30" s="2" t="s">
        <v>433</v>
      </c>
      <c r="I30" t="s">
        <v>165</v>
      </c>
      <c r="J30" s="1" t="s">
        <v>407</v>
      </c>
      <c r="M30" t="str">
        <f t="shared" si="0"/>
        <v>SFDC03 - ANA-50 - Func Spec</v>
      </c>
    </row>
    <row r="31" spans="3:13" x14ac:dyDescent="0.2">
      <c r="C31" t="s">
        <v>164</v>
      </c>
      <c r="I31" t="s">
        <v>165</v>
      </c>
      <c r="J31" s="1" t="s">
        <v>409</v>
      </c>
      <c r="M31" t="str">
        <f t="shared" si="0"/>
        <v>SFDC03 - TAR-040 - Tech Spec</v>
      </c>
    </row>
    <row r="32" spans="3:13" x14ac:dyDescent="0.2">
      <c r="C32" s="2" t="s">
        <v>434</v>
      </c>
      <c r="I32" t="s">
        <v>165</v>
      </c>
      <c r="J32" s="1" t="s">
        <v>411</v>
      </c>
      <c r="M32" t="str">
        <f t="shared" si="0"/>
        <v>SFDC03 - TES-070 - Tech Spec</v>
      </c>
    </row>
    <row r="33" spans="3:13" x14ac:dyDescent="0.2">
      <c r="C33" s="2" t="s">
        <v>435</v>
      </c>
      <c r="I33" t="s">
        <v>165</v>
      </c>
      <c r="J33" s="1" t="s">
        <v>413</v>
      </c>
      <c r="M33" t="str">
        <f t="shared" si="0"/>
        <v>SFDC03 - DES-030 - Tech Spec</v>
      </c>
    </row>
    <row r="34" spans="3:13" x14ac:dyDescent="0.2">
      <c r="C34" s="2" t="s">
        <v>436</v>
      </c>
      <c r="I34" t="s">
        <v>278</v>
      </c>
      <c r="J34" s="1" t="s">
        <v>407</v>
      </c>
      <c r="M34" t="str">
        <f t="shared" si="0"/>
        <v>SFDC04 - ANA-50 - Func Spec</v>
      </c>
    </row>
    <row r="35" spans="3:13" x14ac:dyDescent="0.2">
      <c r="C35" s="2" t="s">
        <v>437</v>
      </c>
      <c r="I35" t="s">
        <v>278</v>
      </c>
      <c r="J35" s="1" t="s">
        <v>409</v>
      </c>
      <c r="M35" t="str">
        <f t="shared" si="0"/>
        <v>SFDC04 - TAR-040 - Tech Spec</v>
      </c>
    </row>
    <row r="36" spans="3:13" x14ac:dyDescent="0.2">
      <c r="C36" t="s">
        <v>168</v>
      </c>
      <c r="I36" t="s">
        <v>278</v>
      </c>
      <c r="J36" s="1" t="s">
        <v>411</v>
      </c>
      <c r="M36" t="str">
        <f t="shared" si="0"/>
        <v>SFDC04 - TES-070 - Tech Spec</v>
      </c>
    </row>
    <row r="37" spans="3:13" x14ac:dyDescent="0.2">
      <c r="C37" s="2" t="s">
        <v>438</v>
      </c>
      <c r="I37" t="s">
        <v>278</v>
      </c>
      <c r="J37" s="1" t="s">
        <v>413</v>
      </c>
      <c r="M37" t="str">
        <f t="shared" si="0"/>
        <v>SFDC04 - DES-030 - Tech Spec</v>
      </c>
    </row>
    <row r="38" spans="3:13" x14ac:dyDescent="0.2">
      <c r="C38" s="2" t="s">
        <v>439</v>
      </c>
      <c r="I38" t="s">
        <v>282</v>
      </c>
      <c r="J38" s="1" t="s">
        <v>407</v>
      </c>
      <c r="M38" t="str">
        <f t="shared" si="0"/>
        <v>EDI001 - ANA-50 - Func Spec</v>
      </c>
    </row>
    <row r="39" spans="3:13" x14ac:dyDescent="0.2">
      <c r="C39" s="2" t="s">
        <v>440</v>
      </c>
      <c r="I39" t="s">
        <v>282</v>
      </c>
      <c r="J39" s="1" t="s">
        <v>409</v>
      </c>
      <c r="M39" t="str">
        <f t="shared" si="0"/>
        <v>EDI001 - TAR-040 - Tech Spec</v>
      </c>
    </row>
    <row r="40" spans="3:13" x14ac:dyDescent="0.2">
      <c r="C40" s="2" t="s">
        <v>441</v>
      </c>
      <c r="I40" t="s">
        <v>282</v>
      </c>
      <c r="J40" s="1" t="s">
        <v>411</v>
      </c>
      <c r="M40" t="str">
        <f t="shared" si="0"/>
        <v>EDI001 - TES-070 - Tech Spec</v>
      </c>
    </row>
    <row r="41" spans="3:13" x14ac:dyDescent="0.2">
      <c r="C41" t="s">
        <v>175</v>
      </c>
      <c r="I41" t="s">
        <v>282</v>
      </c>
      <c r="J41" s="1" t="s">
        <v>413</v>
      </c>
      <c r="M41" t="str">
        <f t="shared" si="0"/>
        <v>EDI001 - DES-030 - Tech Spec</v>
      </c>
    </row>
    <row r="42" spans="3:13" x14ac:dyDescent="0.2">
      <c r="C42" s="2" t="s">
        <v>442</v>
      </c>
      <c r="I42" t="s">
        <v>290</v>
      </c>
      <c r="J42" s="1" t="s">
        <v>407</v>
      </c>
      <c r="M42" t="str">
        <f t="shared" si="0"/>
        <v>EDI002 - ANA-50 - Func Spec</v>
      </c>
    </row>
    <row r="43" spans="3:13" x14ac:dyDescent="0.2">
      <c r="C43" s="2" t="s">
        <v>443</v>
      </c>
      <c r="I43" t="s">
        <v>290</v>
      </c>
      <c r="J43" s="1" t="s">
        <v>409</v>
      </c>
      <c r="M43" t="str">
        <f t="shared" si="0"/>
        <v>EDI002 - TAR-040 - Tech Spec</v>
      </c>
    </row>
    <row r="44" spans="3:13" x14ac:dyDescent="0.2">
      <c r="C44" s="2" t="s">
        <v>444</v>
      </c>
      <c r="I44" t="s">
        <v>290</v>
      </c>
      <c r="J44" s="1" t="s">
        <v>411</v>
      </c>
      <c r="M44" t="str">
        <f t="shared" si="0"/>
        <v>EDI002 - TES-070 - Tech Spec</v>
      </c>
    </row>
    <row r="45" spans="3:13" x14ac:dyDescent="0.2">
      <c r="C45" s="2" t="s">
        <v>445</v>
      </c>
      <c r="I45" t="s">
        <v>290</v>
      </c>
      <c r="J45" s="1" t="s">
        <v>413</v>
      </c>
      <c r="M45" t="str">
        <f t="shared" si="0"/>
        <v>EDI002 - DES-030 - Tech Spec</v>
      </c>
    </row>
    <row r="46" spans="3:13" x14ac:dyDescent="0.2">
      <c r="C46" t="s">
        <v>179</v>
      </c>
      <c r="I46" t="s">
        <v>295</v>
      </c>
      <c r="J46" s="1" t="s">
        <v>407</v>
      </c>
      <c r="M46" t="str">
        <f t="shared" si="0"/>
        <v>EDI003 - ANA-50 - Func Spec</v>
      </c>
    </row>
    <row r="47" spans="3:13" x14ac:dyDescent="0.2">
      <c r="C47" s="2" t="s">
        <v>446</v>
      </c>
      <c r="I47" t="s">
        <v>295</v>
      </c>
      <c r="J47" s="1" t="s">
        <v>409</v>
      </c>
      <c r="M47" t="str">
        <f t="shared" si="0"/>
        <v>EDI003 - TAR-040 - Tech Spec</v>
      </c>
    </row>
    <row r="48" spans="3:13" x14ac:dyDescent="0.2">
      <c r="C48" s="2" t="s">
        <v>447</v>
      </c>
      <c r="I48" t="s">
        <v>295</v>
      </c>
      <c r="J48" s="1" t="s">
        <v>411</v>
      </c>
      <c r="M48" t="str">
        <f t="shared" si="0"/>
        <v>EDI003 - TES-070 - Tech Spec</v>
      </c>
    </row>
    <row r="49" spans="3:13" x14ac:dyDescent="0.2">
      <c r="C49" s="2" t="s">
        <v>448</v>
      </c>
      <c r="I49" t="s">
        <v>295</v>
      </c>
      <c r="J49" s="1" t="s">
        <v>413</v>
      </c>
      <c r="M49" t="str">
        <f t="shared" si="0"/>
        <v>EDI003 - DES-030 - Tech Spec</v>
      </c>
    </row>
    <row r="50" spans="3:13" x14ac:dyDescent="0.2">
      <c r="C50" s="2" t="s">
        <v>449</v>
      </c>
      <c r="I50" t="s">
        <v>299</v>
      </c>
      <c r="J50" s="1" t="s">
        <v>407</v>
      </c>
      <c r="M50" t="str">
        <f t="shared" si="0"/>
        <v>EDI004 - ANA-50 - Func Spec</v>
      </c>
    </row>
    <row r="51" spans="3:13" x14ac:dyDescent="0.2">
      <c r="C51" t="s">
        <v>182</v>
      </c>
      <c r="I51" t="s">
        <v>299</v>
      </c>
      <c r="J51" s="1" t="s">
        <v>409</v>
      </c>
      <c r="M51" t="str">
        <f t="shared" si="0"/>
        <v>EDI004 - TAR-040 - Tech Spec</v>
      </c>
    </row>
    <row r="52" spans="3:13" x14ac:dyDescent="0.2">
      <c r="C52" s="2" t="s">
        <v>450</v>
      </c>
      <c r="I52" t="s">
        <v>299</v>
      </c>
      <c r="J52" s="1" t="s">
        <v>411</v>
      </c>
      <c r="M52" t="str">
        <f t="shared" si="0"/>
        <v>EDI004 - TES-070 - Tech Spec</v>
      </c>
    </row>
    <row r="53" spans="3:13" x14ac:dyDescent="0.2">
      <c r="C53" s="2" t="s">
        <v>451</v>
      </c>
      <c r="I53" t="s">
        <v>299</v>
      </c>
      <c r="J53" s="1" t="s">
        <v>413</v>
      </c>
      <c r="M53" t="str">
        <f t="shared" si="0"/>
        <v>EDI004 - DES-030 - Tech Spec</v>
      </c>
    </row>
    <row r="54" spans="3:13" x14ac:dyDescent="0.2">
      <c r="C54" s="2" t="s">
        <v>452</v>
      </c>
      <c r="I54" t="s">
        <v>303</v>
      </c>
      <c r="J54" s="1" t="s">
        <v>407</v>
      </c>
      <c r="M54" t="str">
        <f t="shared" si="0"/>
        <v>EDI005 - ANA-50 - Func Spec</v>
      </c>
    </row>
    <row r="55" spans="3:13" x14ac:dyDescent="0.2">
      <c r="C55" s="2" t="s">
        <v>453</v>
      </c>
      <c r="I55" t="s">
        <v>303</v>
      </c>
      <c r="J55" s="1" t="s">
        <v>409</v>
      </c>
      <c r="M55" t="str">
        <f t="shared" si="0"/>
        <v>EDI005 - TAR-040 - Tech Spec</v>
      </c>
    </row>
    <row r="56" spans="3:13" x14ac:dyDescent="0.2">
      <c r="C56" t="s">
        <v>185</v>
      </c>
      <c r="I56" t="s">
        <v>303</v>
      </c>
      <c r="J56" s="1" t="s">
        <v>411</v>
      </c>
      <c r="M56" t="str">
        <f t="shared" si="0"/>
        <v>EDI005 - TES-070 - Tech Spec</v>
      </c>
    </row>
    <row r="57" spans="3:13" x14ac:dyDescent="0.2">
      <c r="C57" s="2" t="s">
        <v>454</v>
      </c>
      <c r="G57" t="s">
        <v>303</v>
      </c>
      <c r="I57" t="s">
        <v>303</v>
      </c>
      <c r="J57" s="1" t="s">
        <v>413</v>
      </c>
      <c r="M57" t="str">
        <f t="shared" si="0"/>
        <v>EDI005 - DES-030 - Tech Spec</v>
      </c>
    </row>
    <row r="58" spans="3:13" x14ac:dyDescent="0.2">
      <c r="C58" s="2" t="s">
        <v>455</v>
      </c>
      <c r="G58" t="s">
        <v>309</v>
      </c>
      <c r="I58" t="s">
        <v>309</v>
      </c>
      <c r="J58" s="1" t="s">
        <v>407</v>
      </c>
      <c r="M58" t="str">
        <f t="shared" si="0"/>
        <v>EDI006 - ANA-50 - Func Spec</v>
      </c>
    </row>
    <row r="59" spans="3:13" x14ac:dyDescent="0.2">
      <c r="C59" s="2" t="s">
        <v>456</v>
      </c>
      <c r="G59" t="s">
        <v>204</v>
      </c>
      <c r="I59" t="s">
        <v>309</v>
      </c>
      <c r="J59" s="1" t="s">
        <v>409</v>
      </c>
      <c r="M59" t="str">
        <f t="shared" si="0"/>
        <v>EDI006 - TAR-040 - Tech Spec</v>
      </c>
    </row>
    <row r="60" spans="3:13" x14ac:dyDescent="0.2">
      <c r="C60" s="2" t="s">
        <v>457</v>
      </c>
      <c r="G60" t="s">
        <v>105</v>
      </c>
      <c r="I60" t="s">
        <v>309</v>
      </c>
      <c r="J60" s="1" t="s">
        <v>411</v>
      </c>
      <c r="M60" t="str">
        <f t="shared" si="0"/>
        <v>EDI006 - TES-070 - Tech Spec</v>
      </c>
    </row>
    <row r="61" spans="3:13" x14ac:dyDescent="0.2">
      <c r="C61" t="s">
        <v>189</v>
      </c>
      <c r="G61" t="s">
        <v>266</v>
      </c>
      <c r="I61" t="s">
        <v>309</v>
      </c>
      <c r="J61" s="1" t="s">
        <v>413</v>
      </c>
      <c r="M61" t="str">
        <f t="shared" si="0"/>
        <v>EDI006 - DES-030 - Tech Spec</v>
      </c>
    </row>
    <row r="62" spans="3:13" x14ac:dyDescent="0.2">
      <c r="C62" s="2" t="s">
        <v>458</v>
      </c>
      <c r="G62" t="s">
        <v>125</v>
      </c>
      <c r="I62" t="s">
        <v>204</v>
      </c>
      <c r="J62" s="1" t="s">
        <v>407</v>
      </c>
      <c r="M62" t="str">
        <f t="shared" si="0"/>
        <v>EDI007 - ANA-50 - Func Spec</v>
      </c>
    </row>
    <row r="63" spans="3:13" x14ac:dyDescent="0.2">
      <c r="C63" s="2" t="s">
        <v>459</v>
      </c>
      <c r="G63" t="s">
        <v>135</v>
      </c>
      <c r="I63" t="s">
        <v>204</v>
      </c>
      <c r="J63" s="1" t="s">
        <v>409</v>
      </c>
      <c r="M63" t="str">
        <f t="shared" si="0"/>
        <v>EDI007 - TAR-040 - Tech Spec</v>
      </c>
    </row>
    <row r="64" spans="3:13" x14ac:dyDescent="0.2">
      <c r="C64" s="2" t="s">
        <v>460</v>
      </c>
      <c r="G64" t="s">
        <v>169</v>
      </c>
      <c r="I64" t="s">
        <v>204</v>
      </c>
      <c r="J64" s="1" t="s">
        <v>411</v>
      </c>
      <c r="M64" t="str">
        <f t="shared" si="0"/>
        <v>EDI007 - TES-070 - Tech Spec</v>
      </c>
    </row>
    <row r="65" spans="3:13" x14ac:dyDescent="0.2">
      <c r="C65" s="2" t="s">
        <v>461</v>
      </c>
      <c r="G65" t="s">
        <v>176</v>
      </c>
      <c r="I65" t="s">
        <v>204</v>
      </c>
      <c r="J65" s="1" t="s">
        <v>413</v>
      </c>
      <c r="M65" t="str">
        <f t="shared" si="0"/>
        <v>EDI007 - DES-030 - Tech Spec</v>
      </c>
    </row>
    <row r="66" spans="3:13" x14ac:dyDescent="0.2">
      <c r="C66" t="s">
        <v>197</v>
      </c>
      <c r="G66" t="s">
        <v>180</v>
      </c>
      <c r="I66" t="s">
        <v>105</v>
      </c>
      <c r="J66" s="1" t="s">
        <v>407</v>
      </c>
      <c r="M66" t="str">
        <f t="shared" si="0"/>
        <v>FIN001 - ANA-50 - Func Spec</v>
      </c>
    </row>
    <row r="67" spans="3:13" x14ac:dyDescent="0.2">
      <c r="C67" s="2" t="s">
        <v>462</v>
      </c>
      <c r="I67" t="s">
        <v>105</v>
      </c>
      <c r="J67" s="1" t="s">
        <v>409</v>
      </c>
      <c r="M67" t="str">
        <f t="shared" ref="M67:M130" si="1">CONCATENATE(I67," ",J67)</f>
        <v>FIN001 - TAR-040 - Tech Spec</v>
      </c>
    </row>
    <row r="68" spans="3:13" x14ac:dyDescent="0.2">
      <c r="C68" s="2" t="s">
        <v>463</v>
      </c>
      <c r="I68" t="s">
        <v>105</v>
      </c>
      <c r="J68" s="1" t="s">
        <v>411</v>
      </c>
      <c r="M68" t="str">
        <f t="shared" si="1"/>
        <v>FIN001 - TES-070 - Tech Spec</v>
      </c>
    </row>
    <row r="69" spans="3:13" x14ac:dyDescent="0.2">
      <c r="C69" s="2" t="s">
        <v>464</v>
      </c>
      <c r="I69" t="s">
        <v>105</v>
      </c>
      <c r="J69" s="1" t="s">
        <v>413</v>
      </c>
      <c r="M69" t="str">
        <f t="shared" si="1"/>
        <v>FIN001 - DES-030 - Tech Spec</v>
      </c>
    </row>
    <row r="70" spans="3:13" x14ac:dyDescent="0.2">
      <c r="C70" s="2" t="s">
        <v>465</v>
      </c>
      <c r="I70" t="s">
        <v>266</v>
      </c>
      <c r="J70" s="1" t="s">
        <v>407</v>
      </c>
      <c r="M70" t="str">
        <f t="shared" si="1"/>
        <v>FIN002 - ANA-50 - Func Spec</v>
      </c>
    </row>
    <row r="71" spans="3:13" x14ac:dyDescent="0.2">
      <c r="C71" t="s">
        <v>203</v>
      </c>
      <c r="I71" t="s">
        <v>266</v>
      </c>
      <c r="J71" s="1" t="s">
        <v>409</v>
      </c>
      <c r="M71" t="str">
        <f t="shared" si="1"/>
        <v>FIN002 - TAR-040 - Tech Spec</v>
      </c>
    </row>
    <row r="72" spans="3:13" x14ac:dyDescent="0.2">
      <c r="C72" s="2" t="s">
        <v>466</v>
      </c>
      <c r="I72" t="s">
        <v>266</v>
      </c>
      <c r="J72" s="1" t="s">
        <v>411</v>
      </c>
      <c r="M72" t="str">
        <f t="shared" si="1"/>
        <v>FIN002 - TES-070 - Tech Spec</v>
      </c>
    </row>
    <row r="73" spans="3:13" x14ac:dyDescent="0.2">
      <c r="C73" s="2" t="s">
        <v>467</v>
      </c>
      <c r="I73" t="s">
        <v>266</v>
      </c>
      <c r="J73" s="1" t="s">
        <v>413</v>
      </c>
      <c r="M73" t="str">
        <f t="shared" si="1"/>
        <v>FIN002 - DES-030 - Tech Spec</v>
      </c>
    </row>
    <row r="74" spans="3:13" x14ac:dyDescent="0.2">
      <c r="C74" s="2" t="s">
        <v>468</v>
      </c>
      <c r="I74" t="s">
        <v>125</v>
      </c>
      <c r="J74" s="1" t="s">
        <v>407</v>
      </c>
      <c r="M74" t="str">
        <f t="shared" si="1"/>
        <v>FIN003 - ANA-50 - Func Spec</v>
      </c>
    </row>
    <row r="75" spans="3:13" x14ac:dyDescent="0.2">
      <c r="C75" s="2" t="s">
        <v>469</v>
      </c>
      <c r="I75" t="s">
        <v>125</v>
      </c>
      <c r="J75" s="1" t="s">
        <v>409</v>
      </c>
      <c r="M75" t="str">
        <f t="shared" si="1"/>
        <v>FIN003 - TAR-040 - Tech Spec</v>
      </c>
    </row>
    <row r="76" spans="3:13" x14ac:dyDescent="0.2">
      <c r="C76" t="s">
        <v>209</v>
      </c>
      <c r="I76" t="s">
        <v>125</v>
      </c>
      <c r="J76" s="1" t="s">
        <v>411</v>
      </c>
      <c r="M76" t="str">
        <f t="shared" si="1"/>
        <v>FIN003 - TES-070 - Tech Spec</v>
      </c>
    </row>
    <row r="77" spans="3:13" x14ac:dyDescent="0.2">
      <c r="C77" s="2" t="s">
        <v>470</v>
      </c>
      <c r="I77" t="s">
        <v>125</v>
      </c>
      <c r="J77" s="1" t="s">
        <v>413</v>
      </c>
      <c r="M77" t="str">
        <f t="shared" si="1"/>
        <v>FIN003 - DES-030 - Tech Spec</v>
      </c>
    </row>
    <row r="78" spans="3:13" x14ac:dyDescent="0.2">
      <c r="C78" s="2" t="s">
        <v>471</v>
      </c>
      <c r="I78" t="s">
        <v>135</v>
      </c>
      <c r="J78" s="1" t="s">
        <v>407</v>
      </c>
      <c r="M78" t="str">
        <f t="shared" si="1"/>
        <v>FIN004 - ANA-50 - Func Spec</v>
      </c>
    </row>
    <row r="79" spans="3:13" x14ac:dyDescent="0.2">
      <c r="C79" s="2" t="s">
        <v>472</v>
      </c>
      <c r="I79" t="s">
        <v>135</v>
      </c>
      <c r="J79" s="1" t="s">
        <v>409</v>
      </c>
      <c r="M79" t="str">
        <f t="shared" si="1"/>
        <v>FIN004 - TAR-040 - Tech Spec</v>
      </c>
    </row>
    <row r="80" spans="3:13" x14ac:dyDescent="0.2">
      <c r="C80" s="2" t="s">
        <v>473</v>
      </c>
      <c r="I80" t="s">
        <v>135</v>
      </c>
      <c r="J80" s="1" t="s">
        <v>411</v>
      </c>
      <c r="M80" t="str">
        <f t="shared" si="1"/>
        <v>FIN004 - TES-070 - Tech Spec</v>
      </c>
    </row>
    <row r="81" spans="3:13" x14ac:dyDescent="0.2">
      <c r="C81" t="s">
        <v>213</v>
      </c>
      <c r="I81" t="s">
        <v>135</v>
      </c>
      <c r="J81" s="1" t="s">
        <v>413</v>
      </c>
      <c r="M81" t="str">
        <f t="shared" si="1"/>
        <v>FIN004 - DES-030 - Tech Spec</v>
      </c>
    </row>
    <row r="82" spans="3:13" x14ac:dyDescent="0.2">
      <c r="C82" s="2" t="s">
        <v>474</v>
      </c>
      <c r="I82" t="s">
        <v>169</v>
      </c>
      <c r="J82" s="1" t="s">
        <v>407</v>
      </c>
      <c r="M82" t="str">
        <f t="shared" si="1"/>
        <v>CFO001 - ANA-50 - Func Spec</v>
      </c>
    </row>
    <row r="83" spans="3:13" x14ac:dyDescent="0.2">
      <c r="C83" s="2" t="s">
        <v>475</v>
      </c>
      <c r="I83" t="s">
        <v>169</v>
      </c>
      <c r="J83" s="1" t="s">
        <v>409</v>
      </c>
      <c r="M83" t="str">
        <f t="shared" si="1"/>
        <v>CFO001 - TAR-040 - Tech Spec</v>
      </c>
    </row>
    <row r="84" spans="3:13" x14ac:dyDescent="0.2">
      <c r="C84" s="2" t="s">
        <v>476</v>
      </c>
      <c r="I84" t="s">
        <v>169</v>
      </c>
      <c r="J84" s="1" t="s">
        <v>411</v>
      </c>
      <c r="M84" t="str">
        <f t="shared" si="1"/>
        <v>CFO001 - TES-070 - Tech Spec</v>
      </c>
    </row>
    <row r="85" spans="3:13" x14ac:dyDescent="0.2">
      <c r="C85" s="2" t="s">
        <v>477</v>
      </c>
      <c r="I85" t="s">
        <v>169</v>
      </c>
      <c r="J85" s="1" t="s">
        <v>413</v>
      </c>
      <c r="M85" t="str">
        <f t="shared" si="1"/>
        <v>CFO001 - DES-030 - Tech Spec</v>
      </c>
    </row>
    <row r="86" spans="3:13" x14ac:dyDescent="0.2">
      <c r="C86" t="s">
        <v>220</v>
      </c>
      <c r="I86" t="s">
        <v>176</v>
      </c>
      <c r="J86" s="1" t="s">
        <v>407</v>
      </c>
      <c r="M86" t="str">
        <f t="shared" si="1"/>
        <v>CFO002 - ANA-50 - Func Spec</v>
      </c>
    </row>
    <row r="87" spans="3:13" x14ac:dyDescent="0.2">
      <c r="C87" s="2" t="s">
        <v>478</v>
      </c>
      <c r="I87" t="s">
        <v>176</v>
      </c>
      <c r="J87" s="1" t="s">
        <v>409</v>
      </c>
      <c r="M87" t="str">
        <f t="shared" si="1"/>
        <v>CFO002 - TAR-040 - Tech Spec</v>
      </c>
    </row>
    <row r="88" spans="3:13" x14ac:dyDescent="0.2">
      <c r="C88" s="2" t="s">
        <v>479</v>
      </c>
      <c r="I88" t="s">
        <v>176</v>
      </c>
      <c r="J88" s="1" t="s">
        <v>411</v>
      </c>
      <c r="M88" t="str">
        <f t="shared" si="1"/>
        <v>CFO002 - TES-070 - Tech Spec</v>
      </c>
    </row>
    <row r="89" spans="3:13" x14ac:dyDescent="0.2">
      <c r="C89" s="2" t="s">
        <v>480</v>
      </c>
      <c r="I89" t="s">
        <v>176</v>
      </c>
      <c r="J89" s="1" t="s">
        <v>413</v>
      </c>
      <c r="M89" t="str">
        <f t="shared" si="1"/>
        <v>CFO002 - DES-030 - Tech Spec</v>
      </c>
    </row>
    <row r="90" spans="3:13" x14ac:dyDescent="0.2">
      <c r="C90" s="2" t="s">
        <v>481</v>
      </c>
      <c r="I90" t="s">
        <v>180</v>
      </c>
      <c r="J90" s="1" t="s">
        <v>407</v>
      </c>
      <c r="M90" t="str">
        <f t="shared" si="1"/>
        <v>CFO003 - ANA-50 - Func Spec</v>
      </c>
    </row>
    <row r="91" spans="3:13" x14ac:dyDescent="0.2">
      <c r="C91" t="s">
        <v>234</v>
      </c>
      <c r="I91" t="s">
        <v>180</v>
      </c>
      <c r="J91" s="1" t="s">
        <v>409</v>
      </c>
      <c r="M91" t="str">
        <f t="shared" si="1"/>
        <v>CFO003 - TAR-040 - Tech Spec</v>
      </c>
    </row>
    <row r="92" spans="3:13" x14ac:dyDescent="0.2">
      <c r="C92" s="2" t="s">
        <v>482</v>
      </c>
      <c r="I92" t="s">
        <v>180</v>
      </c>
      <c r="J92" s="1" t="s">
        <v>411</v>
      </c>
      <c r="M92" t="str">
        <f t="shared" si="1"/>
        <v>CFO003 - TES-070 - Tech Spec</v>
      </c>
    </row>
    <row r="93" spans="3:13" x14ac:dyDescent="0.2">
      <c r="C93" s="2" t="s">
        <v>483</v>
      </c>
      <c r="I93" t="s">
        <v>180</v>
      </c>
      <c r="J93" s="1" t="s">
        <v>413</v>
      </c>
      <c r="M93" t="str">
        <f t="shared" si="1"/>
        <v>CFO003 - DES-030 - Tech Spec</v>
      </c>
    </row>
    <row r="94" spans="3:13" x14ac:dyDescent="0.2">
      <c r="C94" s="2" t="s">
        <v>484</v>
      </c>
      <c r="G94" t="s">
        <v>183</v>
      </c>
      <c r="I94" t="s">
        <v>183</v>
      </c>
      <c r="J94" s="1" t="s">
        <v>407</v>
      </c>
      <c r="M94" t="str">
        <f t="shared" si="1"/>
        <v>CFO004 - ANA-50 - Func Spec</v>
      </c>
    </row>
    <row r="95" spans="3:13" x14ac:dyDescent="0.2">
      <c r="C95" s="2" t="s">
        <v>485</v>
      </c>
      <c r="G95" t="s">
        <v>186</v>
      </c>
      <c r="I95" t="s">
        <v>183</v>
      </c>
      <c r="J95" s="1" t="s">
        <v>409</v>
      </c>
      <c r="M95" t="str">
        <f t="shared" si="1"/>
        <v>CFO004 - TAR-040 - Tech Spec</v>
      </c>
    </row>
    <row r="96" spans="3:13" x14ac:dyDescent="0.2">
      <c r="C96" t="s">
        <v>239</v>
      </c>
      <c r="G96" t="s">
        <v>225</v>
      </c>
      <c r="I96" t="s">
        <v>183</v>
      </c>
      <c r="J96" s="1" t="s">
        <v>411</v>
      </c>
      <c r="M96" t="str">
        <f t="shared" si="1"/>
        <v>CFO004 - TES-070 - Tech Spec</v>
      </c>
    </row>
    <row r="97" spans="3:13" x14ac:dyDescent="0.2">
      <c r="C97" s="2" t="s">
        <v>486</v>
      </c>
      <c r="G97" t="s">
        <v>235</v>
      </c>
      <c r="I97" t="s">
        <v>183</v>
      </c>
      <c r="J97" s="1" t="s">
        <v>413</v>
      </c>
      <c r="M97" t="str">
        <f t="shared" si="1"/>
        <v>CFO004 - DES-030 - Tech Spec</v>
      </c>
    </row>
    <row r="98" spans="3:13" x14ac:dyDescent="0.2">
      <c r="C98" s="2" t="s">
        <v>487</v>
      </c>
      <c r="G98" t="s">
        <v>317</v>
      </c>
      <c r="I98" t="s">
        <v>186</v>
      </c>
      <c r="J98" s="1" t="s">
        <v>407</v>
      </c>
      <c r="M98" t="str">
        <f t="shared" si="1"/>
        <v>CFO005 - ANA-50 - Func Spec</v>
      </c>
    </row>
    <row r="99" spans="3:13" x14ac:dyDescent="0.2">
      <c r="C99" s="2" t="s">
        <v>488</v>
      </c>
      <c r="G99" t="s">
        <v>313</v>
      </c>
      <c r="I99" t="s">
        <v>186</v>
      </c>
      <c r="J99" s="1" t="s">
        <v>409</v>
      </c>
      <c r="M99" t="str">
        <f t="shared" si="1"/>
        <v>CFO005 - TAR-040 - Tech Spec</v>
      </c>
    </row>
    <row r="100" spans="3:13" x14ac:dyDescent="0.2">
      <c r="C100" s="2" t="s">
        <v>489</v>
      </c>
      <c r="G100" t="s">
        <v>490</v>
      </c>
      <c r="I100" t="s">
        <v>186</v>
      </c>
      <c r="J100" s="1" t="s">
        <v>411</v>
      </c>
      <c r="M100" t="str">
        <f t="shared" si="1"/>
        <v>CFO005 - TES-070 - Tech Spec</v>
      </c>
    </row>
    <row r="101" spans="3:13" x14ac:dyDescent="0.2">
      <c r="C101" t="s">
        <v>245</v>
      </c>
      <c r="G101" t="s">
        <v>491</v>
      </c>
      <c r="I101" t="s">
        <v>186</v>
      </c>
      <c r="J101" s="1" t="s">
        <v>413</v>
      </c>
      <c r="M101" t="str">
        <f t="shared" si="1"/>
        <v>CFO005 - DES-030 - Tech Spec</v>
      </c>
    </row>
    <row r="102" spans="3:13" x14ac:dyDescent="0.2">
      <c r="C102" s="2" t="s">
        <v>492</v>
      </c>
      <c r="I102" t="s">
        <v>225</v>
      </c>
      <c r="J102" s="1" t="s">
        <v>407</v>
      </c>
      <c r="M102" t="str">
        <f t="shared" si="1"/>
        <v>FED001 - ANA-50 - Func Spec</v>
      </c>
    </row>
    <row r="103" spans="3:13" x14ac:dyDescent="0.2">
      <c r="C103" s="2" t="s">
        <v>493</v>
      </c>
      <c r="I103" t="s">
        <v>225</v>
      </c>
      <c r="J103" s="1" t="s">
        <v>409</v>
      </c>
      <c r="M103" t="str">
        <f t="shared" si="1"/>
        <v>FED001 - TAR-040 - Tech Spec</v>
      </c>
    </row>
    <row r="104" spans="3:13" x14ac:dyDescent="0.2">
      <c r="C104" s="2" t="s">
        <v>494</v>
      </c>
      <c r="I104" t="s">
        <v>225</v>
      </c>
      <c r="J104" s="1" t="s">
        <v>411</v>
      </c>
      <c r="M104" t="str">
        <f t="shared" si="1"/>
        <v>FED001 - TES-070 - Tech Spec</v>
      </c>
    </row>
    <row r="105" spans="3:13" x14ac:dyDescent="0.2">
      <c r="C105" s="2" t="s">
        <v>495</v>
      </c>
      <c r="I105" t="s">
        <v>225</v>
      </c>
      <c r="J105" s="1" t="s">
        <v>413</v>
      </c>
      <c r="M105" t="str">
        <f t="shared" si="1"/>
        <v>FED001 - DES-030 - Tech Spec</v>
      </c>
    </row>
    <row r="106" spans="3:13" x14ac:dyDescent="0.2">
      <c r="C106" t="s">
        <v>249</v>
      </c>
      <c r="I106" t="s">
        <v>235</v>
      </c>
      <c r="J106" s="1" t="s">
        <v>407</v>
      </c>
      <c r="M106" t="str">
        <f t="shared" si="1"/>
        <v>FED002 - ANA-50 - Func Spec</v>
      </c>
    </row>
    <row r="107" spans="3:13" x14ac:dyDescent="0.2">
      <c r="C107" s="2" t="s">
        <v>496</v>
      </c>
      <c r="I107" t="s">
        <v>235</v>
      </c>
      <c r="J107" s="1" t="s">
        <v>409</v>
      </c>
      <c r="M107" t="str">
        <f t="shared" si="1"/>
        <v>FED002 - TAR-040 - Tech Spec</v>
      </c>
    </row>
    <row r="108" spans="3:13" x14ac:dyDescent="0.2">
      <c r="C108" s="2" t="s">
        <v>497</v>
      </c>
      <c r="I108" t="s">
        <v>235</v>
      </c>
      <c r="J108" s="1" t="s">
        <v>411</v>
      </c>
      <c r="M108" t="str">
        <f t="shared" si="1"/>
        <v>FED002 - TES-070 - Tech Spec</v>
      </c>
    </row>
    <row r="109" spans="3:13" x14ac:dyDescent="0.2">
      <c r="C109" s="2" t="s">
        <v>498</v>
      </c>
      <c r="I109" t="s">
        <v>235</v>
      </c>
      <c r="J109" s="1" t="s">
        <v>413</v>
      </c>
      <c r="M109" t="str">
        <f t="shared" si="1"/>
        <v>FED002 - DES-030 - Tech Spec</v>
      </c>
    </row>
    <row r="110" spans="3:13" x14ac:dyDescent="0.2">
      <c r="C110" s="2" t="s">
        <v>499</v>
      </c>
      <c r="I110" t="s">
        <v>317</v>
      </c>
      <c r="J110" s="1" t="s">
        <v>407</v>
      </c>
      <c r="M110" t="str">
        <f t="shared" si="1"/>
        <v>UPS001 - ANA-50 - Func Spec</v>
      </c>
    </row>
    <row r="111" spans="3:13" x14ac:dyDescent="0.2">
      <c r="C111" t="s">
        <v>253</v>
      </c>
      <c r="I111" t="s">
        <v>317</v>
      </c>
      <c r="J111" s="1" t="s">
        <v>409</v>
      </c>
      <c r="M111" t="str">
        <f t="shared" si="1"/>
        <v>UPS001 - TAR-040 - Tech Spec</v>
      </c>
    </row>
    <row r="112" spans="3:13" x14ac:dyDescent="0.2">
      <c r="C112" s="2" t="s">
        <v>500</v>
      </c>
      <c r="I112" t="s">
        <v>317</v>
      </c>
      <c r="J112" s="1" t="s">
        <v>411</v>
      </c>
      <c r="M112" t="str">
        <f t="shared" si="1"/>
        <v>UPS001 - TES-070 - Tech Spec</v>
      </c>
    </row>
    <row r="113" spans="3:13" x14ac:dyDescent="0.2">
      <c r="C113" s="2" t="s">
        <v>501</v>
      </c>
      <c r="I113" t="s">
        <v>317</v>
      </c>
      <c r="J113" s="1" t="s">
        <v>413</v>
      </c>
      <c r="M113" t="str">
        <f t="shared" si="1"/>
        <v>UPS001 - DES-030 - Tech Spec</v>
      </c>
    </row>
    <row r="114" spans="3:13" x14ac:dyDescent="0.2">
      <c r="C114" s="2" t="s">
        <v>502</v>
      </c>
      <c r="I114" t="s">
        <v>313</v>
      </c>
      <c r="J114" s="1" t="s">
        <v>407</v>
      </c>
      <c r="M114" t="str">
        <f t="shared" si="1"/>
        <v>UPS002 - ANA-50 - Func Spec</v>
      </c>
    </row>
    <row r="115" spans="3:13" x14ac:dyDescent="0.2">
      <c r="C115" s="2" t="s">
        <v>503</v>
      </c>
      <c r="I115" t="s">
        <v>313</v>
      </c>
      <c r="J115" s="1" t="s">
        <v>409</v>
      </c>
      <c r="M115" t="str">
        <f t="shared" si="1"/>
        <v>UPS002 - TAR-040 - Tech Spec</v>
      </c>
    </row>
    <row r="116" spans="3:13" x14ac:dyDescent="0.2">
      <c r="C116" t="s">
        <v>256</v>
      </c>
      <c r="I116" t="s">
        <v>313</v>
      </c>
      <c r="J116" s="1" t="s">
        <v>411</v>
      </c>
      <c r="M116" t="str">
        <f t="shared" si="1"/>
        <v>UPS002 - TES-070 - Tech Spec</v>
      </c>
    </row>
    <row r="117" spans="3:13" x14ac:dyDescent="0.2">
      <c r="C117" s="2" t="s">
        <v>504</v>
      </c>
      <c r="I117" t="s">
        <v>313</v>
      </c>
      <c r="J117" s="1" t="s">
        <v>413</v>
      </c>
      <c r="M117" t="str">
        <f t="shared" si="1"/>
        <v>UPS002 - DES-030 - Tech Spec</v>
      </c>
    </row>
    <row r="118" spans="3:13" x14ac:dyDescent="0.2">
      <c r="C118" s="2" t="s">
        <v>505</v>
      </c>
      <c r="I118" t="s">
        <v>490</v>
      </c>
      <c r="J118" s="1" t="s">
        <v>407</v>
      </c>
      <c r="M118" t="str">
        <f t="shared" si="1"/>
        <v>WOR001 - ANA-50 - Func Spec</v>
      </c>
    </row>
    <row r="119" spans="3:13" x14ac:dyDescent="0.2">
      <c r="C119" s="2" t="s">
        <v>506</v>
      </c>
      <c r="I119" t="s">
        <v>490</v>
      </c>
      <c r="J119" s="1" t="s">
        <v>409</v>
      </c>
      <c r="M119" t="str">
        <f t="shared" si="1"/>
        <v>WOR001 - TAR-040 - Tech Spec</v>
      </c>
    </row>
    <row r="120" spans="3:13" x14ac:dyDescent="0.2">
      <c r="C120" s="2" t="s">
        <v>507</v>
      </c>
      <c r="I120" t="s">
        <v>490</v>
      </c>
      <c r="J120" s="1" t="s">
        <v>411</v>
      </c>
      <c r="M120" t="str">
        <f t="shared" si="1"/>
        <v>WOR001 - TES-070 - Tech Spec</v>
      </c>
    </row>
    <row r="121" spans="3:13" x14ac:dyDescent="0.2">
      <c r="C121" t="s">
        <v>259</v>
      </c>
      <c r="I121" t="s">
        <v>490</v>
      </c>
      <c r="J121" s="1" t="s">
        <v>413</v>
      </c>
      <c r="M121" t="str">
        <f t="shared" si="1"/>
        <v>WOR001 - DES-030 - Tech Spec</v>
      </c>
    </row>
    <row r="122" spans="3:13" x14ac:dyDescent="0.2">
      <c r="C122" s="2" t="s">
        <v>508</v>
      </c>
      <c r="I122" t="s">
        <v>491</v>
      </c>
      <c r="J122" s="1" t="s">
        <v>407</v>
      </c>
      <c r="M122" t="str">
        <f t="shared" si="1"/>
        <v>WOR002 - ANA-50 - Func Spec</v>
      </c>
    </row>
    <row r="123" spans="3:13" x14ac:dyDescent="0.2">
      <c r="C123" s="2" t="s">
        <v>509</v>
      </c>
      <c r="I123" t="s">
        <v>491</v>
      </c>
      <c r="J123" s="1" t="s">
        <v>409</v>
      </c>
      <c r="M123" t="str">
        <f t="shared" si="1"/>
        <v>WOR002 - TAR-040 - Tech Spec</v>
      </c>
    </row>
    <row r="124" spans="3:13" x14ac:dyDescent="0.2">
      <c r="C124" s="2" t="s">
        <v>510</v>
      </c>
      <c r="I124" t="s">
        <v>491</v>
      </c>
      <c r="J124" s="1" t="s">
        <v>411</v>
      </c>
      <c r="M124" t="str">
        <f t="shared" si="1"/>
        <v>WOR002 - TES-070 - Tech Spec</v>
      </c>
    </row>
    <row r="125" spans="3:13" x14ac:dyDescent="0.2">
      <c r="C125" s="2" t="s">
        <v>511</v>
      </c>
      <c r="I125" t="s">
        <v>491</v>
      </c>
      <c r="J125" s="1" t="s">
        <v>413</v>
      </c>
      <c r="M125" t="str">
        <f t="shared" si="1"/>
        <v>WOR002 - DES-030 - Tech Spec</v>
      </c>
    </row>
    <row r="126" spans="3:13" x14ac:dyDescent="0.2">
      <c r="C126" t="s">
        <v>265</v>
      </c>
      <c r="I126" t="s">
        <v>246</v>
      </c>
      <c r="J126" s="1" t="s">
        <v>407</v>
      </c>
      <c r="M126" t="str">
        <f t="shared" si="1"/>
        <v>OPT001 - ANA-50 - Func Spec</v>
      </c>
    </row>
    <row r="127" spans="3:13" x14ac:dyDescent="0.2">
      <c r="C127" s="2" t="s">
        <v>512</v>
      </c>
      <c r="I127" t="s">
        <v>246</v>
      </c>
      <c r="J127" s="1" t="s">
        <v>409</v>
      </c>
      <c r="M127" t="str">
        <f t="shared" si="1"/>
        <v>OPT001 - TAR-040 - Tech Spec</v>
      </c>
    </row>
    <row r="128" spans="3:13" x14ac:dyDescent="0.2">
      <c r="C128" s="2" t="s">
        <v>513</v>
      </c>
      <c r="F128" t="s">
        <v>246</v>
      </c>
      <c r="I128" t="s">
        <v>246</v>
      </c>
      <c r="J128" s="1" t="s">
        <v>411</v>
      </c>
      <c r="M128" t="str">
        <f t="shared" si="1"/>
        <v>OPT001 - TES-070 - Tech Spec</v>
      </c>
    </row>
    <row r="129" spans="3:13" x14ac:dyDescent="0.2">
      <c r="C129" s="2" t="s">
        <v>514</v>
      </c>
      <c r="F129" t="s">
        <v>250</v>
      </c>
      <c r="I129" t="s">
        <v>246</v>
      </c>
      <c r="J129" s="1" t="s">
        <v>413</v>
      </c>
      <c r="M129" t="str">
        <f t="shared" si="1"/>
        <v>OPT001 - DES-030 - Tech Spec</v>
      </c>
    </row>
    <row r="130" spans="3:13" x14ac:dyDescent="0.2">
      <c r="C130" s="2" t="s">
        <v>515</v>
      </c>
      <c r="F130" t="s">
        <v>254</v>
      </c>
      <c r="I130" t="s">
        <v>250</v>
      </c>
      <c r="J130" s="1" t="s">
        <v>407</v>
      </c>
      <c r="M130" t="str">
        <f t="shared" si="1"/>
        <v>OPT002 - ANA-50 - Func Spec</v>
      </c>
    </row>
    <row r="131" spans="3:13" x14ac:dyDescent="0.2">
      <c r="C131" t="s">
        <v>270</v>
      </c>
      <c r="F131" t="s">
        <v>257</v>
      </c>
      <c r="I131" t="s">
        <v>250</v>
      </c>
      <c r="J131" s="1" t="s">
        <v>409</v>
      </c>
      <c r="M131" t="str">
        <f t="shared" ref="M131:M149" si="2">CONCATENATE(I131," ",J131)</f>
        <v>OPT002 - TAR-040 - Tech Spec</v>
      </c>
    </row>
    <row r="132" spans="3:13" x14ac:dyDescent="0.2">
      <c r="C132" s="2" t="s">
        <v>516</v>
      </c>
      <c r="F132" t="s">
        <v>260</v>
      </c>
      <c r="I132" t="s">
        <v>250</v>
      </c>
      <c r="J132" s="1" t="s">
        <v>411</v>
      </c>
      <c r="M132" t="str">
        <f t="shared" si="2"/>
        <v>OPT002 - TES-070 - Tech Spec</v>
      </c>
    </row>
    <row r="133" spans="3:13" x14ac:dyDescent="0.2">
      <c r="C133" s="2" t="s">
        <v>517</v>
      </c>
      <c r="F133" t="s">
        <v>240</v>
      </c>
      <c r="I133" t="s">
        <v>250</v>
      </c>
      <c r="J133" s="1" t="s">
        <v>413</v>
      </c>
      <c r="M133" t="str">
        <f t="shared" si="2"/>
        <v>OPT002 - DES-030 - Tech Spec</v>
      </c>
    </row>
    <row r="134" spans="3:13" x14ac:dyDescent="0.2">
      <c r="C134" s="2" t="s">
        <v>518</v>
      </c>
      <c r="I134" t="s">
        <v>254</v>
      </c>
      <c r="J134" s="1" t="s">
        <v>407</v>
      </c>
      <c r="M134" t="str">
        <f t="shared" si="2"/>
        <v>OPT003 - ANA-50 - Func Spec</v>
      </c>
    </row>
    <row r="135" spans="3:13" x14ac:dyDescent="0.2">
      <c r="C135" s="2" t="s">
        <v>519</v>
      </c>
      <c r="I135" t="s">
        <v>254</v>
      </c>
      <c r="J135" s="1" t="s">
        <v>409</v>
      </c>
      <c r="M135" t="str">
        <f t="shared" si="2"/>
        <v>OPT003 - TAR-040 - Tech Spec</v>
      </c>
    </row>
    <row r="136" spans="3:13" x14ac:dyDescent="0.2">
      <c r="C136" t="s">
        <v>277</v>
      </c>
      <c r="I136" t="s">
        <v>254</v>
      </c>
      <c r="J136" s="1" t="s">
        <v>411</v>
      </c>
      <c r="M136" t="str">
        <f t="shared" si="2"/>
        <v>OPT003 - TES-070 - Tech Spec</v>
      </c>
    </row>
    <row r="137" spans="3:13" x14ac:dyDescent="0.2">
      <c r="C137" s="2" t="s">
        <v>520</v>
      </c>
      <c r="I137" t="s">
        <v>254</v>
      </c>
      <c r="J137" s="1" t="s">
        <v>413</v>
      </c>
      <c r="M137" t="str">
        <f t="shared" si="2"/>
        <v>OPT003 - DES-030 - Tech Spec</v>
      </c>
    </row>
    <row r="138" spans="3:13" x14ac:dyDescent="0.2">
      <c r="C138" s="2" t="s">
        <v>521</v>
      </c>
      <c r="I138" t="s">
        <v>257</v>
      </c>
      <c r="J138" s="1" t="s">
        <v>407</v>
      </c>
      <c r="M138" t="str">
        <f t="shared" si="2"/>
        <v>OPT004 - ANA-50 - Func Spec</v>
      </c>
    </row>
    <row r="139" spans="3:13" x14ac:dyDescent="0.2">
      <c r="C139" s="2" t="s">
        <v>522</v>
      </c>
      <c r="I139" t="s">
        <v>257</v>
      </c>
      <c r="J139" s="1" t="s">
        <v>409</v>
      </c>
      <c r="M139" t="str">
        <f t="shared" si="2"/>
        <v>OPT004 - TAR-040 - Tech Spec</v>
      </c>
    </row>
    <row r="140" spans="3:13" x14ac:dyDescent="0.2">
      <c r="C140" s="2" t="s">
        <v>523</v>
      </c>
      <c r="I140" t="s">
        <v>257</v>
      </c>
      <c r="J140" s="1" t="s">
        <v>411</v>
      </c>
      <c r="M140" t="str">
        <f t="shared" si="2"/>
        <v>OPT004 - TES-070 - Tech Spec</v>
      </c>
    </row>
    <row r="141" spans="3:13" x14ac:dyDescent="0.2">
      <c r="C141" t="s">
        <v>281</v>
      </c>
      <c r="I141" t="s">
        <v>257</v>
      </c>
      <c r="J141" s="1" t="s">
        <v>413</v>
      </c>
      <c r="M141" t="str">
        <f t="shared" si="2"/>
        <v>OPT004 - DES-030 - Tech Spec</v>
      </c>
    </row>
    <row r="142" spans="3:13" x14ac:dyDescent="0.2">
      <c r="C142" s="2" t="s">
        <v>524</v>
      </c>
      <c r="I142" t="s">
        <v>260</v>
      </c>
      <c r="J142" s="1" t="s">
        <v>407</v>
      </c>
      <c r="M142" t="str">
        <f t="shared" si="2"/>
        <v>OPT005 - ANA-50 - Func Spec</v>
      </c>
    </row>
    <row r="143" spans="3:13" x14ac:dyDescent="0.2">
      <c r="C143" s="2" t="s">
        <v>525</v>
      </c>
      <c r="I143" t="s">
        <v>260</v>
      </c>
      <c r="J143" s="1" t="s">
        <v>409</v>
      </c>
      <c r="M143" t="str">
        <f t="shared" si="2"/>
        <v>OPT005 - TAR-040 - Tech Spec</v>
      </c>
    </row>
    <row r="144" spans="3:13" x14ac:dyDescent="0.2">
      <c r="C144" s="2" t="s">
        <v>526</v>
      </c>
      <c r="I144" t="s">
        <v>260</v>
      </c>
      <c r="J144" s="1" t="s">
        <v>411</v>
      </c>
      <c r="M144" t="str">
        <f t="shared" si="2"/>
        <v>OPT005 - TES-070 - Tech Spec</v>
      </c>
    </row>
    <row r="145" spans="3:13" x14ac:dyDescent="0.2">
      <c r="C145" s="2" t="s">
        <v>527</v>
      </c>
      <c r="I145" t="s">
        <v>260</v>
      </c>
      <c r="J145" s="1" t="s">
        <v>413</v>
      </c>
      <c r="M145" t="str">
        <f t="shared" si="2"/>
        <v>OPT005 - DES-030 - Tech Spec</v>
      </c>
    </row>
    <row r="146" spans="3:13" x14ac:dyDescent="0.2">
      <c r="C146" t="s">
        <v>289</v>
      </c>
      <c r="I146" t="s">
        <v>240</v>
      </c>
      <c r="J146" s="1" t="s">
        <v>407</v>
      </c>
      <c r="M146" t="str">
        <f t="shared" si="2"/>
        <v>OPT006 - ANA-50 - Func Spec</v>
      </c>
    </row>
    <row r="147" spans="3:13" x14ac:dyDescent="0.2">
      <c r="C147" s="2" t="s">
        <v>528</v>
      </c>
      <c r="I147" t="s">
        <v>240</v>
      </c>
      <c r="J147" s="1" t="s">
        <v>409</v>
      </c>
      <c r="M147" t="str">
        <f t="shared" si="2"/>
        <v>OPT006 - TAR-040 - Tech Spec</v>
      </c>
    </row>
    <row r="148" spans="3:13" x14ac:dyDescent="0.2">
      <c r="C148" s="2" t="s">
        <v>529</v>
      </c>
      <c r="I148" t="s">
        <v>240</v>
      </c>
      <c r="J148" s="1" t="s">
        <v>411</v>
      </c>
      <c r="M148" t="str">
        <f t="shared" si="2"/>
        <v>OPT006 - TES-070 - Tech Spec</v>
      </c>
    </row>
    <row r="149" spans="3:13" x14ac:dyDescent="0.2">
      <c r="C149" s="2" t="s">
        <v>530</v>
      </c>
      <c r="I149" t="s">
        <v>240</v>
      </c>
      <c r="J149" s="1" t="s">
        <v>413</v>
      </c>
      <c r="M149" t="str">
        <f t="shared" si="2"/>
        <v>OPT006 - DES-030 - Tech Spec</v>
      </c>
    </row>
    <row r="150" spans="3:13" x14ac:dyDescent="0.2">
      <c r="C150" s="2" t="s">
        <v>531</v>
      </c>
    </row>
    <row r="151" spans="3:13" x14ac:dyDescent="0.2">
      <c r="C151" t="s">
        <v>294</v>
      </c>
    </row>
    <row r="152" spans="3:13" x14ac:dyDescent="0.2">
      <c r="C152" s="2" t="s">
        <v>532</v>
      </c>
    </row>
    <row r="153" spans="3:13" x14ac:dyDescent="0.2">
      <c r="C153" s="2" t="s">
        <v>533</v>
      </c>
    </row>
    <row r="154" spans="3:13" x14ac:dyDescent="0.2">
      <c r="C154" s="2" t="s">
        <v>534</v>
      </c>
    </row>
    <row r="155" spans="3:13" x14ac:dyDescent="0.2">
      <c r="C155" s="2" t="s">
        <v>535</v>
      </c>
    </row>
    <row r="156" spans="3:13" x14ac:dyDescent="0.2">
      <c r="C156" t="s">
        <v>298</v>
      </c>
    </row>
    <row r="157" spans="3:13" x14ac:dyDescent="0.2">
      <c r="C157" s="2" t="s">
        <v>536</v>
      </c>
    </row>
    <row r="158" spans="3:13" x14ac:dyDescent="0.2">
      <c r="C158" s="2" t="s">
        <v>537</v>
      </c>
    </row>
    <row r="159" spans="3:13" x14ac:dyDescent="0.2">
      <c r="C159" s="2" t="s">
        <v>538</v>
      </c>
    </row>
    <row r="160" spans="3:13" x14ac:dyDescent="0.2">
      <c r="C160" s="2" t="s">
        <v>539</v>
      </c>
    </row>
    <row r="161" spans="3:7" x14ac:dyDescent="0.2">
      <c r="C161" t="s">
        <v>302</v>
      </c>
    </row>
    <row r="162" spans="3:7" x14ac:dyDescent="0.2">
      <c r="C162" s="2" t="s">
        <v>540</v>
      </c>
    </row>
    <row r="163" spans="3:7" x14ac:dyDescent="0.2">
      <c r="C163" s="2" t="s">
        <v>541</v>
      </c>
    </row>
    <row r="164" spans="3:7" x14ac:dyDescent="0.2">
      <c r="C164" s="2" t="s">
        <v>542</v>
      </c>
    </row>
    <row r="165" spans="3:7" x14ac:dyDescent="0.2">
      <c r="C165" s="2" t="s">
        <v>543</v>
      </c>
    </row>
    <row r="166" spans="3:7" x14ac:dyDescent="0.2">
      <c r="C166" t="s">
        <v>306</v>
      </c>
    </row>
    <row r="167" spans="3:7" x14ac:dyDescent="0.2">
      <c r="C167" s="2" t="s">
        <v>544</v>
      </c>
    </row>
    <row r="168" spans="3:7" x14ac:dyDescent="0.2">
      <c r="C168" s="2" t="s">
        <v>545</v>
      </c>
    </row>
    <row r="169" spans="3:7" x14ac:dyDescent="0.2">
      <c r="C169" s="2" t="s">
        <v>546</v>
      </c>
      <c r="G169" s="2" t="s">
        <v>547</v>
      </c>
    </row>
    <row r="170" spans="3:7" x14ac:dyDescent="0.2">
      <c r="C170" s="2" t="s">
        <v>548</v>
      </c>
      <c r="G170" s="2" t="s">
        <v>549</v>
      </c>
    </row>
    <row r="171" spans="3:7" x14ac:dyDescent="0.2">
      <c r="C171" t="s">
        <v>308</v>
      </c>
      <c r="G171" s="2" t="s">
        <v>550</v>
      </c>
    </row>
    <row r="172" spans="3:7" x14ac:dyDescent="0.2">
      <c r="C172" s="2" t="s">
        <v>551</v>
      </c>
      <c r="G172" s="2" t="s">
        <v>552</v>
      </c>
    </row>
    <row r="173" spans="3:7" x14ac:dyDescent="0.2">
      <c r="C173" s="2" t="s">
        <v>553</v>
      </c>
    </row>
    <row r="174" spans="3:7" x14ac:dyDescent="0.2">
      <c r="C174" s="2" t="s">
        <v>554</v>
      </c>
    </row>
    <row r="175" spans="3:7" x14ac:dyDescent="0.2">
      <c r="C175" s="2" t="s">
        <v>555</v>
      </c>
    </row>
    <row r="176" spans="3:7" x14ac:dyDescent="0.2">
      <c r="C176" t="s">
        <v>312</v>
      </c>
    </row>
    <row r="177" spans="3:3" x14ac:dyDescent="0.2">
      <c r="C177" s="2" t="s">
        <v>556</v>
      </c>
    </row>
    <row r="178" spans="3:3" x14ac:dyDescent="0.2">
      <c r="C178" s="2" t="s">
        <v>557</v>
      </c>
    </row>
    <row r="179" spans="3:3" x14ac:dyDescent="0.2">
      <c r="C179" s="2" t="s">
        <v>558</v>
      </c>
    </row>
    <row r="180" spans="3:3" x14ac:dyDescent="0.2">
      <c r="C180" s="2" t="s">
        <v>559</v>
      </c>
    </row>
    <row r="181" spans="3:3" x14ac:dyDescent="0.2">
      <c r="C181" t="s">
        <v>316</v>
      </c>
    </row>
    <row r="182" spans="3:3" x14ac:dyDescent="0.2">
      <c r="C182" s="2" t="s">
        <v>560</v>
      </c>
    </row>
    <row r="183" spans="3:3" x14ac:dyDescent="0.2">
      <c r="C183" s="2" t="s">
        <v>549</v>
      </c>
    </row>
    <row r="184" spans="3:3" x14ac:dyDescent="0.2">
      <c r="C184" s="2" t="s">
        <v>550</v>
      </c>
    </row>
    <row r="185" spans="3:3" x14ac:dyDescent="0.2">
      <c r="C185" s="2" t="s">
        <v>552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28C1-7D95-43BF-B4FF-3D4CD830F4A2}">
  <dimension ref="A1:J154"/>
  <sheetViews>
    <sheetView tabSelected="1" workbookViewId="0">
      <pane ySplit="1" topLeftCell="A11" activePane="bottomLeft" state="frozen"/>
      <selection pane="bottomLeft" activeCell="A77" sqref="A77"/>
    </sheetView>
  </sheetViews>
  <sheetFormatPr baseColWidth="10" defaultColWidth="8.83203125" defaultRowHeight="15" x14ac:dyDescent="0.2"/>
  <cols>
    <col min="1" max="1" width="24.6640625" style="16" customWidth="1"/>
    <col min="2" max="2" width="8.83203125" style="126"/>
    <col min="3" max="3" width="13.33203125" style="16" customWidth="1"/>
    <col min="4" max="4" width="22" style="16" bestFit="1" customWidth="1"/>
    <col min="5" max="5" width="50.5" style="127" customWidth="1"/>
    <col min="6" max="6" width="19.6640625" style="16" bestFit="1" customWidth="1"/>
    <col min="7" max="7" width="12.6640625" style="16" customWidth="1"/>
    <col min="8" max="8" width="8.83203125" style="126"/>
    <col min="9" max="9" width="23.83203125" style="16" customWidth="1"/>
    <col min="10" max="10" width="41.1640625" style="127" customWidth="1"/>
    <col min="11" max="16384" width="8.83203125" style="16"/>
  </cols>
  <sheetData>
    <row r="1" spans="1:10" ht="16" x14ac:dyDescent="0.2">
      <c r="A1" s="123" t="s">
        <v>70</v>
      </c>
      <c r="B1" s="124" t="s">
        <v>322</v>
      </c>
      <c r="C1" s="123" t="s">
        <v>561</v>
      </c>
      <c r="D1" s="123" t="s">
        <v>562</v>
      </c>
      <c r="E1" s="125" t="s">
        <v>563</v>
      </c>
      <c r="F1" s="123" t="s">
        <v>76</v>
      </c>
      <c r="G1" s="123" t="s">
        <v>324</v>
      </c>
      <c r="H1" s="124" t="s">
        <v>564</v>
      </c>
      <c r="I1" s="123" t="s">
        <v>323</v>
      </c>
      <c r="J1" s="125" t="s">
        <v>565</v>
      </c>
    </row>
    <row r="2" spans="1:10" customFormat="1" ht="16" x14ac:dyDescent="0.2">
      <c r="A2" s="16" t="s">
        <v>566</v>
      </c>
      <c r="B2" s="126"/>
      <c r="C2" s="16" t="s">
        <v>567</v>
      </c>
      <c r="D2" s="16" t="s">
        <v>568</v>
      </c>
      <c r="E2" s="127" t="s">
        <v>569</v>
      </c>
      <c r="F2" s="16" t="s">
        <v>284</v>
      </c>
      <c r="G2" s="128">
        <v>45534</v>
      </c>
      <c r="H2" s="126" t="s">
        <v>570</v>
      </c>
      <c r="I2" s="16" t="s">
        <v>571</v>
      </c>
      <c r="J2" s="16"/>
    </row>
    <row r="3" spans="1:10" customFormat="1" ht="16" x14ac:dyDescent="0.2">
      <c r="A3" s="16" t="s">
        <v>566</v>
      </c>
      <c r="B3" s="126" t="s">
        <v>572</v>
      </c>
      <c r="C3" s="16" t="s">
        <v>567</v>
      </c>
      <c r="D3" s="16" t="s">
        <v>573</v>
      </c>
      <c r="E3" s="127" t="s">
        <v>574</v>
      </c>
      <c r="F3" s="16" t="s">
        <v>284</v>
      </c>
      <c r="G3" s="128">
        <v>45541</v>
      </c>
      <c r="H3" s="126" t="s">
        <v>575</v>
      </c>
      <c r="I3" s="16" t="s">
        <v>576</v>
      </c>
      <c r="J3" s="3" t="s">
        <v>577</v>
      </c>
    </row>
    <row r="4" spans="1:10" customFormat="1" ht="16" x14ac:dyDescent="0.2">
      <c r="A4" s="16" t="s">
        <v>566</v>
      </c>
      <c r="B4" s="126"/>
      <c r="C4" s="16" t="s">
        <v>567</v>
      </c>
      <c r="D4" s="16" t="s">
        <v>578</v>
      </c>
      <c r="E4" s="127" t="s">
        <v>579</v>
      </c>
      <c r="F4" s="16" t="s">
        <v>284</v>
      </c>
      <c r="G4" s="128">
        <v>45548</v>
      </c>
      <c r="H4" s="126" t="s">
        <v>570</v>
      </c>
      <c r="I4" t="s">
        <v>580</v>
      </c>
      <c r="J4" s="16"/>
    </row>
    <row r="5" spans="1:10" customFormat="1" ht="16" x14ac:dyDescent="0.2">
      <c r="A5" s="16" t="s">
        <v>566</v>
      </c>
      <c r="B5" s="126"/>
      <c r="C5" s="16" t="s">
        <v>567</v>
      </c>
      <c r="D5" s="16" t="s">
        <v>581</v>
      </c>
      <c r="E5" s="127" t="s">
        <v>582</v>
      </c>
      <c r="F5" s="16" t="s">
        <v>172</v>
      </c>
      <c r="G5" s="128">
        <v>45583</v>
      </c>
      <c r="H5" s="126" t="s">
        <v>575</v>
      </c>
      <c r="I5" s="16" t="s">
        <v>576</v>
      </c>
      <c r="J5" s="16"/>
    </row>
    <row r="6" spans="1:10" customFormat="1" x14ac:dyDescent="0.2">
      <c r="A6" s="16" t="s">
        <v>566</v>
      </c>
      <c r="B6" s="126"/>
      <c r="C6" s="16" t="s">
        <v>567</v>
      </c>
      <c r="D6" s="16" t="s">
        <v>583</v>
      </c>
      <c r="E6" s="127"/>
      <c r="F6" s="16" t="s">
        <v>584</v>
      </c>
      <c r="G6" s="16"/>
      <c r="H6" s="126"/>
      <c r="I6" s="16"/>
      <c r="J6" s="16"/>
    </row>
    <row r="7" spans="1:10" customFormat="1" ht="16" x14ac:dyDescent="0.2">
      <c r="A7" s="16" t="s">
        <v>566</v>
      </c>
      <c r="B7" s="126"/>
      <c r="C7" s="16" t="s">
        <v>585</v>
      </c>
      <c r="D7" s="16" t="s">
        <v>586</v>
      </c>
      <c r="E7" s="127" t="s">
        <v>587</v>
      </c>
      <c r="F7" s="16" t="s">
        <v>284</v>
      </c>
      <c r="G7" s="16"/>
      <c r="H7" s="126" t="s">
        <v>570</v>
      </c>
      <c r="I7" t="s">
        <v>580</v>
      </c>
      <c r="J7" s="16" t="s">
        <v>588</v>
      </c>
    </row>
    <row r="8" spans="1:10" customFormat="1" ht="16" x14ac:dyDescent="0.2">
      <c r="A8" s="16" t="s">
        <v>566</v>
      </c>
      <c r="B8" s="126" t="s">
        <v>572</v>
      </c>
      <c r="C8" s="16" t="s">
        <v>585</v>
      </c>
      <c r="D8" s="16" t="s">
        <v>586</v>
      </c>
      <c r="E8" s="127" t="s">
        <v>589</v>
      </c>
      <c r="F8" s="16" t="s">
        <v>284</v>
      </c>
      <c r="G8" s="128">
        <v>45562</v>
      </c>
      <c r="H8" s="126" t="s">
        <v>570</v>
      </c>
      <c r="I8" t="s">
        <v>580</v>
      </c>
      <c r="J8" s="16" t="s">
        <v>588</v>
      </c>
    </row>
    <row r="9" spans="1:10" customFormat="1" ht="16" x14ac:dyDescent="0.2">
      <c r="A9" s="16" t="s">
        <v>566</v>
      </c>
      <c r="B9" s="126" t="s">
        <v>572</v>
      </c>
      <c r="C9" s="16" t="s">
        <v>585</v>
      </c>
      <c r="D9" s="16" t="s">
        <v>586</v>
      </c>
      <c r="E9" s="127" t="s">
        <v>590</v>
      </c>
      <c r="F9" s="16" t="s">
        <v>284</v>
      </c>
      <c r="G9" s="128">
        <v>45562</v>
      </c>
      <c r="H9" s="126" t="s">
        <v>570</v>
      </c>
      <c r="I9" t="s">
        <v>580</v>
      </c>
      <c r="J9" s="16" t="s">
        <v>588</v>
      </c>
    </row>
    <row r="10" spans="1:10" customFormat="1" ht="16" x14ac:dyDescent="0.2">
      <c r="A10" s="16" t="s">
        <v>566</v>
      </c>
      <c r="B10" s="126" t="s">
        <v>572</v>
      </c>
      <c r="C10" s="16" t="s">
        <v>585</v>
      </c>
      <c r="D10" s="16" t="s">
        <v>586</v>
      </c>
      <c r="E10" s="127" t="s">
        <v>591</v>
      </c>
      <c r="F10" s="16" t="s">
        <v>284</v>
      </c>
      <c r="G10" s="128">
        <v>45562</v>
      </c>
      <c r="H10" s="126" t="s">
        <v>570</v>
      </c>
      <c r="I10" t="s">
        <v>580</v>
      </c>
      <c r="J10" s="16" t="s">
        <v>588</v>
      </c>
    </row>
    <row r="11" spans="1:10" customFormat="1" ht="16" x14ac:dyDescent="0.2">
      <c r="A11" s="16" t="s">
        <v>566</v>
      </c>
      <c r="B11" s="126"/>
      <c r="C11" s="16" t="s">
        <v>592</v>
      </c>
      <c r="D11" s="16" t="s">
        <v>586</v>
      </c>
      <c r="E11" s="127" t="s">
        <v>593</v>
      </c>
      <c r="F11" s="16" t="s">
        <v>584</v>
      </c>
      <c r="G11" s="128">
        <v>45566</v>
      </c>
      <c r="H11" s="126" t="s">
        <v>570</v>
      </c>
      <c r="I11" t="s">
        <v>580</v>
      </c>
      <c r="J11" s="16"/>
    </row>
    <row r="12" spans="1:10" customFormat="1" ht="16" x14ac:dyDescent="0.2">
      <c r="A12" s="16" t="s">
        <v>566</v>
      </c>
      <c r="B12" s="126" t="s">
        <v>572</v>
      </c>
      <c r="C12" s="16" t="s">
        <v>585</v>
      </c>
      <c r="D12" s="16" t="s">
        <v>586</v>
      </c>
      <c r="E12" s="127" t="s">
        <v>594</v>
      </c>
      <c r="F12" s="16" t="s">
        <v>595</v>
      </c>
      <c r="G12" s="128">
        <v>45576</v>
      </c>
      <c r="H12" s="126" t="s">
        <v>575</v>
      </c>
      <c r="I12" s="16" t="s">
        <v>596</v>
      </c>
      <c r="J12" s="16"/>
    </row>
    <row r="13" spans="1:10" customFormat="1" ht="16" x14ac:dyDescent="0.2">
      <c r="A13" s="139" t="s">
        <v>566</v>
      </c>
      <c r="B13" s="140"/>
      <c r="C13" s="139" t="s">
        <v>597</v>
      </c>
      <c r="D13" s="139" t="s">
        <v>598</v>
      </c>
      <c r="E13" s="141" t="s">
        <v>599</v>
      </c>
      <c r="F13" s="139" t="s">
        <v>600</v>
      </c>
      <c r="G13" s="142">
        <v>45583</v>
      </c>
      <c r="H13" s="140" t="s">
        <v>575</v>
      </c>
      <c r="I13" s="139" t="s">
        <v>601</v>
      </c>
      <c r="J13" s="16"/>
    </row>
    <row r="14" spans="1:10" customFormat="1" ht="32" x14ac:dyDescent="0.2">
      <c r="A14" s="16" t="s">
        <v>566</v>
      </c>
      <c r="B14" s="126"/>
      <c r="C14" s="16" t="s">
        <v>597</v>
      </c>
      <c r="D14" s="16" t="s">
        <v>602</v>
      </c>
      <c r="E14" s="127" t="s">
        <v>603</v>
      </c>
      <c r="F14" s="16" t="s">
        <v>172</v>
      </c>
      <c r="G14" s="128">
        <v>45583</v>
      </c>
      <c r="H14" s="126" t="s">
        <v>575</v>
      </c>
      <c r="I14" s="16" t="s">
        <v>576</v>
      </c>
      <c r="J14" s="16"/>
    </row>
    <row r="15" spans="1:10" customFormat="1" ht="16" x14ac:dyDescent="0.2">
      <c r="A15" s="16" t="s">
        <v>566</v>
      </c>
      <c r="B15" s="126" t="s">
        <v>604</v>
      </c>
      <c r="C15" s="16" t="s">
        <v>597</v>
      </c>
      <c r="D15" s="16" t="s">
        <v>605</v>
      </c>
      <c r="E15" s="127" t="s">
        <v>606</v>
      </c>
      <c r="F15" s="16" t="s">
        <v>172</v>
      </c>
      <c r="G15" s="128">
        <v>45583</v>
      </c>
      <c r="H15" s="126" t="s">
        <v>575</v>
      </c>
      <c r="I15" s="16" t="s">
        <v>576</v>
      </c>
      <c r="J15" s="16"/>
    </row>
    <row r="16" spans="1:10" customFormat="1" x14ac:dyDescent="0.2">
      <c r="A16" t="s">
        <v>607</v>
      </c>
      <c r="B16" s="9"/>
      <c r="C16" t="s">
        <v>567</v>
      </c>
      <c r="D16" s="16" t="s">
        <v>568</v>
      </c>
      <c r="E16" t="s">
        <v>569</v>
      </c>
      <c r="F16" t="s">
        <v>608</v>
      </c>
      <c r="H16" s="9" t="s">
        <v>570</v>
      </c>
    </row>
    <row r="17" spans="1:10" customFormat="1" ht="16" x14ac:dyDescent="0.2">
      <c r="A17" t="s">
        <v>607</v>
      </c>
      <c r="B17" s="9"/>
      <c r="C17" t="s">
        <v>567</v>
      </c>
      <c r="D17" s="16" t="s">
        <v>573</v>
      </c>
      <c r="E17" s="127" t="s">
        <v>574</v>
      </c>
      <c r="F17" t="s">
        <v>608</v>
      </c>
      <c r="H17" s="9" t="s">
        <v>570</v>
      </c>
    </row>
    <row r="18" spans="1:10" customFormat="1" x14ac:dyDescent="0.2">
      <c r="A18" t="s">
        <v>607</v>
      </c>
      <c r="B18" s="9"/>
      <c r="C18" t="s">
        <v>567</v>
      </c>
      <c r="D18" s="16" t="s">
        <v>578</v>
      </c>
      <c r="E18" t="s">
        <v>609</v>
      </c>
      <c r="F18" t="s">
        <v>608</v>
      </c>
      <c r="H18" s="9" t="s">
        <v>570</v>
      </c>
    </row>
    <row r="19" spans="1:10" customFormat="1" x14ac:dyDescent="0.2">
      <c r="A19" t="s">
        <v>607</v>
      </c>
      <c r="B19" s="9" t="s">
        <v>572</v>
      </c>
      <c r="C19" t="s">
        <v>567</v>
      </c>
      <c r="D19" s="16" t="s">
        <v>581</v>
      </c>
      <c r="E19" t="s">
        <v>610</v>
      </c>
      <c r="F19" t="s">
        <v>611</v>
      </c>
      <c r="G19" s="91">
        <v>45548</v>
      </c>
      <c r="H19" s="9" t="s">
        <v>575</v>
      </c>
      <c r="I19" t="s">
        <v>612</v>
      </c>
      <c r="J19" t="s">
        <v>613</v>
      </c>
    </row>
    <row r="20" spans="1:10" customFormat="1" x14ac:dyDescent="0.2">
      <c r="A20" t="s">
        <v>607</v>
      </c>
      <c r="B20" s="9"/>
      <c r="C20" t="s">
        <v>567</v>
      </c>
      <c r="D20" s="16" t="s">
        <v>583</v>
      </c>
      <c r="H20" s="9"/>
    </row>
    <row r="21" spans="1:10" customFormat="1" x14ac:dyDescent="0.2">
      <c r="A21" t="s">
        <v>607</v>
      </c>
      <c r="B21" s="9" t="s">
        <v>614</v>
      </c>
      <c r="C21" t="s">
        <v>585</v>
      </c>
      <c r="D21" t="s">
        <v>586</v>
      </c>
      <c r="E21" t="s">
        <v>615</v>
      </c>
      <c r="F21" s="16" t="s">
        <v>284</v>
      </c>
      <c r="G21" s="91">
        <v>45562</v>
      </c>
      <c r="H21" s="9" t="s">
        <v>575</v>
      </c>
      <c r="I21" t="s">
        <v>601</v>
      </c>
    </row>
    <row r="22" spans="1:10" customFormat="1" x14ac:dyDescent="0.2">
      <c r="A22" t="s">
        <v>607</v>
      </c>
      <c r="B22" s="9" t="s">
        <v>614</v>
      </c>
      <c r="C22" t="s">
        <v>585</v>
      </c>
      <c r="D22" t="s">
        <v>586</v>
      </c>
      <c r="E22" t="s">
        <v>616</v>
      </c>
      <c r="F22" s="16" t="s">
        <v>584</v>
      </c>
      <c r="G22" s="91">
        <v>45562</v>
      </c>
      <c r="H22" s="9" t="s">
        <v>575</v>
      </c>
      <c r="I22" t="s">
        <v>601</v>
      </c>
      <c r="J22" t="s">
        <v>617</v>
      </c>
    </row>
    <row r="23" spans="1:10" customFormat="1" x14ac:dyDescent="0.2">
      <c r="A23" t="s">
        <v>607</v>
      </c>
      <c r="B23" s="9" t="s">
        <v>614</v>
      </c>
      <c r="C23" t="s">
        <v>585</v>
      </c>
      <c r="D23" t="s">
        <v>586</v>
      </c>
      <c r="E23" t="s">
        <v>618</v>
      </c>
      <c r="F23" s="16" t="s">
        <v>172</v>
      </c>
      <c r="G23" s="91"/>
      <c r="H23" s="9"/>
      <c r="I23" t="s">
        <v>619</v>
      </c>
    </row>
    <row r="24" spans="1:10" customFormat="1" x14ac:dyDescent="0.2">
      <c r="A24" t="s">
        <v>607</v>
      </c>
      <c r="B24" s="9"/>
      <c r="C24" t="s">
        <v>597</v>
      </c>
      <c r="D24" t="s">
        <v>598</v>
      </c>
      <c r="E24" t="s">
        <v>620</v>
      </c>
      <c r="F24" s="16" t="s">
        <v>284</v>
      </c>
      <c r="G24" s="91">
        <v>45444</v>
      </c>
      <c r="H24" s="9" t="s">
        <v>570</v>
      </c>
      <c r="I24" t="s">
        <v>621</v>
      </c>
    </row>
    <row r="25" spans="1:10" customFormat="1" ht="16" x14ac:dyDescent="0.2">
      <c r="A25" s="16" t="s">
        <v>607</v>
      </c>
      <c r="B25" s="126"/>
      <c r="C25" s="16" t="s">
        <v>597</v>
      </c>
      <c r="D25" s="16" t="s">
        <v>602</v>
      </c>
      <c r="E25" s="127" t="s">
        <v>622</v>
      </c>
      <c r="F25" s="16" t="s">
        <v>623</v>
      </c>
      <c r="G25" s="16"/>
      <c r="H25" s="126" t="s">
        <v>575</v>
      </c>
      <c r="I25" s="16" t="s">
        <v>624</v>
      </c>
      <c r="J25" s="16"/>
    </row>
    <row r="26" spans="1:10" ht="32" x14ac:dyDescent="0.2">
      <c r="A26" s="16" t="s">
        <v>27</v>
      </c>
      <c r="B26" s="126" t="s">
        <v>572</v>
      </c>
      <c r="C26" s="16" t="s">
        <v>567</v>
      </c>
      <c r="D26" s="16" t="s">
        <v>568</v>
      </c>
      <c r="E26" s="16" t="s">
        <v>569</v>
      </c>
      <c r="F26" s="16" t="s">
        <v>611</v>
      </c>
      <c r="G26" s="128">
        <v>45548</v>
      </c>
      <c r="H26" s="126" t="s">
        <v>575</v>
      </c>
      <c r="I26" s="16" t="s">
        <v>625</v>
      </c>
      <c r="J26" s="154" t="s">
        <v>626</v>
      </c>
    </row>
    <row r="27" spans="1:10" x14ac:dyDescent="0.2">
      <c r="A27" s="16" t="s">
        <v>27</v>
      </c>
      <c r="B27" s="126" t="s">
        <v>572</v>
      </c>
      <c r="C27" s="16" t="s">
        <v>567</v>
      </c>
      <c r="D27" s="16" t="s">
        <v>573</v>
      </c>
      <c r="E27" s="16" t="s">
        <v>627</v>
      </c>
      <c r="F27" s="16" t="s">
        <v>628</v>
      </c>
      <c r="G27" s="128">
        <v>45569</v>
      </c>
      <c r="H27" s="126" t="s">
        <v>575</v>
      </c>
      <c r="I27" s="16" t="s">
        <v>629</v>
      </c>
    </row>
    <row r="28" spans="1:10" ht="16" x14ac:dyDescent="0.2">
      <c r="A28" s="16" t="s">
        <v>27</v>
      </c>
      <c r="B28" s="126" t="s">
        <v>572</v>
      </c>
      <c r="C28" s="16" t="s">
        <v>567</v>
      </c>
      <c r="D28" s="16" t="s">
        <v>578</v>
      </c>
      <c r="E28" s="16" t="s">
        <v>609</v>
      </c>
      <c r="F28" s="16" t="s">
        <v>628</v>
      </c>
      <c r="G28" s="128">
        <v>45569</v>
      </c>
      <c r="H28" s="126" t="s">
        <v>570</v>
      </c>
      <c r="I28" s="16" t="s">
        <v>571</v>
      </c>
      <c r="J28" s="127" t="s">
        <v>630</v>
      </c>
    </row>
    <row r="29" spans="1:10" ht="32" x14ac:dyDescent="0.2">
      <c r="A29" s="16" t="s">
        <v>27</v>
      </c>
      <c r="C29" s="16" t="s">
        <v>567</v>
      </c>
      <c r="D29" s="16" t="s">
        <v>581</v>
      </c>
      <c r="E29" s="16" t="s">
        <v>582</v>
      </c>
      <c r="F29" s="16" t="s">
        <v>172</v>
      </c>
      <c r="G29" s="128">
        <v>45590</v>
      </c>
      <c r="H29" s="126" t="s">
        <v>575</v>
      </c>
      <c r="I29" s="16" t="s">
        <v>631</v>
      </c>
      <c r="J29" s="127" t="s">
        <v>632</v>
      </c>
    </row>
    <row r="30" spans="1:10" x14ac:dyDescent="0.2">
      <c r="A30" s="16" t="s">
        <v>27</v>
      </c>
      <c r="C30" s="16" t="s">
        <v>567</v>
      </c>
      <c r="D30" s="16" t="s">
        <v>633</v>
      </c>
      <c r="E30" s="16"/>
    </row>
    <row r="31" spans="1:10" ht="16" x14ac:dyDescent="0.2">
      <c r="A31" s="16" t="s">
        <v>27</v>
      </c>
      <c r="C31" s="16" t="s">
        <v>634</v>
      </c>
      <c r="D31" s="16" t="s">
        <v>578</v>
      </c>
      <c r="E31" s="16" t="s">
        <v>635</v>
      </c>
      <c r="F31" s="16" t="s">
        <v>284</v>
      </c>
      <c r="G31" s="128"/>
      <c r="H31" s="126" t="s">
        <v>636</v>
      </c>
      <c r="I31" s="16" t="s">
        <v>637</v>
      </c>
      <c r="J31" s="127" t="s">
        <v>638</v>
      </c>
    </row>
    <row r="32" spans="1:10" x14ac:dyDescent="0.2">
      <c r="A32" s="16" t="s">
        <v>27</v>
      </c>
      <c r="B32" s="126" t="s">
        <v>572</v>
      </c>
      <c r="C32" s="16" t="s">
        <v>585</v>
      </c>
      <c r="D32" s="16" t="s">
        <v>586</v>
      </c>
      <c r="E32" s="16" t="s">
        <v>639</v>
      </c>
      <c r="F32" s="16" t="s">
        <v>584</v>
      </c>
      <c r="G32" s="128">
        <v>45583</v>
      </c>
      <c r="H32" s="126" t="s">
        <v>575</v>
      </c>
      <c r="I32" s="16" t="s">
        <v>596</v>
      </c>
    </row>
    <row r="33" spans="1:10" x14ac:dyDescent="0.2">
      <c r="A33" s="16" t="s">
        <v>27</v>
      </c>
      <c r="C33" s="16" t="s">
        <v>585</v>
      </c>
      <c r="D33" s="16" t="s">
        <v>586</v>
      </c>
      <c r="E33" s="16" t="s">
        <v>640</v>
      </c>
      <c r="G33" s="128">
        <v>45569</v>
      </c>
      <c r="H33" s="126" t="s">
        <v>575</v>
      </c>
      <c r="I33" s="16" t="s">
        <v>596</v>
      </c>
    </row>
    <row r="34" spans="1:10" x14ac:dyDescent="0.2">
      <c r="A34" s="16" t="s">
        <v>27</v>
      </c>
      <c r="C34" s="16" t="s">
        <v>585</v>
      </c>
      <c r="D34" s="16" t="s">
        <v>586</v>
      </c>
      <c r="E34" s="16" t="s">
        <v>641</v>
      </c>
      <c r="F34" s="16" t="s">
        <v>584</v>
      </c>
      <c r="G34" s="128">
        <v>45590</v>
      </c>
      <c r="H34" s="126" t="s">
        <v>575</v>
      </c>
      <c r="I34" s="16" t="s">
        <v>596</v>
      </c>
    </row>
    <row r="35" spans="1:10" x14ac:dyDescent="0.2">
      <c r="A35" s="16" t="s">
        <v>27</v>
      </c>
      <c r="C35" s="16" t="s">
        <v>585</v>
      </c>
      <c r="D35" s="16" t="s">
        <v>586</v>
      </c>
      <c r="E35" s="16" t="s">
        <v>642</v>
      </c>
      <c r="F35" s="16" t="s">
        <v>584</v>
      </c>
      <c r="G35" s="128">
        <v>45590</v>
      </c>
      <c r="H35" s="126" t="s">
        <v>575</v>
      </c>
      <c r="I35" s="16" t="s">
        <v>596</v>
      </c>
    </row>
    <row r="36" spans="1:10" x14ac:dyDescent="0.2">
      <c r="A36" s="16" t="s">
        <v>27</v>
      </c>
      <c r="C36" s="16" t="s">
        <v>585</v>
      </c>
      <c r="D36" s="16" t="s">
        <v>586</v>
      </c>
      <c r="E36" s="16" t="s">
        <v>643</v>
      </c>
      <c r="F36" s="16" t="s">
        <v>584</v>
      </c>
      <c r="G36" s="128">
        <v>45590</v>
      </c>
      <c r="H36" s="126" t="s">
        <v>575</v>
      </c>
      <c r="I36" s="16" t="s">
        <v>596</v>
      </c>
    </row>
    <row r="37" spans="1:10" x14ac:dyDescent="0.2">
      <c r="A37" s="16" t="s">
        <v>27</v>
      </c>
      <c r="C37" s="16" t="s">
        <v>585</v>
      </c>
      <c r="D37" s="16" t="s">
        <v>586</v>
      </c>
      <c r="E37" s="16" t="s">
        <v>644</v>
      </c>
      <c r="F37" s="16" t="s">
        <v>584</v>
      </c>
      <c r="G37" s="128">
        <v>45590</v>
      </c>
      <c r="H37" s="126" t="s">
        <v>575</v>
      </c>
      <c r="I37" s="16" t="s">
        <v>596</v>
      </c>
    </row>
    <row r="38" spans="1:10" x14ac:dyDescent="0.2">
      <c r="A38" s="16" t="s">
        <v>27</v>
      </c>
      <c r="C38" s="16" t="s">
        <v>585</v>
      </c>
      <c r="D38" s="16" t="s">
        <v>586</v>
      </c>
      <c r="E38" s="16" t="s">
        <v>645</v>
      </c>
      <c r="F38" s="16" t="s">
        <v>584</v>
      </c>
      <c r="G38" s="128">
        <v>45590</v>
      </c>
      <c r="H38" s="126" t="s">
        <v>575</v>
      </c>
      <c r="I38" s="16" t="s">
        <v>596</v>
      </c>
    </row>
    <row r="39" spans="1:10" x14ac:dyDescent="0.2">
      <c r="A39" s="16" t="s">
        <v>27</v>
      </c>
      <c r="C39" s="16" t="s">
        <v>585</v>
      </c>
      <c r="D39" s="16" t="s">
        <v>646</v>
      </c>
      <c r="E39" s="16" t="s">
        <v>647</v>
      </c>
      <c r="F39" s="16" t="s">
        <v>172</v>
      </c>
      <c r="H39" s="126" t="s">
        <v>575</v>
      </c>
      <c r="I39" s="16" t="s">
        <v>648</v>
      </c>
    </row>
    <row r="40" spans="1:10" customFormat="1" x14ac:dyDescent="0.2">
      <c r="B40" s="9"/>
      <c r="C40" t="s">
        <v>585</v>
      </c>
      <c r="D40" t="s">
        <v>586</v>
      </c>
      <c r="E40" t="s">
        <v>649</v>
      </c>
      <c r="F40" t="s">
        <v>172</v>
      </c>
      <c r="G40" s="91">
        <v>45597</v>
      </c>
      <c r="H40" s="9" t="s">
        <v>575</v>
      </c>
      <c r="I40" t="s">
        <v>596</v>
      </c>
      <c r="J40" s="3"/>
    </row>
    <row r="41" spans="1:10" x14ac:dyDescent="0.2">
      <c r="A41" s="16" t="s">
        <v>27</v>
      </c>
      <c r="C41" s="16" t="s">
        <v>597</v>
      </c>
      <c r="D41" s="16" t="s">
        <v>598</v>
      </c>
      <c r="E41" s="16" t="s">
        <v>599</v>
      </c>
      <c r="F41" s="16" t="s">
        <v>650</v>
      </c>
      <c r="G41" s="128">
        <v>45600</v>
      </c>
      <c r="H41" s="126" t="s">
        <v>575</v>
      </c>
      <c r="I41" s="16" t="s">
        <v>601</v>
      </c>
    </row>
    <row r="42" spans="1:10" x14ac:dyDescent="0.2">
      <c r="A42" s="16" t="s">
        <v>27</v>
      </c>
      <c r="C42" s="16" t="s">
        <v>597</v>
      </c>
      <c r="D42" s="16" t="s">
        <v>602</v>
      </c>
      <c r="E42" s="16" t="s">
        <v>651</v>
      </c>
      <c r="F42" s="16" t="s">
        <v>172</v>
      </c>
    </row>
    <row r="43" spans="1:10" ht="16" x14ac:dyDescent="0.2">
      <c r="A43" s="16" t="s">
        <v>27</v>
      </c>
      <c r="C43" s="16" t="s">
        <v>597</v>
      </c>
      <c r="D43" s="16" t="s">
        <v>602</v>
      </c>
      <c r="E43" s="127" t="s">
        <v>652</v>
      </c>
      <c r="F43" s="16" t="s">
        <v>172</v>
      </c>
    </row>
    <row r="44" spans="1:10" customFormat="1" x14ac:dyDescent="0.2">
      <c r="A44" t="s">
        <v>653</v>
      </c>
      <c r="B44" s="9" t="s">
        <v>572</v>
      </c>
      <c r="C44" t="s">
        <v>567</v>
      </c>
      <c r="D44" s="16" t="s">
        <v>568</v>
      </c>
      <c r="E44" t="s">
        <v>654</v>
      </c>
      <c r="F44" t="s">
        <v>611</v>
      </c>
      <c r="G44" s="91">
        <v>45555</v>
      </c>
      <c r="H44" s="9" t="s">
        <v>570</v>
      </c>
      <c r="I44" t="s">
        <v>655</v>
      </c>
      <c r="J44" s="138">
        <v>45559</v>
      </c>
    </row>
    <row r="45" spans="1:10" customFormat="1" x14ac:dyDescent="0.2">
      <c r="A45" t="s">
        <v>653</v>
      </c>
      <c r="B45" s="9" t="s">
        <v>572</v>
      </c>
      <c r="C45" t="s">
        <v>567</v>
      </c>
      <c r="D45" s="16" t="s">
        <v>573</v>
      </c>
      <c r="E45" t="s">
        <v>656</v>
      </c>
      <c r="F45" t="s">
        <v>628</v>
      </c>
      <c r="G45" s="91">
        <v>45562</v>
      </c>
      <c r="H45" s="9" t="s">
        <v>575</v>
      </c>
      <c r="I45" t="s">
        <v>576</v>
      </c>
    </row>
    <row r="46" spans="1:10" customFormat="1" x14ac:dyDescent="0.2">
      <c r="A46" t="s">
        <v>653</v>
      </c>
      <c r="B46" s="9"/>
      <c r="C46" t="s">
        <v>567</v>
      </c>
      <c r="D46" s="16" t="s">
        <v>578</v>
      </c>
      <c r="E46" t="s">
        <v>609</v>
      </c>
      <c r="F46" t="s">
        <v>172</v>
      </c>
      <c r="G46" s="91"/>
      <c r="H46" s="9"/>
      <c r="I46" t="s">
        <v>161</v>
      </c>
    </row>
    <row r="47" spans="1:10" customFormat="1" x14ac:dyDescent="0.2">
      <c r="A47" t="s">
        <v>653</v>
      </c>
      <c r="B47" s="9"/>
      <c r="C47" t="s">
        <v>567</v>
      </c>
      <c r="D47" s="16" t="s">
        <v>581</v>
      </c>
      <c r="E47" t="s">
        <v>582</v>
      </c>
      <c r="F47" t="s">
        <v>172</v>
      </c>
      <c r="H47" s="9"/>
    </row>
    <row r="48" spans="1:10" customFormat="1" x14ac:dyDescent="0.2">
      <c r="A48" t="s">
        <v>653</v>
      </c>
      <c r="B48" s="9"/>
      <c r="C48" t="s">
        <v>567</v>
      </c>
      <c r="D48" s="16" t="s">
        <v>633</v>
      </c>
      <c r="F48" t="s">
        <v>584</v>
      </c>
      <c r="H48" s="9"/>
    </row>
    <row r="49" spans="1:10" customFormat="1" x14ac:dyDescent="0.2">
      <c r="A49" t="s">
        <v>653</v>
      </c>
      <c r="B49" s="9"/>
      <c r="C49" t="s">
        <v>585</v>
      </c>
      <c r="D49" t="s">
        <v>586</v>
      </c>
      <c r="E49" t="s">
        <v>657</v>
      </c>
      <c r="F49" t="s">
        <v>284</v>
      </c>
      <c r="G49" s="91">
        <v>45484</v>
      </c>
      <c r="H49" s="9" t="s">
        <v>575</v>
      </c>
      <c r="I49" t="s">
        <v>596</v>
      </c>
    </row>
    <row r="50" spans="1:10" customFormat="1" x14ac:dyDescent="0.2">
      <c r="A50" t="s">
        <v>653</v>
      </c>
      <c r="B50" s="9" t="s">
        <v>572</v>
      </c>
      <c r="C50" t="s">
        <v>585</v>
      </c>
      <c r="D50" s="16" t="s">
        <v>586</v>
      </c>
      <c r="E50" t="s">
        <v>658</v>
      </c>
      <c r="F50" t="s">
        <v>584</v>
      </c>
      <c r="G50" s="91">
        <v>45562</v>
      </c>
      <c r="H50" s="9" t="s">
        <v>575</v>
      </c>
      <c r="I50" t="s">
        <v>601</v>
      </c>
      <c r="J50" t="s">
        <v>659</v>
      </c>
    </row>
    <row r="51" spans="1:10" customFormat="1" x14ac:dyDescent="0.2">
      <c r="A51" t="s">
        <v>653</v>
      </c>
      <c r="B51" s="9"/>
      <c r="C51" t="s">
        <v>585</v>
      </c>
      <c r="D51" t="s">
        <v>586</v>
      </c>
      <c r="E51" t="s">
        <v>660</v>
      </c>
      <c r="F51" t="s">
        <v>284</v>
      </c>
      <c r="G51" s="91">
        <v>45484</v>
      </c>
      <c r="H51" s="9" t="s">
        <v>575</v>
      </c>
      <c r="I51" t="s">
        <v>596</v>
      </c>
    </row>
    <row r="52" spans="1:10" customFormat="1" x14ac:dyDescent="0.2">
      <c r="A52" t="s">
        <v>653</v>
      </c>
      <c r="B52" s="9"/>
      <c r="C52" t="s">
        <v>585</v>
      </c>
      <c r="D52" t="s">
        <v>661</v>
      </c>
      <c r="F52" t="s">
        <v>284</v>
      </c>
      <c r="G52" s="91">
        <v>45526</v>
      </c>
      <c r="H52" s="9" t="s">
        <v>575</v>
      </c>
    </row>
    <row r="53" spans="1:10" customFormat="1" x14ac:dyDescent="0.2">
      <c r="A53" t="s">
        <v>653</v>
      </c>
      <c r="B53" s="9"/>
      <c r="C53" t="s">
        <v>597</v>
      </c>
      <c r="D53" t="s">
        <v>598</v>
      </c>
      <c r="E53" t="s">
        <v>599</v>
      </c>
      <c r="F53" t="s">
        <v>650</v>
      </c>
      <c r="G53" s="91">
        <v>45597</v>
      </c>
      <c r="H53" s="9" t="s">
        <v>575</v>
      </c>
      <c r="I53" t="s">
        <v>601</v>
      </c>
    </row>
    <row r="54" spans="1:10" customFormat="1" x14ac:dyDescent="0.2">
      <c r="A54" t="s">
        <v>653</v>
      </c>
      <c r="B54" s="9"/>
      <c r="C54" t="s">
        <v>597</v>
      </c>
      <c r="D54" t="s">
        <v>602</v>
      </c>
      <c r="E54" t="s">
        <v>662</v>
      </c>
      <c r="F54" t="s">
        <v>284</v>
      </c>
      <c r="H54" s="9"/>
      <c r="I54" t="s">
        <v>663</v>
      </c>
    </row>
    <row r="55" spans="1:10" customFormat="1" x14ac:dyDescent="0.2">
      <c r="A55" t="s">
        <v>653</v>
      </c>
      <c r="B55" s="9"/>
      <c r="C55" t="s">
        <v>597</v>
      </c>
      <c r="D55" t="s">
        <v>602</v>
      </c>
      <c r="E55" t="s">
        <v>664</v>
      </c>
      <c r="F55" t="s">
        <v>284</v>
      </c>
      <c r="H55" s="9"/>
      <c r="I55" t="s">
        <v>663</v>
      </c>
    </row>
    <row r="56" spans="1:10" customFormat="1" x14ac:dyDescent="0.2">
      <c r="A56" t="s">
        <v>653</v>
      </c>
      <c r="B56" s="9"/>
      <c r="C56" t="s">
        <v>597</v>
      </c>
      <c r="D56" t="s">
        <v>602</v>
      </c>
      <c r="E56" t="s">
        <v>665</v>
      </c>
      <c r="F56" t="s">
        <v>284</v>
      </c>
      <c r="H56" s="9"/>
      <c r="I56" t="s">
        <v>596</v>
      </c>
    </row>
    <row r="57" spans="1:10" customFormat="1" x14ac:dyDescent="0.2">
      <c r="A57" t="s">
        <v>653</v>
      </c>
      <c r="B57" s="9"/>
      <c r="C57" t="s">
        <v>597</v>
      </c>
      <c r="D57" t="s">
        <v>602</v>
      </c>
      <c r="E57" t="s">
        <v>666</v>
      </c>
      <c r="F57" t="s">
        <v>284</v>
      </c>
      <c r="H57" s="9"/>
      <c r="I57" t="s">
        <v>576</v>
      </c>
    </row>
    <row r="58" spans="1:10" customFormat="1" x14ac:dyDescent="0.2">
      <c r="A58" t="s">
        <v>653</v>
      </c>
      <c r="B58" s="9"/>
      <c r="C58" t="s">
        <v>597</v>
      </c>
      <c r="D58" t="s">
        <v>602</v>
      </c>
      <c r="E58" t="s">
        <v>667</v>
      </c>
      <c r="F58" t="s">
        <v>584</v>
      </c>
      <c r="G58" s="91">
        <v>45534</v>
      </c>
      <c r="H58" s="9" t="s">
        <v>575</v>
      </c>
      <c r="I58" t="s">
        <v>668</v>
      </c>
    </row>
    <row r="59" spans="1:10" customFormat="1" x14ac:dyDescent="0.2">
      <c r="A59" t="s">
        <v>653</v>
      </c>
      <c r="B59" s="9"/>
      <c r="C59" t="s">
        <v>597</v>
      </c>
      <c r="D59" t="s">
        <v>602</v>
      </c>
      <c r="E59" t="s">
        <v>669</v>
      </c>
      <c r="F59" t="s">
        <v>172</v>
      </c>
      <c r="G59" s="91">
        <v>45534</v>
      </c>
      <c r="H59" s="9" t="s">
        <v>575</v>
      </c>
      <c r="I59" t="s">
        <v>596</v>
      </c>
    </row>
    <row r="60" spans="1:10" customFormat="1" x14ac:dyDescent="0.2">
      <c r="A60" t="s">
        <v>653</v>
      </c>
      <c r="B60" s="9"/>
      <c r="C60" t="s">
        <v>597</v>
      </c>
      <c r="D60" t="s">
        <v>602</v>
      </c>
      <c r="E60" t="s">
        <v>670</v>
      </c>
      <c r="F60" t="s">
        <v>172</v>
      </c>
      <c r="G60" s="91">
        <v>45534</v>
      </c>
      <c r="H60" s="9" t="s">
        <v>570</v>
      </c>
      <c r="I60" t="s">
        <v>671</v>
      </c>
    </row>
    <row r="61" spans="1:10" customFormat="1" x14ac:dyDescent="0.2">
      <c r="A61" t="s">
        <v>653</v>
      </c>
      <c r="B61" s="9"/>
      <c r="C61" t="s">
        <v>597</v>
      </c>
      <c r="D61" t="s">
        <v>602</v>
      </c>
      <c r="E61" t="s">
        <v>672</v>
      </c>
      <c r="F61" t="s">
        <v>172</v>
      </c>
      <c r="H61" s="9" t="s">
        <v>575</v>
      </c>
      <c r="I61" t="s">
        <v>673</v>
      </c>
    </row>
    <row r="62" spans="1:10" customFormat="1" x14ac:dyDescent="0.2">
      <c r="A62" t="s">
        <v>653</v>
      </c>
      <c r="B62" s="9"/>
      <c r="C62" t="s">
        <v>597</v>
      </c>
      <c r="D62" t="s">
        <v>674</v>
      </c>
      <c r="F62" t="s">
        <v>584</v>
      </c>
      <c r="H62" s="9"/>
    </row>
    <row r="63" spans="1:10" customFormat="1" x14ac:dyDescent="0.2">
      <c r="A63" t="s">
        <v>675</v>
      </c>
      <c r="B63" s="9" t="s">
        <v>572</v>
      </c>
      <c r="C63" t="s">
        <v>567</v>
      </c>
      <c r="D63" s="16" t="s">
        <v>568</v>
      </c>
      <c r="E63" t="s">
        <v>569</v>
      </c>
      <c r="F63" t="s">
        <v>611</v>
      </c>
      <c r="G63" s="91">
        <v>45565</v>
      </c>
      <c r="H63" s="9" t="s">
        <v>570</v>
      </c>
      <c r="I63" t="s">
        <v>625</v>
      </c>
    </row>
    <row r="64" spans="1:10" customFormat="1" x14ac:dyDescent="0.2">
      <c r="A64" t="s">
        <v>675</v>
      </c>
      <c r="B64" s="9" t="s">
        <v>572</v>
      </c>
      <c r="C64" t="s">
        <v>567</v>
      </c>
      <c r="D64" s="16" t="s">
        <v>573</v>
      </c>
      <c r="E64" t="s">
        <v>656</v>
      </c>
      <c r="F64" t="s">
        <v>628</v>
      </c>
      <c r="G64" s="91">
        <v>45565</v>
      </c>
      <c r="H64" s="9" t="s">
        <v>575</v>
      </c>
      <c r="I64" t="s">
        <v>676</v>
      </c>
      <c r="J64" t="s">
        <v>677</v>
      </c>
    </row>
    <row r="65" spans="1:10" customFormat="1" x14ac:dyDescent="0.2">
      <c r="A65" t="s">
        <v>675</v>
      </c>
      <c r="B65" s="9" t="s">
        <v>572</v>
      </c>
      <c r="C65" t="s">
        <v>567</v>
      </c>
      <c r="D65" s="16" t="s">
        <v>578</v>
      </c>
      <c r="E65" t="s">
        <v>678</v>
      </c>
      <c r="F65" t="s">
        <v>584</v>
      </c>
      <c r="G65" s="91">
        <v>45576</v>
      </c>
      <c r="H65" s="9" t="s">
        <v>570</v>
      </c>
      <c r="I65" t="s">
        <v>679</v>
      </c>
    </row>
    <row r="66" spans="1:10" customFormat="1" x14ac:dyDescent="0.2">
      <c r="A66" t="s">
        <v>675</v>
      </c>
      <c r="B66" s="9"/>
      <c r="C66" t="s">
        <v>567</v>
      </c>
      <c r="D66" s="16" t="s">
        <v>581</v>
      </c>
      <c r="E66" t="s">
        <v>582</v>
      </c>
      <c r="F66" t="s">
        <v>172</v>
      </c>
      <c r="H66" s="9"/>
    </row>
    <row r="67" spans="1:10" customFormat="1" x14ac:dyDescent="0.2">
      <c r="A67" t="s">
        <v>675</v>
      </c>
      <c r="B67" s="9"/>
      <c r="C67" t="s">
        <v>567</v>
      </c>
      <c r="D67" s="16" t="s">
        <v>633</v>
      </c>
      <c r="F67" t="s">
        <v>584</v>
      </c>
      <c r="H67" s="9"/>
    </row>
    <row r="68" spans="1:10" customFormat="1" x14ac:dyDescent="0.2">
      <c r="A68" t="s">
        <v>675</v>
      </c>
      <c r="B68" s="9"/>
      <c r="C68" t="s">
        <v>634</v>
      </c>
      <c r="D68" s="16" t="s">
        <v>573</v>
      </c>
      <c r="E68" t="s">
        <v>680</v>
      </c>
      <c r="F68" t="s">
        <v>284</v>
      </c>
      <c r="G68" s="91"/>
      <c r="H68" s="9" t="s">
        <v>575</v>
      </c>
      <c r="I68" t="s">
        <v>681</v>
      </c>
    </row>
    <row r="69" spans="1:10" customFormat="1" x14ac:dyDescent="0.2">
      <c r="A69" t="s">
        <v>675</v>
      </c>
      <c r="B69" s="9" t="s">
        <v>572</v>
      </c>
      <c r="C69" t="s">
        <v>634</v>
      </c>
      <c r="D69" s="16" t="s">
        <v>573</v>
      </c>
      <c r="E69" t="s">
        <v>682</v>
      </c>
      <c r="F69" t="s">
        <v>172</v>
      </c>
      <c r="G69" s="91">
        <v>45565</v>
      </c>
      <c r="H69" s="9" t="s">
        <v>570</v>
      </c>
      <c r="I69" t="s">
        <v>173</v>
      </c>
    </row>
    <row r="70" spans="1:10" customFormat="1" x14ac:dyDescent="0.2">
      <c r="A70" t="s">
        <v>675</v>
      </c>
      <c r="B70" s="9"/>
      <c r="C70" t="s">
        <v>634</v>
      </c>
      <c r="D70" s="16" t="s">
        <v>578</v>
      </c>
      <c r="E70" t="s">
        <v>683</v>
      </c>
      <c r="F70" t="s">
        <v>284</v>
      </c>
      <c r="G70" s="91"/>
      <c r="H70" s="9" t="s">
        <v>575</v>
      </c>
      <c r="I70" t="s">
        <v>596</v>
      </c>
    </row>
    <row r="71" spans="1:10" customFormat="1" x14ac:dyDescent="0.2">
      <c r="A71" t="s">
        <v>675</v>
      </c>
      <c r="B71" s="9"/>
      <c r="C71" s="138" t="s">
        <v>585</v>
      </c>
      <c r="D71" s="16" t="s">
        <v>586</v>
      </c>
      <c r="E71" t="s">
        <v>684</v>
      </c>
      <c r="F71" t="s">
        <v>172</v>
      </c>
      <c r="G71" s="16"/>
      <c r="H71" s="9" t="s">
        <v>570</v>
      </c>
      <c r="I71" t="s">
        <v>173</v>
      </c>
    </row>
    <row r="72" spans="1:10" customFormat="1" x14ac:dyDescent="0.2">
      <c r="A72" t="s">
        <v>675</v>
      </c>
      <c r="B72" s="9"/>
      <c r="C72" t="s">
        <v>585</v>
      </c>
      <c r="D72" t="s">
        <v>586</v>
      </c>
      <c r="E72" t="s">
        <v>684</v>
      </c>
      <c r="F72" t="s">
        <v>172</v>
      </c>
      <c r="G72" s="91"/>
      <c r="H72" s="9" t="s">
        <v>575</v>
      </c>
      <c r="I72" t="s">
        <v>596</v>
      </c>
    </row>
    <row r="73" spans="1:10" customFormat="1" x14ac:dyDescent="0.2">
      <c r="A73" t="s">
        <v>675</v>
      </c>
      <c r="B73" s="9"/>
      <c r="C73" t="s">
        <v>597</v>
      </c>
      <c r="D73" t="s">
        <v>598</v>
      </c>
      <c r="E73" t="s">
        <v>599</v>
      </c>
      <c r="F73" t="s">
        <v>650</v>
      </c>
      <c r="G73" s="91">
        <v>45590</v>
      </c>
      <c r="H73" s="9" t="s">
        <v>575</v>
      </c>
      <c r="I73" t="s">
        <v>601</v>
      </c>
    </row>
    <row r="74" spans="1:10" customFormat="1" x14ac:dyDescent="0.2">
      <c r="A74" t="s">
        <v>675</v>
      </c>
      <c r="B74" s="9"/>
      <c r="C74" t="s">
        <v>597</v>
      </c>
      <c r="D74" t="s">
        <v>602</v>
      </c>
      <c r="E74" t="s">
        <v>685</v>
      </c>
      <c r="F74" t="s">
        <v>172</v>
      </c>
      <c r="H74" s="9" t="s">
        <v>575</v>
      </c>
      <c r="I74" t="s">
        <v>596</v>
      </c>
    </row>
    <row r="75" spans="1:10" customFormat="1" x14ac:dyDescent="0.2">
      <c r="A75" t="s">
        <v>675</v>
      </c>
      <c r="B75" s="9"/>
      <c r="C75" t="s">
        <v>597</v>
      </c>
      <c r="D75" t="s">
        <v>602</v>
      </c>
      <c r="E75" t="s">
        <v>686</v>
      </c>
      <c r="F75" t="s">
        <v>172</v>
      </c>
      <c r="H75" s="9" t="s">
        <v>570</v>
      </c>
      <c r="I75" t="s">
        <v>687</v>
      </c>
    </row>
    <row r="76" spans="1:10" customFormat="1" x14ac:dyDescent="0.2">
      <c r="A76" t="s">
        <v>675</v>
      </c>
      <c r="B76" s="9"/>
      <c r="C76" t="s">
        <v>597</v>
      </c>
      <c r="D76" t="s">
        <v>602</v>
      </c>
      <c r="E76" t="s">
        <v>672</v>
      </c>
      <c r="F76" t="s">
        <v>172</v>
      </c>
      <c r="H76" s="9" t="s">
        <v>575</v>
      </c>
      <c r="I76" t="s">
        <v>673</v>
      </c>
    </row>
    <row r="77" spans="1:10" x14ac:dyDescent="0.2">
      <c r="A77" t="s">
        <v>688</v>
      </c>
      <c r="B77" s="9"/>
      <c r="C77" t="s">
        <v>567</v>
      </c>
      <c r="D77" s="16" t="s">
        <v>568</v>
      </c>
      <c r="E77" t="s">
        <v>654</v>
      </c>
      <c r="F77" t="s">
        <v>284</v>
      </c>
      <c r="G77" s="91">
        <v>45457</v>
      </c>
      <c r="H77" s="9" t="s">
        <v>570</v>
      </c>
      <c r="J77"/>
    </row>
    <row r="78" spans="1:10" x14ac:dyDescent="0.2">
      <c r="A78" t="s">
        <v>688</v>
      </c>
      <c r="B78" s="9"/>
      <c r="C78" t="s">
        <v>567</v>
      </c>
      <c r="D78" s="16" t="s">
        <v>573</v>
      </c>
      <c r="E78" t="s">
        <v>656</v>
      </c>
      <c r="F78" t="s">
        <v>284</v>
      </c>
      <c r="G78" s="91">
        <v>45457</v>
      </c>
      <c r="H78" s="9" t="s">
        <v>575</v>
      </c>
      <c r="I78" t="s">
        <v>689</v>
      </c>
      <c r="J78"/>
    </row>
    <row r="79" spans="1:10" x14ac:dyDescent="0.2">
      <c r="A79" t="s">
        <v>688</v>
      </c>
      <c r="B79" s="9"/>
      <c r="C79" t="s">
        <v>567</v>
      </c>
      <c r="D79" s="16" t="s">
        <v>578</v>
      </c>
      <c r="E79" t="s">
        <v>609</v>
      </c>
      <c r="F79" t="s">
        <v>172</v>
      </c>
      <c r="G79" s="91">
        <v>45541</v>
      </c>
      <c r="H79" s="9"/>
      <c r="I79" t="s">
        <v>679</v>
      </c>
      <c r="J79"/>
    </row>
    <row r="80" spans="1:10" x14ac:dyDescent="0.2">
      <c r="A80" t="s">
        <v>688</v>
      </c>
      <c r="B80" s="9"/>
      <c r="C80" t="s">
        <v>567</v>
      </c>
      <c r="D80" s="16" t="s">
        <v>581</v>
      </c>
      <c r="E80" t="s">
        <v>582</v>
      </c>
      <c r="F80" s="16" t="s">
        <v>172</v>
      </c>
      <c r="G80"/>
      <c r="H80" s="9" t="s">
        <v>575</v>
      </c>
      <c r="I80" t="s">
        <v>690</v>
      </c>
      <c r="J80"/>
    </row>
    <row r="81" spans="1:10" x14ac:dyDescent="0.2">
      <c r="A81" t="s">
        <v>688</v>
      </c>
      <c r="B81" s="9"/>
      <c r="C81" t="s">
        <v>567</v>
      </c>
      <c r="D81" s="16" t="s">
        <v>633</v>
      </c>
      <c r="E81"/>
      <c r="F81" t="s">
        <v>584</v>
      </c>
      <c r="G81"/>
      <c r="H81" s="9"/>
      <c r="I81"/>
      <c r="J81"/>
    </row>
    <row r="82" spans="1:10" x14ac:dyDescent="0.2">
      <c r="A82" t="s">
        <v>688</v>
      </c>
      <c r="B82" s="9" t="s">
        <v>572</v>
      </c>
      <c r="C82" t="s">
        <v>634</v>
      </c>
      <c r="D82" s="16" t="s">
        <v>578</v>
      </c>
      <c r="E82" t="s">
        <v>691</v>
      </c>
      <c r="F82" t="s">
        <v>284</v>
      </c>
      <c r="G82" s="91">
        <v>45562</v>
      </c>
      <c r="H82" s="9" t="s">
        <v>575</v>
      </c>
      <c r="I82" t="s">
        <v>601</v>
      </c>
      <c r="J82"/>
    </row>
    <row r="83" spans="1:10" x14ac:dyDescent="0.2">
      <c r="A83" t="s">
        <v>688</v>
      </c>
      <c r="B83" s="9"/>
      <c r="C83" t="s">
        <v>585</v>
      </c>
      <c r="D83" t="s">
        <v>586</v>
      </c>
      <c r="E83" t="s">
        <v>692</v>
      </c>
      <c r="F83" t="s">
        <v>584</v>
      </c>
      <c r="G83" s="91">
        <v>45555</v>
      </c>
      <c r="H83" s="9" t="s">
        <v>575</v>
      </c>
      <c r="I83" t="s">
        <v>601</v>
      </c>
      <c r="J83"/>
    </row>
    <row r="84" spans="1:10" customFormat="1" x14ac:dyDescent="0.2">
      <c r="A84" t="s">
        <v>688</v>
      </c>
      <c r="B84" s="9" t="s">
        <v>572</v>
      </c>
      <c r="C84" t="s">
        <v>585</v>
      </c>
      <c r="D84" t="s">
        <v>586</v>
      </c>
      <c r="E84" t="s">
        <v>693</v>
      </c>
      <c r="F84" t="s">
        <v>584</v>
      </c>
      <c r="G84" s="91">
        <v>45562</v>
      </c>
      <c r="H84" s="9" t="s">
        <v>575</v>
      </c>
      <c r="I84" t="s">
        <v>601</v>
      </c>
    </row>
    <row r="85" spans="1:10" customFormat="1" x14ac:dyDescent="0.2">
      <c r="A85" t="s">
        <v>688</v>
      </c>
      <c r="B85" s="9" t="s">
        <v>572</v>
      </c>
      <c r="C85" t="s">
        <v>585</v>
      </c>
      <c r="D85" t="s">
        <v>586</v>
      </c>
      <c r="E85" t="s">
        <v>694</v>
      </c>
      <c r="F85" t="s">
        <v>584</v>
      </c>
      <c r="G85" s="91">
        <v>45569</v>
      </c>
      <c r="H85" s="9" t="s">
        <v>575</v>
      </c>
      <c r="I85" t="s">
        <v>601</v>
      </c>
    </row>
    <row r="86" spans="1:10" customFormat="1" x14ac:dyDescent="0.2">
      <c r="A86" t="s">
        <v>688</v>
      </c>
      <c r="B86" s="9"/>
      <c r="C86" t="s">
        <v>597</v>
      </c>
      <c r="D86" t="s">
        <v>598</v>
      </c>
      <c r="E86" t="s">
        <v>599</v>
      </c>
      <c r="F86" t="s">
        <v>695</v>
      </c>
      <c r="G86" s="91">
        <v>45586</v>
      </c>
      <c r="H86" s="9" t="s">
        <v>575</v>
      </c>
      <c r="I86" t="s">
        <v>601</v>
      </c>
    </row>
    <row r="87" spans="1:10" customFormat="1" x14ac:dyDescent="0.2">
      <c r="A87" t="s">
        <v>688</v>
      </c>
      <c r="B87" s="9"/>
      <c r="C87" t="s">
        <v>597</v>
      </c>
      <c r="D87" t="s">
        <v>602</v>
      </c>
      <c r="E87" t="s">
        <v>696</v>
      </c>
      <c r="F87" t="s">
        <v>172</v>
      </c>
      <c r="G87" s="91">
        <v>45576</v>
      </c>
      <c r="H87" s="9" t="s">
        <v>575</v>
      </c>
      <c r="I87" t="s">
        <v>697</v>
      </c>
    </row>
    <row r="88" spans="1:10" x14ac:dyDescent="0.2">
      <c r="A88" t="s">
        <v>688</v>
      </c>
      <c r="B88" s="9"/>
      <c r="C88" t="s">
        <v>597</v>
      </c>
      <c r="D88" t="s">
        <v>605</v>
      </c>
      <c r="E88" t="s">
        <v>698</v>
      </c>
      <c r="F88" t="s">
        <v>172</v>
      </c>
      <c r="G88" s="91">
        <v>45576</v>
      </c>
      <c r="H88" s="9" t="s">
        <v>575</v>
      </c>
      <c r="I88" t="s">
        <v>690</v>
      </c>
      <c r="J88"/>
    </row>
    <row r="89" spans="1:10" customFormat="1" x14ac:dyDescent="0.2">
      <c r="A89" t="s">
        <v>688</v>
      </c>
      <c r="B89" s="9"/>
      <c r="C89" t="s">
        <v>597</v>
      </c>
      <c r="D89" t="s">
        <v>605</v>
      </c>
      <c r="E89" t="s">
        <v>699</v>
      </c>
      <c r="F89" t="s">
        <v>172</v>
      </c>
      <c r="G89" s="91">
        <v>45576</v>
      </c>
      <c r="H89" s="9" t="s">
        <v>570</v>
      </c>
      <c r="I89" t="s">
        <v>700</v>
      </c>
    </row>
    <row r="90" spans="1:10" customFormat="1" x14ac:dyDescent="0.2">
      <c r="A90" t="s">
        <v>39</v>
      </c>
      <c r="B90" s="9" t="s">
        <v>572</v>
      </c>
      <c r="C90" t="s">
        <v>567</v>
      </c>
      <c r="D90" s="16" t="s">
        <v>568</v>
      </c>
      <c r="E90" t="s">
        <v>569</v>
      </c>
      <c r="F90" t="s">
        <v>284</v>
      </c>
      <c r="G90" s="91">
        <v>45541</v>
      </c>
      <c r="H90" s="9" t="s">
        <v>570</v>
      </c>
      <c r="I90" t="s">
        <v>701</v>
      </c>
    </row>
    <row r="91" spans="1:10" customFormat="1" x14ac:dyDescent="0.2">
      <c r="A91" t="s">
        <v>39</v>
      </c>
      <c r="B91" s="9" t="s">
        <v>572</v>
      </c>
      <c r="C91" t="s">
        <v>567</v>
      </c>
      <c r="D91" s="16" t="s">
        <v>573</v>
      </c>
      <c r="E91" t="s">
        <v>656</v>
      </c>
      <c r="F91" t="s">
        <v>284</v>
      </c>
      <c r="G91" s="91">
        <v>45555</v>
      </c>
      <c r="H91" s="9"/>
      <c r="I91" t="s">
        <v>702</v>
      </c>
      <c r="J91" t="s">
        <v>703</v>
      </c>
    </row>
    <row r="92" spans="1:10" customFormat="1" x14ac:dyDescent="0.2">
      <c r="A92" t="s">
        <v>39</v>
      </c>
      <c r="B92" s="9"/>
      <c r="C92" t="s">
        <v>567</v>
      </c>
      <c r="D92" s="16" t="s">
        <v>578</v>
      </c>
      <c r="E92" t="s">
        <v>609</v>
      </c>
      <c r="F92" t="s">
        <v>172</v>
      </c>
      <c r="H92" s="9" t="s">
        <v>575</v>
      </c>
      <c r="I92" t="s">
        <v>601</v>
      </c>
    </row>
    <row r="93" spans="1:10" customFormat="1" x14ac:dyDescent="0.2">
      <c r="A93" t="s">
        <v>39</v>
      </c>
      <c r="B93" s="9"/>
      <c r="C93" t="s">
        <v>567</v>
      </c>
      <c r="D93" s="16" t="s">
        <v>581</v>
      </c>
      <c r="E93" t="s">
        <v>582</v>
      </c>
      <c r="F93" t="s">
        <v>172</v>
      </c>
      <c r="H93" s="9" t="s">
        <v>575</v>
      </c>
      <c r="I93" t="s">
        <v>702</v>
      </c>
    </row>
    <row r="94" spans="1:10" customFormat="1" x14ac:dyDescent="0.2">
      <c r="A94" t="s">
        <v>39</v>
      </c>
      <c r="B94" s="9"/>
      <c r="C94" t="s">
        <v>567</v>
      </c>
      <c r="D94" s="16" t="s">
        <v>633</v>
      </c>
      <c r="F94" t="s">
        <v>584</v>
      </c>
      <c r="H94" s="9"/>
    </row>
    <row r="95" spans="1:10" customFormat="1" x14ac:dyDescent="0.2">
      <c r="A95" t="s">
        <v>39</v>
      </c>
      <c r="B95" s="9"/>
      <c r="C95" t="s">
        <v>585</v>
      </c>
      <c r="D95" t="s">
        <v>586</v>
      </c>
      <c r="E95" t="s">
        <v>704</v>
      </c>
      <c r="F95" t="s">
        <v>284</v>
      </c>
      <c r="G95" s="91">
        <v>45534</v>
      </c>
      <c r="H95" s="9" t="s">
        <v>575</v>
      </c>
      <c r="I95" t="s">
        <v>601</v>
      </c>
    </row>
    <row r="96" spans="1:10" customFormat="1" x14ac:dyDescent="0.2">
      <c r="A96" t="s">
        <v>39</v>
      </c>
      <c r="B96" s="9" t="s">
        <v>572</v>
      </c>
      <c r="C96" t="s">
        <v>585</v>
      </c>
      <c r="D96" s="16" t="s">
        <v>586</v>
      </c>
      <c r="E96" t="s">
        <v>705</v>
      </c>
      <c r="F96" t="s">
        <v>284</v>
      </c>
      <c r="G96" s="91">
        <v>45562</v>
      </c>
      <c r="H96" s="9" t="s">
        <v>575</v>
      </c>
      <c r="I96" t="s">
        <v>601</v>
      </c>
    </row>
    <row r="97" spans="1:10" customFormat="1" x14ac:dyDescent="0.2">
      <c r="A97" t="s">
        <v>39</v>
      </c>
      <c r="B97" s="9" t="s">
        <v>572</v>
      </c>
      <c r="C97" t="s">
        <v>585</v>
      </c>
      <c r="D97" t="s">
        <v>586</v>
      </c>
      <c r="E97" t="s">
        <v>706</v>
      </c>
      <c r="F97" t="s">
        <v>584</v>
      </c>
      <c r="G97" s="91">
        <v>45569</v>
      </c>
      <c r="H97" s="9" t="s">
        <v>575</v>
      </c>
      <c r="I97" t="s">
        <v>707</v>
      </c>
    </row>
    <row r="98" spans="1:10" customFormat="1" x14ac:dyDescent="0.2">
      <c r="A98" t="s">
        <v>39</v>
      </c>
      <c r="B98" s="9" t="s">
        <v>572</v>
      </c>
      <c r="C98" t="s">
        <v>585</v>
      </c>
      <c r="D98" t="s">
        <v>586</v>
      </c>
      <c r="E98" t="s">
        <v>708</v>
      </c>
      <c r="F98" t="s">
        <v>611</v>
      </c>
      <c r="G98" s="91">
        <v>45541</v>
      </c>
      <c r="H98" s="9" t="s">
        <v>575</v>
      </c>
      <c r="I98" t="s">
        <v>709</v>
      </c>
      <c r="J98" t="s">
        <v>710</v>
      </c>
    </row>
    <row r="99" spans="1:10" customFormat="1" x14ac:dyDescent="0.2">
      <c r="A99" t="s">
        <v>39</v>
      </c>
      <c r="B99" s="9"/>
      <c r="C99" t="s">
        <v>585</v>
      </c>
      <c r="D99" t="s">
        <v>586</v>
      </c>
      <c r="E99" t="s">
        <v>711</v>
      </c>
      <c r="F99" t="s">
        <v>584</v>
      </c>
      <c r="G99" s="91">
        <v>45583</v>
      </c>
      <c r="H99" s="9" t="s">
        <v>575</v>
      </c>
      <c r="J99" t="s">
        <v>712</v>
      </c>
    </row>
    <row r="100" spans="1:10" customFormat="1" x14ac:dyDescent="0.2">
      <c r="A100" t="s">
        <v>39</v>
      </c>
      <c r="B100" s="9"/>
      <c r="C100" t="s">
        <v>585</v>
      </c>
      <c r="D100" t="s">
        <v>586</v>
      </c>
      <c r="E100" t="s">
        <v>713</v>
      </c>
      <c r="F100" t="s">
        <v>172</v>
      </c>
      <c r="G100" s="91">
        <v>45583</v>
      </c>
      <c r="H100" s="9" t="s">
        <v>575</v>
      </c>
    </row>
    <row r="101" spans="1:10" customFormat="1" x14ac:dyDescent="0.2">
      <c r="A101" t="s">
        <v>39</v>
      </c>
      <c r="B101" s="9"/>
      <c r="C101" t="s">
        <v>585</v>
      </c>
      <c r="D101" t="s">
        <v>586</v>
      </c>
      <c r="E101" t="s">
        <v>714</v>
      </c>
      <c r="F101" t="s">
        <v>172</v>
      </c>
      <c r="G101" s="91">
        <v>45590</v>
      </c>
      <c r="H101" s="9" t="s">
        <v>570</v>
      </c>
    </row>
    <row r="102" spans="1:10" customFormat="1" x14ac:dyDescent="0.2">
      <c r="A102" t="s">
        <v>39</v>
      </c>
      <c r="B102" s="9"/>
      <c r="C102" t="s">
        <v>585</v>
      </c>
      <c r="D102" t="s">
        <v>586</v>
      </c>
      <c r="E102" t="s">
        <v>715</v>
      </c>
      <c r="F102" t="s">
        <v>584</v>
      </c>
      <c r="G102" s="91">
        <v>45569</v>
      </c>
      <c r="H102" s="9" t="s">
        <v>575</v>
      </c>
      <c r="I102" t="s">
        <v>601</v>
      </c>
    </row>
    <row r="103" spans="1:10" customFormat="1" x14ac:dyDescent="0.2">
      <c r="A103" t="s">
        <v>716</v>
      </c>
      <c r="B103" s="9"/>
      <c r="C103" t="s">
        <v>597</v>
      </c>
      <c r="D103" t="s">
        <v>598</v>
      </c>
      <c r="E103" t="s">
        <v>599</v>
      </c>
      <c r="F103" t="s">
        <v>600</v>
      </c>
      <c r="G103" s="91">
        <v>45572</v>
      </c>
      <c r="H103" s="9" t="s">
        <v>575</v>
      </c>
      <c r="I103" t="s">
        <v>601</v>
      </c>
    </row>
    <row r="104" spans="1:10" customFormat="1" x14ac:dyDescent="0.2">
      <c r="A104" t="s">
        <v>717</v>
      </c>
      <c r="B104" s="9"/>
      <c r="C104" t="s">
        <v>597</v>
      </c>
      <c r="D104" t="s">
        <v>598</v>
      </c>
      <c r="E104" t="s">
        <v>599</v>
      </c>
      <c r="F104" t="s">
        <v>600</v>
      </c>
      <c r="G104" s="91">
        <v>45593</v>
      </c>
      <c r="H104" s="9" t="s">
        <v>575</v>
      </c>
      <c r="I104" t="s">
        <v>601</v>
      </c>
    </row>
    <row r="105" spans="1:10" customFormat="1" x14ac:dyDescent="0.2">
      <c r="A105" t="s">
        <v>39</v>
      </c>
      <c r="B105" s="9"/>
      <c r="C105" t="s">
        <v>597</v>
      </c>
      <c r="D105" t="s">
        <v>602</v>
      </c>
      <c r="E105" t="s">
        <v>718</v>
      </c>
      <c r="F105" t="s">
        <v>172</v>
      </c>
      <c r="H105" s="9" t="s">
        <v>575</v>
      </c>
      <c r="I105" t="s">
        <v>702</v>
      </c>
    </row>
    <row r="106" spans="1:10" customFormat="1" x14ac:dyDescent="0.2">
      <c r="A106" t="s">
        <v>39</v>
      </c>
      <c r="B106" s="9"/>
      <c r="C106" t="s">
        <v>597</v>
      </c>
      <c r="D106" t="s">
        <v>602</v>
      </c>
      <c r="E106" t="s">
        <v>719</v>
      </c>
      <c r="F106" t="s">
        <v>172</v>
      </c>
      <c r="H106" s="9" t="s">
        <v>575</v>
      </c>
      <c r="I106" t="s">
        <v>702</v>
      </c>
    </row>
    <row r="107" spans="1:10" customFormat="1" x14ac:dyDescent="0.2">
      <c r="A107" t="s">
        <v>39</v>
      </c>
      <c r="B107" s="9"/>
      <c r="C107" t="s">
        <v>597</v>
      </c>
      <c r="D107" t="s">
        <v>602</v>
      </c>
      <c r="E107" t="s">
        <v>720</v>
      </c>
      <c r="F107" t="s">
        <v>172</v>
      </c>
      <c r="H107" s="9" t="s">
        <v>575</v>
      </c>
      <c r="I107" t="s">
        <v>702</v>
      </c>
      <c r="J107" s="16"/>
    </row>
    <row r="108" spans="1:10" customFormat="1" x14ac:dyDescent="0.2">
      <c r="A108" t="s">
        <v>39</v>
      </c>
      <c r="B108" s="9"/>
      <c r="C108" t="s">
        <v>597</v>
      </c>
      <c r="D108" t="s">
        <v>602</v>
      </c>
      <c r="E108" t="s">
        <v>721</v>
      </c>
      <c r="F108" t="s">
        <v>172</v>
      </c>
      <c r="G108" s="16"/>
      <c r="H108" s="126" t="s">
        <v>575</v>
      </c>
      <c r="I108" t="s">
        <v>702</v>
      </c>
      <c r="J108" s="16"/>
    </row>
    <row r="109" spans="1:10" customFormat="1" x14ac:dyDescent="0.2">
      <c r="A109" t="s">
        <v>22</v>
      </c>
      <c r="B109" s="9" t="s">
        <v>572</v>
      </c>
      <c r="C109" t="s">
        <v>567</v>
      </c>
      <c r="D109" s="16" t="s">
        <v>568</v>
      </c>
      <c r="E109" t="s">
        <v>654</v>
      </c>
      <c r="F109" t="s">
        <v>584</v>
      </c>
      <c r="G109" s="91">
        <v>45562</v>
      </c>
      <c r="H109" s="9" t="s">
        <v>570</v>
      </c>
      <c r="I109" t="s">
        <v>655</v>
      </c>
    </row>
    <row r="110" spans="1:10" customFormat="1" x14ac:dyDescent="0.2">
      <c r="A110" t="s">
        <v>22</v>
      </c>
      <c r="B110" s="9" t="s">
        <v>572</v>
      </c>
      <c r="C110" t="s">
        <v>567</v>
      </c>
      <c r="D110" s="16" t="s">
        <v>573</v>
      </c>
      <c r="E110" t="s">
        <v>656</v>
      </c>
      <c r="F110" t="s">
        <v>628</v>
      </c>
      <c r="G110" s="91">
        <v>45569</v>
      </c>
      <c r="H110" s="9" t="s">
        <v>575</v>
      </c>
      <c r="I110" t="s">
        <v>576</v>
      </c>
    </row>
    <row r="111" spans="1:10" customFormat="1" x14ac:dyDescent="0.2">
      <c r="A111" t="s">
        <v>22</v>
      </c>
      <c r="B111" s="9"/>
      <c r="C111" t="s">
        <v>567</v>
      </c>
      <c r="D111" s="16" t="s">
        <v>578</v>
      </c>
      <c r="E111" t="s">
        <v>609</v>
      </c>
      <c r="F111" t="s">
        <v>584</v>
      </c>
      <c r="G111" s="91">
        <v>45576</v>
      </c>
      <c r="H111" s="9" t="s">
        <v>570</v>
      </c>
      <c r="I111" t="s">
        <v>679</v>
      </c>
    </row>
    <row r="112" spans="1:10" customFormat="1" x14ac:dyDescent="0.2">
      <c r="A112" t="s">
        <v>22</v>
      </c>
      <c r="B112" s="9"/>
      <c r="C112" t="s">
        <v>567</v>
      </c>
      <c r="D112" s="16" t="s">
        <v>581</v>
      </c>
      <c r="E112" t="s">
        <v>582</v>
      </c>
      <c r="F112" t="s">
        <v>172</v>
      </c>
      <c r="H112" s="9"/>
    </row>
    <row r="113" spans="1:10" customFormat="1" x14ac:dyDescent="0.2">
      <c r="A113" t="s">
        <v>22</v>
      </c>
      <c r="B113" s="9"/>
      <c r="C113" t="s">
        <v>567</v>
      </c>
      <c r="D113" s="16" t="s">
        <v>633</v>
      </c>
      <c r="F113" t="s">
        <v>584</v>
      </c>
      <c r="H113" s="9"/>
    </row>
    <row r="114" spans="1:10" customFormat="1" x14ac:dyDescent="0.2">
      <c r="A114" t="s">
        <v>22</v>
      </c>
      <c r="B114" s="9" t="s">
        <v>722</v>
      </c>
      <c r="C114" t="s">
        <v>585</v>
      </c>
      <c r="D114" t="s">
        <v>586</v>
      </c>
      <c r="E114" t="s">
        <v>723</v>
      </c>
      <c r="F114" t="s">
        <v>172</v>
      </c>
      <c r="G114" s="91">
        <v>45576</v>
      </c>
      <c r="H114" s="9" t="s">
        <v>570</v>
      </c>
      <c r="I114" t="s">
        <v>655</v>
      </c>
      <c r="J114" t="s">
        <v>724</v>
      </c>
    </row>
    <row r="115" spans="1:10" customFormat="1" x14ac:dyDescent="0.2">
      <c r="A115" t="s">
        <v>22</v>
      </c>
      <c r="B115" s="9"/>
      <c r="C115" t="s">
        <v>585</v>
      </c>
      <c r="D115" t="s">
        <v>586</v>
      </c>
      <c r="E115" t="s">
        <v>725</v>
      </c>
      <c r="F115" t="s">
        <v>584</v>
      </c>
      <c r="H115" s="9"/>
      <c r="J115" t="s">
        <v>726</v>
      </c>
    </row>
    <row r="116" spans="1:10" customFormat="1" x14ac:dyDescent="0.2">
      <c r="A116" t="s">
        <v>22</v>
      </c>
      <c r="B116" s="9"/>
      <c r="C116" t="s">
        <v>585</v>
      </c>
      <c r="D116" t="s">
        <v>586</v>
      </c>
      <c r="E116" t="s">
        <v>727</v>
      </c>
      <c r="F116" t="s">
        <v>584</v>
      </c>
      <c r="H116" s="9"/>
    </row>
    <row r="117" spans="1:10" customFormat="1" x14ac:dyDescent="0.2">
      <c r="A117" t="s">
        <v>16</v>
      </c>
      <c r="B117" s="9"/>
      <c r="C117" t="s">
        <v>567</v>
      </c>
      <c r="D117" s="16" t="s">
        <v>568</v>
      </c>
      <c r="E117" t="s">
        <v>569</v>
      </c>
      <c r="F117" t="s">
        <v>284</v>
      </c>
      <c r="G117" s="91">
        <v>45541</v>
      </c>
      <c r="H117" s="9" t="s">
        <v>570</v>
      </c>
      <c r="I117" t="s">
        <v>679</v>
      </c>
    </row>
    <row r="118" spans="1:10" customFormat="1" x14ac:dyDescent="0.2">
      <c r="A118" t="s">
        <v>16</v>
      </c>
      <c r="B118" s="9"/>
      <c r="C118" t="s">
        <v>567</v>
      </c>
      <c r="D118" s="16" t="s">
        <v>573</v>
      </c>
      <c r="E118" t="s">
        <v>656</v>
      </c>
      <c r="F118" t="s">
        <v>284</v>
      </c>
      <c r="G118" s="91"/>
      <c r="H118" s="9"/>
      <c r="I118" t="s">
        <v>728</v>
      </c>
    </row>
    <row r="119" spans="1:10" customFormat="1" x14ac:dyDescent="0.2">
      <c r="A119" t="s">
        <v>16</v>
      </c>
      <c r="B119" s="9"/>
      <c r="C119" t="s">
        <v>567</v>
      </c>
      <c r="D119" s="16" t="s">
        <v>578</v>
      </c>
      <c r="E119" t="s">
        <v>609</v>
      </c>
      <c r="F119" t="s">
        <v>284</v>
      </c>
      <c r="G119" s="91"/>
      <c r="H119" s="9" t="s">
        <v>570</v>
      </c>
      <c r="I119" t="s">
        <v>679</v>
      </c>
    </row>
    <row r="120" spans="1:10" customFormat="1" x14ac:dyDescent="0.2">
      <c r="A120" t="s">
        <v>16</v>
      </c>
      <c r="B120" s="9" t="s">
        <v>572</v>
      </c>
      <c r="C120" t="s">
        <v>567</v>
      </c>
      <c r="D120" s="16" t="s">
        <v>581</v>
      </c>
      <c r="E120" t="s">
        <v>582</v>
      </c>
      <c r="F120" t="s">
        <v>584</v>
      </c>
      <c r="G120" s="91">
        <v>45562</v>
      </c>
      <c r="H120" s="9" t="s">
        <v>575</v>
      </c>
      <c r="I120" t="s">
        <v>728</v>
      </c>
    </row>
    <row r="121" spans="1:10" customFormat="1" x14ac:dyDescent="0.2">
      <c r="A121" t="s">
        <v>16</v>
      </c>
      <c r="B121" s="9"/>
      <c r="C121" t="s">
        <v>567</v>
      </c>
      <c r="D121" s="16" t="s">
        <v>633</v>
      </c>
      <c r="F121" t="s">
        <v>584</v>
      </c>
      <c r="H121" s="9"/>
    </row>
    <row r="122" spans="1:10" customFormat="1" x14ac:dyDescent="0.2">
      <c r="A122" t="s">
        <v>16</v>
      </c>
      <c r="B122" s="9"/>
      <c r="C122" t="s">
        <v>585</v>
      </c>
      <c r="D122" t="s">
        <v>586</v>
      </c>
      <c r="E122" t="s">
        <v>729</v>
      </c>
      <c r="F122" t="s">
        <v>284</v>
      </c>
      <c r="H122" s="9" t="s">
        <v>570</v>
      </c>
      <c r="I122" t="s">
        <v>679</v>
      </c>
    </row>
    <row r="123" spans="1:10" customFormat="1" x14ac:dyDescent="0.2">
      <c r="A123" t="s">
        <v>16</v>
      </c>
      <c r="B123" s="9"/>
      <c r="C123" t="s">
        <v>585</v>
      </c>
      <c r="D123" t="s">
        <v>586</v>
      </c>
      <c r="E123" t="s">
        <v>730</v>
      </c>
      <c r="F123" t="s">
        <v>172</v>
      </c>
      <c r="G123" s="91">
        <v>45539</v>
      </c>
      <c r="H123" s="9" t="s">
        <v>575</v>
      </c>
      <c r="I123" t="s">
        <v>731</v>
      </c>
    </row>
    <row r="124" spans="1:10" customFormat="1" x14ac:dyDescent="0.2">
      <c r="A124" t="s">
        <v>16</v>
      </c>
      <c r="B124" s="9"/>
      <c r="C124" t="s">
        <v>597</v>
      </c>
      <c r="D124" s="16" t="s">
        <v>598</v>
      </c>
      <c r="E124" t="s">
        <v>599</v>
      </c>
      <c r="F124" t="s">
        <v>284</v>
      </c>
      <c r="G124" s="91">
        <v>45544</v>
      </c>
      <c r="H124" s="9" t="s">
        <v>575</v>
      </c>
      <c r="I124" t="s">
        <v>621</v>
      </c>
    </row>
    <row r="125" spans="1:10" customFormat="1" x14ac:dyDescent="0.2">
      <c r="A125" t="s">
        <v>16</v>
      </c>
      <c r="B125" s="9"/>
      <c r="C125" t="s">
        <v>597</v>
      </c>
      <c r="D125" t="s">
        <v>602</v>
      </c>
      <c r="E125" t="s">
        <v>732</v>
      </c>
      <c r="F125" t="s">
        <v>584</v>
      </c>
      <c r="H125" s="9" t="s">
        <v>575</v>
      </c>
      <c r="I125" t="s">
        <v>728</v>
      </c>
    </row>
    <row r="126" spans="1:10" customFormat="1" x14ac:dyDescent="0.2">
      <c r="A126" t="s">
        <v>16</v>
      </c>
      <c r="B126" s="9"/>
      <c r="C126" t="s">
        <v>597</v>
      </c>
      <c r="D126" t="s">
        <v>602</v>
      </c>
      <c r="E126" t="s">
        <v>733</v>
      </c>
      <c r="F126" t="s">
        <v>584</v>
      </c>
      <c r="H126" s="9" t="s">
        <v>575</v>
      </c>
      <c r="I126" t="s">
        <v>728</v>
      </c>
    </row>
    <row r="127" spans="1:10" customFormat="1" x14ac:dyDescent="0.2">
      <c r="A127" t="s">
        <v>734</v>
      </c>
      <c r="B127" s="9"/>
      <c r="C127" t="s">
        <v>567</v>
      </c>
      <c r="D127" s="16" t="s">
        <v>573</v>
      </c>
      <c r="E127" t="s">
        <v>735</v>
      </c>
      <c r="F127" t="s">
        <v>284</v>
      </c>
      <c r="G127" s="91">
        <v>45520</v>
      </c>
      <c r="H127" s="9" t="s">
        <v>570</v>
      </c>
      <c r="I127" t="s">
        <v>701</v>
      </c>
    </row>
    <row r="128" spans="1:10" customFormat="1" x14ac:dyDescent="0.2">
      <c r="A128" t="s">
        <v>734</v>
      </c>
      <c r="B128" s="9"/>
      <c r="C128" t="s">
        <v>567</v>
      </c>
      <c r="D128" s="16" t="s">
        <v>573</v>
      </c>
      <c r="E128" t="s">
        <v>736</v>
      </c>
      <c r="F128" t="s">
        <v>284</v>
      </c>
      <c r="G128" s="91">
        <v>45489</v>
      </c>
      <c r="H128" s="9" t="s">
        <v>570</v>
      </c>
      <c r="I128" t="s">
        <v>701</v>
      </c>
    </row>
    <row r="129" spans="1:10" customFormat="1" x14ac:dyDescent="0.2">
      <c r="A129" t="s">
        <v>734</v>
      </c>
      <c r="B129" s="9"/>
      <c r="C129" t="s">
        <v>567</v>
      </c>
      <c r="D129" s="16" t="s">
        <v>573</v>
      </c>
      <c r="E129" t="s">
        <v>737</v>
      </c>
      <c r="F129" t="s">
        <v>284</v>
      </c>
      <c r="G129" s="91">
        <v>45524</v>
      </c>
      <c r="H129" s="9" t="s">
        <v>570</v>
      </c>
      <c r="I129" t="s">
        <v>701</v>
      </c>
    </row>
    <row r="130" spans="1:10" customFormat="1" x14ac:dyDescent="0.2">
      <c r="A130" t="s">
        <v>734</v>
      </c>
      <c r="B130" s="9"/>
      <c r="C130" t="s">
        <v>567</v>
      </c>
      <c r="D130" s="16" t="s">
        <v>573</v>
      </c>
      <c r="E130" t="s">
        <v>738</v>
      </c>
      <c r="F130" t="s">
        <v>284</v>
      </c>
      <c r="G130" s="91">
        <v>45541</v>
      </c>
      <c r="H130" s="9" t="s">
        <v>575</v>
      </c>
      <c r="I130" t="s">
        <v>739</v>
      </c>
    </row>
    <row r="131" spans="1:10" customFormat="1" x14ac:dyDescent="0.2">
      <c r="A131" t="s">
        <v>734</v>
      </c>
      <c r="B131" s="9"/>
      <c r="C131" t="s">
        <v>567</v>
      </c>
      <c r="D131" s="16" t="s">
        <v>573</v>
      </c>
      <c r="E131" t="s">
        <v>740</v>
      </c>
      <c r="F131" t="s">
        <v>284</v>
      </c>
      <c r="G131" s="91">
        <v>45541</v>
      </c>
      <c r="H131" s="9" t="s">
        <v>575</v>
      </c>
      <c r="I131" t="s">
        <v>739</v>
      </c>
    </row>
    <row r="132" spans="1:10" customFormat="1" x14ac:dyDescent="0.2">
      <c r="A132" t="s">
        <v>734</v>
      </c>
      <c r="B132" s="9" t="s">
        <v>572</v>
      </c>
      <c r="C132" t="s">
        <v>567</v>
      </c>
      <c r="D132" t="s">
        <v>578</v>
      </c>
      <c r="E132" t="s">
        <v>609</v>
      </c>
      <c r="F132" t="s">
        <v>584</v>
      </c>
      <c r="G132" s="91">
        <v>45576</v>
      </c>
      <c r="H132" s="9" t="s">
        <v>570</v>
      </c>
      <c r="I132" t="s">
        <v>701</v>
      </c>
      <c r="J132" t="s">
        <v>741</v>
      </c>
    </row>
    <row r="133" spans="1:10" customFormat="1" x14ac:dyDescent="0.2">
      <c r="A133" t="s">
        <v>734</v>
      </c>
      <c r="B133" s="9"/>
      <c r="C133" t="s">
        <v>567</v>
      </c>
      <c r="D133" t="s">
        <v>581</v>
      </c>
      <c r="E133" t="s">
        <v>582</v>
      </c>
      <c r="F133" t="s">
        <v>172</v>
      </c>
      <c r="H133" s="9"/>
    </row>
    <row r="134" spans="1:10" customFormat="1" x14ac:dyDescent="0.2">
      <c r="A134" t="s">
        <v>734</v>
      </c>
      <c r="B134" s="9"/>
      <c r="C134" t="s">
        <v>585</v>
      </c>
      <c r="D134" t="s">
        <v>586</v>
      </c>
      <c r="E134" t="s">
        <v>742</v>
      </c>
      <c r="F134" t="s">
        <v>584</v>
      </c>
      <c r="H134" s="9"/>
      <c r="I134" t="s">
        <v>743</v>
      </c>
      <c r="J134" s="122" t="s">
        <v>744</v>
      </c>
    </row>
    <row r="135" spans="1:10" customFormat="1" x14ac:dyDescent="0.2">
      <c r="A135" t="s">
        <v>734</v>
      </c>
      <c r="B135" s="9"/>
      <c r="C135" t="s">
        <v>585</v>
      </c>
      <c r="D135" t="s">
        <v>586</v>
      </c>
      <c r="E135" t="s">
        <v>745</v>
      </c>
      <c r="F135" t="s">
        <v>584</v>
      </c>
      <c r="H135" s="9"/>
      <c r="I135" t="s">
        <v>746</v>
      </c>
    </row>
    <row r="136" spans="1:10" customFormat="1" x14ac:dyDescent="0.2">
      <c r="A136" t="s">
        <v>734</v>
      </c>
      <c r="B136" s="9"/>
      <c r="C136" t="s">
        <v>597</v>
      </c>
      <c r="D136" t="s">
        <v>598</v>
      </c>
      <c r="E136" t="s">
        <v>747</v>
      </c>
      <c r="F136" t="s">
        <v>650</v>
      </c>
      <c r="G136" s="91">
        <v>45600</v>
      </c>
      <c r="H136" s="9" t="s">
        <v>575</v>
      </c>
      <c r="I136" t="s">
        <v>748</v>
      </c>
    </row>
    <row r="137" spans="1:10" customFormat="1" x14ac:dyDescent="0.2">
      <c r="A137" t="s">
        <v>734</v>
      </c>
      <c r="B137" s="9"/>
      <c r="C137" t="s">
        <v>597</v>
      </c>
      <c r="D137" t="s">
        <v>598</v>
      </c>
      <c r="E137" t="s">
        <v>749</v>
      </c>
      <c r="F137" t="s">
        <v>650</v>
      </c>
      <c r="G137" s="91">
        <v>45663</v>
      </c>
      <c r="H137" s="9" t="s">
        <v>575</v>
      </c>
      <c r="I137" t="s">
        <v>748</v>
      </c>
    </row>
    <row r="138" spans="1:10" x14ac:dyDescent="0.2">
      <c r="A138" t="s">
        <v>734</v>
      </c>
      <c r="B138" s="9"/>
      <c r="C138" t="s">
        <v>597</v>
      </c>
      <c r="D138" t="s">
        <v>602</v>
      </c>
      <c r="E138" t="s">
        <v>742</v>
      </c>
      <c r="F138" t="s">
        <v>584</v>
      </c>
      <c r="G138"/>
      <c r="H138" s="9"/>
      <c r="I138"/>
      <c r="J138"/>
    </row>
    <row r="139" spans="1:10" x14ac:dyDescent="0.2">
      <c r="A139" t="s">
        <v>34</v>
      </c>
      <c r="B139" s="9"/>
      <c r="C139" t="s">
        <v>567</v>
      </c>
      <c r="D139" s="16" t="s">
        <v>568</v>
      </c>
      <c r="E139" t="s">
        <v>569</v>
      </c>
      <c r="F139" t="s">
        <v>284</v>
      </c>
      <c r="G139" s="91">
        <v>45457</v>
      </c>
      <c r="H139" s="9" t="s">
        <v>570</v>
      </c>
      <c r="I139"/>
      <c r="J139"/>
    </row>
    <row r="140" spans="1:10" x14ac:dyDescent="0.2">
      <c r="A140" t="s">
        <v>34</v>
      </c>
      <c r="B140" s="9"/>
      <c r="C140" t="s">
        <v>567</v>
      </c>
      <c r="D140" s="16" t="s">
        <v>573</v>
      </c>
      <c r="E140" t="s">
        <v>656</v>
      </c>
      <c r="F140" t="s">
        <v>284</v>
      </c>
      <c r="G140" s="91">
        <v>45457</v>
      </c>
      <c r="H140" s="9" t="s">
        <v>575</v>
      </c>
      <c r="I140" t="s">
        <v>689</v>
      </c>
      <c r="J140"/>
    </row>
    <row r="141" spans="1:10" x14ac:dyDescent="0.2">
      <c r="A141" t="s">
        <v>34</v>
      </c>
      <c r="B141" s="9"/>
      <c r="C141" t="s">
        <v>567</v>
      </c>
      <c r="D141" t="s">
        <v>578</v>
      </c>
      <c r="E141" t="s">
        <v>609</v>
      </c>
      <c r="F141" t="s">
        <v>284</v>
      </c>
      <c r="G141" s="91">
        <v>45541</v>
      </c>
      <c r="H141" s="9" t="s">
        <v>570</v>
      </c>
      <c r="I141" t="s">
        <v>679</v>
      </c>
      <c r="J141"/>
    </row>
    <row r="142" spans="1:10" x14ac:dyDescent="0.2">
      <c r="A142" t="s">
        <v>34</v>
      </c>
      <c r="B142" s="9"/>
      <c r="C142" t="s">
        <v>567</v>
      </c>
      <c r="D142" t="s">
        <v>581</v>
      </c>
      <c r="E142" t="s">
        <v>582</v>
      </c>
      <c r="F142" t="s">
        <v>172</v>
      </c>
      <c r="G142"/>
      <c r="H142" s="9" t="s">
        <v>575</v>
      </c>
      <c r="I142" t="s">
        <v>750</v>
      </c>
      <c r="J142"/>
    </row>
    <row r="143" spans="1:10" x14ac:dyDescent="0.2">
      <c r="A143" t="s">
        <v>34</v>
      </c>
      <c r="B143" s="9"/>
      <c r="C143" t="s">
        <v>567</v>
      </c>
      <c r="D143" s="16" t="s">
        <v>633</v>
      </c>
      <c r="E143"/>
      <c r="F143" t="s">
        <v>584</v>
      </c>
      <c r="G143"/>
      <c r="H143" s="9"/>
      <c r="I143"/>
      <c r="J143"/>
    </row>
    <row r="144" spans="1:10" x14ac:dyDescent="0.2">
      <c r="A144" t="s">
        <v>34</v>
      </c>
      <c r="B144" s="9"/>
      <c r="C144" t="s">
        <v>585</v>
      </c>
      <c r="D144" t="s">
        <v>586</v>
      </c>
      <c r="E144" t="s">
        <v>692</v>
      </c>
      <c r="F144" t="s">
        <v>584</v>
      </c>
      <c r="G144" s="91">
        <v>45555</v>
      </c>
      <c r="H144" s="9" t="s">
        <v>575</v>
      </c>
      <c r="I144" t="s">
        <v>601</v>
      </c>
      <c r="J144"/>
    </row>
    <row r="145" spans="1:10" x14ac:dyDescent="0.2">
      <c r="A145" t="s">
        <v>34</v>
      </c>
      <c r="B145" s="9" t="s">
        <v>572</v>
      </c>
      <c r="C145" t="s">
        <v>585</v>
      </c>
      <c r="D145" t="s">
        <v>586</v>
      </c>
      <c r="E145" t="s">
        <v>693</v>
      </c>
      <c r="F145" t="s">
        <v>584</v>
      </c>
      <c r="G145" s="91">
        <v>45562</v>
      </c>
      <c r="H145" s="9" t="s">
        <v>575</v>
      </c>
      <c r="I145" t="s">
        <v>601</v>
      </c>
      <c r="J145" t="s">
        <v>751</v>
      </c>
    </row>
    <row r="146" spans="1:10" x14ac:dyDescent="0.2">
      <c r="A146" t="s">
        <v>34</v>
      </c>
      <c r="B146" s="9" t="s">
        <v>572</v>
      </c>
      <c r="C146" t="s">
        <v>585</v>
      </c>
      <c r="D146" t="s">
        <v>586</v>
      </c>
      <c r="E146" t="s">
        <v>694</v>
      </c>
      <c r="F146" t="s">
        <v>172</v>
      </c>
      <c r="G146" s="91">
        <v>45569</v>
      </c>
      <c r="H146" s="9" t="s">
        <v>575</v>
      </c>
      <c r="I146" t="s">
        <v>601</v>
      </c>
      <c r="J146"/>
    </row>
    <row r="147" spans="1:10" x14ac:dyDescent="0.2">
      <c r="A147" t="s">
        <v>34</v>
      </c>
      <c r="B147" s="9"/>
      <c r="C147" t="s">
        <v>597</v>
      </c>
      <c r="D147" s="16" t="s">
        <v>598</v>
      </c>
      <c r="E147" t="s">
        <v>599</v>
      </c>
      <c r="F147" t="s">
        <v>695</v>
      </c>
      <c r="G147" s="91">
        <v>45586</v>
      </c>
      <c r="H147" s="9" t="s">
        <v>575</v>
      </c>
      <c r="I147" t="s">
        <v>601</v>
      </c>
      <c r="J147"/>
    </row>
    <row r="148" spans="1:10" x14ac:dyDescent="0.2">
      <c r="A148" t="s">
        <v>34</v>
      </c>
      <c r="B148" s="9"/>
      <c r="C148" t="s">
        <v>597</v>
      </c>
      <c r="D148" t="s">
        <v>602</v>
      </c>
      <c r="E148" t="s">
        <v>698</v>
      </c>
      <c r="F148" t="s">
        <v>172</v>
      </c>
      <c r="G148" s="91">
        <v>45576</v>
      </c>
      <c r="H148" s="9" t="s">
        <v>575</v>
      </c>
      <c r="I148" t="s">
        <v>690</v>
      </c>
      <c r="J148"/>
    </row>
    <row r="149" spans="1:10" x14ac:dyDescent="0.2">
      <c r="A149" t="s">
        <v>34</v>
      </c>
      <c r="B149" s="9"/>
      <c r="C149" t="s">
        <v>597</v>
      </c>
      <c r="D149" t="s">
        <v>602</v>
      </c>
      <c r="E149" t="s">
        <v>699</v>
      </c>
      <c r="F149" t="s">
        <v>172</v>
      </c>
      <c r="G149" s="91">
        <v>45576</v>
      </c>
      <c r="H149" s="9" t="s">
        <v>570</v>
      </c>
      <c r="I149" t="s">
        <v>700</v>
      </c>
      <c r="J149"/>
    </row>
    <row r="150" spans="1:10" x14ac:dyDescent="0.2">
      <c r="A150"/>
      <c r="B150" s="9"/>
      <c r="C150"/>
      <c r="E150"/>
      <c r="F150"/>
      <c r="G150" s="91"/>
      <c r="H150" s="9"/>
      <c r="I150"/>
      <c r="J150"/>
    </row>
    <row r="151" spans="1:10" x14ac:dyDescent="0.2">
      <c r="A151"/>
      <c r="B151" s="9"/>
      <c r="C151"/>
      <c r="D151"/>
      <c r="E151"/>
      <c r="F151"/>
      <c r="G151"/>
      <c r="H151" s="9"/>
      <c r="I151"/>
      <c r="J151"/>
    </row>
    <row r="152" spans="1:10" x14ac:dyDescent="0.2">
      <c r="A152"/>
      <c r="B152" s="9"/>
      <c r="C152"/>
      <c r="D152"/>
      <c r="E152"/>
      <c r="F152"/>
      <c r="G152" s="91"/>
      <c r="H152" s="9"/>
      <c r="I152"/>
      <c r="J152"/>
    </row>
    <row r="153" spans="1:10" ht="16" x14ac:dyDescent="0.2">
      <c r="A153" s="16" t="s">
        <v>607</v>
      </c>
      <c r="C153" s="16" t="s">
        <v>597</v>
      </c>
      <c r="D153" s="16" t="s">
        <v>605</v>
      </c>
      <c r="E153" s="127" t="s">
        <v>752</v>
      </c>
      <c r="F153" s="16" t="s">
        <v>172</v>
      </c>
      <c r="H153" s="126" t="s">
        <v>575</v>
      </c>
      <c r="I153" s="16" t="s">
        <v>576</v>
      </c>
      <c r="J153" s="16"/>
    </row>
    <row r="154" spans="1:10" ht="16" x14ac:dyDescent="0.2">
      <c r="A154" s="16" t="s">
        <v>22</v>
      </c>
      <c r="C154" s="16" t="s">
        <v>597</v>
      </c>
      <c r="D154" s="16" t="s">
        <v>598</v>
      </c>
      <c r="E154" s="127" t="s">
        <v>599</v>
      </c>
      <c r="F154" s="16" t="s">
        <v>695</v>
      </c>
      <c r="G154" s="128">
        <v>45600</v>
      </c>
      <c r="H154" s="126" t="s">
        <v>575</v>
      </c>
      <c r="I154" s="16" t="s">
        <v>601</v>
      </c>
    </row>
  </sheetData>
  <autoFilter ref="A1:J154" xr:uid="{AC5528C1-7D95-43BF-B4FF-3D4CD830F4A2}"/>
  <hyperlinks>
    <hyperlink ref="J134" r:id="rId1" display="https://spscommerce.sharepoint.com/sites/EnterpriseImplementationProjectManagement/Courtney%20Pribyl/Associated%20Spring%20Raymond%20Scope%20%26%20Timeline.xlsx?e=4%3atA8y89&amp;web=1&amp;at=9___.YXAzOmJnaW5jOmE6bzo2NjMxMWFkNjA0OTZjYmQ2N2VhOTBjMzJmNjMwZDIxOTo2OjRkMjU6NGFlODQ3NjU5ZjMzOWJiYzg4OGQ2MzJkZGQ3ODA3MmM5NjgyM2I3MTUwM2QwYjBiNTBiYTJjZjA5YTUzYjkyNDpoOlQ6Tg" xr:uid="{5CED151D-6894-4D50-89F8-D4420CF693B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0C8B-59BE-4BA1-90ED-D4ECDC93D244}">
  <dimension ref="A1:G20"/>
  <sheetViews>
    <sheetView workbookViewId="0">
      <selection activeCell="G9" sqref="G9"/>
    </sheetView>
  </sheetViews>
  <sheetFormatPr baseColWidth="10" defaultColWidth="8.83203125" defaultRowHeight="15" x14ac:dyDescent="0.2"/>
  <cols>
    <col min="1" max="1" width="23.33203125" style="16" bestFit="1" customWidth="1"/>
    <col min="2" max="2" width="10.6640625" style="16" bestFit="1" customWidth="1"/>
    <col min="3" max="3" width="46.1640625" style="16" bestFit="1" customWidth="1"/>
    <col min="4" max="4" width="14.33203125" style="4" bestFit="1" customWidth="1"/>
    <col min="5" max="5" width="10.83203125" style="16" bestFit="1" customWidth="1"/>
    <col min="6" max="6" width="13.5" style="16" bestFit="1" customWidth="1"/>
    <col min="7" max="7" width="61.1640625" style="127" customWidth="1"/>
    <col min="8" max="16384" width="8.83203125" style="16"/>
  </cols>
  <sheetData>
    <row r="1" spans="1:7" x14ac:dyDescent="0.2">
      <c r="A1" s="144" t="s">
        <v>561</v>
      </c>
      <c r="B1" s="149" t="s">
        <v>597</v>
      </c>
    </row>
    <row r="3" spans="1:7" ht="16" x14ac:dyDescent="0.2">
      <c r="A3" s="153" t="s">
        <v>44</v>
      </c>
      <c r="B3" s="153" t="s">
        <v>562</v>
      </c>
      <c r="C3" s="153" t="s">
        <v>563</v>
      </c>
      <c r="D3" s="153" t="s">
        <v>76</v>
      </c>
      <c r="E3" s="153" t="s">
        <v>324</v>
      </c>
      <c r="F3" s="153" t="s">
        <v>753</v>
      </c>
      <c r="G3" s="143" t="s">
        <v>754</v>
      </c>
    </row>
    <row r="4" spans="1:7" ht="29" customHeight="1" x14ac:dyDescent="0.2">
      <c r="A4" s="148" t="s">
        <v>566</v>
      </c>
      <c r="B4" s="145" t="s">
        <v>598</v>
      </c>
      <c r="C4" s="145" t="s">
        <v>599</v>
      </c>
      <c r="D4" s="145" t="s">
        <v>600</v>
      </c>
      <c r="E4" s="146">
        <v>45583</v>
      </c>
      <c r="F4" s="145" t="s">
        <v>601</v>
      </c>
      <c r="G4" s="127" t="s">
        <v>755</v>
      </c>
    </row>
    <row r="5" spans="1:7" ht="29" customHeight="1" x14ac:dyDescent="0.2">
      <c r="A5" s="155" t="s">
        <v>607</v>
      </c>
      <c r="B5" s="145" t="s">
        <v>598</v>
      </c>
      <c r="C5" s="145" t="s">
        <v>620</v>
      </c>
      <c r="D5" s="145" t="s">
        <v>284</v>
      </c>
      <c r="E5" s="146">
        <v>45444</v>
      </c>
      <c r="F5" s="145" t="s">
        <v>621</v>
      </c>
    </row>
    <row r="6" spans="1:7" ht="29" customHeight="1" x14ac:dyDescent="0.2">
      <c r="A6" s="148" t="s">
        <v>27</v>
      </c>
      <c r="B6" s="145" t="s">
        <v>598</v>
      </c>
      <c r="C6" s="145" t="s">
        <v>599</v>
      </c>
      <c r="D6" s="145" t="s">
        <v>650</v>
      </c>
      <c r="E6" s="146">
        <v>45600</v>
      </c>
      <c r="F6" s="145" t="s">
        <v>601</v>
      </c>
      <c r="G6" s="127" t="s">
        <v>756</v>
      </c>
    </row>
    <row r="7" spans="1:7" ht="29" customHeight="1" x14ac:dyDescent="0.2">
      <c r="A7" s="148" t="s">
        <v>653</v>
      </c>
      <c r="B7" s="145" t="s">
        <v>598</v>
      </c>
      <c r="C7" s="145" t="s">
        <v>599</v>
      </c>
      <c r="D7" s="145" t="s">
        <v>650</v>
      </c>
      <c r="E7" s="146">
        <v>45597</v>
      </c>
      <c r="F7" s="145" t="s">
        <v>601</v>
      </c>
      <c r="G7" s="127" t="s">
        <v>757</v>
      </c>
    </row>
    <row r="8" spans="1:7" ht="29" customHeight="1" x14ac:dyDescent="0.2">
      <c r="A8" s="148" t="s">
        <v>675</v>
      </c>
      <c r="B8" s="145" t="s">
        <v>598</v>
      </c>
      <c r="C8" s="145" t="s">
        <v>599</v>
      </c>
      <c r="D8" s="145" t="s">
        <v>650</v>
      </c>
      <c r="E8" s="146">
        <v>45590</v>
      </c>
      <c r="F8" s="145" t="s">
        <v>601</v>
      </c>
      <c r="G8" s="127" t="s">
        <v>758</v>
      </c>
    </row>
    <row r="9" spans="1:7" ht="29" customHeight="1" x14ac:dyDescent="0.2">
      <c r="A9" s="159" t="s">
        <v>688</v>
      </c>
      <c r="B9" s="145" t="s">
        <v>598</v>
      </c>
      <c r="C9" s="145" t="s">
        <v>599</v>
      </c>
      <c r="D9" s="145" t="s">
        <v>695</v>
      </c>
      <c r="E9" s="146">
        <v>45586</v>
      </c>
      <c r="F9" s="145" t="s">
        <v>601</v>
      </c>
      <c r="G9" s="127" t="s">
        <v>759</v>
      </c>
    </row>
    <row r="10" spans="1:7" ht="29" customHeight="1" x14ac:dyDescent="0.2">
      <c r="A10" s="155" t="s">
        <v>716</v>
      </c>
      <c r="B10" s="145" t="s">
        <v>598</v>
      </c>
      <c r="C10" s="145" t="s">
        <v>599</v>
      </c>
      <c r="D10" s="145" t="s">
        <v>600</v>
      </c>
      <c r="E10" s="146">
        <v>45572</v>
      </c>
      <c r="F10" s="145" t="s">
        <v>601</v>
      </c>
    </row>
    <row r="11" spans="1:7" ht="29" customHeight="1" x14ac:dyDescent="0.2">
      <c r="A11" s="155" t="s">
        <v>717</v>
      </c>
      <c r="B11" s="145" t="s">
        <v>598</v>
      </c>
      <c r="C11" s="145" t="s">
        <v>599</v>
      </c>
      <c r="D11" s="145" t="s">
        <v>600</v>
      </c>
      <c r="E11" s="146">
        <v>45593</v>
      </c>
      <c r="F11" s="145" t="s">
        <v>601</v>
      </c>
    </row>
    <row r="12" spans="1:7" ht="29" customHeight="1" x14ac:dyDescent="0.2">
      <c r="A12" s="148" t="s">
        <v>22</v>
      </c>
      <c r="B12" s="145" t="s">
        <v>598</v>
      </c>
      <c r="C12" s="145" t="s">
        <v>599</v>
      </c>
      <c r="D12" s="145" t="s">
        <v>695</v>
      </c>
      <c r="E12" s="146">
        <v>45600</v>
      </c>
      <c r="F12" s="145" t="s">
        <v>601</v>
      </c>
      <c r="G12" s="127" t="s">
        <v>760</v>
      </c>
    </row>
    <row r="13" spans="1:7" ht="29" customHeight="1" x14ac:dyDescent="0.2">
      <c r="A13" s="155" t="s">
        <v>16</v>
      </c>
      <c r="B13" s="145" t="s">
        <v>598</v>
      </c>
      <c r="C13" s="145" t="s">
        <v>599</v>
      </c>
      <c r="D13" s="145" t="s">
        <v>284</v>
      </c>
      <c r="E13" s="146">
        <v>45544</v>
      </c>
      <c r="F13" s="145" t="s">
        <v>621</v>
      </c>
    </row>
    <row r="14" spans="1:7" ht="29" customHeight="1" x14ac:dyDescent="0.2">
      <c r="A14" s="155" t="s">
        <v>734</v>
      </c>
      <c r="B14" s="145" t="s">
        <v>598</v>
      </c>
      <c r="C14" s="145" t="s">
        <v>747</v>
      </c>
      <c r="D14" s="145" t="s">
        <v>650</v>
      </c>
      <c r="E14" s="146">
        <v>45600</v>
      </c>
      <c r="F14" s="145" t="s">
        <v>748</v>
      </c>
      <c r="G14" s="127" t="s">
        <v>761</v>
      </c>
    </row>
    <row r="15" spans="1:7" ht="29" customHeight="1" x14ac:dyDescent="0.2">
      <c r="A15" s="157"/>
      <c r="B15" s="147"/>
      <c r="C15" s="145" t="s">
        <v>749</v>
      </c>
      <c r="D15" s="145" t="s">
        <v>650</v>
      </c>
      <c r="E15" s="146">
        <v>45663</v>
      </c>
      <c r="F15" s="145" t="s">
        <v>748</v>
      </c>
      <c r="G15" s="127" t="s">
        <v>761</v>
      </c>
    </row>
    <row r="16" spans="1:7" ht="29" customHeight="1" x14ac:dyDescent="0.2">
      <c r="A16" s="159" t="s">
        <v>34</v>
      </c>
      <c r="B16" s="145" t="s">
        <v>598</v>
      </c>
      <c r="C16" s="145" t="s">
        <v>599</v>
      </c>
      <c r="D16" s="145" t="s">
        <v>695</v>
      </c>
      <c r="E16" s="146">
        <v>45586</v>
      </c>
      <c r="F16" s="145" t="s">
        <v>601</v>
      </c>
      <c r="G16" s="127" t="s">
        <v>762</v>
      </c>
    </row>
    <row r="18" spans="1:1" x14ac:dyDescent="0.2">
      <c r="A18" s="139" t="s">
        <v>108</v>
      </c>
    </row>
    <row r="19" spans="1:1" x14ac:dyDescent="0.2">
      <c r="A19" s="156" t="s">
        <v>763</v>
      </c>
    </row>
    <row r="20" spans="1:1" x14ac:dyDescent="0.2">
      <c r="A20" s="158" t="s">
        <v>764</v>
      </c>
    </row>
  </sheetData>
  <conditionalFormatting sqref="C1:C1048576">
    <cfRule type="cellIs" dxfId="16" priority="5" operator="equal">
      <formula>"Overdue"</formula>
    </cfRule>
    <cfRule type="cellIs" dxfId="15" priority="6" operator="equal">
      <formula>"Not Required"</formula>
    </cfRule>
    <cfRule type="cellIs" dxfId="14" priority="7" operator="equal">
      <formula>"In Progress"</formula>
    </cfRule>
    <cfRule type="cellIs" dxfId="13" priority="8" operator="equal">
      <formula>"Complete"</formula>
    </cfRule>
  </conditionalFormatting>
  <conditionalFormatting sqref="D1:D1048576">
    <cfRule type="cellIs" dxfId="12" priority="1" operator="equal">
      <formula>"On Track - Issue"</formula>
    </cfRule>
    <cfRule type="cellIs" dxfId="11" priority="2" operator="equal">
      <formula>"On Track"</formula>
    </cfRule>
    <cfRule type="cellIs" dxfId="10" priority="3" operator="equal">
      <formula>"Late"</formula>
    </cfRule>
    <cfRule type="cellIs" dxfId="9" priority="4" operator="equal">
      <formula>"Complete"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5AF40-D85B-4EE9-8A2D-BB0AFCCA16FF}">
  <dimension ref="A1:F62"/>
  <sheetViews>
    <sheetView topLeftCell="A4" workbookViewId="0">
      <selection activeCell="E15" sqref="E15 E25"/>
    </sheetView>
  </sheetViews>
  <sheetFormatPr baseColWidth="10" defaultColWidth="8.83203125" defaultRowHeight="15" x14ac:dyDescent="0.2"/>
  <cols>
    <col min="1" max="1" width="25.33203125" bestFit="1" customWidth="1"/>
    <col min="2" max="2" width="61.83203125" bestFit="1" customWidth="1"/>
    <col min="3" max="3" width="18.33203125" bestFit="1" customWidth="1"/>
    <col min="4" max="4" width="12.5" bestFit="1" customWidth="1"/>
    <col min="5" max="5" width="24.33203125" bestFit="1" customWidth="1"/>
  </cols>
  <sheetData>
    <row r="1" spans="1:5" x14ac:dyDescent="0.2">
      <c r="A1" s="25" t="s">
        <v>561</v>
      </c>
      <c r="B1" t="s">
        <v>567</v>
      </c>
    </row>
    <row r="3" spans="1:5" x14ac:dyDescent="0.2">
      <c r="A3" s="25" t="s">
        <v>44</v>
      </c>
      <c r="B3" s="25" t="s">
        <v>563</v>
      </c>
      <c r="C3" s="25" t="s">
        <v>76</v>
      </c>
      <c r="D3" s="25" t="s">
        <v>324</v>
      </c>
      <c r="E3" s="25" t="s">
        <v>323</v>
      </c>
    </row>
    <row r="4" spans="1:5" x14ac:dyDescent="0.2">
      <c r="A4" s="19" t="s">
        <v>566</v>
      </c>
    </row>
    <row r="5" spans="1:5" x14ac:dyDescent="0.2">
      <c r="A5" s="2" t="s">
        <v>568</v>
      </c>
      <c r="B5" s="19" t="s">
        <v>569</v>
      </c>
      <c r="C5" s="19" t="s">
        <v>284</v>
      </c>
      <c r="D5" s="129">
        <v>45534</v>
      </c>
      <c r="E5" s="19" t="s">
        <v>571</v>
      </c>
    </row>
    <row r="6" spans="1:5" x14ac:dyDescent="0.2">
      <c r="A6" s="2" t="s">
        <v>573</v>
      </c>
      <c r="B6" s="19" t="s">
        <v>574</v>
      </c>
      <c r="C6" s="19" t="s">
        <v>284</v>
      </c>
      <c r="D6" s="129">
        <v>45541</v>
      </c>
      <c r="E6" s="19" t="s">
        <v>576</v>
      </c>
    </row>
    <row r="7" spans="1:5" x14ac:dyDescent="0.2">
      <c r="A7" s="2" t="s">
        <v>578</v>
      </c>
      <c r="B7" s="19" t="s">
        <v>579</v>
      </c>
      <c r="C7" s="19" t="s">
        <v>284</v>
      </c>
      <c r="D7" s="129">
        <v>45548</v>
      </c>
      <c r="E7" s="19" t="s">
        <v>580</v>
      </c>
    </row>
    <row r="8" spans="1:5" x14ac:dyDescent="0.2">
      <c r="A8" s="135" t="s">
        <v>581</v>
      </c>
      <c r="B8" s="132" t="s">
        <v>582</v>
      </c>
      <c r="C8" s="19" t="s">
        <v>172</v>
      </c>
      <c r="D8" s="129">
        <v>45583</v>
      </c>
      <c r="E8" s="19" t="s">
        <v>576</v>
      </c>
    </row>
    <row r="9" spans="1:5" x14ac:dyDescent="0.2">
      <c r="A9" s="19" t="s">
        <v>607</v>
      </c>
    </row>
    <row r="10" spans="1:5" x14ac:dyDescent="0.2">
      <c r="A10" s="2" t="s">
        <v>568</v>
      </c>
      <c r="B10" s="19" t="s">
        <v>569</v>
      </c>
      <c r="C10" s="19" t="s">
        <v>608</v>
      </c>
      <c r="D10" s="19" t="s">
        <v>50</v>
      </c>
      <c r="E10" s="19" t="s">
        <v>50</v>
      </c>
    </row>
    <row r="11" spans="1:5" x14ac:dyDescent="0.2">
      <c r="A11" s="2" t="s">
        <v>573</v>
      </c>
      <c r="B11" s="19" t="s">
        <v>574</v>
      </c>
      <c r="C11" s="19" t="s">
        <v>608</v>
      </c>
      <c r="D11" s="19" t="s">
        <v>50</v>
      </c>
      <c r="E11" s="19" t="s">
        <v>50</v>
      </c>
    </row>
    <row r="12" spans="1:5" x14ac:dyDescent="0.2">
      <c r="A12" s="2" t="s">
        <v>578</v>
      </c>
      <c r="B12" s="19" t="s">
        <v>609</v>
      </c>
      <c r="C12" s="19" t="s">
        <v>608</v>
      </c>
      <c r="D12" s="19" t="s">
        <v>50</v>
      </c>
      <c r="E12" s="19" t="s">
        <v>50</v>
      </c>
    </row>
    <row r="13" spans="1:5" x14ac:dyDescent="0.2">
      <c r="A13" s="135" t="s">
        <v>581</v>
      </c>
      <c r="B13" s="132" t="s">
        <v>610</v>
      </c>
      <c r="C13" s="19" t="s">
        <v>611</v>
      </c>
      <c r="D13" s="129">
        <v>45548</v>
      </c>
      <c r="E13" s="19" t="s">
        <v>612</v>
      </c>
    </row>
    <row r="14" spans="1:5" x14ac:dyDescent="0.2">
      <c r="A14" s="19" t="s">
        <v>27</v>
      </c>
    </row>
    <row r="15" spans="1:5" x14ac:dyDescent="0.2">
      <c r="A15" s="135" t="s">
        <v>568</v>
      </c>
      <c r="B15" s="132" t="s">
        <v>569</v>
      </c>
      <c r="C15" s="19" t="s">
        <v>611</v>
      </c>
      <c r="D15" s="129">
        <v>45548</v>
      </c>
      <c r="E15" s="19" t="s">
        <v>625</v>
      </c>
    </row>
    <row r="16" spans="1:5" x14ac:dyDescent="0.2">
      <c r="A16" s="2" t="s">
        <v>573</v>
      </c>
      <c r="B16" s="19" t="s">
        <v>627</v>
      </c>
      <c r="C16" s="19" t="s">
        <v>628</v>
      </c>
      <c r="D16" s="129">
        <v>45569</v>
      </c>
      <c r="E16" s="19" t="s">
        <v>629</v>
      </c>
    </row>
    <row r="17" spans="1:5" x14ac:dyDescent="0.2">
      <c r="A17" s="2" t="s">
        <v>578</v>
      </c>
      <c r="B17" s="19" t="s">
        <v>609</v>
      </c>
      <c r="C17" s="19" t="s">
        <v>628</v>
      </c>
      <c r="D17" s="129">
        <v>45569</v>
      </c>
      <c r="E17" s="19" t="s">
        <v>571</v>
      </c>
    </row>
    <row r="18" spans="1:5" x14ac:dyDescent="0.2">
      <c r="A18" s="2" t="s">
        <v>581</v>
      </c>
      <c r="B18" s="19" t="s">
        <v>582</v>
      </c>
      <c r="C18" s="19" t="s">
        <v>172</v>
      </c>
      <c r="D18" s="129">
        <v>45590</v>
      </c>
      <c r="E18" s="19" t="s">
        <v>631</v>
      </c>
    </row>
    <row r="19" spans="1:5" x14ac:dyDescent="0.2">
      <c r="A19" s="19" t="s">
        <v>653</v>
      </c>
    </row>
    <row r="20" spans="1:5" x14ac:dyDescent="0.2">
      <c r="A20" s="135" t="s">
        <v>568</v>
      </c>
      <c r="B20" s="132" t="s">
        <v>654</v>
      </c>
      <c r="C20" s="19" t="s">
        <v>611</v>
      </c>
      <c r="D20" s="129">
        <v>45555</v>
      </c>
      <c r="E20" s="19" t="s">
        <v>655</v>
      </c>
    </row>
    <row r="21" spans="1:5" x14ac:dyDescent="0.2">
      <c r="A21" s="2" t="s">
        <v>573</v>
      </c>
      <c r="B21" s="19" t="s">
        <v>656</v>
      </c>
      <c r="C21" s="19" t="s">
        <v>628</v>
      </c>
      <c r="D21" s="129">
        <v>45562</v>
      </c>
      <c r="E21" s="19" t="s">
        <v>576</v>
      </c>
    </row>
    <row r="22" spans="1:5" x14ac:dyDescent="0.2">
      <c r="A22" s="2" t="s">
        <v>578</v>
      </c>
      <c r="B22" s="19" t="s">
        <v>609</v>
      </c>
      <c r="C22" s="19" t="s">
        <v>172</v>
      </c>
      <c r="D22" s="19" t="s">
        <v>50</v>
      </c>
      <c r="E22" s="19" t="s">
        <v>161</v>
      </c>
    </row>
    <row r="23" spans="1:5" x14ac:dyDescent="0.2">
      <c r="A23" s="2" t="s">
        <v>581</v>
      </c>
      <c r="B23" s="19" t="s">
        <v>582</v>
      </c>
      <c r="C23" s="19" t="s">
        <v>172</v>
      </c>
      <c r="D23" s="19" t="s">
        <v>50</v>
      </c>
      <c r="E23" s="19" t="s">
        <v>50</v>
      </c>
    </row>
    <row r="24" spans="1:5" x14ac:dyDescent="0.2">
      <c r="A24" s="19" t="s">
        <v>675</v>
      </c>
    </row>
    <row r="25" spans="1:5" x14ac:dyDescent="0.2">
      <c r="A25" s="135" t="s">
        <v>568</v>
      </c>
      <c r="B25" s="132" t="s">
        <v>569</v>
      </c>
      <c r="C25" s="19" t="s">
        <v>611</v>
      </c>
      <c r="D25" s="129">
        <v>45565</v>
      </c>
      <c r="E25" s="19" t="s">
        <v>625</v>
      </c>
    </row>
    <row r="26" spans="1:5" x14ac:dyDescent="0.2">
      <c r="A26" s="2" t="s">
        <v>573</v>
      </c>
      <c r="B26" s="19" t="s">
        <v>656</v>
      </c>
      <c r="C26" s="19" t="s">
        <v>628</v>
      </c>
      <c r="D26" s="129">
        <v>45565</v>
      </c>
      <c r="E26" s="19" t="s">
        <v>676</v>
      </c>
    </row>
    <row r="27" spans="1:5" x14ac:dyDescent="0.2">
      <c r="A27" s="2" t="s">
        <v>578</v>
      </c>
      <c r="B27" s="19" t="s">
        <v>678</v>
      </c>
      <c r="C27" s="19" t="s">
        <v>584</v>
      </c>
      <c r="D27" s="129">
        <v>45576</v>
      </c>
      <c r="E27" s="19" t="s">
        <v>679</v>
      </c>
    </row>
    <row r="28" spans="1:5" x14ac:dyDescent="0.2">
      <c r="A28" s="2" t="s">
        <v>581</v>
      </c>
      <c r="B28" s="19" t="s">
        <v>582</v>
      </c>
      <c r="C28" s="19" t="s">
        <v>172</v>
      </c>
      <c r="D28" s="19" t="s">
        <v>50</v>
      </c>
      <c r="E28" s="19" t="s">
        <v>50</v>
      </c>
    </row>
    <row r="29" spans="1:5" x14ac:dyDescent="0.2">
      <c r="A29" s="19" t="s">
        <v>688</v>
      </c>
    </row>
    <row r="30" spans="1:5" x14ac:dyDescent="0.2">
      <c r="A30" s="2" t="s">
        <v>568</v>
      </c>
      <c r="B30" s="19" t="s">
        <v>654</v>
      </c>
      <c r="C30" s="19" t="s">
        <v>284</v>
      </c>
      <c r="D30" s="129">
        <v>45457</v>
      </c>
      <c r="E30" s="19" t="s">
        <v>50</v>
      </c>
    </row>
    <row r="31" spans="1:5" x14ac:dyDescent="0.2">
      <c r="A31" s="2" t="s">
        <v>573</v>
      </c>
      <c r="B31" s="19" t="s">
        <v>656</v>
      </c>
      <c r="C31" s="19" t="s">
        <v>284</v>
      </c>
      <c r="D31" s="129">
        <v>45457</v>
      </c>
      <c r="E31" s="19" t="s">
        <v>689</v>
      </c>
    </row>
    <row r="32" spans="1:5" x14ac:dyDescent="0.2">
      <c r="A32" s="135" t="s">
        <v>578</v>
      </c>
      <c r="B32" s="132" t="s">
        <v>609</v>
      </c>
      <c r="C32" s="19" t="s">
        <v>172</v>
      </c>
      <c r="D32" s="129">
        <v>45541</v>
      </c>
      <c r="E32" s="19" t="s">
        <v>679</v>
      </c>
    </row>
    <row r="33" spans="1:6" x14ac:dyDescent="0.2">
      <c r="A33" s="2" t="s">
        <v>581</v>
      </c>
      <c r="B33" s="19" t="s">
        <v>582</v>
      </c>
      <c r="C33" s="19" t="s">
        <v>172</v>
      </c>
      <c r="D33" s="19" t="s">
        <v>50</v>
      </c>
      <c r="E33" s="19" t="s">
        <v>690</v>
      </c>
    </row>
    <row r="34" spans="1:6" x14ac:dyDescent="0.2">
      <c r="A34" s="19" t="s">
        <v>39</v>
      </c>
    </row>
    <row r="35" spans="1:6" x14ac:dyDescent="0.2">
      <c r="A35" s="2" t="s">
        <v>568</v>
      </c>
      <c r="B35" s="19" t="s">
        <v>569</v>
      </c>
      <c r="C35" s="19" t="s">
        <v>284</v>
      </c>
      <c r="D35" s="129">
        <v>45541</v>
      </c>
      <c r="E35" s="19" t="s">
        <v>701</v>
      </c>
    </row>
    <row r="36" spans="1:6" x14ac:dyDescent="0.2">
      <c r="A36" s="2" t="s">
        <v>573</v>
      </c>
      <c r="B36" s="19" t="s">
        <v>656</v>
      </c>
      <c r="C36" s="19" t="s">
        <v>284</v>
      </c>
      <c r="D36" s="129">
        <v>45555</v>
      </c>
      <c r="E36" s="19" t="s">
        <v>702</v>
      </c>
    </row>
    <row r="37" spans="1:6" x14ac:dyDescent="0.2">
      <c r="A37" s="135" t="s">
        <v>578</v>
      </c>
      <c r="B37" s="132" t="s">
        <v>609</v>
      </c>
      <c r="C37" s="19" t="s">
        <v>172</v>
      </c>
      <c r="D37" s="19" t="s">
        <v>50</v>
      </c>
      <c r="E37" s="19" t="s">
        <v>601</v>
      </c>
      <c r="F37" t="s">
        <v>765</v>
      </c>
    </row>
    <row r="38" spans="1:6" x14ac:dyDescent="0.2">
      <c r="A38" s="2" t="s">
        <v>581</v>
      </c>
      <c r="B38" s="19" t="s">
        <v>582</v>
      </c>
      <c r="C38" s="19" t="s">
        <v>172</v>
      </c>
      <c r="D38" s="19" t="s">
        <v>50</v>
      </c>
      <c r="E38" s="19" t="s">
        <v>702</v>
      </c>
    </row>
    <row r="39" spans="1:6" x14ac:dyDescent="0.2">
      <c r="A39" s="19" t="s">
        <v>22</v>
      </c>
    </row>
    <row r="40" spans="1:6" x14ac:dyDescent="0.2">
      <c r="A40" s="135" t="s">
        <v>568</v>
      </c>
      <c r="B40" s="132" t="s">
        <v>654</v>
      </c>
      <c r="C40" s="19" t="s">
        <v>584</v>
      </c>
      <c r="D40" s="129">
        <v>45562</v>
      </c>
      <c r="E40" s="19" t="s">
        <v>655</v>
      </c>
    </row>
    <row r="41" spans="1:6" x14ac:dyDescent="0.2">
      <c r="A41" s="2" t="s">
        <v>573</v>
      </c>
      <c r="B41" s="19" t="s">
        <v>656</v>
      </c>
      <c r="C41" s="19" t="s">
        <v>628</v>
      </c>
      <c r="D41" s="129">
        <v>45569</v>
      </c>
      <c r="E41" s="19" t="s">
        <v>576</v>
      </c>
    </row>
    <row r="42" spans="1:6" x14ac:dyDescent="0.2">
      <c r="A42" s="2" t="s">
        <v>578</v>
      </c>
      <c r="B42" s="19" t="s">
        <v>609</v>
      </c>
      <c r="C42" s="19" t="s">
        <v>584</v>
      </c>
      <c r="D42" s="129">
        <v>45576</v>
      </c>
      <c r="E42" s="19" t="s">
        <v>679</v>
      </c>
    </row>
    <row r="43" spans="1:6" x14ac:dyDescent="0.2">
      <c r="A43" s="2" t="s">
        <v>581</v>
      </c>
      <c r="B43" s="19" t="s">
        <v>582</v>
      </c>
      <c r="C43" s="19" t="s">
        <v>172</v>
      </c>
      <c r="D43" s="19" t="s">
        <v>50</v>
      </c>
      <c r="E43" s="19" t="s">
        <v>50</v>
      </c>
    </row>
    <row r="44" spans="1:6" x14ac:dyDescent="0.2">
      <c r="A44" s="19" t="s">
        <v>16</v>
      </c>
    </row>
    <row r="45" spans="1:6" x14ac:dyDescent="0.2">
      <c r="A45" s="2" t="s">
        <v>568</v>
      </c>
      <c r="B45" s="19" t="s">
        <v>569</v>
      </c>
      <c r="C45" s="19" t="s">
        <v>284</v>
      </c>
      <c r="D45" s="129">
        <v>45541</v>
      </c>
      <c r="E45" s="19" t="s">
        <v>679</v>
      </c>
    </row>
    <row r="46" spans="1:6" x14ac:dyDescent="0.2">
      <c r="A46" s="2" t="s">
        <v>573</v>
      </c>
      <c r="B46" s="19" t="s">
        <v>656</v>
      </c>
      <c r="C46" s="19" t="s">
        <v>284</v>
      </c>
      <c r="D46" s="19" t="s">
        <v>50</v>
      </c>
      <c r="E46" s="19" t="s">
        <v>728</v>
      </c>
    </row>
    <row r="47" spans="1:6" x14ac:dyDescent="0.2">
      <c r="A47" s="2" t="s">
        <v>578</v>
      </c>
      <c r="B47" s="19" t="s">
        <v>609</v>
      </c>
      <c r="C47" s="19" t="s">
        <v>284</v>
      </c>
      <c r="D47" s="19" t="s">
        <v>50</v>
      </c>
      <c r="E47" s="19" t="s">
        <v>679</v>
      </c>
    </row>
    <row r="48" spans="1:6" x14ac:dyDescent="0.2">
      <c r="A48" s="135" t="s">
        <v>581</v>
      </c>
      <c r="B48" s="132" t="s">
        <v>582</v>
      </c>
      <c r="C48" s="19" t="s">
        <v>584</v>
      </c>
      <c r="D48" s="129">
        <v>45562</v>
      </c>
      <c r="E48" s="19" t="s">
        <v>728</v>
      </c>
    </row>
    <row r="49" spans="1:5" x14ac:dyDescent="0.2">
      <c r="A49" s="19" t="s">
        <v>734</v>
      </c>
    </row>
    <row r="50" spans="1:5" x14ac:dyDescent="0.2">
      <c r="A50" s="2" t="s">
        <v>573</v>
      </c>
      <c r="B50" s="19" t="s">
        <v>735</v>
      </c>
      <c r="C50" s="19" t="s">
        <v>284</v>
      </c>
      <c r="D50" s="129">
        <v>45520</v>
      </c>
      <c r="E50" s="19" t="s">
        <v>701</v>
      </c>
    </row>
    <row r="51" spans="1:5" x14ac:dyDescent="0.2">
      <c r="B51" s="19" t="s">
        <v>740</v>
      </c>
      <c r="C51" s="19" t="s">
        <v>284</v>
      </c>
      <c r="D51" s="129">
        <v>45541</v>
      </c>
      <c r="E51" s="19" t="s">
        <v>739</v>
      </c>
    </row>
    <row r="52" spans="1:5" x14ac:dyDescent="0.2">
      <c r="B52" s="19" t="s">
        <v>736</v>
      </c>
      <c r="C52" s="19" t="s">
        <v>284</v>
      </c>
      <c r="D52" s="129">
        <v>45489</v>
      </c>
      <c r="E52" s="19" t="s">
        <v>701</v>
      </c>
    </row>
    <row r="53" spans="1:5" x14ac:dyDescent="0.2">
      <c r="B53" s="19" t="s">
        <v>737</v>
      </c>
      <c r="C53" s="19" t="s">
        <v>284</v>
      </c>
      <c r="D53" s="129">
        <v>45524</v>
      </c>
      <c r="E53" s="19" t="s">
        <v>701</v>
      </c>
    </row>
    <row r="54" spans="1:5" x14ac:dyDescent="0.2">
      <c r="B54" s="19" t="s">
        <v>738</v>
      </c>
      <c r="C54" s="19" t="s">
        <v>284</v>
      </c>
      <c r="D54" s="129">
        <v>45541</v>
      </c>
      <c r="E54" s="19" t="s">
        <v>739</v>
      </c>
    </row>
    <row r="55" spans="1:5" x14ac:dyDescent="0.2">
      <c r="A55" s="135" t="s">
        <v>578</v>
      </c>
      <c r="B55" s="132" t="s">
        <v>609</v>
      </c>
      <c r="C55" s="19" t="s">
        <v>584</v>
      </c>
      <c r="D55" s="129">
        <v>45576</v>
      </c>
      <c r="E55" s="19" t="s">
        <v>701</v>
      </c>
    </row>
    <row r="56" spans="1:5" x14ac:dyDescent="0.2">
      <c r="A56" s="2" t="s">
        <v>581</v>
      </c>
      <c r="B56" s="19" t="s">
        <v>582</v>
      </c>
      <c r="C56" s="19" t="s">
        <v>172</v>
      </c>
      <c r="D56" s="19" t="s">
        <v>50</v>
      </c>
      <c r="E56" s="19" t="s">
        <v>50</v>
      </c>
    </row>
    <row r="57" spans="1:5" x14ac:dyDescent="0.2">
      <c r="A57" s="19" t="s">
        <v>34</v>
      </c>
    </row>
    <row r="58" spans="1:5" x14ac:dyDescent="0.2">
      <c r="A58" s="2" t="s">
        <v>568</v>
      </c>
      <c r="B58" s="19" t="s">
        <v>569</v>
      </c>
      <c r="C58" s="19" t="s">
        <v>284</v>
      </c>
      <c r="D58" s="129">
        <v>45457</v>
      </c>
      <c r="E58" s="19" t="s">
        <v>50</v>
      </c>
    </row>
    <row r="59" spans="1:5" x14ac:dyDescent="0.2">
      <c r="A59" s="2" t="s">
        <v>573</v>
      </c>
      <c r="B59" s="19" t="s">
        <v>656</v>
      </c>
      <c r="C59" s="19" t="s">
        <v>284</v>
      </c>
      <c r="D59" s="129">
        <v>45457</v>
      </c>
      <c r="E59" s="19" t="s">
        <v>689</v>
      </c>
    </row>
    <row r="60" spans="1:5" x14ac:dyDescent="0.2">
      <c r="A60" s="2" t="s">
        <v>578</v>
      </c>
      <c r="B60" s="19" t="s">
        <v>609</v>
      </c>
      <c r="C60" s="19" t="s">
        <v>284</v>
      </c>
      <c r="D60" s="129">
        <v>45541</v>
      </c>
      <c r="E60" s="19" t="s">
        <v>679</v>
      </c>
    </row>
    <row r="61" spans="1:5" x14ac:dyDescent="0.2">
      <c r="A61" s="135" t="s">
        <v>581</v>
      </c>
      <c r="B61" s="132" t="s">
        <v>582</v>
      </c>
      <c r="C61" s="19" t="s">
        <v>172</v>
      </c>
      <c r="D61" s="19" t="s">
        <v>50</v>
      </c>
      <c r="E61" s="19" t="s">
        <v>750</v>
      </c>
    </row>
    <row r="62" spans="1:5" x14ac:dyDescent="0.2">
      <c r="A62" s="19" t="s">
        <v>51</v>
      </c>
    </row>
  </sheetData>
  <conditionalFormatting sqref="C1:C1048576">
    <cfRule type="cellIs" dxfId="8" priority="1" operator="equal">
      <formula>"Overdue"</formula>
    </cfRule>
    <cfRule type="cellIs" dxfId="7" priority="2" operator="equal">
      <formula>"Not Required"</formula>
    </cfRule>
    <cfRule type="cellIs" dxfId="6" priority="3" operator="equal">
      <formula>"In Progress"</formula>
    </cfRule>
    <cfRule type="cellIs" dxfId="5" priority="4" operator="equal">
      <formula>"Complete"</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546D-B48A-472B-8D97-7EBC2E9B89C7}">
  <dimension ref="A1:F60"/>
  <sheetViews>
    <sheetView workbookViewId="0">
      <selection activeCell="D21" sqref="D21"/>
    </sheetView>
  </sheetViews>
  <sheetFormatPr baseColWidth="10" defaultColWidth="8.83203125" defaultRowHeight="15" x14ac:dyDescent="0.2"/>
  <cols>
    <col min="1" max="1" width="25.33203125" bestFit="1" customWidth="1"/>
    <col min="2" max="2" width="60.33203125" bestFit="1" customWidth="1"/>
    <col min="3" max="3" width="12.5" bestFit="1" customWidth="1"/>
    <col min="4" max="4" width="12.6640625" bestFit="1" customWidth="1"/>
    <col min="5" max="5" width="9.33203125" bestFit="1" customWidth="1"/>
    <col min="6" max="6" width="25.1640625" bestFit="1" customWidth="1"/>
  </cols>
  <sheetData>
    <row r="1" spans="1:6" x14ac:dyDescent="0.2">
      <c r="A1" s="25" t="s">
        <v>561</v>
      </c>
      <c r="B1" t="s">
        <v>585</v>
      </c>
    </row>
    <row r="3" spans="1:6" x14ac:dyDescent="0.2">
      <c r="A3" s="25" t="s">
        <v>44</v>
      </c>
      <c r="B3" s="25" t="s">
        <v>563</v>
      </c>
      <c r="C3" s="25" t="s">
        <v>76</v>
      </c>
      <c r="D3" s="25" t="s">
        <v>324</v>
      </c>
      <c r="E3" s="25" t="s">
        <v>322</v>
      </c>
      <c r="F3" s="25" t="s">
        <v>323</v>
      </c>
    </row>
    <row r="4" spans="1:6" x14ac:dyDescent="0.2">
      <c r="A4" s="19" t="s">
        <v>566</v>
      </c>
    </row>
    <row r="5" spans="1:6" x14ac:dyDescent="0.2">
      <c r="A5" s="2" t="s">
        <v>586</v>
      </c>
      <c r="B5" s="19" t="s">
        <v>591</v>
      </c>
      <c r="C5" s="19" t="s">
        <v>284</v>
      </c>
      <c r="D5" s="129">
        <v>45562</v>
      </c>
      <c r="E5" s="19" t="s">
        <v>572</v>
      </c>
      <c r="F5" s="19" t="s">
        <v>580</v>
      </c>
    </row>
    <row r="6" spans="1:6" x14ac:dyDescent="0.2">
      <c r="B6" s="19" t="s">
        <v>589</v>
      </c>
      <c r="C6" s="19" t="s">
        <v>284</v>
      </c>
      <c r="D6" s="129">
        <v>45562</v>
      </c>
      <c r="E6" s="19" t="s">
        <v>572</v>
      </c>
      <c r="F6" s="19" t="s">
        <v>580</v>
      </c>
    </row>
    <row r="7" spans="1:6" x14ac:dyDescent="0.2">
      <c r="B7" s="19" t="s">
        <v>590</v>
      </c>
      <c r="C7" s="19" t="s">
        <v>284</v>
      </c>
      <c r="D7" s="129">
        <v>45562</v>
      </c>
      <c r="E7" s="19" t="s">
        <v>572</v>
      </c>
      <c r="F7" s="19" t="s">
        <v>580</v>
      </c>
    </row>
    <row r="8" spans="1:6" x14ac:dyDescent="0.2">
      <c r="B8" s="19" t="s">
        <v>587</v>
      </c>
      <c r="C8" s="19" t="s">
        <v>284</v>
      </c>
      <c r="D8" s="19" t="s">
        <v>50</v>
      </c>
      <c r="E8" s="19" t="s">
        <v>50</v>
      </c>
      <c r="F8" s="19" t="s">
        <v>580</v>
      </c>
    </row>
    <row r="9" spans="1:6" x14ac:dyDescent="0.2">
      <c r="B9" s="19" t="s">
        <v>594</v>
      </c>
      <c r="C9" s="19" t="s">
        <v>595</v>
      </c>
      <c r="D9" s="129">
        <v>45576</v>
      </c>
      <c r="E9" s="19" t="s">
        <v>572</v>
      </c>
      <c r="F9" s="19" t="s">
        <v>596</v>
      </c>
    </row>
    <row r="10" spans="1:6" x14ac:dyDescent="0.2">
      <c r="A10" s="19" t="s">
        <v>607</v>
      </c>
    </row>
    <row r="11" spans="1:6" x14ac:dyDescent="0.2">
      <c r="A11" s="2" t="s">
        <v>586</v>
      </c>
      <c r="B11" s="19" t="s">
        <v>616</v>
      </c>
      <c r="C11" s="19" t="s">
        <v>584</v>
      </c>
      <c r="D11" s="129">
        <v>45562</v>
      </c>
      <c r="E11" s="19" t="s">
        <v>614</v>
      </c>
      <c r="F11" s="19" t="s">
        <v>601</v>
      </c>
    </row>
    <row r="12" spans="1:6" x14ac:dyDescent="0.2">
      <c r="B12" s="19" t="s">
        <v>615</v>
      </c>
      <c r="C12" s="19" t="s">
        <v>284</v>
      </c>
      <c r="D12" s="129">
        <v>45562</v>
      </c>
      <c r="E12" s="19" t="s">
        <v>614</v>
      </c>
      <c r="F12" s="19" t="s">
        <v>601</v>
      </c>
    </row>
    <row r="13" spans="1:6" x14ac:dyDescent="0.2">
      <c r="B13" s="19" t="s">
        <v>618</v>
      </c>
      <c r="C13" s="19" t="s">
        <v>172</v>
      </c>
      <c r="D13" s="19" t="s">
        <v>50</v>
      </c>
      <c r="E13" s="19" t="s">
        <v>614</v>
      </c>
      <c r="F13" s="19" t="s">
        <v>619</v>
      </c>
    </row>
    <row r="14" spans="1:6" x14ac:dyDescent="0.2">
      <c r="A14" s="19" t="s">
        <v>27</v>
      </c>
    </row>
    <row r="15" spans="1:6" x14ac:dyDescent="0.2">
      <c r="A15" s="2" t="s">
        <v>586</v>
      </c>
      <c r="B15" s="19" t="s">
        <v>641</v>
      </c>
      <c r="C15" s="19" t="s">
        <v>584</v>
      </c>
      <c r="D15" s="129">
        <v>45590</v>
      </c>
      <c r="E15" s="19" t="s">
        <v>50</v>
      </c>
      <c r="F15" s="19" t="s">
        <v>596</v>
      </c>
    </row>
    <row r="16" spans="1:6" x14ac:dyDescent="0.2">
      <c r="B16" s="19" t="s">
        <v>642</v>
      </c>
      <c r="C16" s="19" t="s">
        <v>584</v>
      </c>
      <c r="D16" s="129">
        <v>45590</v>
      </c>
      <c r="E16" s="19" t="s">
        <v>50</v>
      </c>
      <c r="F16" s="19" t="s">
        <v>596</v>
      </c>
    </row>
    <row r="17" spans="1:6" x14ac:dyDescent="0.2">
      <c r="B17" s="19" t="s">
        <v>643</v>
      </c>
      <c r="C17" s="19" t="s">
        <v>584</v>
      </c>
      <c r="D17" s="129">
        <v>45590</v>
      </c>
      <c r="E17" s="19" t="s">
        <v>50</v>
      </c>
      <c r="F17" s="19" t="s">
        <v>596</v>
      </c>
    </row>
    <row r="18" spans="1:6" x14ac:dyDescent="0.2">
      <c r="B18" s="19" t="s">
        <v>644</v>
      </c>
      <c r="C18" s="19" t="s">
        <v>584</v>
      </c>
      <c r="D18" s="129">
        <v>45590</v>
      </c>
      <c r="E18" s="19" t="s">
        <v>50</v>
      </c>
      <c r="F18" s="19" t="s">
        <v>596</v>
      </c>
    </row>
    <row r="19" spans="1:6" x14ac:dyDescent="0.2">
      <c r="B19" s="19" t="s">
        <v>645</v>
      </c>
      <c r="C19" s="19" t="s">
        <v>584</v>
      </c>
      <c r="D19" s="129">
        <v>45590</v>
      </c>
      <c r="E19" s="19" t="s">
        <v>50</v>
      </c>
      <c r="F19" s="19" t="s">
        <v>596</v>
      </c>
    </row>
    <row r="20" spans="1:6" x14ac:dyDescent="0.2">
      <c r="B20" s="19" t="s">
        <v>639</v>
      </c>
      <c r="C20" s="19" t="s">
        <v>584</v>
      </c>
      <c r="D20" s="129">
        <v>45583</v>
      </c>
      <c r="E20" s="19" t="s">
        <v>572</v>
      </c>
      <c r="F20" s="19" t="s">
        <v>596</v>
      </c>
    </row>
    <row r="21" spans="1:6" x14ac:dyDescent="0.2">
      <c r="B21" s="19" t="s">
        <v>640</v>
      </c>
      <c r="C21" s="19" t="s">
        <v>50</v>
      </c>
    </row>
    <row r="22" spans="1:6" x14ac:dyDescent="0.2">
      <c r="A22" s="2" t="s">
        <v>646</v>
      </c>
      <c r="B22" s="19" t="s">
        <v>647</v>
      </c>
      <c r="C22" s="19" t="s">
        <v>172</v>
      </c>
      <c r="D22" s="19" t="s">
        <v>50</v>
      </c>
      <c r="E22" s="19" t="s">
        <v>50</v>
      </c>
      <c r="F22" s="19" t="s">
        <v>648</v>
      </c>
    </row>
    <row r="23" spans="1:6" x14ac:dyDescent="0.2">
      <c r="A23" s="19" t="s">
        <v>653</v>
      </c>
    </row>
    <row r="24" spans="1:6" x14ac:dyDescent="0.2">
      <c r="A24" s="2" t="s">
        <v>586</v>
      </c>
      <c r="B24" s="19" t="s">
        <v>660</v>
      </c>
      <c r="C24" s="19" t="s">
        <v>284</v>
      </c>
      <c r="D24" s="129">
        <v>45484</v>
      </c>
      <c r="E24" s="19" t="s">
        <v>50</v>
      </c>
      <c r="F24" s="19" t="s">
        <v>596</v>
      </c>
    </row>
    <row r="25" spans="1:6" x14ac:dyDescent="0.2">
      <c r="B25" s="19" t="s">
        <v>657</v>
      </c>
      <c r="C25" s="19" t="s">
        <v>284</v>
      </c>
      <c r="D25" s="129">
        <v>45484</v>
      </c>
      <c r="E25" s="19" t="s">
        <v>50</v>
      </c>
      <c r="F25" s="19" t="s">
        <v>596</v>
      </c>
    </row>
    <row r="26" spans="1:6" x14ac:dyDescent="0.2">
      <c r="B26" s="19" t="s">
        <v>658</v>
      </c>
      <c r="C26" s="19" t="s">
        <v>584</v>
      </c>
      <c r="D26" s="129">
        <v>45562</v>
      </c>
      <c r="E26" s="19" t="s">
        <v>572</v>
      </c>
      <c r="F26" s="19" t="s">
        <v>601</v>
      </c>
    </row>
    <row r="27" spans="1:6" x14ac:dyDescent="0.2">
      <c r="A27" s="2" t="s">
        <v>661</v>
      </c>
      <c r="B27" s="19" t="s">
        <v>50</v>
      </c>
      <c r="C27" s="19" t="s">
        <v>284</v>
      </c>
      <c r="D27" s="129">
        <v>45526</v>
      </c>
      <c r="E27" s="19" t="s">
        <v>50</v>
      </c>
      <c r="F27" s="19" t="s">
        <v>50</v>
      </c>
    </row>
    <row r="28" spans="1:6" x14ac:dyDescent="0.2">
      <c r="A28" s="19" t="s">
        <v>675</v>
      </c>
    </row>
    <row r="29" spans="1:6" x14ac:dyDescent="0.2">
      <c r="A29" s="2" t="s">
        <v>586</v>
      </c>
      <c r="B29" s="19" t="s">
        <v>684</v>
      </c>
      <c r="C29" s="19" t="s">
        <v>172</v>
      </c>
      <c r="D29" s="19" t="s">
        <v>50</v>
      </c>
      <c r="E29" s="19" t="s">
        <v>50</v>
      </c>
      <c r="F29" s="19" t="s">
        <v>596</v>
      </c>
    </row>
    <row r="30" spans="1:6" x14ac:dyDescent="0.2">
      <c r="F30" s="19" t="s">
        <v>173</v>
      </c>
    </row>
    <row r="31" spans="1:6" x14ac:dyDescent="0.2">
      <c r="A31" s="19" t="s">
        <v>688</v>
      </c>
    </row>
    <row r="32" spans="1:6" x14ac:dyDescent="0.2">
      <c r="A32" s="2" t="s">
        <v>586</v>
      </c>
      <c r="B32" s="19" t="s">
        <v>693</v>
      </c>
      <c r="C32" s="19" t="s">
        <v>584</v>
      </c>
      <c r="D32" s="129">
        <v>45562</v>
      </c>
      <c r="E32" s="19" t="s">
        <v>572</v>
      </c>
      <c r="F32" s="19" t="s">
        <v>601</v>
      </c>
    </row>
    <row r="33" spans="1:6" x14ac:dyDescent="0.2">
      <c r="B33" s="19" t="s">
        <v>692</v>
      </c>
      <c r="C33" s="19" t="s">
        <v>584</v>
      </c>
      <c r="D33" s="129">
        <v>45555</v>
      </c>
      <c r="E33" s="19" t="s">
        <v>50</v>
      </c>
      <c r="F33" s="19" t="s">
        <v>601</v>
      </c>
    </row>
    <row r="34" spans="1:6" x14ac:dyDescent="0.2">
      <c r="B34" s="19" t="s">
        <v>694</v>
      </c>
      <c r="C34" s="19" t="s">
        <v>584</v>
      </c>
      <c r="D34" s="129">
        <v>45569</v>
      </c>
      <c r="E34" s="19" t="s">
        <v>572</v>
      </c>
      <c r="F34" s="19" t="s">
        <v>601</v>
      </c>
    </row>
    <row r="35" spans="1:6" x14ac:dyDescent="0.2">
      <c r="A35" s="19" t="s">
        <v>39</v>
      </c>
    </row>
    <row r="36" spans="1:6" x14ac:dyDescent="0.2">
      <c r="A36" s="2" t="s">
        <v>586</v>
      </c>
      <c r="B36" s="19" t="s">
        <v>704</v>
      </c>
      <c r="C36" s="19" t="s">
        <v>284</v>
      </c>
      <c r="D36" s="129">
        <v>45534</v>
      </c>
      <c r="E36" s="19" t="s">
        <v>50</v>
      </c>
      <c r="F36" s="19" t="s">
        <v>601</v>
      </c>
    </row>
    <row r="37" spans="1:6" x14ac:dyDescent="0.2">
      <c r="B37" s="19" t="s">
        <v>705</v>
      </c>
      <c r="C37" s="19" t="s">
        <v>284</v>
      </c>
      <c r="D37" s="129">
        <v>45562</v>
      </c>
      <c r="E37" s="19" t="s">
        <v>572</v>
      </c>
      <c r="F37" s="19" t="s">
        <v>601</v>
      </c>
    </row>
    <row r="38" spans="1:6" x14ac:dyDescent="0.2">
      <c r="B38" s="19" t="s">
        <v>706</v>
      </c>
      <c r="C38" s="19" t="s">
        <v>584</v>
      </c>
      <c r="D38" s="129">
        <v>45569</v>
      </c>
      <c r="E38" s="19" t="s">
        <v>572</v>
      </c>
      <c r="F38" s="19" t="s">
        <v>707</v>
      </c>
    </row>
    <row r="39" spans="1:6" x14ac:dyDescent="0.2">
      <c r="B39" s="19" t="s">
        <v>708</v>
      </c>
      <c r="C39" s="19" t="s">
        <v>611</v>
      </c>
      <c r="D39" s="129">
        <v>45541</v>
      </c>
      <c r="E39" s="19" t="s">
        <v>572</v>
      </c>
      <c r="F39" s="19" t="s">
        <v>709</v>
      </c>
    </row>
    <row r="40" spans="1:6" x14ac:dyDescent="0.2">
      <c r="B40" s="19" t="s">
        <v>711</v>
      </c>
      <c r="C40" s="19" t="s">
        <v>584</v>
      </c>
      <c r="D40" s="129">
        <v>45583</v>
      </c>
      <c r="E40" s="19" t="s">
        <v>50</v>
      </c>
      <c r="F40" s="19" t="s">
        <v>50</v>
      </c>
    </row>
    <row r="41" spans="1:6" x14ac:dyDescent="0.2">
      <c r="B41" s="19" t="s">
        <v>713</v>
      </c>
      <c r="C41" s="19" t="s">
        <v>172</v>
      </c>
      <c r="D41" s="129">
        <v>45583</v>
      </c>
      <c r="E41" s="19" t="s">
        <v>50</v>
      </c>
      <c r="F41" s="19" t="s">
        <v>50</v>
      </c>
    </row>
    <row r="42" spans="1:6" x14ac:dyDescent="0.2">
      <c r="B42" s="19" t="s">
        <v>714</v>
      </c>
      <c r="C42" s="19" t="s">
        <v>172</v>
      </c>
      <c r="D42" s="129">
        <v>45590</v>
      </c>
      <c r="E42" s="19" t="s">
        <v>50</v>
      </c>
      <c r="F42" s="19" t="s">
        <v>50</v>
      </c>
    </row>
    <row r="43" spans="1:6" x14ac:dyDescent="0.2">
      <c r="B43" s="19" t="s">
        <v>715</v>
      </c>
      <c r="C43" s="19" t="s">
        <v>584</v>
      </c>
      <c r="D43" s="129">
        <v>45569</v>
      </c>
      <c r="E43" s="19" t="s">
        <v>50</v>
      </c>
      <c r="F43" s="19" t="s">
        <v>601</v>
      </c>
    </row>
    <row r="44" spans="1:6" x14ac:dyDescent="0.2">
      <c r="A44" s="19" t="s">
        <v>22</v>
      </c>
    </row>
    <row r="45" spans="1:6" x14ac:dyDescent="0.2">
      <c r="A45" s="2" t="s">
        <v>586</v>
      </c>
      <c r="B45" s="19" t="s">
        <v>727</v>
      </c>
      <c r="C45" s="19" t="s">
        <v>584</v>
      </c>
      <c r="D45" s="19" t="s">
        <v>50</v>
      </c>
      <c r="E45" s="19" t="s">
        <v>50</v>
      </c>
      <c r="F45" s="19" t="s">
        <v>50</v>
      </c>
    </row>
    <row r="46" spans="1:6" x14ac:dyDescent="0.2">
      <c r="B46" s="19" t="s">
        <v>725</v>
      </c>
      <c r="C46" s="19" t="s">
        <v>584</v>
      </c>
      <c r="D46" s="19" t="s">
        <v>50</v>
      </c>
      <c r="E46" s="19" t="s">
        <v>50</v>
      </c>
      <c r="F46" s="19" t="s">
        <v>50</v>
      </c>
    </row>
    <row r="47" spans="1:6" x14ac:dyDescent="0.2">
      <c r="B47" s="19" t="s">
        <v>723</v>
      </c>
      <c r="C47" s="19" t="s">
        <v>172</v>
      </c>
      <c r="D47" s="129">
        <v>45576</v>
      </c>
      <c r="E47" s="19" t="s">
        <v>722</v>
      </c>
      <c r="F47" s="19" t="s">
        <v>655</v>
      </c>
    </row>
    <row r="48" spans="1:6" x14ac:dyDescent="0.2">
      <c r="A48" s="19" t="s">
        <v>16</v>
      </c>
    </row>
    <row r="49" spans="1:6" x14ac:dyDescent="0.2">
      <c r="A49" s="2" t="s">
        <v>586</v>
      </c>
      <c r="B49" s="19" t="s">
        <v>729</v>
      </c>
      <c r="C49" s="19" t="s">
        <v>284</v>
      </c>
      <c r="D49" s="19" t="s">
        <v>50</v>
      </c>
      <c r="E49" s="19" t="s">
        <v>50</v>
      </c>
      <c r="F49" s="19" t="s">
        <v>679</v>
      </c>
    </row>
    <row r="50" spans="1:6" x14ac:dyDescent="0.2">
      <c r="B50" s="19" t="s">
        <v>730</v>
      </c>
      <c r="C50" s="19" t="s">
        <v>172</v>
      </c>
      <c r="D50" s="129">
        <v>45539</v>
      </c>
      <c r="E50" s="19" t="s">
        <v>50</v>
      </c>
      <c r="F50" s="19" t="s">
        <v>731</v>
      </c>
    </row>
    <row r="51" spans="1:6" x14ac:dyDescent="0.2">
      <c r="A51" s="19" t="s">
        <v>734</v>
      </c>
    </row>
    <row r="52" spans="1:6" x14ac:dyDescent="0.2">
      <c r="A52" s="2" t="s">
        <v>586</v>
      </c>
      <c r="B52" s="19" t="s">
        <v>745</v>
      </c>
      <c r="C52" s="19" t="s">
        <v>584</v>
      </c>
      <c r="D52" s="19" t="s">
        <v>50</v>
      </c>
      <c r="E52" s="19" t="s">
        <v>50</v>
      </c>
      <c r="F52" s="19" t="s">
        <v>746</v>
      </c>
    </row>
    <row r="53" spans="1:6" x14ac:dyDescent="0.2">
      <c r="B53" s="19" t="s">
        <v>742</v>
      </c>
      <c r="C53" s="19" t="s">
        <v>584</v>
      </c>
      <c r="D53" s="19" t="s">
        <v>50</v>
      </c>
      <c r="E53" s="19" t="s">
        <v>50</v>
      </c>
      <c r="F53" s="19" t="s">
        <v>743</v>
      </c>
    </row>
    <row r="54" spans="1:6" x14ac:dyDescent="0.2">
      <c r="A54" s="19" t="s">
        <v>34</v>
      </c>
    </row>
    <row r="55" spans="1:6" x14ac:dyDescent="0.2">
      <c r="A55" s="2" t="s">
        <v>586</v>
      </c>
      <c r="B55" s="19" t="s">
        <v>693</v>
      </c>
      <c r="C55" s="19" t="s">
        <v>584</v>
      </c>
      <c r="D55" s="129">
        <v>45562</v>
      </c>
      <c r="E55" s="19" t="s">
        <v>572</v>
      </c>
      <c r="F55" s="19" t="s">
        <v>601</v>
      </c>
    </row>
    <row r="56" spans="1:6" x14ac:dyDescent="0.2">
      <c r="B56" s="19" t="s">
        <v>692</v>
      </c>
      <c r="C56" s="19" t="s">
        <v>584</v>
      </c>
      <c r="D56" s="129">
        <v>45555</v>
      </c>
      <c r="E56" s="19" t="s">
        <v>50</v>
      </c>
      <c r="F56" s="19" t="s">
        <v>601</v>
      </c>
    </row>
    <row r="57" spans="1:6" x14ac:dyDescent="0.2">
      <c r="B57" s="19" t="s">
        <v>694</v>
      </c>
      <c r="C57" s="19" t="s">
        <v>172</v>
      </c>
      <c r="D57" s="129">
        <v>45569</v>
      </c>
      <c r="E57" s="19" t="s">
        <v>572</v>
      </c>
      <c r="F57" s="19" t="s">
        <v>601</v>
      </c>
    </row>
    <row r="58" spans="1:6" x14ac:dyDescent="0.2">
      <c r="A58" s="19" t="s">
        <v>50</v>
      </c>
    </row>
    <row r="59" spans="1:6" x14ac:dyDescent="0.2">
      <c r="A59" s="2" t="s">
        <v>586</v>
      </c>
      <c r="B59" s="19" t="s">
        <v>649</v>
      </c>
      <c r="C59" s="19" t="s">
        <v>172</v>
      </c>
      <c r="D59" s="129">
        <v>45597</v>
      </c>
      <c r="E59" s="19" t="s">
        <v>50</v>
      </c>
      <c r="F59" s="19" t="s">
        <v>596</v>
      </c>
    </row>
    <row r="60" spans="1:6" x14ac:dyDescent="0.2">
      <c r="A60" s="19" t="s">
        <v>51</v>
      </c>
    </row>
  </sheetData>
  <conditionalFormatting sqref="C1:C1048576">
    <cfRule type="cellIs" dxfId="4" priority="1" operator="equal">
      <formula>"Not Required"</formula>
    </cfRule>
    <cfRule type="cellIs" dxfId="3" priority="2" operator="equal">
      <formula>"In Progress"</formula>
    </cfRule>
    <cfRule type="cellIs" dxfId="2" priority="3" operator="equal">
      <formula>"Complete"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F21D-0E22-4648-80BB-98A9C258195E}">
  <dimension ref="A1:L71"/>
  <sheetViews>
    <sheetView workbookViewId="0">
      <selection activeCell="A6" sqref="A6"/>
    </sheetView>
  </sheetViews>
  <sheetFormatPr baseColWidth="10" defaultColWidth="8.83203125" defaultRowHeight="15" x14ac:dyDescent="0.2"/>
  <cols>
    <col min="1" max="1" width="42" bestFit="1" customWidth="1"/>
    <col min="2" max="2" width="15.5" bestFit="1" customWidth="1"/>
    <col min="3" max="3" width="10.6640625" bestFit="1" customWidth="1"/>
    <col min="4" max="4" width="11.83203125" bestFit="1" customWidth="1"/>
    <col min="5" max="5" width="16.1640625" bestFit="1" customWidth="1"/>
    <col min="6" max="6" width="15.6640625" bestFit="1" customWidth="1"/>
    <col min="7" max="8" width="7" bestFit="1" customWidth="1"/>
    <col min="9" max="9" width="10.6640625" bestFit="1" customWidth="1"/>
    <col min="10" max="11" width="19.5" bestFit="1" customWidth="1"/>
    <col min="12" max="12" width="10.6640625" bestFit="1" customWidth="1"/>
  </cols>
  <sheetData>
    <row r="1" spans="1:12" s="3" customFormat="1" ht="15" customHeight="1" x14ac:dyDescent="0.2">
      <c r="A1"/>
      <c r="B1"/>
      <c r="C1"/>
      <c r="D1"/>
      <c r="E1"/>
      <c r="F1"/>
      <c r="G1"/>
      <c r="H1"/>
      <c r="I1"/>
      <c r="J1"/>
      <c r="K1"/>
      <c r="L1"/>
    </row>
    <row r="3" spans="1:12" x14ac:dyDescent="0.2">
      <c r="A3" s="25" t="s">
        <v>44</v>
      </c>
    </row>
    <row r="4" spans="1:12" x14ac:dyDescent="0.2">
      <c r="A4" s="19" t="s">
        <v>128</v>
      </c>
    </row>
    <row r="5" spans="1:12" x14ac:dyDescent="0.2">
      <c r="A5" s="2" t="s">
        <v>19</v>
      </c>
    </row>
    <row r="6" spans="1:12" x14ac:dyDescent="0.2">
      <c r="A6" s="55" t="s">
        <v>300</v>
      </c>
    </row>
    <row r="7" spans="1:12" x14ac:dyDescent="0.2">
      <c r="A7" s="55" t="s">
        <v>296</v>
      </c>
    </row>
    <row r="8" spans="1:12" x14ac:dyDescent="0.2">
      <c r="A8" s="19" t="s">
        <v>172</v>
      </c>
    </row>
    <row r="9" spans="1:12" x14ac:dyDescent="0.2">
      <c r="A9" s="2" t="s">
        <v>27</v>
      </c>
    </row>
    <row r="10" spans="1:12" x14ac:dyDescent="0.2">
      <c r="A10" s="55" t="s">
        <v>181</v>
      </c>
    </row>
    <row r="11" spans="1:12" x14ac:dyDescent="0.2">
      <c r="A11" s="55" t="s">
        <v>177</v>
      </c>
    </row>
    <row r="12" spans="1:12" x14ac:dyDescent="0.2">
      <c r="A12" s="55" t="s">
        <v>170</v>
      </c>
    </row>
    <row r="13" spans="1:12" x14ac:dyDescent="0.2">
      <c r="A13" s="55" t="s">
        <v>187</v>
      </c>
    </row>
    <row r="14" spans="1:12" x14ac:dyDescent="0.2">
      <c r="A14" s="55" t="s">
        <v>184</v>
      </c>
    </row>
    <row r="15" spans="1:12" x14ac:dyDescent="0.2">
      <c r="A15" s="2" t="s">
        <v>39</v>
      </c>
    </row>
    <row r="16" spans="1:12" x14ac:dyDescent="0.2">
      <c r="A16" s="55" t="s">
        <v>247</v>
      </c>
    </row>
    <row r="17" spans="1:1" x14ac:dyDescent="0.2">
      <c r="A17" s="55" t="s">
        <v>251</v>
      </c>
    </row>
    <row r="18" spans="1:1" x14ac:dyDescent="0.2">
      <c r="A18" s="55" t="s">
        <v>255</v>
      </c>
    </row>
    <row r="19" spans="1:1" x14ac:dyDescent="0.2">
      <c r="A19" s="55" t="s">
        <v>261</v>
      </c>
    </row>
    <row r="20" spans="1:1" x14ac:dyDescent="0.2">
      <c r="A20" s="55" t="s">
        <v>258</v>
      </c>
    </row>
    <row r="21" spans="1:1" x14ac:dyDescent="0.2">
      <c r="A21" s="19" t="s">
        <v>159</v>
      </c>
    </row>
    <row r="22" spans="1:1" x14ac:dyDescent="0.2">
      <c r="A22" s="2" t="s">
        <v>16</v>
      </c>
    </row>
    <row r="23" spans="1:1" x14ac:dyDescent="0.2">
      <c r="A23" s="55" t="s">
        <v>155</v>
      </c>
    </row>
    <row r="24" spans="1:1" x14ac:dyDescent="0.2">
      <c r="A24" s="55" t="s">
        <v>166</v>
      </c>
    </row>
    <row r="25" spans="1:1" x14ac:dyDescent="0.2">
      <c r="A25" s="2" t="s">
        <v>19</v>
      </c>
    </row>
    <row r="26" spans="1:1" x14ac:dyDescent="0.2">
      <c r="A26" s="55" t="s">
        <v>205</v>
      </c>
    </row>
    <row r="27" spans="1:1" x14ac:dyDescent="0.2">
      <c r="A27" s="19" t="s">
        <v>127</v>
      </c>
    </row>
    <row r="28" spans="1:1" x14ac:dyDescent="0.2">
      <c r="A28" s="2" t="s">
        <v>52</v>
      </c>
    </row>
    <row r="29" spans="1:1" x14ac:dyDescent="0.2">
      <c r="A29" s="55" t="s">
        <v>136</v>
      </c>
    </row>
    <row r="30" spans="1:1" x14ac:dyDescent="0.2">
      <c r="A30" s="55" t="s">
        <v>126</v>
      </c>
    </row>
    <row r="31" spans="1:1" x14ac:dyDescent="0.2">
      <c r="A31" s="19" t="s">
        <v>112</v>
      </c>
    </row>
    <row r="32" spans="1:1" x14ac:dyDescent="0.2">
      <c r="A32" s="2" t="s">
        <v>55</v>
      </c>
    </row>
    <row r="33" spans="1:1" x14ac:dyDescent="0.2">
      <c r="A33" s="55" t="s">
        <v>106</v>
      </c>
    </row>
    <row r="34" spans="1:1" x14ac:dyDescent="0.2">
      <c r="A34" s="55" t="s">
        <v>122</v>
      </c>
    </row>
    <row r="35" spans="1:1" x14ac:dyDescent="0.2">
      <c r="A35" s="2" t="s">
        <v>54</v>
      </c>
    </row>
    <row r="36" spans="1:1" x14ac:dyDescent="0.2">
      <c r="A36" s="55" t="s">
        <v>191</v>
      </c>
    </row>
    <row r="37" spans="1:1" x14ac:dyDescent="0.2">
      <c r="A37" s="55" t="s">
        <v>199</v>
      </c>
    </row>
    <row r="38" spans="1:1" x14ac:dyDescent="0.2">
      <c r="A38" s="55" t="s">
        <v>202</v>
      </c>
    </row>
    <row r="39" spans="1:1" x14ac:dyDescent="0.2">
      <c r="A39" s="55" t="s">
        <v>222</v>
      </c>
    </row>
    <row r="40" spans="1:1" x14ac:dyDescent="0.2">
      <c r="A40" s="55" t="s">
        <v>211</v>
      </c>
    </row>
    <row r="41" spans="1:1" x14ac:dyDescent="0.2">
      <c r="A41" s="2" t="s">
        <v>30</v>
      </c>
    </row>
    <row r="42" spans="1:1" x14ac:dyDescent="0.2">
      <c r="A42" s="55" t="s">
        <v>236</v>
      </c>
    </row>
    <row r="43" spans="1:1" x14ac:dyDescent="0.2">
      <c r="A43" s="55" t="s">
        <v>226</v>
      </c>
    </row>
    <row r="44" spans="1:1" x14ac:dyDescent="0.2">
      <c r="A44" s="2" t="s">
        <v>39</v>
      </c>
    </row>
    <row r="45" spans="1:1" x14ac:dyDescent="0.2">
      <c r="A45" s="55" t="s">
        <v>241</v>
      </c>
    </row>
    <row r="46" spans="1:1" x14ac:dyDescent="0.2">
      <c r="A46" s="2" t="s">
        <v>56</v>
      </c>
    </row>
    <row r="47" spans="1:1" x14ac:dyDescent="0.2">
      <c r="A47" s="55" t="s">
        <v>267</v>
      </c>
    </row>
    <row r="48" spans="1:1" x14ac:dyDescent="0.2">
      <c r="A48" s="2" t="s">
        <v>19</v>
      </c>
    </row>
    <row r="49" spans="1:1" x14ac:dyDescent="0.2">
      <c r="A49" s="55" t="s">
        <v>291</v>
      </c>
    </row>
    <row r="50" spans="1:1" x14ac:dyDescent="0.2">
      <c r="A50" s="55" t="s">
        <v>304</v>
      </c>
    </row>
    <row r="51" spans="1:1" x14ac:dyDescent="0.2">
      <c r="A51" s="55" t="s">
        <v>310</v>
      </c>
    </row>
    <row r="52" spans="1:1" x14ac:dyDescent="0.2">
      <c r="A52" s="2" t="s">
        <v>34</v>
      </c>
    </row>
    <row r="53" spans="1:1" x14ac:dyDescent="0.2">
      <c r="A53" s="55" t="s">
        <v>314</v>
      </c>
    </row>
    <row r="54" spans="1:1" x14ac:dyDescent="0.2">
      <c r="A54" s="55" t="s">
        <v>318</v>
      </c>
    </row>
    <row r="55" spans="1:1" x14ac:dyDescent="0.2">
      <c r="A55" s="19" t="s">
        <v>98</v>
      </c>
    </row>
    <row r="56" spans="1:1" x14ac:dyDescent="0.2">
      <c r="A56" s="2" t="s">
        <v>53</v>
      </c>
    </row>
    <row r="57" spans="1:1" x14ac:dyDescent="0.2">
      <c r="A57" s="55" t="s">
        <v>139</v>
      </c>
    </row>
    <row r="58" spans="1:1" x14ac:dyDescent="0.2">
      <c r="A58" s="55" t="s">
        <v>151</v>
      </c>
    </row>
    <row r="59" spans="1:1" x14ac:dyDescent="0.2">
      <c r="A59" s="2" t="s">
        <v>54</v>
      </c>
    </row>
    <row r="60" spans="1:1" x14ac:dyDescent="0.2">
      <c r="A60" s="55" t="s">
        <v>215</v>
      </c>
    </row>
    <row r="61" spans="1:1" x14ac:dyDescent="0.2">
      <c r="A61" s="2" t="s">
        <v>16</v>
      </c>
    </row>
    <row r="62" spans="1:1" x14ac:dyDescent="0.2">
      <c r="A62" s="55" t="s">
        <v>272</v>
      </c>
    </row>
    <row r="63" spans="1:1" x14ac:dyDescent="0.2">
      <c r="A63" s="55" t="s">
        <v>279</v>
      </c>
    </row>
    <row r="64" spans="1:1" x14ac:dyDescent="0.2">
      <c r="A64" s="2" t="s">
        <v>19</v>
      </c>
    </row>
    <row r="65" spans="1:1" x14ac:dyDescent="0.2">
      <c r="A65" s="55" t="s">
        <v>283</v>
      </c>
    </row>
    <row r="66" spans="1:1" x14ac:dyDescent="0.2">
      <c r="A66" s="19" t="s">
        <v>50</v>
      </c>
    </row>
    <row r="67" spans="1:1" x14ac:dyDescent="0.2">
      <c r="A67" s="2" t="s">
        <v>19</v>
      </c>
    </row>
    <row r="68" spans="1:1" x14ac:dyDescent="0.2">
      <c r="A68" s="55" t="s">
        <v>307</v>
      </c>
    </row>
    <row r="69" spans="1:1" x14ac:dyDescent="0.2">
      <c r="A69" s="2" t="s">
        <v>50</v>
      </c>
    </row>
    <row r="70" spans="1:1" x14ac:dyDescent="0.2">
      <c r="A70" s="55" t="s">
        <v>50</v>
      </c>
    </row>
    <row r="71" spans="1:1" x14ac:dyDescent="0.2">
      <c r="A71" s="19" t="s">
        <v>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95F8-8D46-465D-9A5D-92BBAFBE9145}">
  <dimension ref="A1:E52"/>
  <sheetViews>
    <sheetView zoomScaleNormal="100" workbookViewId="0">
      <selection activeCell="C5" sqref="C5 C7 C9:C10 C12:C18 C20 C22 C24:C26 C28:C30 C32:C33 C35:C37 C39 C41 C43 C45 C47:C50"/>
    </sheetView>
  </sheetViews>
  <sheetFormatPr baseColWidth="10" defaultColWidth="8.83203125" defaultRowHeight="15" x14ac:dyDescent="0.2"/>
  <cols>
    <col min="1" max="1" width="27.5" bestFit="1" customWidth="1"/>
    <col min="2" max="2" width="61.83203125" bestFit="1" customWidth="1"/>
    <col min="3" max="3" width="12.5" bestFit="1" customWidth="1"/>
    <col min="4" max="4" width="18.33203125" bestFit="1" customWidth="1"/>
    <col min="5" max="5" width="64.6640625" bestFit="1" customWidth="1"/>
  </cols>
  <sheetData>
    <row r="1" spans="1:5" x14ac:dyDescent="0.2">
      <c r="A1" s="25" t="s">
        <v>322</v>
      </c>
      <c r="B1" t="s">
        <v>572</v>
      </c>
    </row>
    <row r="3" spans="1:5" x14ac:dyDescent="0.2">
      <c r="A3" s="25" t="s">
        <v>766</v>
      </c>
      <c r="B3" s="25" t="s">
        <v>563</v>
      </c>
      <c r="C3" s="25" t="s">
        <v>324</v>
      </c>
      <c r="D3" s="25" t="s">
        <v>76</v>
      </c>
      <c r="E3" s="25" t="s">
        <v>565</v>
      </c>
    </row>
    <row r="4" spans="1:5" x14ac:dyDescent="0.2">
      <c r="A4" s="136" t="s">
        <v>612</v>
      </c>
      <c r="B4" s="137"/>
      <c r="C4" s="137"/>
      <c r="D4" s="137"/>
      <c r="E4" s="137"/>
    </row>
    <row r="5" spans="1:5" x14ac:dyDescent="0.2">
      <c r="A5" s="130" t="s">
        <v>607</v>
      </c>
      <c r="B5" s="19" t="s">
        <v>610</v>
      </c>
      <c r="C5" s="129">
        <v>45548</v>
      </c>
      <c r="D5" s="19" t="s">
        <v>611</v>
      </c>
      <c r="E5" s="19" t="s">
        <v>613</v>
      </c>
    </row>
    <row r="6" spans="1:5" x14ac:dyDescent="0.2">
      <c r="A6" s="136" t="s">
        <v>571</v>
      </c>
      <c r="B6" s="137"/>
      <c r="C6" s="137"/>
      <c r="D6" s="137"/>
      <c r="E6" s="137"/>
    </row>
    <row r="7" spans="1:5" x14ac:dyDescent="0.2">
      <c r="A7" s="130" t="s">
        <v>27</v>
      </c>
      <c r="B7" s="19" t="s">
        <v>609</v>
      </c>
      <c r="C7" s="129">
        <v>45569</v>
      </c>
      <c r="D7" s="19" t="s">
        <v>628</v>
      </c>
      <c r="E7" s="19" t="s">
        <v>630</v>
      </c>
    </row>
    <row r="8" spans="1:5" x14ac:dyDescent="0.2">
      <c r="A8" s="136" t="s">
        <v>701</v>
      </c>
      <c r="B8" s="137"/>
      <c r="C8" s="137"/>
      <c r="D8" s="137"/>
      <c r="E8" s="137"/>
    </row>
    <row r="9" spans="1:5" x14ac:dyDescent="0.2">
      <c r="A9" s="130" t="s">
        <v>39</v>
      </c>
      <c r="B9" s="19" t="s">
        <v>569</v>
      </c>
      <c r="C9" s="129">
        <v>45541</v>
      </c>
      <c r="D9" s="19" t="s">
        <v>284</v>
      </c>
      <c r="E9" s="19" t="s">
        <v>50</v>
      </c>
    </row>
    <row r="10" spans="1:5" x14ac:dyDescent="0.2">
      <c r="A10" s="130" t="s">
        <v>734</v>
      </c>
      <c r="B10" s="19" t="s">
        <v>609</v>
      </c>
      <c r="C10" s="129">
        <v>45576</v>
      </c>
      <c r="D10" s="19" t="s">
        <v>584</v>
      </c>
      <c r="E10" s="19" t="s">
        <v>741</v>
      </c>
    </row>
    <row r="11" spans="1:5" x14ac:dyDescent="0.2">
      <c r="A11" s="136" t="s">
        <v>601</v>
      </c>
      <c r="B11" s="137"/>
      <c r="C11" s="137"/>
      <c r="D11" s="137"/>
      <c r="E11" s="137"/>
    </row>
    <row r="12" spans="1:5" x14ac:dyDescent="0.2">
      <c r="A12" s="130" t="s">
        <v>653</v>
      </c>
      <c r="B12" s="19" t="s">
        <v>658</v>
      </c>
      <c r="C12" s="129">
        <v>45562</v>
      </c>
      <c r="D12" s="19" t="s">
        <v>584</v>
      </c>
      <c r="E12" s="19" t="s">
        <v>659</v>
      </c>
    </row>
    <row r="13" spans="1:5" x14ac:dyDescent="0.2">
      <c r="A13" s="130" t="s">
        <v>688</v>
      </c>
      <c r="B13" s="19" t="s">
        <v>693</v>
      </c>
      <c r="C13" s="129">
        <v>45562</v>
      </c>
      <c r="D13" s="19" t="s">
        <v>584</v>
      </c>
      <c r="E13" s="19" t="s">
        <v>50</v>
      </c>
    </row>
    <row r="14" spans="1:5" x14ac:dyDescent="0.2">
      <c r="A14" s="150"/>
      <c r="B14" s="19" t="s">
        <v>694</v>
      </c>
      <c r="C14" s="129">
        <v>45569</v>
      </c>
      <c r="D14" s="19" t="s">
        <v>584</v>
      </c>
      <c r="E14" s="19" t="s">
        <v>50</v>
      </c>
    </row>
    <row r="15" spans="1:5" x14ac:dyDescent="0.2">
      <c r="A15" s="150"/>
      <c r="B15" s="19" t="s">
        <v>691</v>
      </c>
      <c r="C15" s="129">
        <v>45562</v>
      </c>
      <c r="D15" s="19" t="s">
        <v>284</v>
      </c>
      <c r="E15" s="19" t="s">
        <v>50</v>
      </c>
    </row>
    <row r="16" spans="1:5" x14ac:dyDescent="0.2">
      <c r="A16" s="130" t="s">
        <v>39</v>
      </c>
      <c r="B16" s="19" t="s">
        <v>705</v>
      </c>
      <c r="C16" s="129">
        <v>45562</v>
      </c>
      <c r="D16" s="19" t="s">
        <v>284</v>
      </c>
      <c r="E16" s="19" t="s">
        <v>50</v>
      </c>
    </row>
    <row r="17" spans="1:5" x14ac:dyDescent="0.2">
      <c r="A17" s="130" t="s">
        <v>34</v>
      </c>
      <c r="B17" s="19" t="s">
        <v>693</v>
      </c>
      <c r="C17" s="129">
        <v>45562</v>
      </c>
      <c r="D17" s="19" t="s">
        <v>584</v>
      </c>
      <c r="E17" s="19" t="s">
        <v>751</v>
      </c>
    </row>
    <row r="18" spans="1:5" x14ac:dyDescent="0.2">
      <c r="A18" s="150"/>
      <c r="B18" s="19" t="s">
        <v>694</v>
      </c>
      <c r="C18" s="129">
        <v>45569</v>
      </c>
      <c r="D18" s="19" t="s">
        <v>172</v>
      </c>
      <c r="E18" s="19" t="s">
        <v>50</v>
      </c>
    </row>
    <row r="19" spans="1:5" x14ac:dyDescent="0.2">
      <c r="A19" s="136" t="s">
        <v>709</v>
      </c>
      <c r="B19" s="137"/>
      <c r="C19" s="137"/>
      <c r="D19" s="137"/>
      <c r="E19" s="137"/>
    </row>
    <row r="20" spans="1:5" x14ac:dyDescent="0.2">
      <c r="A20" s="130" t="s">
        <v>39</v>
      </c>
      <c r="B20" s="19" t="s">
        <v>708</v>
      </c>
      <c r="C20" s="129">
        <v>45541</v>
      </c>
      <c r="D20" s="19" t="s">
        <v>611</v>
      </c>
      <c r="E20" s="19" t="s">
        <v>710</v>
      </c>
    </row>
    <row r="21" spans="1:5" x14ac:dyDescent="0.2">
      <c r="A21" s="136" t="s">
        <v>707</v>
      </c>
      <c r="B21" s="137"/>
      <c r="C21" s="137"/>
      <c r="D21" s="137"/>
      <c r="E21" s="137"/>
    </row>
    <row r="22" spans="1:5" x14ac:dyDescent="0.2">
      <c r="A22" s="130" t="s">
        <v>39</v>
      </c>
      <c r="B22" s="19" t="s">
        <v>706</v>
      </c>
      <c r="C22" s="129">
        <v>45569</v>
      </c>
      <c r="D22" s="19" t="s">
        <v>584</v>
      </c>
      <c r="E22" s="19" t="s">
        <v>50</v>
      </c>
    </row>
    <row r="23" spans="1:5" x14ac:dyDescent="0.2">
      <c r="A23" s="136" t="s">
        <v>655</v>
      </c>
      <c r="B23" s="137"/>
      <c r="C23" s="137"/>
      <c r="D23" s="137"/>
      <c r="E23" s="137"/>
    </row>
    <row r="24" spans="1:5" x14ac:dyDescent="0.2">
      <c r="A24" s="130" t="s">
        <v>653</v>
      </c>
      <c r="B24" s="19" t="s">
        <v>654</v>
      </c>
      <c r="C24" s="129">
        <v>45555</v>
      </c>
      <c r="D24" s="19" t="s">
        <v>611</v>
      </c>
      <c r="E24" s="129">
        <v>45559</v>
      </c>
    </row>
    <row r="25" spans="1:5" x14ac:dyDescent="0.2">
      <c r="A25" s="130" t="s">
        <v>22</v>
      </c>
      <c r="B25" s="19" t="s">
        <v>654</v>
      </c>
      <c r="C25" s="129">
        <v>45562</v>
      </c>
      <c r="D25" s="19" t="s">
        <v>584</v>
      </c>
      <c r="E25" s="19" t="s">
        <v>50</v>
      </c>
    </row>
    <row r="26" spans="1:5" x14ac:dyDescent="0.2">
      <c r="A26" s="136" t="s">
        <v>580</v>
      </c>
      <c r="B26" s="137"/>
      <c r="C26" s="137"/>
      <c r="D26" s="137"/>
      <c r="E26" s="137"/>
    </row>
    <row r="27" spans="1:5" x14ac:dyDescent="0.2">
      <c r="A27" s="130" t="s">
        <v>566</v>
      </c>
      <c r="B27" s="19" t="s">
        <v>591</v>
      </c>
      <c r="C27" s="129">
        <v>45562</v>
      </c>
      <c r="D27" s="19" t="s">
        <v>284</v>
      </c>
      <c r="E27" s="19" t="s">
        <v>588</v>
      </c>
    </row>
    <row r="28" spans="1:5" x14ac:dyDescent="0.2">
      <c r="A28" s="150"/>
      <c r="B28" s="19" t="s">
        <v>589</v>
      </c>
      <c r="C28" s="129">
        <v>45562</v>
      </c>
      <c r="D28" s="19" t="s">
        <v>284</v>
      </c>
      <c r="E28" s="19" t="s">
        <v>588</v>
      </c>
    </row>
    <row r="29" spans="1:5" x14ac:dyDescent="0.2">
      <c r="A29" s="150"/>
      <c r="B29" s="19" t="s">
        <v>590</v>
      </c>
      <c r="C29" s="129">
        <v>45562</v>
      </c>
      <c r="D29" s="19" t="s">
        <v>284</v>
      </c>
      <c r="E29" s="19" t="s">
        <v>588</v>
      </c>
    </row>
    <row r="30" spans="1:5" x14ac:dyDescent="0.2">
      <c r="A30" s="136" t="s">
        <v>596</v>
      </c>
      <c r="B30" s="137"/>
      <c r="C30" s="137"/>
      <c r="D30" s="137"/>
      <c r="E30" s="137"/>
    </row>
    <row r="31" spans="1:5" x14ac:dyDescent="0.2">
      <c r="A31" s="130" t="s">
        <v>566</v>
      </c>
      <c r="B31" s="19" t="s">
        <v>594</v>
      </c>
      <c r="C31" s="129">
        <v>45576</v>
      </c>
      <c r="D31" s="19" t="s">
        <v>595</v>
      </c>
      <c r="E31" s="19" t="s">
        <v>50</v>
      </c>
    </row>
    <row r="32" spans="1:5" x14ac:dyDescent="0.2">
      <c r="A32" s="130" t="s">
        <v>27</v>
      </c>
      <c r="B32" s="19" t="s">
        <v>639</v>
      </c>
      <c r="C32" s="129">
        <v>45583</v>
      </c>
      <c r="D32" s="19" t="s">
        <v>584</v>
      </c>
      <c r="E32" s="19" t="s">
        <v>50</v>
      </c>
    </row>
    <row r="33" spans="1:5" x14ac:dyDescent="0.2">
      <c r="A33" s="136" t="s">
        <v>576</v>
      </c>
      <c r="B33" s="137"/>
      <c r="C33" s="137"/>
      <c r="D33" s="137"/>
      <c r="E33" s="137"/>
    </row>
    <row r="34" spans="1:5" x14ac:dyDescent="0.2">
      <c r="A34" s="130" t="s">
        <v>566</v>
      </c>
      <c r="B34" s="19" t="s">
        <v>574</v>
      </c>
      <c r="C34" s="129">
        <v>45541</v>
      </c>
      <c r="D34" s="19" t="s">
        <v>284</v>
      </c>
      <c r="E34" s="19" t="s">
        <v>577</v>
      </c>
    </row>
    <row r="35" spans="1:5" x14ac:dyDescent="0.2">
      <c r="A35" s="130" t="s">
        <v>653</v>
      </c>
      <c r="B35" s="19" t="s">
        <v>656</v>
      </c>
      <c r="C35" s="129">
        <v>45562</v>
      </c>
      <c r="D35" s="19" t="s">
        <v>628</v>
      </c>
      <c r="E35" s="19" t="s">
        <v>50</v>
      </c>
    </row>
    <row r="36" spans="1:5" x14ac:dyDescent="0.2">
      <c r="A36" s="130" t="s">
        <v>22</v>
      </c>
      <c r="B36" s="19" t="s">
        <v>656</v>
      </c>
      <c r="C36" s="129">
        <v>45569</v>
      </c>
      <c r="D36" s="19" t="s">
        <v>628</v>
      </c>
      <c r="E36" s="19" t="s">
        <v>50</v>
      </c>
    </row>
    <row r="37" spans="1:5" x14ac:dyDescent="0.2">
      <c r="A37" s="136" t="s">
        <v>629</v>
      </c>
      <c r="B37" s="137"/>
      <c r="C37" s="137"/>
      <c r="D37" s="137"/>
      <c r="E37" s="137"/>
    </row>
    <row r="38" spans="1:5" x14ac:dyDescent="0.2">
      <c r="A38" s="130" t="s">
        <v>27</v>
      </c>
      <c r="B38" s="19" t="s">
        <v>627</v>
      </c>
      <c r="C38" s="129">
        <v>45569</v>
      </c>
      <c r="D38" s="19" t="s">
        <v>628</v>
      </c>
      <c r="E38" s="19" t="s">
        <v>50</v>
      </c>
    </row>
    <row r="39" spans="1:5" x14ac:dyDescent="0.2">
      <c r="A39" s="136" t="s">
        <v>679</v>
      </c>
      <c r="B39" s="137"/>
      <c r="C39" s="137"/>
      <c r="D39" s="137"/>
      <c r="E39" s="137"/>
    </row>
    <row r="40" spans="1:5" x14ac:dyDescent="0.2">
      <c r="A40" s="130" t="s">
        <v>675</v>
      </c>
      <c r="B40" s="19" t="s">
        <v>678</v>
      </c>
      <c r="C40" s="129">
        <v>45576</v>
      </c>
      <c r="D40" s="19" t="s">
        <v>584</v>
      </c>
      <c r="E40" s="19" t="s">
        <v>50</v>
      </c>
    </row>
    <row r="41" spans="1:5" x14ac:dyDescent="0.2">
      <c r="A41" s="136" t="s">
        <v>728</v>
      </c>
      <c r="B41" s="137"/>
      <c r="C41" s="137"/>
      <c r="D41" s="137"/>
      <c r="E41" s="137"/>
    </row>
    <row r="42" spans="1:5" x14ac:dyDescent="0.2">
      <c r="A42" s="151" t="s">
        <v>16</v>
      </c>
      <c r="B42" s="152" t="s">
        <v>582</v>
      </c>
      <c r="C42" s="129">
        <v>45562</v>
      </c>
      <c r="D42" s="19" t="s">
        <v>584</v>
      </c>
      <c r="E42" s="19" t="s">
        <v>50</v>
      </c>
    </row>
    <row r="43" spans="1:5" x14ac:dyDescent="0.2">
      <c r="A43" s="136" t="s">
        <v>702</v>
      </c>
      <c r="B43" s="137"/>
      <c r="C43" s="137"/>
      <c r="D43" s="137"/>
      <c r="E43" s="137"/>
    </row>
    <row r="44" spans="1:5" x14ac:dyDescent="0.2">
      <c r="A44" s="130" t="s">
        <v>39</v>
      </c>
      <c r="B44" s="19" t="s">
        <v>656</v>
      </c>
      <c r="C44" s="129">
        <v>45555</v>
      </c>
      <c r="D44" s="19" t="s">
        <v>284</v>
      </c>
      <c r="E44" s="19" t="s">
        <v>703</v>
      </c>
    </row>
    <row r="45" spans="1:5" x14ac:dyDescent="0.2">
      <c r="A45" s="136" t="s">
        <v>676</v>
      </c>
      <c r="B45" s="137"/>
      <c r="C45" s="137"/>
      <c r="D45" s="137"/>
      <c r="E45" s="137"/>
    </row>
    <row r="46" spans="1:5" x14ac:dyDescent="0.2">
      <c r="A46" s="130" t="s">
        <v>675</v>
      </c>
      <c r="B46" s="19" t="s">
        <v>656</v>
      </c>
      <c r="C46" s="129">
        <v>45565</v>
      </c>
      <c r="D46" s="19" t="s">
        <v>628</v>
      </c>
      <c r="E46" s="19" t="s">
        <v>677</v>
      </c>
    </row>
    <row r="47" spans="1:5" x14ac:dyDescent="0.2">
      <c r="A47" s="136" t="s">
        <v>625</v>
      </c>
      <c r="B47" s="137"/>
      <c r="C47" s="137"/>
      <c r="D47" s="137"/>
      <c r="E47" s="137"/>
    </row>
    <row r="48" spans="1:5" x14ac:dyDescent="0.2">
      <c r="A48" s="130" t="s">
        <v>27</v>
      </c>
      <c r="B48" s="19" t="s">
        <v>569</v>
      </c>
      <c r="C48" s="129">
        <v>45548</v>
      </c>
      <c r="D48" s="19" t="s">
        <v>611</v>
      </c>
      <c r="E48" s="19" t="s">
        <v>767</v>
      </c>
    </row>
    <row r="49" spans="1:5" x14ac:dyDescent="0.2">
      <c r="A49" s="130" t="s">
        <v>675</v>
      </c>
      <c r="B49" s="19" t="s">
        <v>569</v>
      </c>
      <c r="C49" s="129">
        <v>45565</v>
      </c>
      <c r="D49" s="19" t="s">
        <v>611</v>
      </c>
      <c r="E49" s="19" t="s">
        <v>50</v>
      </c>
    </row>
    <row r="50" spans="1:5" x14ac:dyDescent="0.2">
      <c r="A50" s="136" t="s">
        <v>173</v>
      </c>
      <c r="B50" s="137"/>
      <c r="C50" s="137"/>
      <c r="D50" s="137"/>
      <c r="E50" s="137"/>
    </row>
    <row r="51" spans="1:5" x14ac:dyDescent="0.2">
      <c r="A51" s="130" t="s">
        <v>675</v>
      </c>
      <c r="B51" s="19" t="s">
        <v>682</v>
      </c>
      <c r="C51" s="129">
        <v>45565</v>
      </c>
      <c r="D51" s="19" t="s">
        <v>172</v>
      </c>
      <c r="E51" s="19" t="s">
        <v>50</v>
      </c>
    </row>
    <row r="52" spans="1:5" x14ac:dyDescent="0.2">
      <c r="A52" s="19" t="s">
        <v>51</v>
      </c>
    </row>
  </sheetData>
  <conditionalFormatting sqref="D1:D1048576">
    <cfRule type="cellIs" dxfId="1" priority="1" operator="equal">
      <formula>"Complete"</formula>
    </cfRule>
    <cfRule type="cellIs" dxfId="0" priority="2" operator="equal">
      <formula>"Overdue"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1E67-BDAE-4AAC-A014-347C38B7E8B0}">
  <dimension ref="B1:N16"/>
  <sheetViews>
    <sheetView workbookViewId="0">
      <selection activeCell="J8" sqref="J8"/>
    </sheetView>
  </sheetViews>
  <sheetFormatPr baseColWidth="10" defaultColWidth="8.83203125" defaultRowHeight="15" x14ac:dyDescent="0.2"/>
  <cols>
    <col min="2" max="2" width="35.33203125" bestFit="1" customWidth="1"/>
    <col min="6" max="6" width="3.1640625" customWidth="1"/>
    <col min="7" max="7" width="36.83203125" customWidth="1"/>
    <col min="8" max="8" width="8" customWidth="1"/>
    <col min="9" max="9" width="31.5" customWidth="1"/>
    <col min="10" max="10" width="9" customWidth="1"/>
    <col min="11" max="11" width="14.5" style="9" customWidth="1"/>
    <col min="12" max="13" width="31.5" customWidth="1"/>
  </cols>
  <sheetData>
    <row r="1" spans="2:14" s="3" customFormat="1" ht="32" x14ac:dyDescent="0.2">
      <c r="B1" s="3" t="s">
        <v>76</v>
      </c>
      <c r="F1" t="s">
        <v>76</v>
      </c>
      <c r="I1" s="3" t="s">
        <v>768</v>
      </c>
      <c r="J1" s="3" t="s">
        <v>769</v>
      </c>
      <c r="K1" s="79" t="s">
        <v>770</v>
      </c>
      <c r="N1" s="3" t="s">
        <v>771</v>
      </c>
    </row>
    <row r="2" spans="2:14" x14ac:dyDescent="0.2">
      <c r="B2" t="s">
        <v>772</v>
      </c>
      <c r="D2" t="s">
        <v>130</v>
      </c>
      <c r="F2" t="s">
        <v>172</v>
      </c>
      <c r="I2" t="s">
        <v>773</v>
      </c>
      <c r="J2">
        <v>10</v>
      </c>
      <c r="K2" s="9">
        <v>60</v>
      </c>
      <c r="N2" t="s">
        <v>774</v>
      </c>
    </row>
    <row r="3" spans="2:14" x14ac:dyDescent="0.2">
      <c r="B3" t="s">
        <v>172</v>
      </c>
      <c r="D3" t="s">
        <v>145</v>
      </c>
      <c r="F3" t="s">
        <v>159</v>
      </c>
      <c r="I3" t="s">
        <v>172</v>
      </c>
      <c r="J3">
        <v>10</v>
      </c>
      <c r="K3" s="9">
        <v>60</v>
      </c>
      <c r="N3" t="s">
        <v>775</v>
      </c>
    </row>
    <row r="4" spans="2:14" x14ac:dyDescent="0.2">
      <c r="B4" t="s">
        <v>159</v>
      </c>
      <c r="D4" t="s">
        <v>172</v>
      </c>
      <c r="F4" t="s">
        <v>112</v>
      </c>
      <c r="I4" t="s">
        <v>159</v>
      </c>
      <c r="J4">
        <v>10</v>
      </c>
      <c r="K4" s="9">
        <v>60</v>
      </c>
      <c r="N4" t="s">
        <v>776</v>
      </c>
    </row>
    <row r="5" spans="2:14" x14ac:dyDescent="0.2">
      <c r="B5" t="s">
        <v>112</v>
      </c>
      <c r="D5" t="s">
        <v>127</v>
      </c>
      <c r="G5" t="s">
        <v>777</v>
      </c>
      <c r="I5" t="s">
        <v>777</v>
      </c>
      <c r="J5">
        <v>10</v>
      </c>
      <c r="K5" s="9">
        <v>60</v>
      </c>
    </row>
    <row r="6" spans="2:14" x14ac:dyDescent="0.2">
      <c r="B6" t="s">
        <v>128</v>
      </c>
      <c r="D6" t="s">
        <v>274</v>
      </c>
      <c r="G6" t="s">
        <v>778</v>
      </c>
      <c r="I6" t="s">
        <v>778</v>
      </c>
      <c r="J6">
        <v>10</v>
      </c>
      <c r="K6" s="9">
        <v>35</v>
      </c>
    </row>
    <row r="7" spans="2:14" x14ac:dyDescent="0.2">
      <c r="B7" t="s">
        <v>98</v>
      </c>
      <c r="D7" t="s">
        <v>115</v>
      </c>
      <c r="G7" t="s">
        <v>113</v>
      </c>
      <c r="I7" t="s">
        <v>113</v>
      </c>
      <c r="J7">
        <v>5</v>
      </c>
      <c r="K7" s="9">
        <f t="shared" ref="K7:K14" si="0">K6-J7</f>
        <v>30</v>
      </c>
    </row>
    <row r="8" spans="2:14" x14ac:dyDescent="0.2">
      <c r="B8" t="s">
        <v>779</v>
      </c>
      <c r="G8" t="s">
        <v>200</v>
      </c>
      <c r="I8" t="s">
        <v>200</v>
      </c>
      <c r="J8">
        <v>5</v>
      </c>
      <c r="K8" s="9">
        <f t="shared" si="0"/>
        <v>25</v>
      </c>
    </row>
    <row r="9" spans="2:14" x14ac:dyDescent="0.2">
      <c r="B9" t="s">
        <v>780</v>
      </c>
      <c r="F9" t="s">
        <v>128</v>
      </c>
      <c r="I9" t="s">
        <v>128</v>
      </c>
      <c r="J9">
        <v>10</v>
      </c>
      <c r="K9" s="9">
        <f t="shared" si="0"/>
        <v>15</v>
      </c>
    </row>
    <row r="10" spans="2:14" x14ac:dyDescent="0.2">
      <c r="F10" t="s">
        <v>98</v>
      </c>
      <c r="I10" t="s">
        <v>193</v>
      </c>
      <c r="J10">
        <v>3</v>
      </c>
      <c r="K10" s="9">
        <f t="shared" si="0"/>
        <v>12</v>
      </c>
    </row>
    <row r="11" spans="2:14" x14ac:dyDescent="0.2">
      <c r="G11" t="s">
        <v>193</v>
      </c>
      <c r="I11" t="s">
        <v>781</v>
      </c>
      <c r="J11">
        <v>5</v>
      </c>
      <c r="K11" s="9">
        <f t="shared" si="0"/>
        <v>7</v>
      </c>
    </row>
    <row r="12" spans="2:14" x14ac:dyDescent="0.2">
      <c r="G12" t="s">
        <v>781</v>
      </c>
      <c r="I12" t="s">
        <v>49</v>
      </c>
      <c r="J12">
        <v>5</v>
      </c>
      <c r="K12" s="9">
        <f t="shared" si="0"/>
        <v>2</v>
      </c>
    </row>
    <row r="13" spans="2:14" x14ac:dyDescent="0.2">
      <c r="G13" t="s">
        <v>49</v>
      </c>
      <c r="I13" t="s">
        <v>782</v>
      </c>
      <c r="J13">
        <v>2</v>
      </c>
      <c r="K13" s="9">
        <f t="shared" si="0"/>
        <v>0</v>
      </c>
    </row>
    <row r="14" spans="2:14" x14ac:dyDescent="0.2">
      <c r="F14" t="s">
        <v>780</v>
      </c>
      <c r="I14" t="s">
        <v>783</v>
      </c>
      <c r="J14">
        <v>0</v>
      </c>
      <c r="K14" s="9">
        <f t="shared" si="0"/>
        <v>0</v>
      </c>
    </row>
    <row r="15" spans="2:14" x14ac:dyDescent="0.2">
      <c r="F15" t="s">
        <v>772</v>
      </c>
    </row>
    <row r="16" spans="2:14" x14ac:dyDescent="0.2">
      <c r="F16" t="s">
        <v>779</v>
      </c>
    </row>
  </sheetData>
  <sortState xmlns:xlrd2="http://schemas.microsoft.com/office/spreadsheetml/2017/richdata2" ref="D2:D7">
    <sortCondition ref="D2:D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23732848957A4F80D33BDA9DE5A9B7" ma:contentTypeVersion="14" ma:contentTypeDescription="Create a new document." ma:contentTypeScope="" ma:versionID="4fde21a92bd43d7121d179b458ceb954">
  <xsd:schema xmlns:xsd="http://www.w3.org/2001/XMLSchema" xmlns:xs="http://www.w3.org/2001/XMLSchema" xmlns:p="http://schemas.microsoft.com/office/2006/metadata/properties" xmlns:ns2="ef033816-a0e6-4509-a8e2-97b34c35c2ad" xmlns:ns3="3b112f34-7ebd-4978-ae81-c8ae32b04a7c" targetNamespace="http://schemas.microsoft.com/office/2006/metadata/properties" ma:root="true" ma:fieldsID="001a6cfb546aaf9b99c0c233e84765ce" ns2:_="" ns3:_="">
    <xsd:import namespace="ef033816-a0e6-4509-a8e2-97b34c35c2ad"/>
    <xsd:import namespace="3b112f34-7ebd-4978-ae81-c8ae32b04a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33816-a0e6-4509-a8e2-97b34c35c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ffff582-5398-435b-be80-812982cbdd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112f34-7ebd-4978-ae81-c8ae32b04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0c92c1b-d0ac-4ab4-b7b6-64ad473a056e}" ma:internalName="TaxCatchAll" ma:showField="CatchAllData" ma:web="3b112f34-7ebd-4978-ae81-c8ae32b04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3b112f34-7ebd-4978-ae81-c8ae32b04a7c">
      <UserInfo>
        <DisplayName>Andre Gabriel</DisplayName>
        <AccountId>94</AccountId>
        <AccountType/>
      </UserInfo>
      <UserInfo>
        <DisplayName>Mrinal Baruah</DisplayName>
        <AccountId>19</AccountId>
        <AccountType/>
      </UserInfo>
    </SharedWithUsers>
    <TaxCatchAll xmlns="3b112f34-7ebd-4978-ae81-c8ae32b04a7c" xsi:nil="true"/>
    <lcf76f155ced4ddcb4097134ff3c332f xmlns="ef033816-a0e6-4509-a8e2-97b34c35c2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D18435-3162-40CB-80C1-774221559F31}">
  <ds:schemaRefs>
    <ds:schemaRef ds:uri="http://schemas.microsoft.com/sharepoint/v3/contenttype/forms"/>
  </ds:schemaRefs>
</ds:datastoreItem>
</file>

<file path=customXml/itemProps2.xml><?xml version="1.0" encoding="utf-8"?>
<ds:datastoreItem xmlns:ds="http://schemas.openxmlformats.org/officeDocument/2006/customXml" ds:itemID="{0A94C413-E8F5-413C-8384-427975F831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033816-a0e6-4509-a8e2-97b34c35c2ad"/>
    <ds:schemaRef ds:uri="3b112f34-7ebd-4978-ae81-c8ae32b04a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2CC55F-AE00-4416-9E61-E6F7B434B1A8}">
  <ds:schemaRefs>
    <ds:schemaRef ds:uri="http://schemas.microsoft.com/office/2006/metadata/properties"/>
    <ds:schemaRef ds:uri="http://schemas.microsoft.com/office/infopath/2007/PartnerControls"/>
    <ds:schemaRef ds:uri="3b112f34-7ebd-4978-ae81-c8ae32b04a7c"/>
    <ds:schemaRef ds:uri="ef033816-a0e6-4509-a8e2-97b34c35c2ad"/>
  </ds:schemaRefs>
</ds:datastoreItem>
</file>

<file path=docMetadata/LabelInfo.xml><?xml version="1.0" encoding="utf-8"?>
<clbl:labelList xmlns:clbl="http://schemas.microsoft.com/office/2020/mipLabelMetadata">
  <clbl:label id="{09fef5ea-23bc-46f0-a82c-ef3e79912e21}" enabled="1" method="Standard" siteId="{443614e2-ebe4-4568-8af0-66ca270d653f}"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Status</vt:lpstr>
      <vt:lpstr>Sheet1</vt:lpstr>
      <vt:lpstr>List</vt:lpstr>
      <vt:lpstr>Action Items</vt:lpstr>
      <vt:lpstr>Sheet2</vt:lpstr>
      <vt:lpstr>Barnes Project Plan</vt:lpstr>
      <vt:lpstr>Barnes UAT Pivot</vt:lpstr>
      <vt:lpstr>Barnes Doc Pivot</vt:lpstr>
      <vt:lpstr>Barnes Dev Pivot</vt:lpstr>
      <vt:lpstr>Pivot</vt:lpstr>
      <vt:lpstr>Current Week</vt:lpstr>
      <vt:lpstr>Drop 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Lindblad</dc:creator>
  <cp:keywords/>
  <dc:description/>
  <cp:lastModifiedBy>Pronovost1, Eric</cp:lastModifiedBy>
  <cp:revision/>
  <dcterms:created xsi:type="dcterms:W3CDTF">2023-11-10T10:22:29Z</dcterms:created>
  <dcterms:modified xsi:type="dcterms:W3CDTF">2026-09-30T23:01:42Z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0x010100EA23732848957A4F80D33BDA9DE5A9B7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23c8cb6c-d4f1-414d-89e3-d897c55612ae_Enabled">
    <vt:lpwstr>true</vt:lpwstr>
  </property>
  <property fmtid="{D5CDD505-2E9C-101B-9397-08002B2CF9AE}" pid="7" name="MSIP_Label_23c8cb6c-d4f1-414d-89e3-d897c55612ae_SetDate">
    <vt:lpwstr>2024-04-05T12:59:14Z</vt:lpwstr>
  </property>
  <property fmtid="{D5CDD505-2E9C-101B-9397-08002B2CF9AE}" pid="8" name="MSIP_Label_23c8cb6c-d4f1-414d-89e3-d897c55612ae_Method">
    <vt:lpwstr>Privileged</vt:lpwstr>
  </property>
  <property fmtid="{D5CDD505-2E9C-101B-9397-08002B2CF9AE}" pid="9" name="MSIP_Label_23c8cb6c-d4f1-414d-89e3-d897c55612ae_Name">
    <vt:lpwstr>Public</vt:lpwstr>
  </property>
  <property fmtid="{D5CDD505-2E9C-101B-9397-08002B2CF9AE}" pid="10" name="MSIP_Label_23c8cb6c-d4f1-414d-89e3-d897c55612ae_SiteId">
    <vt:lpwstr>443614e2-ebe4-4568-8af0-66ca270d653f</vt:lpwstr>
  </property>
  <property fmtid="{D5CDD505-2E9C-101B-9397-08002B2CF9AE}" pid="11" name="MSIP_Label_23c8cb6c-d4f1-414d-89e3-d897c55612ae_ActionId">
    <vt:lpwstr>b5dcc514-c126-44ed-ac76-e30f09ad5bf4</vt:lpwstr>
  </property>
  <property fmtid="{D5CDD505-2E9C-101B-9397-08002B2CF9AE}" pid="12" name="MSIP_Label_23c8cb6c-d4f1-414d-89e3-d897c55612ae_ContentBits">
    <vt:lpwstr>0</vt:lpwstr>
  </property>
</Properties>
</file>