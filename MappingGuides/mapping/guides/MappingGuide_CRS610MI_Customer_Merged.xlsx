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ericpronovost/Doppio/MappingGuides/mapping/guides/"/>
    </mc:Choice>
  </mc:AlternateContent>
  <xr:revisionPtr revIDLastSave="0" documentId="13_ncr:1_{EB47BA6A-BBBE-C747-A935-DEF492E3D35E}" xr6:coauthVersionLast="47" xr6:coauthVersionMax="47" xr10:uidLastSave="{00000000-0000-0000-0000-000000000000}"/>
  <bookViews>
    <workbookView xWindow="0" yWindow="680" windowWidth="34560" windowHeight="21660" xr2:uid="{00000000-000D-0000-FFFF-FFFF00000000}"/>
  </bookViews>
  <sheets>
    <sheet name="Mapping Guide"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 l="1" a="1"/>
  <c r="AE3" i="1" s="1"/>
  <c r="AE4" i="1" a="1"/>
  <c r="AE4" i="1" s="1"/>
  <c r="AE5" i="1" a="1"/>
  <c r="AE5" i="1" s="1"/>
  <c r="AE6" i="1" a="1"/>
  <c r="AE6" i="1" s="1"/>
  <c r="AE7" i="1" a="1"/>
  <c r="AE7" i="1" s="1"/>
  <c r="AE8" i="1" a="1"/>
  <c r="AE8" i="1" s="1"/>
  <c r="AE9" i="1" a="1"/>
  <c r="AE9" i="1" s="1"/>
  <c r="AE10" i="1" a="1"/>
  <c r="AE10" i="1" s="1"/>
  <c r="AE11" i="1" a="1"/>
  <c r="AE11" i="1" s="1"/>
  <c r="AE12" i="1" a="1"/>
  <c r="AE12" i="1" s="1"/>
  <c r="AE13" i="1" a="1"/>
  <c r="AE13" i="1" s="1"/>
  <c r="AE14" i="1" a="1"/>
  <c r="AE14" i="1" s="1"/>
  <c r="AE15" i="1" a="1"/>
  <c r="AE15" i="1" s="1"/>
  <c r="AE16" i="1" a="1"/>
  <c r="AE16" i="1" s="1"/>
  <c r="AE17" i="1" a="1"/>
  <c r="AE17" i="1" s="1"/>
  <c r="AE18" i="1" a="1"/>
  <c r="AE18" i="1" s="1"/>
  <c r="AE19" i="1" a="1"/>
  <c r="AE19" i="1" s="1"/>
  <c r="AE20" i="1" a="1"/>
  <c r="AE20" i="1" s="1"/>
  <c r="AE21" i="1" a="1"/>
  <c r="AE21" i="1" s="1"/>
  <c r="AE22" i="1" a="1"/>
  <c r="AE22" i="1" s="1"/>
  <c r="AE23" i="1" a="1"/>
  <c r="AE23" i="1" s="1"/>
  <c r="AE24" i="1" a="1"/>
  <c r="AE24" i="1" s="1"/>
  <c r="AE25" i="1" a="1"/>
  <c r="AE25" i="1" s="1"/>
  <c r="AE26" i="1" a="1"/>
  <c r="AE26" i="1" s="1"/>
  <c r="AE27" i="1" a="1"/>
  <c r="AE27" i="1" s="1"/>
  <c r="AE28" i="1" a="1"/>
  <c r="AE28" i="1" s="1"/>
  <c r="AE29" i="1" a="1"/>
  <c r="AE29" i="1" s="1"/>
  <c r="AE30" i="1" a="1"/>
  <c r="AE30" i="1" s="1"/>
  <c r="AE31" i="1" a="1"/>
  <c r="AE31" i="1" s="1"/>
  <c r="AE32" i="1" a="1"/>
  <c r="AE32" i="1" s="1"/>
  <c r="AE33" i="1" a="1"/>
  <c r="AE33" i="1" s="1"/>
  <c r="AE34" i="1" a="1"/>
  <c r="AE34" i="1" s="1"/>
  <c r="AE35" i="1" a="1"/>
  <c r="AE35" i="1" s="1"/>
  <c r="AE36" i="1" a="1"/>
  <c r="AE36" i="1" s="1"/>
  <c r="AE37" i="1" a="1"/>
  <c r="AE37" i="1" s="1"/>
  <c r="AE38" i="1" a="1"/>
  <c r="AE38" i="1" s="1"/>
  <c r="AE39" i="1" a="1"/>
  <c r="AE39" i="1" s="1"/>
  <c r="AE40" i="1" a="1"/>
  <c r="AE40" i="1" s="1"/>
  <c r="AE41" i="1" a="1"/>
  <c r="AE41" i="1" s="1"/>
  <c r="AE42" i="1" a="1"/>
  <c r="AE42" i="1" s="1"/>
  <c r="AE43" i="1" a="1"/>
  <c r="AE43" i="1" s="1"/>
  <c r="AE44" i="1" a="1"/>
  <c r="AE44" i="1" s="1"/>
  <c r="AE45" i="1" a="1"/>
  <c r="AE45" i="1" s="1"/>
  <c r="AE46" i="1" a="1"/>
  <c r="AE46" i="1" s="1"/>
  <c r="AE47" i="1" a="1"/>
  <c r="AE47" i="1" s="1"/>
  <c r="AE48" i="1" a="1"/>
  <c r="AE48" i="1" s="1"/>
  <c r="AE49" i="1" a="1"/>
  <c r="AE49" i="1" s="1"/>
  <c r="AE50" i="1" a="1"/>
  <c r="AE50" i="1" s="1"/>
  <c r="AE51" i="1" a="1"/>
  <c r="AE51" i="1" s="1"/>
  <c r="AE52" i="1" a="1"/>
  <c r="AE52" i="1" s="1"/>
  <c r="AE53" i="1" a="1"/>
  <c r="AE53" i="1" s="1"/>
  <c r="AE54" i="1" a="1"/>
  <c r="AE54" i="1" s="1"/>
  <c r="AE55" i="1" a="1"/>
  <c r="AE55" i="1" s="1"/>
  <c r="AE56" i="1" a="1"/>
  <c r="AE56" i="1" s="1"/>
  <c r="AE57" i="1" a="1"/>
  <c r="AE57" i="1" s="1"/>
  <c r="AE58" i="1" a="1"/>
  <c r="AE58" i="1" s="1"/>
  <c r="AE59" i="1" a="1"/>
  <c r="AE59" i="1" s="1"/>
  <c r="AE60" i="1" a="1"/>
  <c r="AE60" i="1" s="1"/>
  <c r="AE61" i="1" a="1"/>
  <c r="AE61" i="1" s="1"/>
  <c r="AE62" i="1" a="1"/>
  <c r="AE62" i="1" s="1"/>
  <c r="AE63" i="1" a="1"/>
  <c r="AE63" i="1" s="1"/>
  <c r="AE64" i="1" a="1"/>
  <c r="AE64" i="1" s="1"/>
  <c r="AE65" i="1" a="1"/>
  <c r="AE65" i="1" s="1"/>
  <c r="AE66" i="1" a="1"/>
  <c r="AE66" i="1" s="1"/>
  <c r="AE67" i="1" a="1"/>
  <c r="AE67" i="1" s="1"/>
  <c r="AE68" i="1" a="1"/>
  <c r="AE68" i="1" s="1"/>
  <c r="AE69" i="1" a="1"/>
  <c r="AE69" i="1" s="1"/>
  <c r="AE70" i="1" a="1"/>
  <c r="AE70" i="1" s="1"/>
  <c r="AE71" i="1" a="1"/>
  <c r="AE71" i="1" s="1"/>
  <c r="AE72" i="1" a="1"/>
  <c r="AE72" i="1" s="1"/>
  <c r="AE73" i="1" a="1"/>
  <c r="AE73" i="1" s="1"/>
  <c r="AE74" i="1" a="1"/>
  <c r="AE74" i="1" s="1"/>
  <c r="AE75" i="1" a="1"/>
  <c r="AE75" i="1" s="1"/>
  <c r="AE76" i="1" a="1"/>
  <c r="AE76" i="1" s="1"/>
  <c r="AE77" i="1" a="1"/>
  <c r="AE77" i="1" s="1"/>
  <c r="AE78" i="1" a="1"/>
  <c r="AE78" i="1" s="1"/>
  <c r="AE79" i="1" a="1"/>
  <c r="AE79" i="1" s="1"/>
  <c r="AE80" i="1" a="1"/>
  <c r="AE80" i="1" s="1"/>
  <c r="AE81" i="1" a="1"/>
  <c r="AE81" i="1" s="1"/>
  <c r="AE82" i="1" a="1"/>
  <c r="AE82" i="1" s="1"/>
  <c r="AE83" i="1" a="1"/>
  <c r="AE83" i="1" s="1"/>
  <c r="AE84" i="1" a="1"/>
  <c r="AE84" i="1" s="1"/>
  <c r="AE85" i="1" a="1"/>
  <c r="AE85" i="1" s="1"/>
  <c r="AE86" i="1" a="1"/>
  <c r="AE86" i="1" s="1"/>
  <c r="AE87" i="1" a="1"/>
  <c r="AE87" i="1" s="1"/>
  <c r="AE88" i="1" a="1"/>
  <c r="AE88" i="1" s="1"/>
  <c r="AE89" i="1" a="1"/>
  <c r="AE89" i="1" s="1"/>
  <c r="AE90" i="1" a="1"/>
  <c r="AE90" i="1" s="1"/>
  <c r="AE91" i="1" a="1"/>
  <c r="AE91" i="1" s="1"/>
  <c r="AE92" i="1" a="1"/>
  <c r="AE92" i="1" s="1"/>
  <c r="AE93" i="1" a="1"/>
  <c r="AE93" i="1" s="1"/>
  <c r="AE94" i="1" a="1"/>
  <c r="AE94" i="1" s="1"/>
  <c r="AE95" i="1" a="1"/>
  <c r="AE95" i="1" s="1"/>
  <c r="AE96" i="1" a="1"/>
  <c r="AE96" i="1" s="1"/>
  <c r="AE97" i="1" a="1"/>
  <c r="AE97" i="1" s="1"/>
  <c r="AE98" i="1" a="1"/>
  <c r="AE98" i="1" s="1"/>
  <c r="AE99" i="1" a="1"/>
  <c r="AE99" i="1" s="1"/>
  <c r="AE100" i="1" a="1"/>
  <c r="AE100" i="1" s="1"/>
  <c r="AE101" i="1" a="1"/>
  <c r="AE101" i="1" s="1"/>
  <c r="AE102" i="1" a="1"/>
  <c r="AE102" i="1" s="1"/>
  <c r="AE103" i="1" a="1"/>
  <c r="AE103" i="1" s="1"/>
  <c r="AE104" i="1" a="1"/>
  <c r="AE104" i="1" s="1"/>
  <c r="AE105" i="1" a="1"/>
  <c r="AE105" i="1" s="1"/>
  <c r="AE106" i="1" a="1"/>
  <c r="AE106" i="1" s="1"/>
  <c r="AE107" i="1" a="1"/>
  <c r="AE107" i="1" s="1"/>
  <c r="AE108" i="1" a="1"/>
  <c r="AE108" i="1" s="1"/>
  <c r="AE109" i="1" a="1"/>
  <c r="AE109" i="1" s="1"/>
  <c r="AE110" i="1" a="1"/>
  <c r="AE110" i="1" s="1"/>
  <c r="AE111" i="1" a="1"/>
  <c r="AE111" i="1" s="1"/>
  <c r="AE112" i="1" a="1"/>
  <c r="AE112" i="1" s="1"/>
  <c r="AE113" i="1" a="1"/>
  <c r="AE113" i="1" s="1"/>
  <c r="AE114" i="1" a="1"/>
  <c r="AE114" i="1" s="1"/>
  <c r="AE115" i="1" a="1"/>
  <c r="AE115" i="1" s="1"/>
  <c r="AE116" i="1" a="1"/>
  <c r="AE116" i="1" s="1"/>
  <c r="AE117" i="1" a="1"/>
  <c r="AE117" i="1" s="1"/>
  <c r="AE118" i="1" a="1"/>
  <c r="AE118" i="1" s="1"/>
  <c r="AE119" i="1" a="1"/>
  <c r="AE119" i="1" s="1"/>
  <c r="AE120" i="1" a="1"/>
  <c r="AE120" i="1" s="1"/>
  <c r="AE121" i="1" a="1"/>
  <c r="AE121" i="1" s="1"/>
  <c r="AE122" i="1" a="1"/>
  <c r="AE122" i="1" s="1"/>
  <c r="AE123" i="1" a="1"/>
  <c r="AE123" i="1" s="1"/>
  <c r="AE124" i="1" a="1"/>
  <c r="AE124" i="1" s="1"/>
  <c r="AE125" i="1" a="1"/>
  <c r="AE125" i="1" s="1"/>
  <c r="AE126" i="1" a="1"/>
  <c r="AE126" i="1" s="1"/>
  <c r="AE127" i="1" a="1"/>
  <c r="AE127" i="1" s="1"/>
  <c r="AE128" i="1" a="1"/>
  <c r="AE128" i="1" s="1"/>
  <c r="AE129" i="1" a="1"/>
  <c r="AE129" i="1" s="1"/>
  <c r="AE130" i="1" a="1"/>
  <c r="AE130" i="1" s="1"/>
  <c r="AE131" i="1" a="1"/>
  <c r="AE131" i="1" s="1"/>
  <c r="AE132" i="1" a="1"/>
  <c r="AE132" i="1" s="1"/>
  <c r="AE133" i="1" a="1"/>
  <c r="AE133" i="1" s="1"/>
  <c r="AE134" i="1" a="1"/>
  <c r="AE134" i="1" s="1"/>
  <c r="AE135" i="1" a="1"/>
  <c r="AE135" i="1" s="1"/>
  <c r="AE136" i="1" a="1"/>
  <c r="AE136" i="1" s="1"/>
  <c r="AE137" i="1" a="1"/>
  <c r="AE137" i="1" s="1"/>
  <c r="AE138" i="1" a="1"/>
  <c r="AE138" i="1" s="1"/>
  <c r="AE139" i="1" a="1"/>
  <c r="AE139" i="1" s="1"/>
  <c r="AE140" i="1" a="1"/>
  <c r="AE140" i="1" s="1"/>
  <c r="AE141" i="1" a="1"/>
  <c r="AE141" i="1" s="1"/>
  <c r="AE142" i="1" a="1"/>
  <c r="AE142" i="1" s="1"/>
  <c r="AE143" i="1" a="1"/>
  <c r="AE143" i="1" s="1"/>
  <c r="AE144" i="1" a="1"/>
  <c r="AE144" i="1" s="1"/>
  <c r="AE145" i="1" a="1"/>
  <c r="AE145" i="1" s="1"/>
  <c r="AE146" i="1" a="1"/>
  <c r="AE146" i="1" s="1"/>
  <c r="AE147" i="1" a="1"/>
  <c r="AE147" i="1" s="1"/>
  <c r="AE148" i="1" a="1"/>
  <c r="AE148" i="1" s="1"/>
  <c r="AE149" i="1" a="1"/>
  <c r="AE149" i="1" s="1"/>
  <c r="AE150" i="1" a="1"/>
  <c r="AE150" i="1" s="1"/>
  <c r="AE151" i="1" a="1"/>
  <c r="AE151" i="1" s="1"/>
  <c r="AE152" i="1" a="1"/>
  <c r="AE152" i="1" s="1"/>
  <c r="AE153" i="1" a="1"/>
  <c r="AE153" i="1" s="1"/>
  <c r="AE154" i="1" a="1"/>
  <c r="AE154" i="1" s="1"/>
  <c r="AE155" i="1" a="1"/>
  <c r="AE155" i="1" s="1"/>
  <c r="AE156" i="1" a="1"/>
  <c r="AE156" i="1" s="1"/>
  <c r="AE157" i="1" a="1"/>
  <c r="AE157" i="1" s="1"/>
  <c r="AE158" i="1" a="1"/>
  <c r="AE158" i="1" s="1"/>
  <c r="AE159" i="1" a="1"/>
  <c r="AE159" i="1" s="1"/>
  <c r="AE160" i="1" a="1"/>
  <c r="AE160" i="1" s="1"/>
  <c r="AE161" i="1" a="1"/>
  <c r="AE161" i="1" s="1"/>
  <c r="AE162" i="1" a="1"/>
  <c r="AE162" i="1" s="1"/>
  <c r="AE163" i="1" a="1"/>
  <c r="AE163" i="1" s="1"/>
  <c r="AE164" i="1" a="1"/>
  <c r="AE164" i="1" s="1"/>
  <c r="AE165" i="1" a="1"/>
  <c r="AE165" i="1" s="1"/>
  <c r="AE166" i="1" a="1"/>
  <c r="AE166" i="1" s="1"/>
  <c r="AE167" i="1" a="1"/>
  <c r="AE167" i="1" s="1"/>
  <c r="AE168" i="1" a="1"/>
  <c r="AE168" i="1" s="1"/>
  <c r="AE169" i="1" a="1"/>
  <c r="AE169" i="1" s="1"/>
  <c r="AE170" i="1" a="1"/>
  <c r="AE170" i="1" s="1"/>
  <c r="AE171" i="1" a="1"/>
  <c r="AE171" i="1" s="1"/>
  <c r="AE172" i="1" a="1"/>
  <c r="AE172" i="1" s="1"/>
  <c r="AE173" i="1" a="1"/>
  <c r="AE173" i="1" s="1"/>
  <c r="AE174" i="1" a="1"/>
  <c r="AE174" i="1" s="1"/>
  <c r="AE175" i="1" a="1"/>
  <c r="AE175" i="1" s="1"/>
  <c r="AE176" i="1" a="1"/>
  <c r="AE176" i="1" s="1"/>
  <c r="AE177" i="1" a="1"/>
  <c r="AE177" i="1" s="1"/>
  <c r="AE178" i="1" a="1"/>
  <c r="AE178" i="1" s="1"/>
  <c r="AE179" i="1" a="1"/>
  <c r="AE179" i="1" s="1"/>
  <c r="AE180" i="1" a="1"/>
  <c r="AE180" i="1" s="1"/>
  <c r="AE181" i="1" a="1"/>
  <c r="AE181" i="1" s="1"/>
  <c r="AE182" i="1" a="1"/>
  <c r="AE182" i="1" s="1"/>
  <c r="AE183" i="1" a="1"/>
  <c r="AE183" i="1" s="1"/>
  <c r="AE184" i="1" a="1"/>
  <c r="AE184" i="1" s="1"/>
  <c r="AE185" i="1" a="1"/>
  <c r="AE185" i="1" s="1"/>
  <c r="AE186" i="1" a="1"/>
  <c r="AE186" i="1" s="1"/>
  <c r="AE187" i="1" a="1"/>
  <c r="AE187" i="1" s="1"/>
  <c r="AE188" i="1" a="1"/>
  <c r="AE188" i="1" s="1"/>
  <c r="AE189" i="1" a="1"/>
  <c r="AE189" i="1" s="1"/>
  <c r="AE190" i="1" a="1"/>
  <c r="AE190" i="1" s="1"/>
  <c r="AE191" i="1" a="1"/>
  <c r="AE191" i="1" s="1"/>
  <c r="AE192" i="1" a="1"/>
  <c r="AE192" i="1" s="1"/>
  <c r="AE193" i="1" a="1"/>
  <c r="AE193" i="1" s="1"/>
  <c r="AE194" i="1" a="1"/>
  <c r="AE194" i="1" s="1"/>
  <c r="AE195" i="1" a="1"/>
  <c r="AE195" i="1" s="1"/>
  <c r="AE196" i="1" a="1"/>
  <c r="AE196" i="1" s="1"/>
  <c r="AE197" i="1" a="1"/>
  <c r="AE197" i="1" s="1"/>
  <c r="AE198" i="1" a="1"/>
  <c r="AE198" i="1" s="1"/>
  <c r="AE199" i="1" a="1"/>
  <c r="AE199" i="1" s="1"/>
  <c r="AE200" i="1" a="1"/>
  <c r="AE200" i="1" s="1"/>
  <c r="AE201" i="1" a="1"/>
  <c r="AE201" i="1" s="1"/>
  <c r="AE202" i="1" a="1"/>
  <c r="AE202" i="1" s="1"/>
  <c r="AE203" i="1" a="1"/>
  <c r="AE203" i="1" s="1"/>
  <c r="AE204" i="1" a="1"/>
  <c r="AE204" i="1" s="1"/>
  <c r="AE205" i="1" a="1"/>
  <c r="AE205" i="1" s="1"/>
  <c r="AE206" i="1" a="1"/>
  <c r="AE206" i="1" s="1"/>
  <c r="AE207" i="1" a="1"/>
  <c r="AE207" i="1" s="1"/>
  <c r="AE208" i="1" a="1"/>
  <c r="AE208" i="1" s="1"/>
  <c r="AE209" i="1" a="1"/>
  <c r="AE209" i="1" s="1"/>
  <c r="AE210" i="1" a="1"/>
  <c r="AE210" i="1" s="1"/>
  <c r="AE211" i="1" a="1"/>
  <c r="AE211" i="1" s="1"/>
  <c r="AE212" i="1" a="1"/>
  <c r="AE212" i="1" s="1"/>
  <c r="AE213" i="1" a="1"/>
  <c r="AE213" i="1" s="1"/>
  <c r="AE214" i="1" a="1"/>
  <c r="AE214" i="1" s="1"/>
  <c r="AE215" i="1" a="1"/>
  <c r="AE215" i="1" s="1"/>
  <c r="AE216" i="1" a="1"/>
  <c r="AE216" i="1" s="1"/>
  <c r="AE217" i="1" a="1"/>
  <c r="AE217" i="1" s="1"/>
  <c r="AE218" i="1" a="1"/>
  <c r="AE218" i="1" s="1"/>
  <c r="AE219" i="1" a="1"/>
  <c r="AE219" i="1" s="1"/>
  <c r="AE220" i="1" a="1"/>
  <c r="AE220" i="1" s="1"/>
  <c r="AE221" i="1" a="1"/>
  <c r="AE221" i="1" s="1"/>
  <c r="AE222" i="1" a="1"/>
  <c r="AE222" i="1" s="1"/>
  <c r="AE223" i="1" a="1"/>
  <c r="AE223" i="1" s="1"/>
  <c r="AE224" i="1" a="1"/>
  <c r="AE224" i="1" s="1"/>
  <c r="AE225" i="1" a="1"/>
  <c r="AE225" i="1" s="1"/>
  <c r="AE226" i="1" a="1"/>
  <c r="AE226" i="1" s="1"/>
  <c r="AE227" i="1" a="1"/>
  <c r="AE227" i="1" s="1"/>
  <c r="AE228" i="1" a="1"/>
  <c r="AE228" i="1" s="1"/>
  <c r="AE229" i="1" a="1"/>
  <c r="AE229" i="1" s="1"/>
  <c r="AE230" i="1" a="1"/>
  <c r="AE230" i="1" s="1"/>
  <c r="AE231" i="1" a="1"/>
  <c r="AE231" i="1" s="1"/>
  <c r="AE232" i="1" a="1"/>
  <c r="AE232" i="1" s="1"/>
  <c r="AE233" i="1" a="1"/>
  <c r="AE233" i="1" s="1"/>
  <c r="AE234" i="1" a="1"/>
  <c r="AE234" i="1" s="1"/>
  <c r="AE235" i="1" a="1"/>
  <c r="AE235" i="1" s="1"/>
  <c r="AE236" i="1" a="1"/>
  <c r="AE236" i="1" s="1"/>
  <c r="AE237" i="1" a="1"/>
  <c r="AE237" i="1" s="1"/>
  <c r="AE238" i="1" a="1"/>
  <c r="AE238" i="1" s="1"/>
  <c r="AE239" i="1" a="1"/>
  <c r="AE239" i="1" s="1"/>
  <c r="AE240" i="1" a="1"/>
  <c r="AE240" i="1" s="1"/>
  <c r="AE241" i="1" a="1"/>
  <c r="AE241" i="1" s="1"/>
  <c r="AE242" i="1" a="1"/>
  <c r="AE242" i="1" s="1"/>
  <c r="AE243" i="1" a="1"/>
  <c r="AE243" i="1" s="1"/>
  <c r="AE244" i="1" a="1"/>
  <c r="AE244" i="1" s="1"/>
  <c r="AE245" i="1" a="1"/>
  <c r="AE245" i="1" s="1"/>
  <c r="AE246" i="1" a="1"/>
  <c r="AE246" i="1" s="1"/>
  <c r="AE247" i="1" a="1"/>
  <c r="AE247" i="1" s="1"/>
  <c r="AE248" i="1" a="1"/>
  <c r="AE248" i="1" s="1"/>
  <c r="AE249" i="1" a="1"/>
  <c r="AE249" i="1" s="1"/>
  <c r="AE250" i="1" a="1"/>
  <c r="AE250" i="1" s="1"/>
  <c r="AE251" i="1" a="1"/>
  <c r="AE251" i="1" s="1"/>
  <c r="AE252" i="1" a="1"/>
  <c r="AE252" i="1" s="1"/>
  <c r="AE253" i="1" a="1"/>
  <c r="AE253" i="1" s="1"/>
  <c r="AE254" i="1" a="1"/>
  <c r="AE254" i="1" s="1"/>
  <c r="AE255" i="1" a="1"/>
  <c r="AE255" i="1" s="1"/>
  <c r="AE256" i="1" a="1"/>
  <c r="AE256" i="1" s="1"/>
  <c r="AE257" i="1" a="1"/>
  <c r="AE257" i="1" s="1"/>
  <c r="AE258" i="1" a="1"/>
  <c r="AE258" i="1" s="1"/>
  <c r="AE259" i="1" a="1"/>
  <c r="AE259" i="1" s="1"/>
  <c r="AE260" i="1" a="1"/>
  <c r="AE260" i="1" s="1"/>
  <c r="AE261" i="1" a="1"/>
  <c r="AE261" i="1" s="1"/>
  <c r="AE262" i="1" a="1"/>
  <c r="AE262" i="1" s="1"/>
  <c r="AE263" i="1" a="1"/>
  <c r="AE263" i="1" s="1"/>
  <c r="AE264" i="1" a="1"/>
  <c r="AE264" i="1" s="1"/>
  <c r="AE265" i="1" a="1"/>
  <c r="AE265" i="1" s="1"/>
  <c r="AE266" i="1" a="1"/>
  <c r="AE266" i="1" s="1"/>
  <c r="AE267" i="1" a="1"/>
  <c r="AE267" i="1" s="1"/>
  <c r="AE268" i="1" a="1"/>
  <c r="AE268" i="1" s="1"/>
  <c r="AE269" i="1" a="1"/>
  <c r="AE269" i="1" s="1"/>
  <c r="AE270" i="1" a="1"/>
  <c r="AE270" i="1" s="1"/>
  <c r="AE271" i="1" a="1"/>
  <c r="AE271" i="1" s="1"/>
  <c r="AE272" i="1" a="1"/>
  <c r="AE272" i="1" s="1"/>
  <c r="AE273" i="1" a="1"/>
  <c r="AE273" i="1" s="1"/>
  <c r="AE274" i="1" a="1"/>
  <c r="AE274" i="1" s="1"/>
  <c r="AE275" i="1" a="1"/>
  <c r="AE275" i="1" s="1"/>
  <c r="AE276" i="1" a="1"/>
  <c r="AE276" i="1" s="1"/>
  <c r="AE277" i="1" a="1"/>
  <c r="AE277" i="1" s="1"/>
  <c r="AE278" i="1" a="1"/>
  <c r="AE278" i="1" s="1"/>
  <c r="AE279" i="1" a="1"/>
  <c r="AE279" i="1" s="1"/>
  <c r="AE280" i="1" a="1"/>
  <c r="AE280" i="1" s="1"/>
  <c r="AE281" i="1" a="1"/>
  <c r="AE281" i="1" s="1"/>
  <c r="AE282" i="1" a="1"/>
  <c r="AE282" i="1" s="1"/>
  <c r="AE283" i="1" a="1"/>
  <c r="AE283" i="1" s="1"/>
  <c r="AE284" i="1" a="1"/>
  <c r="AE284" i="1" s="1"/>
  <c r="AE285" i="1" a="1"/>
  <c r="AE285" i="1" s="1"/>
  <c r="AE286" i="1" a="1"/>
  <c r="AE286" i="1" s="1"/>
  <c r="AE287" i="1" a="1"/>
  <c r="AE287" i="1" s="1"/>
  <c r="AE288" i="1" a="1"/>
  <c r="AE288" i="1" s="1"/>
  <c r="AE289" i="1" a="1"/>
  <c r="AE289" i="1" s="1"/>
  <c r="AE290" i="1" a="1"/>
  <c r="AE290" i="1" s="1"/>
  <c r="AE291" i="1" a="1"/>
  <c r="AE291" i="1" s="1"/>
  <c r="AE292" i="1" a="1"/>
  <c r="AE292" i="1" s="1"/>
  <c r="AE293" i="1" a="1"/>
  <c r="AE293" i="1" s="1"/>
  <c r="AE294" i="1" a="1"/>
  <c r="AE294" i="1" s="1"/>
  <c r="AE295" i="1" a="1"/>
  <c r="AE295" i="1" s="1"/>
  <c r="AE296" i="1" a="1"/>
  <c r="AE296" i="1" s="1"/>
  <c r="AE297" i="1" a="1"/>
  <c r="AE297" i="1" s="1"/>
  <c r="AE298" i="1" a="1"/>
  <c r="AE298" i="1" s="1"/>
  <c r="AE299" i="1" a="1"/>
  <c r="AE299" i="1" s="1"/>
  <c r="AE300" i="1" a="1"/>
  <c r="AE300" i="1" s="1"/>
  <c r="AE301" i="1" a="1"/>
  <c r="AE301" i="1" s="1"/>
  <c r="AE302" i="1" a="1"/>
  <c r="AE302" i="1" s="1"/>
  <c r="AE303" i="1" a="1"/>
  <c r="AE303" i="1" s="1"/>
  <c r="AE304" i="1" a="1"/>
  <c r="AE304" i="1" s="1"/>
  <c r="AE305" i="1" a="1"/>
  <c r="AE305" i="1" s="1"/>
  <c r="AE306" i="1" a="1"/>
  <c r="AE306" i="1" s="1"/>
  <c r="AE307" i="1" a="1"/>
  <c r="AE307" i="1" s="1"/>
  <c r="AE308" i="1" a="1"/>
  <c r="AE308" i="1" s="1"/>
  <c r="AE309" i="1" a="1"/>
  <c r="AE309" i="1" s="1"/>
  <c r="AE310" i="1" a="1"/>
  <c r="AE310" i="1" s="1"/>
  <c r="AE311" i="1" a="1"/>
  <c r="AE311" i="1" s="1"/>
  <c r="AE312" i="1" a="1"/>
  <c r="AE312" i="1" s="1"/>
  <c r="AE313" i="1" a="1"/>
  <c r="AE313" i="1" s="1"/>
  <c r="AE314" i="1" a="1"/>
  <c r="AE314" i="1" s="1"/>
  <c r="AE315" i="1" a="1"/>
  <c r="AE315" i="1" s="1"/>
  <c r="AE316" i="1" a="1"/>
  <c r="AE316" i="1" s="1"/>
  <c r="AE317" i="1" a="1"/>
  <c r="AE317" i="1" s="1"/>
  <c r="AE318" i="1" a="1"/>
  <c r="AE318" i="1" s="1"/>
  <c r="AE319" i="1" a="1"/>
  <c r="AE319" i="1" s="1"/>
  <c r="AE320" i="1" a="1"/>
  <c r="AE320" i="1" s="1"/>
  <c r="AE321" i="1" a="1"/>
  <c r="AE321" i="1" s="1"/>
  <c r="AE322" i="1" a="1"/>
  <c r="AE322" i="1" s="1"/>
  <c r="AE323" i="1" a="1"/>
  <c r="AE323" i="1" s="1"/>
  <c r="AE324" i="1" a="1"/>
  <c r="AE324" i="1" s="1"/>
  <c r="AE325" i="1" a="1"/>
  <c r="AE325" i="1" s="1"/>
  <c r="AE326" i="1" a="1"/>
  <c r="AE326" i="1" s="1"/>
  <c r="AE327" i="1" a="1"/>
  <c r="AE327" i="1" s="1"/>
  <c r="AE328" i="1" a="1"/>
  <c r="AE328" i="1" s="1"/>
  <c r="AE329" i="1" a="1"/>
  <c r="AE329" i="1" s="1"/>
  <c r="AE330" i="1" a="1"/>
  <c r="AE330" i="1" s="1"/>
  <c r="AE331" i="1" a="1"/>
  <c r="AE331" i="1" s="1"/>
  <c r="AE332" i="1" a="1"/>
  <c r="AE332" i="1" s="1"/>
  <c r="AE333" i="1" a="1"/>
  <c r="AE333" i="1" s="1"/>
  <c r="AE334" i="1" a="1"/>
  <c r="AE334" i="1" s="1"/>
  <c r="AE335" i="1" a="1"/>
  <c r="AE335" i="1" s="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 i="1"/>
  <c r="AK4" i="1"/>
  <c r="AL4" i="1"/>
  <c r="AM4" i="1"/>
  <c r="AK5" i="1"/>
  <c r="AL5" i="1"/>
  <c r="AM5" i="1"/>
  <c r="AK6" i="1"/>
  <c r="AL6" i="1"/>
  <c r="AM6" i="1"/>
  <c r="AK7" i="1"/>
  <c r="AL7" i="1"/>
  <c r="AM7" i="1"/>
  <c r="AK8" i="1"/>
  <c r="AL8" i="1"/>
  <c r="AM8" i="1"/>
  <c r="AK9" i="1"/>
  <c r="AL9" i="1"/>
  <c r="AM9" i="1"/>
  <c r="AK10" i="1"/>
  <c r="AL10" i="1"/>
  <c r="AM10" i="1"/>
  <c r="AK11" i="1"/>
  <c r="AL11" i="1"/>
  <c r="AM11" i="1"/>
  <c r="AK12" i="1"/>
  <c r="AL12" i="1"/>
  <c r="AM12" i="1"/>
  <c r="AK13" i="1"/>
  <c r="AL13" i="1"/>
  <c r="AM13" i="1"/>
  <c r="AK14" i="1"/>
  <c r="AL14" i="1"/>
  <c r="AM14" i="1"/>
  <c r="AK15" i="1"/>
  <c r="AL15" i="1"/>
  <c r="AM15" i="1"/>
  <c r="AK16" i="1"/>
  <c r="AL16" i="1"/>
  <c r="AM16" i="1"/>
  <c r="AK17" i="1"/>
  <c r="AL17" i="1"/>
  <c r="AM17" i="1"/>
  <c r="AK18" i="1"/>
  <c r="AL18" i="1"/>
  <c r="AM18" i="1"/>
  <c r="AK19" i="1"/>
  <c r="AL19" i="1"/>
  <c r="AM19" i="1"/>
  <c r="AK20" i="1"/>
  <c r="AL20" i="1"/>
  <c r="AM20" i="1"/>
  <c r="AK21" i="1"/>
  <c r="AL21" i="1"/>
  <c r="AM21" i="1"/>
  <c r="AK22" i="1"/>
  <c r="AL22" i="1"/>
  <c r="AM22" i="1"/>
  <c r="AK23" i="1"/>
  <c r="AL23" i="1"/>
  <c r="AM23" i="1"/>
  <c r="AK24" i="1"/>
  <c r="AL24" i="1"/>
  <c r="AM24" i="1"/>
  <c r="AK25" i="1"/>
  <c r="AL25" i="1"/>
  <c r="AM25" i="1"/>
  <c r="AK26" i="1"/>
  <c r="AL26" i="1"/>
  <c r="AM26" i="1"/>
  <c r="AK27" i="1"/>
  <c r="AL27" i="1"/>
  <c r="AM27" i="1"/>
  <c r="AK28" i="1"/>
  <c r="AL28" i="1"/>
  <c r="AM28" i="1"/>
  <c r="AK29" i="1"/>
  <c r="AL29" i="1"/>
  <c r="AM29" i="1"/>
  <c r="AK30" i="1"/>
  <c r="AL30" i="1"/>
  <c r="AM30" i="1"/>
  <c r="AK31" i="1"/>
  <c r="AL31" i="1"/>
  <c r="AM31" i="1"/>
  <c r="AK32" i="1"/>
  <c r="AL32" i="1"/>
  <c r="AM32" i="1"/>
  <c r="AK33" i="1"/>
  <c r="AL33" i="1"/>
  <c r="AM33" i="1"/>
  <c r="AK34" i="1"/>
  <c r="AL34" i="1"/>
  <c r="AM34" i="1"/>
  <c r="AK35" i="1"/>
  <c r="AL35" i="1"/>
  <c r="AM35" i="1"/>
  <c r="AK36" i="1"/>
  <c r="AL36" i="1"/>
  <c r="AM36" i="1"/>
  <c r="AK37" i="1"/>
  <c r="AL37" i="1"/>
  <c r="AM37" i="1"/>
  <c r="AK38" i="1"/>
  <c r="AL38" i="1"/>
  <c r="AM38" i="1"/>
  <c r="AK39" i="1"/>
  <c r="AL39" i="1"/>
  <c r="AM39" i="1"/>
  <c r="AK40" i="1"/>
  <c r="AL40" i="1"/>
  <c r="AM40" i="1"/>
  <c r="AK41" i="1"/>
  <c r="AL41" i="1"/>
  <c r="AM41" i="1"/>
  <c r="AK42" i="1"/>
  <c r="AL42" i="1"/>
  <c r="AM42" i="1"/>
  <c r="AK43" i="1"/>
  <c r="AL43" i="1"/>
  <c r="AM43" i="1"/>
  <c r="AK44" i="1"/>
  <c r="AL44" i="1"/>
  <c r="AM44" i="1"/>
  <c r="AK45" i="1"/>
  <c r="AL45" i="1"/>
  <c r="AM45" i="1"/>
  <c r="AK46" i="1"/>
  <c r="AL46" i="1"/>
  <c r="AM46" i="1"/>
  <c r="AK47" i="1"/>
  <c r="AL47" i="1"/>
  <c r="AM47" i="1"/>
  <c r="AK48" i="1"/>
  <c r="AL48" i="1"/>
  <c r="AM48" i="1"/>
  <c r="AK49" i="1"/>
  <c r="AL49" i="1"/>
  <c r="AM49" i="1"/>
  <c r="AK50" i="1"/>
  <c r="AL50" i="1"/>
  <c r="AM50" i="1"/>
  <c r="AK51" i="1"/>
  <c r="AL51" i="1"/>
  <c r="AM51" i="1"/>
  <c r="AK52" i="1"/>
  <c r="AL52" i="1"/>
  <c r="AM52" i="1"/>
  <c r="AK53" i="1"/>
  <c r="AL53" i="1"/>
  <c r="AM53" i="1"/>
  <c r="AK54" i="1"/>
  <c r="AL54" i="1"/>
  <c r="AM54" i="1"/>
  <c r="AK55" i="1"/>
  <c r="AL55" i="1"/>
  <c r="AM55" i="1"/>
  <c r="AK56" i="1"/>
  <c r="AL56" i="1"/>
  <c r="AM56" i="1"/>
  <c r="AK57" i="1"/>
  <c r="AL57" i="1"/>
  <c r="AM57" i="1"/>
  <c r="AK58" i="1"/>
  <c r="AL58" i="1"/>
  <c r="AM58" i="1"/>
  <c r="AK59" i="1"/>
  <c r="AL59" i="1"/>
  <c r="AM59" i="1"/>
  <c r="AK60" i="1"/>
  <c r="AL60" i="1"/>
  <c r="AM60" i="1"/>
  <c r="AK61" i="1"/>
  <c r="AL61" i="1"/>
  <c r="AM61" i="1"/>
  <c r="AK62" i="1"/>
  <c r="AL62" i="1"/>
  <c r="AM62" i="1"/>
  <c r="AK63" i="1"/>
  <c r="AL63" i="1"/>
  <c r="AM63" i="1"/>
  <c r="AK64" i="1"/>
  <c r="AL64" i="1"/>
  <c r="AM64" i="1"/>
  <c r="AK65" i="1"/>
  <c r="AL65" i="1"/>
  <c r="AM65" i="1"/>
  <c r="AK66" i="1"/>
  <c r="AL66" i="1"/>
  <c r="AM66" i="1"/>
  <c r="AK67" i="1"/>
  <c r="AL67" i="1"/>
  <c r="AM67" i="1"/>
  <c r="AK68" i="1"/>
  <c r="AL68" i="1"/>
  <c r="AM68" i="1"/>
  <c r="AK69" i="1"/>
  <c r="AL69" i="1"/>
  <c r="AM69" i="1"/>
  <c r="AK70" i="1"/>
  <c r="AL70" i="1"/>
  <c r="AM70" i="1"/>
  <c r="AK71" i="1"/>
  <c r="AL71" i="1"/>
  <c r="AM71" i="1"/>
  <c r="AK72" i="1"/>
  <c r="AL72" i="1"/>
  <c r="AM72" i="1"/>
  <c r="AK73" i="1"/>
  <c r="AL73" i="1"/>
  <c r="AM73" i="1"/>
  <c r="AK74" i="1"/>
  <c r="AL74" i="1"/>
  <c r="AM74" i="1"/>
  <c r="AK75" i="1"/>
  <c r="AL75" i="1"/>
  <c r="AM75" i="1"/>
  <c r="AK76" i="1"/>
  <c r="AL76" i="1"/>
  <c r="AM76" i="1"/>
  <c r="AK77" i="1"/>
  <c r="AL77" i="1"/>
  <c r="AM77" i="1"/>
  <c r="AK78" i="1"/>
  <c r="AL78" i="1"/>
  <c r="AM78" i="1"/>
  <c r="AK79" i="1"/>
  <c r="AL79" i="1"/>
  <c r="AM79" i="1"/>
  <c r="AK80" i="1"/>
  <c r="AL80" i="1"/>
  <c r="AM80" i="1"/>
  <c r="AK81" i="1"/>
  <c r="AL81" i="1"/>
  <c r="AM81" i="1"/>
  <c r="AK82" i="1"/>
  <c r="AL82" i="1"/>
  <c r="AM82" i="1"/>
  <c r="AK83" i="1"/>
  <c r="AL83" i="1"/>
  <c r="AM83" i="1"/>
  <c r="AK84" i="1"/>
  <c r="AL84" i="1"/>
  <c r="AM84" i="1"/>
  <c r="AK85" i="1"/>
  <c r="AL85" i="1"/>
  <c r="AM85" i="1"/>
  <c r="AK86" i="1"/>
  <c r="AL86" i="1"/>
  <c r="AM86" i="1"/>
  <c r="AK87" i="1"/>
  <c r="AL87" i="1"/>
  <c r="AM87" i="1"/>
  <c r="AK88" i="1"/>
  <c r="AL88" i="1"/>
  <c r="AM88" i="1"/>
  <c r="AK89" i="1"/>
  <c r="AL89" i="1"/>
  <c r="AM89" i="1"/>
  <c r="AK90" i="1"/>
  <c r="AL90" i="1"/>
  <c r="AM90" i="1"/>
  <c r="AK91" i="1"/>
  <c r="AL91" i="1"/>
  <c r="AM91" i="1"/>
  <c r="AK92" i="1"/>
  <c r="AL92" i="1"/>
  <c r="AM92" i="1"/>
  <c r="AK93" i="1"/>
  <c r="AL93" i="1"/>
  <c r="AM93" i="1"/>
  <c r="AK94" i="1"/>
  <c r="AL94" i="1"/>
  <c r="AM94" i="1"/>
  <c r="AK95" i="1"/>
  <c r="AL95" i="1"/>
  <c r="AM95" i="1"/>
  <c r="AK96" i="1"/>
  <c r="AL96" i="1"/>
  <c r="AM96" i="1"/>
  <c r="AK97" i="1"/>
  <c r="AL97" i="1"/>
  <c r="AM97" i="1"/>
  <c r="AK98" i="1"/>
  <c r="AL98" i="1"/>
  <c r="AM98" i="1"/>
  <c r="AK99" i="1"/>
  <c r="AL99" i="1"/>
  <c r="AM99" i="1"/>
  <c r="AK100" i="1"/>
  <c r="AL100" i="1"/>
  <c r="AM100" i="1"/>
  <c r="AK101" i="1"/>
  <c r="AL101" i="1"/>
  <c r="AM101" i="1"/>
  <c r="AK102" i="1"/>
  <c r="AL102" i="1"/>
  <c r="AM102" i="1"/>
  <c r="AK103" i="1"/>
  <c r="AL103" i="1"/>
  <c r="AM103" i="1"/>
  <c r="AK104" i="1"/>
  <c r="AL104" i="1"/>
  <c r="AM104" i="1"/>
  <c r="AK105" i="1"/>
  <c r="AL105" i="1"/>
  <c r="AM105" i="1"/>
  <c r="AK106" i="1"/>
  <c r="AL106" i="1"/>
  <c r="AM106" i="1"/>
  <c r="AK107" i="1"/>
  <c r="AL107" i="1"/>
  <c r="AM107" i="1"/>
  <c r="AK108" i="1"/>
  <c r="AL108" i="1"/>
  <c r="AM108" i="1"/>
  <c r="AK109" i="1"/>
  <c r="AL109" i="1"/>
  <c r="AM109" i="1"/>
  <c r="AK110" i="1"/>
  <c r="AL110" i="1"/>
  <c r="AM110" i="1"/>
  <c r="AK111" i="1"/>
  <c r="AL111" i="1"/>
  <c r="AM111" i="1"/>
  <c r="AK112" i="1"/>
  <c r="AL112" i="1"/>
  <c r="AM112" i="1"/>
  <c r="AK113" i="1"/>
  <c r="AL113" i="1"/>
  <c r="AM113" i="1"/>
  <c r="AK114" i="1"/>
  <c r="AL114" i="1"/>
  <c r="AM114" i="1"/>
  <c r="AK115" i="1"/>
  <c r="AL115" i="1"/>
  <c r="AM115" i="1"/>
  <c r="AK116" i="1"/>
  <c r="AL116" i="1"/>
  <c r="AM116" i="1"/>
  <c r="AK117" i="1"/>
  <c r="AL117" i="1"/>
  <c r="AM117" i="1"/>
  <c r="AK118" i="1"/>
  <c r="AL118" i="1"/>
  <c r="AM118" i="1"/>
  <c r="AK119" i="1"/>
  <c r="AL119" i="1"/>
  <c r="AM119" i="1"/>
  <c r="AK120" i="1"/>
  <c r="AL120" i="1"/>
  <c r="AM120" i="1"/>
  <c r="AK121" i="1"/>
  <c r="AL121" i="1"/>
  <c r="AM121" i="1"/>
  <c r="AK122" i="1"/>
  <c r="AL122" i="1"/>
  <c r="AM122" i="1"/>
  <c r="AK123" i="1"/>
  <c r="AL123" i="1"/>
  <c r="AM123" i="1"/>
  <c r="AK124" i="1"/>
  <c r="AL124" i="1"/>
  <c r="AM124" i="1"/>
  <c r="AK125" i="1"/>
  <c r="AL125" i="1"/>
  <c r="AM125" i="1"/>
  <c r="AK126" i="1"/>
  <c r="AL126" i="1"/>
  <c r="AM126" i="1"/>
  <c r="AK127" i="1"/>
  <c r="AL127" i="1"/>
  <c r="AM127" i="1"/>
  <c r="AK128" i="1"/>
  <c r="AL128" i="1"/>
  <c r="AM128" i="1"/>
  <c r="AK129" i="1"/>
  <c r="AL129" i="1"/>
  <c r="AM129" i="1"/>
  <c r="AK130" i="1"/>
  <c r="AL130" i="1"/>
  <c r="AM130" i="1"/>
  <c r="AK131" i="1"/>
  <c r="AL131" i="1"/>
  <c r="AM131" i="1"/>
  <c r="AK132" i="1"/>
  <c r="AL132" i="1"/>
  <c r="AM132" i="1"/>
  <c r="AK133" i="1"/>
  <c r="AL133" i="1"/>
  <c r="AM133" i="1"/>
  <c r="AK134" i="1"/>
  <c r="AL134" i="1"/>
  <c r="AM134" i="1"/>
  <c r="AK135" i="1"/>
  <c r="AL135" i="1"/>
  <c r="AM135" i="1"/>
  <c r="AK136" i="1"/>
  <c r="AL136" i="1"/>
  <c r="AM136" i="1"/>
  <c r="AK137" i="1"/>
  <c r="AL137" i="1"/>
  <c r="AM137" i="1"/>
  <c r="AK138" i="1"/>
  <c r="AL138" i="1"/>
  <c r="AM138" i="1"/>
  <c r="AK139" i="1"/>
  <c r="AL139" i="1"/>
  <c r="AM139" i="1"/>
  <c r="AK140" i="1"/>
  <c r="AL140" i="1"/>
  <c r="AM140" i="1"/>
  <c r="AK141" i="1"/>
  <c r="AL141" i="1"/>
  <c r="AM141" i="1"/>
  <c r="AK142" i="1"/>
  <c r="AL142" i="1"/>
  <c r="AM142" i="1"/>
  <c r="AK143" i="1"/>
  <c r="AL143" i="1"/>
  <c r="AM143" i="1"/>
  <c r="AK144" i="1"/>
  <c r="AL144" i="1"/>
  <c r="AM144" i="1"/>
  <c r="AK145" i="1"/>
  <c r="AL145" i="1"/>
  <c r="AM145" i="1"/>
  <c r="AK146" i="1"/>
  <c r="AL146" i="1"/>
  <c r="AM146" i="1"/>
  <c r="AK147" i="1"/>
  <c r="AL147" i="1"/>
  <c r="AM147" i="1"/>
  <c r="AK148" i="1"/>
  <c r="AL148" i="1"/>
  <c r="AM148" i="1"/>
  <c r="AK149" i="1"/>
  <c r="AL149" i="1"/>
  <c r="AM149" i="1"/>
  <c r="AK150" i="1"/>
  <c r="AL150" i="1"/>
  <c r="AM150" i="1"/>
  <c r="AK151" i="1"/>
  <c r="AL151" i="1"/>
  <c r="AM151" i="1"/>
  <c r="AK152" i="1"/>
  <c r="AL152" i="1"/>
  <c r="AM152" i="1"/>
  <c r="AK153" i="1"/>
  <c r="AL153" i="1"/>
  <c r="AM153" i="1"/>
  <c r="AK154" i="1"/>
  <c r="AL154" i="1"/>
  <c r="AM154" i="1"/>
  <c r="AK155" i="1"/>
  <c r="AL155" i="1"/>
  <c r="AM155" i="1"/>
  <c r="AK156" i="1"/>
  <c r="AL156" i="1"/>
  <c r="AM156" i="1"/>
  <c r="AK157" i="1"/>
  <c r="AL157" i="1"/>
  <c r="AM157" i="1"/>
  <c r="AK158" i="1"/>
  <c r="AL158" i="1"/>
  <c r="AM158" i="1"/>
  <c r="AK159" i="1"/>
  <c r="AL159" i="1"/>
  <c r="AM159" i="1"/>
  <c r="AK160" i="1"/>
  <c r="AL160" i="1"/>
  <c r="AM160" i="1"/>
  <c r="AK161" i="1"/>
  <c r="AL161" i="1"/>
  <c r="AM161" i="1"/>
  <c r="AK162" i="1"/>
  <c r="AL162" i="1"/>
  <c r="AM162" i="1"/>
  <c r="AK163" i="1"/>
  <c r="AL163" i="1"/>
  <c r="AM163" i="1"/>
  <c r="AK164" i="1"/>
  <c r="AL164" i="1"/>
  <c r="AM164" i="1"/>
  <c r="AK165" i="1"/>
  <c r="AL165" i="1"/>
  <c r="AM165" i="1"/>
  <c r="AK166" i="1"/>
  <c r="AL166" i="1"/>
  <c r="AM166" i="1"/>
  <c r="AK167" i="1"/>
  <c r="AL167" i="1"/>
  <c r="AM167" i="1"/>
  <c r="AK168" i="1"/>
  <c r="AL168" i="1"/>
  <c r="AM168" i="1"/>
  <c r="AK169" i="1"/>
  <c r="AL169" i="1"/>
  <c r="AM169" i="1"/>
  <c r="AK170" i="1"/>
  <c r="AL170" i="1"/>
  <c r="AM170" i="1"/>
  <c r="AK171" i="1"/>
  <c r="AL171" i="1"/>
  <c r="AM171" i="1"/>
  <c r="AK172" i="1"/>
  <c r="AL172" i="1"/>
  <c r="AM172" i="1"/>
  <c r="AK173" i="1"/>
  <c r="AL173" i="1"/>
  <c r="AM173" i="1"/>
  <c r="AK174" i="1"/>
  <c r="AL174" i="1"/>
  <c r="AM174" i="1"/>
  <c r="AK175" i="1"/>
  <c r="AL175" i="1"/>
  <c r="AM175" i="1"/>
  <c r="AK176" i="1"/>
  <c r="AL176" i="1"/>
  <c r="AM176" i="1"/>
  <c r="AK177" i="1"/>
  <c r="AL177" i="1"/>
  <c r="AM177" i="1"/>
  <c r="AK178" i="1"/>
  <c r="AL178" i="1"/>
  <c r="AM178" i="1"/>
  <c r="AK179" i="1"/>
  <c r="AL179" i="1"/>
  <c r="AM179" i="1"/>
  <c r="AK180" i="1"/>
  <c r="AL180" i="1"/>
  <c r="AM180" i="1"/>
  <c r="AK181" i="1"/>
  <c r="AL181" i="1"/>
  <c r="AM181" i="1"/>
  <c r="AK182" i="1"/>
  <c r="AL182" i="1"/>
  <c r="AM182" i="1"/>
  <c r="AK183" i="1"/>
  <c r="AL183" i="1"/>
  <c r="AM183" i="1"/>
  <c r="AK184" i="1"/>
  <c r="AL184" i="1"/>
  <c r="AM184" i="1"/>
  <c r="AK185" i="1"/>
  <c r="AL185" i="1"/>
  <c r="AM185" i="1"/>
  <c r="AK186" i="1"/>
  <c r="AL186" i="1"/>
  <c r="AM186" i="1"/>
  <c r="AK187" i="1"/>
  <c r="AL187" i="1"/>
  <c r="AM187" i="1"/>
  <c r="AK188" i="1"/>
  <c r="AL188" i="1"/>
  <c r="AM188" i="1"/>
  <c r="AK189" i="1"/>
  <c r="AL189" i="1"/>
  <c r="AM189" i="1"/>
  <c r="AK190" i="1"/>
  <c r="AL190" i="1"/>
  <c r="AM190" i="1"/>
  <c r="AK191" i="1"/>
  <c r="AL191" i="1"/>
  <c r="AM191" i="1"/>
  <c r="AK192" i="1"/>
  <c r="AL192" i="1"/>
  <c r="AM192" i="1"/>
  <c r="AK193" i="1"/>
  <c r="AL193" i="1"/>
  <c r="AM193" i="1"/>
  <c r="AK194" i="1"/>
  <c r="AL194" i="1"/>
  <c r="AM194" i="1"/>
  <c r="AK195" i="1"/>
  <c r="AL195" i="1"/>
  <c r="AM195" i="1"/>
  <c r="AK196" i="1"/>
  <c r="AL196" i="1"/>
  <c r="AM196" i="1"/>
  <c r="AK197" i="1"/>
  <c r="AL197" i="1"/>
  <c r="AM197" i="1"/>
  <c r="AK198" i="1"/>
  <c r="AL198" i="1"/>
  <c r="AM198" i="1"/>
  <c r="AK199" i="1"/>
  <c r="AL199" i="1"/>
  <c r="AM199" i="1"/>
  <c r="AK200" i="1"/>
  <c r="AL200" i="1"/>
  <c r="AM200" i="1"/>
  <c r="AK201" i="1"/>
  <c r="AL201" i="1"/>
  <c r="AM201" i="1"/>
  <c r="AK202" i="1"/>
  <c r="AL202" i="1"/>
  <c r="AM202" i="1"/>
  <c r="AK203" i="1"/>
  <c r="AL203" i="1"/>
  <c r="AM203" i="1"/>
  <c r="AK204" i="1"/>
  <c r="AL204" i="1"/>
  <c r="AM204" i="1"/>
  <c r="AK205" i="1"/>
  <c r="AL205" i="1"/>
  <c r="AM205" i="1"/>
  <c r="AK206" i="1"/>
  <c r="AL206" i="1"/>
  <c r="AM206" i="1"/>
  <c r="AK207" i="1"/>
  <c r="AL207" i="1"/>
  <c r="AM207" i="1"/>
  <c r="AK208" i="1"/>
  <c r="AL208" i="1"/>
  <c r="AM208" i="1"/>
  <c r="AK209" i="1"/>
  <c r="AL209" i="1"/>
  <c r="AM209" i="1"/>
  <c r="AK210" i="1"/>
  <c r="AL210" i="1"/>
  <c r="AM210" i="1"/>
  <c r="AK211" i="1"/>
  <c r="AL211" i="1"/>
  <c r="AM211" i="1"/>
  <c r="AK212" i="1"/>
  <c r="AL212" i="1"/>
  <c r="AM212" i="1"/>
  <c r="AK213" i="1"/>
  <c r="AL213" i="1"/>
  <c r="AM213" i="1"/>
  <c r="AK214" i="1"/>
  <c r="AL214" i="1"/>
  <c r="AM214" i="1"/>
  <c r="AK215" i="1"/>
  <c r="AL215" i="1"/>
  <c r="AM215" i="1"/>
  <c r="AK216" i="1"/>
  <c r="AL216" i="1"/>
  <c r="AM216" i="1"/>
  <c r="AK217" i="1"/>
  <c r="AL217" i="1"/>
  <c r="AM217" i="1"/>
  <c r="AK218" i="1"/>
  <c r="AL218" i="1"/>
  <c r="AM218" i="1"/>
  <c r="AK219" i="1"/>
  <c r="AL219" i="1"/>
  <c r="AM219" i="1"/>
  <c r="AK220" i="1"/>
  <c r="AL220" i="1"/>
  <c r="AM220" i="1"/>
  <c r="AK221" i="1"/>
  <c r="AL221" i="1"/>
  <c r="AM221" i="1"/>
  <c r="AK222" i="1"/>
  <c r="AL222" i="1"/>
  <c r="AM222" i="1"/>
  <c r="AK223" i="1"/>
  <c r="AL223" i="1"/>
  <c r="AM223" i="1"/>
  <c r="AK224" i="1"/>
  <c r="AL224" i="1"/>
  <c r="AM224" i="1"/>
  <c r="AK225" i="1"/>
  <c r="AL225" i="1"/>
  <c r="AM225" i="1"/>
  <c r="AK226" i="1"/>
  <c r="AL226" i="1"/>
  <c r="AM226" i="1"/>
  <c r="AK227" i="1"/>
  <c r="AL227" i="1"/>
  <c r="AM227" i="1"/>
  <c r="AK228" i="1"/>
  <c r="AL228" i="1"/>
  <c r="AM228" i="1"/>
  <c r="AK229" i="1"/>
  <c r="AL229" i="1"/>
  <c r="AM229" i="1"/>
  <c r="AK230" i="1"/>
  <c r="AL230" i="1"/>
  <c r="AM230" i="1"/>
  <c r="AK231" i="1"/>
  <c r="AL231" i="1"/>
  <c r="AM231" i="1"/>
  <c r="AK232" i="1"/>
  <c r="AL232" i="1"/>
  <c r="AM232" i="1"/>
  <c r="AK233" i="1"/>
  <c r="AL233" i="1"/>
  <c r="AM233" i="1"/>
  <c r="AK234" i="1"/>
  <c r="AL234" i="1"/>
  <c r="AM234" i="1"/>
  <c r="AK235" i="1"/>
  <c r="AL235" i="1"/>
  <c r="AM235" i="1"/>
  <c r="AK236" i="1"/>
  <c r="AL236" i="1"/>
  <c r="AM236" i="1"/>
  <c r="AK237" i="1"/>
  <c r="AL237" i="1"/>
  <c r="AM237" i="1"/>
  <c r="AK238" i="1"/>
  <c r="AL238" i="1"/>
  <c r="AM238" i="1"/>
  <c r="AK239" i="1"/>
  <c r="AL239" i="1"/>
  <c r="AM239" i="1"/>
  <c r="AK240" i="1"/>
  <c r="AL240" i="1"/>
  <c r="AM240" i="1"/>
  <c r="AK241" i="1"/>
  <c r="AL241" i="1"/>
  <c r="AM241" i="1"/>
  <c r="AK242" i="1"/>
  <c r="AL242" i="1"/>
  <c r="AM242" i="1"/>
  <c r="AK243" i="1"/>
  <c r="AL243" i="1"/>
  <c r="AM243" i="1"/>
  <c r="AK244" i="1"/>
  <c r="AL244" i="1"/>
  <c r="AM244" i="1"/>
  <c r="AK245" i="1"/>
  <c r="AL245" i="1"/>
  <c r="AM245" i="1"/>
  <c r="AK246" i="1"/>
  <c r="AL246" i="1"/>
  <c r="AM246" i="1"/>
  <c r="AK247" i="1"/>
  <c r="AL247" i="1"/>
  <c r="AM247" i="1"/>
  <c r="AK248" i="1"/>
  <c r="AL248" i="1"/>
  <c r="AM248" i="1"/>
  <c r="AK249" i="1"/>
  <c r="AL249" i="1"/>
  <c r="AM249" i="1"/>
  <c r="AK250" i="1"/>
  <c r="AL250" i="1"/>
  <c r="AM250" i="1"/>
  <c r="AK251" i="1"/>
  <c r="AL251" i="1"/>
  <c r="AM251" i="1"/>
  <c r="AK252" i="1"/>
  <c r="AL252" i="1"/>
  <c r="AM252" i="1"/>
  <c r="AK253" i="1"/>
  <c r="AL253" i="1"/>
  <c r="AM253" i="1"/>
  <c r="AK254" i="1"/>
  <c r="AL254" i="1"/>
  <c r="AM254" i="1"/>
  <c r="AK255" i="1"/>
  <c r="AL255" i="1"/>
  <c r="AM255" i="1"/>
  <c r="AK256" i="1"/>
  <c r="AL256" i="1"/>
  <c r="AM256" i="1"/>
  <c r="AK257" i="1"/>
  <c r="AL257" i="1"/>
  <c r="AM257" i="1"/>
  <c r="AK258" i="1"/>
  <c r="AL258" i="1"/>
  <c r="AM258" i="1"/>
  <c r="AK259" i="1"/>
  <c r="AL259" i="1"/>
  <c r="AM259" i="1"/>
  <c r="AK260" i="1"/>
  <c r="AL260" i="1"/>
  <c r="AM260" i="1"/>
  <c r="AK261" i="1"/>
  <c r="AL261" i="1"/>
  <c r="AM261" i="1"/>
  <c r="AK262" i="1"/>
  <c r="AL262" i="1"/>
  <c r="AM262" i="1"/>
  <c r="AK263" i="1"/>
  <c r="AL263" i="1"/>
  <c r="AM263" i="1"/>
  <c r="AK264" i="1"/>
  <c r="AL264" i="1"/>
  <c r="AM264" i="1"/>
  <c r="AK265" i="1"/>
  <c r="AL265" i="1"/>
  <c r="AM265" i="1"/>
  <c r="AK266" i="1"/>
  <c r="AL266" i="1"/>
  <c r="AM266" i="1"/>
  <c r="AK267" i="1"/>
  <c r="AL267" i="1"/>
  <c r="AM267" i="1"/>
  <c r="AK268" i="1"/>
  <c r="AL268" i="1"/>
  <c r="AM268" i="1"/>
  <c r="AK269" i="1"/>
  <c r="AL269" i="1"/>
  <c r="AM269" i="1"/>
  <c r="AK270" i="1"/>
  <c r="AL270" i="1"/>
  <c r="AM270" i="1"/>
  <c r="AK271" i="1"/>
  <c r="AL271" i="1"/>
  <c r="AM271" i="1"/>
  <c r="AK272" i="1"/>
  <c r="AL272" i="1"/>
  <c r="AM272" i="1"/>
  <c r="AK273" i="1"/>
  <c r="AL273" i="1"/>
  <c r="AM273" i="1"/>
  <c r="AK274" i="1"/>
  <c r="AL274" i="1"/>
  <c r="AM274" i="1"/>
  <c r="AK275" i="1"/>
  <c r="AL275" i="1"/>
  <c r="AM275" i="1"/>
  <c r="AK276" i="1"/>
  <c r="AL276" i="1"/>
  <c r="AM276" i="1"/>
  <c r="AK277" i="1"/>
  <c r="AL277" i="1"/>
  <c r="AM277" i="1"/>
  <c r="AK278" i="1"/>
  <c r="AL278" i="1"/>
  <c r="AM278" i="1"/>
  <c r="AK279" i="1"/>
  <c r="AL279" i="1"/>
  <c r="AM279" i="1"/>
  <c r="AK280" i="1"/>
  <c r="AL280" i="1"/>
  <c r="AM280" i="1"/>
  <c r="AK281" i="1"/>
  <c r="AL281" i="1"/>
  <c r="AM281" i="1"/>
  <c r="AK282" i="1"/>
  <c r="AL282" i="1"/>
  <c r="AM282" i="1"/>
  <c r="AK283" i="1"/>
  <c r="AL283" i="1"/>
  <c r="AM283" i="1"/>
  <c r="AK284" i="1"/>
  <c r="AL284" i="1"/>
  <c r="AM284" i="1"/>
  <c r="AK285" i="1"/>
  <c r="AL285" i="1"/>
  <c r="AM285" i="1"/>
  <c r="AK286" i="1"/>
  <c r="AL286" i="1"/>
  <c r="AM286" i="1"/>
  <c r="AK287" i="1"/>
  <c r="AL287" i="1"/>
  <c r="AM287" i="1"/>
  <c r="AK288" i="1"/>
  <c r="AL288" i="1"/>
  <c r="AM288" i="1"/>
  <c r="AK289" i="1"/>
  <c r="AL289" i="1"/>
  <c r="AM289" i="1"/>
  <c r="AK290" i="1"/>
  <c r="AL290" i="1"/>
  <c r="AM290" i="1"/>
  <c r="AK291" i="1"/>
  <c r="AL291" i="1"/>
  <c r="AM291" i="1"/>
  <c r="AK292" i="1"/>
  <c r="AL292" i="1"/>
  <c r="AM292" i="1"/>
  <c r="AK293" i="1"/>
  <c r="AL293" i="1"/>
  <c r="AM293" i="1"/>
  <c r="AK294" i="1"/>
  <c r="AL294" i="1"/>
  <c r="AM294" i="1"/>
  <c r="AK295" i="1"/>
  <c r="AL295" i="1"/>
  <c r="AM295" i="1"/>
  <c r="AK296" i="1"/>
  <c r="AL296" i="1"/>
  <c r="AM296" i="1"/>
  <c r="AK297" i="1"/>
  <c r="AL297" i="1"/>
  <c r="AM297" i="1"/>
  <c r="AK298" i="1"/>
  <c r="AL298" i="1"/>
  <c r="AM298" i="1"/>
  <c r="AK299" i="1"/>
  <c r="AL299" i="1"/>
  <c r="AM299" i="1"/>
  <c r="AK300" i="1"/>
  <c r="AL300" i="1"/>
  <c r="AM300" i="1"/>
  <c r="AK301" i="1"/>
  <c r="AL301" i="1"/>
  <c r="AM301" i="1"/>
  <c r="AK302" i="1"/>
  <c r="AL302" i="1"/>
  <c r="AM302" i="1"/>
  <c r="AK303" i="1"/>
  <c r="AL303" i="1"/>
  <c r="AM303" i="1"/>
  <c r="AK304" i="1"/>
  <c r="AL304" i="1"/>
  <c r="AM304" i="1"/>
  <c r="AK305" i="1"/>
  <c r="AL305" i="1"/>
  <c r="AM305" i="1"/>
  <c r="AK306" i="1"/>
  <c r="AL306" i="1"/>
  <c r="AM306" i="1"/>
  <c r="AK307" i="1"/>
  <c r="AL307" i="1"/>
  <c r="AM307" i="1"/>
  <c r="AK308" i="1"/>
  <c r="AL308" i="1"/>
  <c r="AM308" i="1"/>
  <c r="AK309" i="1"/>
  <c r="AL309" i="1"/>
  <c r="AM309" i="1"/>
  <c r="AK310" i="1"/>
  <c r="AL310" i="1"/>
  <c r="AM310" i="1"/>
  <c r="AK311" i="1"/>
  <c r="AL311" i="1"/>
  <c r="AM311" i="1"/>
  <c r="AK312" i="1"/>
  <c r="AL312" i="1"/>
  <c r="AM312" i="1"/>
  <c r="AK313" i="1"/>
  <c r="AL313" i="1"/>
  <c r="AM313" i="1"/>
  <c r="AK314" i="1"/>
  <c r="AL314" i="1"/>
  <c r="AM314" i="1"/>
  <c r="AK315" i="1"/>
  <c r="AL315" i="1"/>
  <c r="AM315" i="1"/>
  <c r="AK316" i="1"/>
  <c r="AL316" i="1"/>
  <c r="AM316" i="1"/>
  <c r="AK317" i="1"/>
  <c r="AL317" i="1"/>
  <c r="AM317" i="1"/>
  <c r="AK318" i="1"/>
  <c r="AL318" i="1"/>
  <c r="AM318" i="1"/>
  <c r="AK319" i="1"/>
  <c r="AL319" i="1"/>
  <c r="AM319" i="1"/>
  <c r="AK320" i="1"/>
  <c r="AL320" i="1"/>
  <c r="AM320" i="1"/>
  <c r="AK321" i="1"/>
  <c r="AL321" i="1"/>
  <c r="AM321" i="1"/>
  <c r="AK322" i="1"/>
  <c r="AL322" i="1"/>
  <c r="AM322" i="1"/>
  <c r="AK323" i="1"/>
  <c r="AL323" i="1"/>
  <c r="AM323" i="1"/>
  <c r="AK324" i="1"/>
  <c r="AL324" i="1"/>
  <c r="AM324" i="1"/>
  <c r="AK325" i="1"/>
  <c r="AL325" i="1"/>
  <c r="AM325" i="1"/>
  <c r="AK326" i="1"/>
  <c r="AL326" i="1"/>
  <c r="AM326" i="1"/>
  <c r="AK327" i="1"/>
  <c r="AL327" i="1"/>
  <c r="AM327" i="1"/>
  <c r="AK328" i="1"/>
  <c r="AL328" i="1"/>
  <c r="AM328" i="1"/>
  <c r="AK329" i="1"/>
  <c r="AL329" i="1"/>
  <c r="AM329" i="1"/>
  <c r="AK330" i="1"/>
  <c r="AL330" i="1"/>
  <c r="AM330" i="1"/>
  <c r="AK331" i="1"/>
  <c r="AL331" i="1"/>
  <c r="AM331" i="1"/>
  <c r="AK332" i="1"/>
  <c r="AL332" i="1"/>
  <c r="AM332" i="1"/>
  <c r="AK333" i="1"/>
  <c r="AL333" i="1"/>
  <c r="AM333" i="1"/>
  <c r="AK334" i="1"/>
  <c r="AL334" i="1"/>
  <c r="AM334" i="1"/>
  <c r="AK335" i="1"/>
  <c r="AL335" i="1"/>
  <c r="AM335" i="1"/>
  <c r="AL3" i="1"/>
  <c r="AM3" i="1"/>
  <c r="AK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<sst xmlns="http://schemas.openxmlformats.org/spreadsheetml/2006/main" count="4137" uniqueCount="1312">
  <si>
    <t>Table</t>
  </si>
  <si>
    <t>Pgm</t>
  </si>
  <si>
    <t>API</t>
  </si>
  <si>
    <t>BOD</t>
  </si>
  <si>
    <t>Herff Jones</t>
  </si>
  <si>
    <t>Help</t>
  </si>
  <si>
    <t>Doppio</t>
  </si>
  <si>
    <t>Sequence</t>
  </si>
  <si>
    <t>TableName</t>
  </si>
  <si>
    <t>ColumnName</t>
  </si>
  <si>
    <t>Description</t>
  </si>
  <si>
    <t>DataType</t>
  </si>
  <si>
    <t>Length</t>
  </si>
  <si>
    <t>Decimals</t>
  </si>
  <si>
    <t>PrimaryKey</t>
  </si>
  <si>
    <t>Table_8</t>
  </si>
  <si>
    <t>Program</t>
  </si>
  <si>
    <t>Panel</t>
  </si>
  <si>
    <t>IDM</t>
  </si>
  <si>
    <t>DocBits</t>
  </si>
  <si>
    <t>Pgm_4</t>
  </si>
  <si>
    <t>MI</t>
  </si>
  <si>
    <t>Transaction</t>
  </si>
  <si>
    <t>Field</t>
  </si>
  <si>
    <t>Mandatory</t>
  </si>
  <si>
    <t>API_4</t>
  </si>
  <si>
    <t>XPath</t>
  </si>
  <si>
    <t>BOD_1</t>
  </si>
  <si>
    <t>MappingNotes</t>
  </si>
  <si>
    <t>Responsible</t>
  </si>
  <si>
    <t>Required</t>
  </si>
  <si>
    <t>DefaultValue</t>
  </si>
  <si>
    <t>Herff Jones_4</t>
  </si>
  <si>
    <t>Definition</t>
  </si>
  <si>
    <t>Alternatives</t>
  </si>
  <si>
    <t>PromptPgm</t>
  </si>
  <si>
    <t>Help_3</t>
  </si>
  <si>
    <t>DG_Notes</t>
  </si>
  <si>
    <t>DG_Responsible</t>
  </si>
  <si>
    <t>DG_Required</t>
  </si>
  <si>
    <t>DG_Example</t>
  </si>
  <si>
    <t>Doppio_4</t>
  </si>
  <si>
    <t>Customer template</t>
  </si>
  <si>
    <t>String</t>
  </si>
  <si>
    <t>10</t>
  </si>
  <si>
    <t>CRS610MI</t>
  </si>
  <si>
    <t>Add</t>
  </si>
  <si>
    <t>CUTM</t>
  </si>
  <si>
    <t>yes</t>
  </si>
  <si>
    <t>this should be a customer we want to use as the template</t>
  </si>
  <si>
    <t>IONCUST</t>
  </si>
  <si>
    <t>OCUSMA</t>
  </si>
  <si>
    <t>OKCONO</t>
  </si>
  <si>
    <t>Company</t>
  </si>
  <si>
    <t>Decimal</t>
  </si>
  <si>
    <t>3</t>
  </si>
  <si>
    <t>Yes</t>
  </si>
  <si>
    <t>CONO</t>
  </si>
  <si>
    <t>retrieved from user</t>
  </si>
  <si>
    <t>The field indicates company number, which is the primary identity in all files in the M3 system. The purpose of this is to be able to handle, in the same database, several companies completely or partially separated.
A maximum of 999 companies may be handled in the same database.</t>
  </si>
  <si>
    <t>MNS095</t>
  </si>
  <si>
    <t>300</t>
  </si>
  <si>
    <t>OKDIVI</t>
  </si>
  <si>
    <t>Division</t>
  </si>
  <si>
    <t>DIVI</t>
  </si>
  <si>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</si>
  <si>
    <t>MNS100</t>
  </si>
  <si>
    <t>AAA</t>
  </si>
  <si>
    <t>OKSTAT</t>
  </si>
  <si>
    <t>Status</t>
  </si>
  <si>
    <t>2</t>
  </si>
  <si>
    <t>CRS610</t>
  </si>
  <si>
    <t>E</t>
  </si>
  <si>
    <t>STAT</t>
  </si>
  <si>
    <t>/ProcessCustomerPartyMaster/DataArea/CustomerPartyMaster/Status/Code</t>
  </si>
  <si>
    <t>The field indicates the status of the customer.</t>
  </si>
  <si>
    <t>10: Preliminary
20: Definite
90: Blocked/expired.
11: Temporary customer number, assigned when errors detected during automatic numbering. This status is raised to 12 when a new customer number is entered.
12: Incorrect values for customer number. This status is raised to 20 when the errors are corrected.</t>
  </si>
  <si>
    <t>20</t>
  </si>
  <si>
    <t>OKCUNO</t>
  </si>
  <si>
    <t>Customer</t>
  </si>
  <si>
    <t>CUNO</t>
  </si>
  <si>
    <t>/ProcessCustomerPartyMaster/DataArea/CustomerPartyMaster/PartyIDs/ID</t>
  </si>
  <si>
    <t>Generated value using format A000000000</t>
  </si>
  <si>
    <t>The field indicates the unique identification of a customer. It can contain up to ten positions, and is alphanumeric.
For temporary customers (customer type 9), the customer number must be within a defined range where only customers of customer type 9 can be entered.</t>
  </si>
  <si>
    <t>A000000001</t>
  </si>
  <si>
    <t>OKCUCL</t>
  </si>
  <si>
    <t>Customer group</t>
  </si>
  <si>
    <t>F</t>
  </si>
  <si>
    <t>ChgOrderInfo</t>
  </si>
  <si>
    <t>CUCL</t>
  </si>
  <si>
    <t>/ProcessCustomerPartyMaster/DataArea/CustomerPartyMaster/Classification/Codes/Code[@listID]="Customer groups"</t>
  </si>
  <si>
    <t>The field indicates the customer group to which the customer belongs.
Customers are connected to customer groups in (CRS145). The customer groups can then be used as selection and sorting criteria, for example when generating statistics on order entry and sales.</t>
  </si>
  <si>
    <t>CRS145</t>
  </si>
  <si>
    <t>ZZZ</t>
  </si>
  <si>
    <t>OKCUTP</t>
  </si>
  <si>
    <t>Customer type</t>
  </si>
  <si>
    <t>1</t>
  </si>
  <si>
    <t>CUTP</t>
  </si>
  <si>
    <t>/ProcessCustomerPartyMaster/DataArea/CustomerPartyMaster/Classification/Codes/Code[@listID]="Customer Types"</t>
  </si>
  <si>
    <t>The field indicates the type of customer.</t>
  </si>
  <si>
    <t>0: Normal customer. Can also be payer or bonus/commission recipient.
1: Bonus/commission recipient only, not orderer.
2: Payer only, not orderer. Can also be bonus/ commission recipient.
4: Ship-via customer. Only used in combination with a ship-via address defined in (CRS300).
7: Internal customer. Accounts receivable is not updated during invoicing.
8: Temporary customer created during order entry of a temporary customer group (see customer type 9). This customer type cannot be specified when entering a new customer in the customer file.
9: Temporary customer group. For each customer order entered, a new record is automatically created in the customer file. The first positions of the record correspond to this group number.</t>
  </si>
  <si>
    <t>no</t>
  </si>
  <si>
    <t>OKALCU</t>
  </si>
  <si>
    <t>Search key</t>
  </si>
  <si>
    <t>ALCU</t>
  </si>
  <si>
    <t>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t>
  </si>
  <si>
    <t>DOMESTIC</t>
  </si>
  <si>
    <t>OKCUNM</t>
  </si>
  <si>
    <t>Name</t>
  </si>
  <si>
    <t>36</t>
  </si>
  <si>
    <t>CUNM</t>
  </si>
  <si>
    <t>/ProcessCustomerPartyMaster/DataArea/CustomerPartyMaster/Name</t>
  </si>
  <si>
    <t>Syndigo - Legal Name</t>
  </si>
  <si>
    <t>The field indicates customer or company name. A maximum of 36 characters may be used.</t>
  </si>
  <si>
    <t>WINCHESTER PUBLIC SCHOOLS</t>
  </si>
  <si>
    <t>OKCUA1</t>
  </si>
  <si>
    <t>Address line 1</t>
  </si>
  <si>
    <t>CUA1</t>
  </si>
  <si>
    <t>/ProcessCustomerPartyMaster/DataArea/CustomerPartyMaster/Location/Address/AddressLine</t>
  </si>
  <si>
    <t>Syndigo - Mail To Street 1</t>
  </si>
  <si>
    <t>The field indicates an address line. A maximum of 36 characters may be used.</t>
  </si>
  <si>
    <t>12 N WASHINGTON ST</t>
  </si>
  <si>
    <t>OKCUA2</t>
  </si>
  <si>
    <t>Address line 2</t>
  </si>
  <si>
    <t>CUA2</t>
  </si>
  <si>
    <t>Syndigo - Mail To Street 2</t>
  </si>
  <si>
    <t>OKCUA3</t>
  </si>
  <si>
    <t>Address line 3</t>
  </si>
  <si>
    <t>CUA3</t>
  </si>
  <si>
    <t>Syndigo - Mail To Street 3</t>
  </si>
  <si>
    <t>The field indicates an address line. It can contain a maximum of 36 positions.</t>
  </si>
  <si>
    <t>WINCHESTER VA 22601</t>
  </si>
  <si>
    <t>OKCUA4</t>
  </si>
  <si>
    <t>Address line 4</t>
  </si>
  <si>
    <t>CUA4</t>
  </si>
  <si>
    <t>Syndigo - Mail To Street 4</t>
  </si>
  <si>
    <t>United States</t>
  </si>
  <si>
    <t>OKADID</t>
  </si>
  <si>
    <t>Address number</t>
  </si>
  <si>
    <t>6</t>
  </si>
  <si>
    <t>G</t>
  </si>
  <si>
    <t>ADID</t>
  </si>
  <si>
    <t>The field indicates the delivery address to be proposed by default when entering new customer orders.
If this field is left blank and no address is specified on the customer order, the customer's mailing address will be used as the delivery address for the order.
The address number is for all address types. For example, the number 100 can be both the delivery address and invoicing address.</t>
  </si>
  <si>
    <t>OIS002</t>
  </si>
  <si>
    <t>OKADBO</t>
  </si>
  <si>
    <t>Separate invoices</t>
  </si>
  <si>
    <t>H</t>
  </si>
  <si>
    <t>ADBO</t>
  </si>
  <si>
    <t>The field indicates whether or not separate invoices are to be created for the customer and, if so, how this is to be done. This parameter is only of interest if summary invoice is used on (OIS010/E), (CRS610/H), or (MFS610/J).</t>
  </si>
  <si>
    <t>0: No. A summary invoice is created even if the shipment is connected to different addresses or delivery numbers.
1: Yes. Separate invoices are created for shipments to different addresses.
2: Yes. Separate invoices are created for shipments connected to different delivery numbers.</t>
  </si>
  <si>
    <t>OKPHNO</t>
  </si>
  <si>
    <t>Telephone number 1</t>
  </si>
  <si>
    <t>16</t>
  </si>
  <si>
    <t>PHNO</t>
  </si>
  <si>
    <t>/ProcessCustomerPartyMaster/DataArea/CustomerPartyMaster/Communication/DialNumber [UseCode]="Phone"</t>
  </si>
  <si>
    <t>The field indicates the telephone number of the customer or supplier.</t>
  </si>
  <si>
    <t>OKPHN2</t>
  </si>
  <si>
    <t>Telephone number 2</t>
  </si>
  <si>
    <t>PHN2</t>
  </si>
  <si>
    <t>OKTFNO</t>
  </si>
  <si>
    <t>Facsimile transmission number</t>
  </si>
  <si>
    <t>TFNO</t>
  </si>
  <si>
    <t>/ProcessCustomerPartyMaster/DataArea/CustomerPartyMaster/Communication/DialNumber [UseCode]="Fax"</t>
  </si>
  <si>
    <t>The field indicates a fax (facsimile) number for a customer, supplier or address.
If you are using automatic fax transmission, enter the number without any blank spaces.</t>
  </si>
  <si>
    <t>OKCORG</t>
  </si>
  <si>
    <t>Organization number 1</t>
  </si>
  <si>
    <t>11</t>
  </si>
  <si>
    <t>J</t>
  </si>
  <si>
    <t>ChgFinancial</t>
  </si>
  <si>
    <t>CORG</t>
  </si>
  <si>
    <t>/ProcessCustomerPartyMaster/DataArea/CustomerPartyMaster/PartyIDs/TaxID[@schemeName]="CountryIdentificationNumber"</t>
  </si>
  <si>
    <t>The field indicates the customer's/supplier's/division's organization number.</t>
  </si>
  <si>
    <t>OKCOR2</t>
  </si>
  <si>
    <t>Organization number 2</t>
  </si>
  <si>
    <t>COR2</t>
  </si>
  <si>
    <t>/ProcessCustomerPartyMaster/DataArea/CustomerPartyMaster/PartyIDs/TaxID[@schemeName]="CountryIdentificationNumber2"</t>
  </si>
  <si>
    <t>The field indicates the customer's/supplier's or division's organization number.
In Germany a specific tax number must be printed on credit notes. This field stores that tax number. This tax number will, under the following conditions, be printed in the field for your VAT registration number on the invoice documents.</t>
  </si>
  <si>
    <t>OKYREF</t>
  </si>
  <si>
    <t>Your reference 1</t>
  </si>
  <si>
    <t>30</t>
  </si>
  <si>
    <t>YREF</t>
  </si>
  <si>
    <t>/ProcessCustomerPartyMaster/DataArea/CustomerPartyMaster/Location/Address/AttentionOfName</t>
  </si>
  <si>
    <t>The field indicates the customer's contact person.</t>
  </si>
  <si>
    <t>OKYRE2</t>
  </si>
  <si>
    <t>Your reference 2</t>
  </si>
  <si>
    <t>YRE2</t>
  </si>
  <si>
    <t>The field indicates the customer's contact person.
Your reference 2 functions only as a complement to the Your reference 1 field per customer and is not used for customer orders.</t>
  </si>
  <si>
    <t>OKOREF</t>
  </si>
  <si>
    <t>Our reference</t>
  </si>
  <si>
    <t>OREF</t>
  </si>
  <si>
    <t>The field indicates the person who the customer or supplier may contact regarding customer/purchase orders.</t>
  </si>
  <si>
    <t>OKCUSU</t>
  </si>
  <si>
    <t>Our supplier number at customer</t>
  </si>
  <si>
    <t>CUSU</t>
  </si>
  <si>
    <t>This field is used to specify the supplier number the customer uses to identify us. The field is only used as a search key in the customer file.</t>
  </si>
  <si>
    <t>OKEXCD</t>
  </si>
  <si>
    <t>Service charge</t>
  </si>
  <si>
    <t>EXCD</t>
  </si>
  <si>
    <t>The field indicates a service charge.
A service charge consists of a limit and a charge amount. If the order value is less than the limit, the service charge is added to the invoice.
The information is entered per customer. The charge is displayed by default at order entry, where it can be changed.</t>
  </si>
  <si>
    <t>OIS031</t>
  </si>
  <si>
    <t>OKTEPY</t>
  </si>
  <si>
    <t>Payment terms</t>
  </si>
  <si>
    <t>TEPY</t>
  </si>
  <si>
    <t>/ProcessCustomerPartyMaster/DataArea/CustomerPartyMaster/PaymentTermID</t>
  </si>
  <si>
    <t>The field indicates how the due date is to be calculated.</t>
  </si>
  <si>
    <t>CRS075</t>
  </si>
  <si>
    <t>N30</t>
  </si>
  <si>
    <t>OKOT75</t>
  </si>
  <si>
    <t>Self invoicing</t>
  </si>
  <si>
    <t>The field is not yet activated in M3.</t>
  </si>
  <si>
    <t>OKTECD</t>
  </si>
  <si>
    <t>Cash discount term</t>
  </si>
  <si>
    <t>TECD</t>
  </si>
  <si>
    <t>The field indicates the terms for cash discount calculation.
Sets of different cash discount terms are defined in (CRS077).</t>
  </si>
  <si>
    <t>CRS077</t>
  </si>
  <si>
    <t>OKTEDL</t>
  </si>
  <si>
    <t>Delivery terms</t>
  </si>
  <si>
    <t>TEDL</t>
  </si>
  <si>
    <t>The field indicates delivery terms, which indicate when the responsibility for the transport is transferred from supplier to customer. Responsibility can, for example, refer to payment, insurance terms.
Delivery terms are used at customer entry or entry of delivery addresses to be able to display the entered delivery terms at order entry.
For freight documents created from the transportation planning routines, the delivery term are retrieved from the selected route, and managed by the shipment regardless of this value in this field.</t>
  </si>
  <si>
    <t>CRS065</t>
  </si>
  <si>
    <t>CIF</t>
  </si>
  <si>
    <t>OKMODL</t>
  </si>
  <si>
    <t>Delivery method</t>
  </si>
  <si>
    <t>MODL</t>
  </si>
  <si>
    <t>The field indicates the delivery method that is normally used when deliveries are made to the customer.
This information is displayed by default when entering customer orders and when entering a delivery address for a customer.</t>
  </si>
  <si>
    <t>CRS070</t>
  </si>
  <si>
    <t>OKSMCD</t>
  </si>
  <si>
    <t>Salesperson</t>
  </si>
  <si>
    <t>SMCD</t>
  </si>
  <si>
    <t>Syndigo - Primary ID</t>
  </si>
  <si>
    <t>The field indicates the person responsible for sales to a customer.
The salesperson can be used as a statistical category in order entry and for sales statistics.</t>
  </si>
  <si>
    <t>CRS100</t>
  </si>
  <si>
    <t>OKRESP</t>
  </si>
  <si>
    <t>RESP</t>
  </si>
  <si>
    <t>The field indicates who is responsible for the customer.</t>
  </si>
  <si>
    <t>MNS150</t>
  </si>
  <si>
    <t>DISADMIN</t>
  </si>
  <si>
    <t>OKRONO</t>
  </si>
  <si>
    <t>Run</t>
  </si>
  <si>
    <t>The field indicates a unique identity for a run. A run is a recurring transport or delivery from inventory.
This field is only used when processing service orders (SO).
This is used to connect a customer to a run in (CRS610). A check is made to verify that the specified run exists in the basic data table.</t>
  </si>
  <si>
    <t>OKDIPC</t>
  </si>
  <si>
    <t>Discount</t>
  </si>
  <si>
    <t>5</t>
  </si>
  <si>
    <t>DIPC</t>
  </si>
  <si>
    <t>The field indicates the discount as a percentage.
The discount field is used in different contexts, for example in price lists and agreements.</t>
  </si>
  <si>
    <t>OKDISY</t>
  </si>
  <si>
    <t>Discount model</t>
  </si>
  <si>
    <t>DISY</t>
  </si>
  <si>
    <t>The field indicates a discount model. A discount model can contain six discount numbers, which define how a discount is to be calculated for a customer order. The discount numbers have a discount matrix which contains the discount percentages.
A discount model can be entered per order type and/or customer. If order type has a discount model entered it will be used instead of customers discount model. The discount model may even be changed for a single order.</t>
  </si>
  <si>
    <t>OIS800</t>
  </si>
  <si>
    <t>Y001</t>
  </si>
  <si>
    <t>OKDIGC</t>
  </si>
  <si>
    <t>Discount group - customer</t>
  </si>
  <si>
    <t>DIGC</t>
  </si>
  <si>
    <t>The field indicates the customer discount group.
Customer discount groups are entered per customer in (CRS610) and may be used as a control object for calculating customer order line discounts.</t>
  </si>
  <si>
    <t>CRS310</t>
  </si>
  <si>
    <t>OKVTCD</t>
  </si>
  <si>
    <t>VAT code</t>
  </si>
  <si>
    <t>VTCD</t>
  </si>
  <si>
    <t>/ProcessCustomerPartyMaster/DataArea/CustomerPartyMaster/PartyIDs/TaxID[@schemeName]="VatCode"</t>
  </si>
  <si>
    <t>The field indicates the VAT code to use for the customer.
This VAT code is used for the following purposes:
The 'Tax applicable' field for the customer in (CRS610/J) determines whether the customer is exempt from VAT (alternative 0) or has a VAT exemption agreement (alternative 2).
In all other cases, VAT codes on order lines and order charges are retrieved from the applicable items and charges.</t>
  </si>
  <si>
    <t>CRS030</t>
  </si>
  <si>
    <t>9</t>
  </si>
  <si>
    <t>OKTXAP</t>
  </si>
  <si>
    <t>Tax applicable</t>
  </si>
  <si>
    <t>TXAP</t>
  </si>
  <si>
    <t>/ProcessCustomerPartyMaster/DataArea/CustomerPartyMaster/Classification/Codes/Code[@listID]="Tax Applicable"</t>
  </si>
  <si>
    <t>The field indicates whether the customer or supplier is required to declare VAT or sales tax.</t>
  </si>
  <si>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</si>
  <si>
    <t>OKCUCD</t>
  </si>
  <si>
    <t>Currency</t>
  </si>
  <si>
    <t>CUCD</t>
  </si>
  <si>
    <t>The field indicates currency per customer order.
The currency code is proposed by default from the customer file in (CRS610). However, the currency code may be changed when entering customer orders.</t>
  </si>
  <si>
    <t>CRS053</t>
  </si>
  <si>
    <t>USD</t>
  </si>
  <si>
    <t>OKCRTP</t>
  </si>
  <si>
    <t>Exchange rate type</t>
  </si>
  <si>
    <t>CRTP</t>
  </si>
  <si>
    <t>The field indicates the exchange rate type, such as variable rate, budget exchange rate, or rate used for group consolidation.
Exchange rate types are used for budgeting and annual financial statements and can be connected to customers, suppliers, and price lists.</t>
  </si>
  <si>
    <t>01: Variable rate
02-99: User-defined.</t>
  </si>
  <si>
    <t>CRS056</t>
  </si>
  <si>
    <t>OKPLTB</t>
  </si>
  <si>
    <t>Price list table</t>
  </si>
  <si>
    <t>PLTB</t>
  </si>
  <si>
    <t>The field indicates a joint ID for the sales prices of several items. Using price list tables lets you process several sales price lists for customer orders for each item.</t>
  </si>
  <si>
    <t>STS012</t>
  </si>
  <si>
    <t>Z0001</t>
  </si>
  <si>
    <t>OKPRVG</t>
  </si>
  <si>
    <t>Commission group</t>
  </si>
  <si>
    <t>PRVG</t>
  </si>
  <si>
    <t>The field is used to connect a customer to a bonus or commission group. This group is used as a selection key in the routines for bonus and provision, sales statistics, etc.</t>
  </si>
  <si>
    <t>CRS136</t>
  </si>
  <si>
    <t>OKBREC</t>
  </si>
  <si>
    <t>Recipient b/c agreement</t>
  </si>
  <si>
    <t>The field indicates the customer's default value for the recipient of a bonus under a b/c agreement with agreement type 9 (Bonus). This value is used during customer order entry if the customer order type refers to the customer. See (OIS014).
B/c agreements with agreement type 9 retrieve the recipient in the following order:</t>
  </si>
  <si>
    <t>OKDTFM</t>
  </si>
  <si>
    <t>Date format</t>
  </si>
  <si>
    <t>DTFM</t>
  </si>
  <si>
    <t>The field indicates how the date should be printed on external documents to customers, such as order confirmations, delivery notes, and invoices when using stream files (interface STREAM).
For documents using interface XML, the locale functionality is used and therefore this setting is not applicable. The locale setting is based on the two-position language code value defined in the 'Lang code ISO' field in (CRS010) in combination with a two-position country code value defined in the 'Country cd ISO' field in (CRS045).</t>
  </si>
  <si>
    <t>YMD: YYMMDD (Year, Month, Day)
DMY: DDMMYY (Day, Month, Year)
MDY: MMDDYY (Month, Day, Year)
YWD: YYWWD (Year, Week, Day).</t>
  </si>
  <si>
    <t>MDY</t>
  </si>
  <si>
    <t>OKEDIT</t>
  </si>
  <si>
    <t>Date editing</t>
  </si>
  <si>
    <t>EDIT</t>
  </si>
  <si>
    <t>The field indicates the character that separates the different parts of a date for documents using stream files (interface STREAM).
For documents using interface XML, locale functionality is used and therefore this setting is not applicable. Locale is based on the two-position language code value defined in the 'Lang code ISO' field in (CRS010) in combination with a two-position country code value defined in the 'Country cd ISO' field in (CRS045).</t>
  </si>
  <si>
    <t>-: - used as a separator
/: / used as a separator
.: . used as a separator
blank: No separation</t>
  </si>
  <si>
    <t>-</t>
  </si>
  <si>
    <t>OKORTP</t>
  </si>
  <si>
    <t>Customer order type</t>
  </si>
  <si>
    <t>ORTP</t>
  </si>
  <si>
    <t>The field indicates a default order type during customer order entry.</t>
  </si>
  <si>
    <t>OIS010</t>
  </si>
  <si>
    <t>D01</t>
  </si>
  <si>
    <t>OKWHLO</t>
  </si>
  <si>
    <t>Warehouse</t>
  </si>
  <si>
    <t>WHLO</t>
  </si>
  <si>
    <t>The field indicates the physical location from which delivery of customer orders may be made.
For each customer, the warehouse that is usually used for deliveries is entered.
If the customer is internal (customer type 7), the warehouse represented by the customer is entered, that is, the warehouse receiving the delivery.
Warehouse in the customer file is displayed by default upon order entry, but may be changed if the customer is not type 7.</t>
  </si>
  <si>
    <t>MMS005</t>
  </si>
  <si>
    <t>OKPRIC</t>
  </si>
  <si>
    <t>Price printout</t>
  </si>
  <si>
    <t>PRIC</t>
  </si>
  <si>
    <t>The field indicates how prices and discounts are to be printed on confirmation and invoice documents.</t>
  </si>
  <si>
    <t>1: Complete line specification, quantity, price, line discount, line net and order total are printed.
2: Only quantities and order totals are printed. Price, line discount and line net are not printed for goods lines.
3: Order total and line specification with quantity and line net are printed.
4: Order total and line specification with only line net are printed.
5: Complete line specification, quantity, price, line discount or net price (see note), line net and order total are printed.</t>
  </si>
  <si>
    <t>OKSDST</t>
  </si>
  <si>
    <t>District</t>
  </si>
  <si>
    <t>SDST</t>
  </si>
  <si>
    <t>/ProcessCustomerPartyMaster/DataArea/CustomerPartyMaster/Classification/Codes/Code[@listID]="District"</t>
  </si>
  <si>
    <t>The field indicates the district the customer or payer belongs to.
Districts are defined in (CRS140) and used for selection purposes.</t>
  </si>
  <si>
    <t>CRS140</t>
  </si>
  <si>
    <t>OKCSCD</t>
  </si>
  <si>
    <t>Country</t>
  </si>
  <si>
    <t>CSCD</t>
  </si>
  <si>
    <t>/ProcessCustomerPartyMaster/DataArea/CustomerPartyMaster/Location/Address/CountryCode</t>
  </si>
  <si>
    <t>Syndigo - Mail To Country</t>
  </si>
  <si>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</si>
  <si>
    <t>CRS045</t>
  </si>
  <si>
    <t>US</t>
  </si>
  <si>
    <t>OKAGNT</t>
  </si>
  <si>
    <t>Recipient agreement type 1 - commission</t>
  </si>
  <si>
    <t>The field indicates the customer's default value for the recipient of commission under a b/c agreement with agreement type 1 (Commission). This value is used during customer order entry if the customer order type refers to the customer. See (OIS014).
B/c agreements with agreement type 1 retrieve the recipient in the following order:
The default recipient is retrieved according to:
1 Blanket agreement (OIS060)
2 Customer order type (OIS014).</t>
  </si>
  <si>
    <t>OKAGN2</t>
  </si>
  <si>
    <t>Recipient agreement type 2 - commission</t>
  </si>
  <si>
    <t>The field indicates the number of the customer who should receive commission. Agreement types 2-7 are for commission.
The following applies for recipients with agreement types 2-7:
Recipients with agreement type 2 receive commission for valid bonus/commission agreements of agreement type 2. Recipients with agreement type 3 receive commission for agreement type 3, and so on.</t>
  </si>
  <si>
    <t>OKAGN3</t>
  </si>
  <si>
    <t>Recipient agreement type 3 - commission</t>
  </si>
  <si>
    <t>OKAGN4</t>
  </si>
  <si>
    <t>Recipient agreement type 4 - commission</t>
  </si>
  <si>
    <t>OKAGN5</t>
  </si>
  <si>
    <t>Recipient agreement type 5 - commission</t>
  </si>
  <si>
    <t>OKAGN6</t>
  </si>
  <si>
    <t>Recipient agreement type 6 - commission</t>
  </si>
  <si>
    <t>OKAGN7</t>
  </si>
  <si>
    <t>Recipient agreement type 7 - commission</t>
  </si>
  <si>
    <t>OKINSU</t>
  </si>
  <si>
    <t>Insurance agent</t>
  </si>
  <si>
    <t>OKPYNO</t>
  </si>
  <si>
    <t>Payer</t>
  </si>
  <si>
    <t>PYNO</t>
  </si>
  <si>
    <t>The field indicates the person/business which has paid or will pay the invoice.
In (CRS610), the payer is specified when an invoice should be sent elsewhere than to the customer placing the order.
For order and sales statistics, the payer is used as a statistics ID. For total statistics, the payer is one of the key IDs.</t>
  </si>
  <si>
    <t>COS117</t>
  </si>
  <si>
    <t>OKCUST</t>
  </si>
  <si>
    <t>Statistics customer</t>
  </si>
  <si>
    <t>CUST</t>
  </si>
  <si>
    <t>The field indicates a statistics ID for order and sales statistics.
A statistics customer may be entered for each customer number in the customer file.
If none is entered, the orderer's customer number will update the statistics customer field in the order entry and sales statistics.</t>
  </si>
  <si>
    <t>OKTEPA</t>
  </si>
  <si>
    <t>Packaging terms</t>
  </si>
  <si>
    <t>TEPA</t>
  </si>
  <si>
    <t>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t>
  </si>
  <si>
    <t>CRS125</t>
  </si>
  <si>
    <t>OKLHCD</t>
  </si>
  <si>
    <t>Language</t>
  </si>
  <si>
    <t>LNCD</t>
  </si>
  <si>
    <t>GB</t>
  </si>
  <si>
    <t>The field is used for each customer and supplier to indicate which language should be used on external documents when corresponding with customers and suppliers.</t>
  </si>
  <si>
    <t>MNS105</t>
  </si>
  <si>
    <t>OKCRLM</t>
  </si>
  <si>
    <t>Credit limit 1</t>
  </si>
  <si>
    <t>15</t>
  </si>
  <si>
    <t>CRLM</t>
  </si>
  <si>
    <t>The field indicates the highest credit limit permitted for past due invoices.
If this limit is exceeded, delivery of the customer order is blocked.
The risk amount (that is, the accumulated value for the credit limit) and the credit limit itself are displayed online in (OIS120/E). These values can also be printed per payer in (ARS525).</t>
  </si>
  <si>
    <t>OKCRL2</t>
  </si>
  <si>
    <t>Credit limit 2</t>
  </si>
  <si>
    <t>CRL2</t>
  </si>
  <si>
    <t>The field indicates the highest credit limit permitted for outstanding invoices.
If this limit is exceeded, delivery of the customer order is blocked.
The credit limit and the accumulated amount are updated automatically when payments are recorded via the general ledger work file (GLS040) and displayed online in (OIS120).</t>
  </si>
  <si>
    <t>OKCRL3</t>
  </si>
  <si>
    <t>Credit limit 3</t>
  </si>
  <si>
    <t>CRL3</t>
  </si>
  <si>
    <t>/ProcessCustomerPartyMaster/DataArea/CustomerPartyMaster/CustomerAccount/TotalCreditLimitAmount</t>
  </si>
  <si>
    <t>The field indicates the highest credit limit permitted for outstanding invoices and outstanding orders together.
If this limit is exceeded, delivery of customer orders is blocked.
The credit limit and the accumulated risk amount are automatically updated when payments and orders are registered and displayed online in (OIS120).</t>
  </si>
  <si>
    <t>OKBLCD</t>
  </si>
  <si>
    <t>Customer stop</t>
  </si>
  <si>
    <t>BLCD</t>
  </si>
  <si>
    <t>The field indicates whether customer order entry and printing of picking lists should be blocked for a customer with this associated payer. Block codes are entered per customer in (CRS610/J).</t>
  </si>
  <si>
    <t xml:space="preserve">0: No, do not block customer.
1: Block partially. Picking lists may not be printed, but customer orders can be maintained and entered.
2: Block picking lists and customer orders.
3: Block picking lists, customer orders and quotations created in Equipment Quotation Management (EQM). </t>
  </si>
  <si>
    <t>OKPRIO</t>
  </si>
  <si>
    <t>Priority</t>
  </si>
  <si>
    <t>PRIO</t>
  </si>
  <si>
    <t>The field indicates the priority (0-9) to be proposed for customer orders which entered for the current customer. You may change the value for each customer order.</t>
  </si>
  <si>
    <t>OKTBLG</t>
  </si>
  <si>
    <t>Not used</t>
  </si>
  <si>
    <t>The field indicates the order backlog (VAT excluded) for the customer.
The order value is shown in the customers currency.</t>
  </si>
  <si>
    <t>OKTOIN</t>
  </si>
  <si>
    <t>The field indicates the total outstanding invoice value.
This is the value of all unpaid invoices (excluding VAT) expressed in the customer's currency.</t>
  </si>
  <si>
    <t>OKTDIN</t>
  </si>
  <si>
    <t>TDIN</t>
  </si>
  <si>
    <t>The field indicates the invoiced amount (excluding VAT) that is due for payment.
The amount is shown in the customer's currency.</t>
  </si>
  <si>
    <t>OKLIDT</t>
  </si>
  <si>
    <t>8</t>
  </si>
  <si>
    <t>The field indicates the date when the last invoice was either created for this order, or when it was entered for the current customer or payer.</t>
  </si>
  <si>
    <t>OKININ</t>
  </si>
  <si>
    <t>End date - invoicing range</t>
  </si>
  <si>
    <t>ININ</t>
  </si>
  <si>
    <t>The field indicates invoicing interval for each customer expressed in calendar days. This invoice interval is used for period invoicing and refers to the number of days between which invoices are issued.</t>
  </si>
  <si>
    <t>OKACRF</t>
  </si>
  <si>
    <t>User-defined accounting control object</t>
  </si>
  <si>
    <t>ACRF</t>
  </si>
  <si>
    <t>The field is user-defined, but is most often used to control account entries. It is therefore an accounting object that can be verified and changed in (CRS335).</t>
  </si>
  <si>
    <t>CRS335</t>
  </si>
  <si>
    <t>OKAICD</t>
  </si>
  <si>
    <t>Summary invoice</t>
  </si>
  <si>
    <t>AICD</t>
  </si>
  <si>
    <t>The field indicates whether orders and deliveries can be invoiced together on a summary invoice.</t>
  </si>
  <si>
    <t>0: No, one order and delivery on each invoice.
1: Yes, if the deliveries belong to the same order number.
2: Yes, if the deliveries belong to the same payer.
3: Yes, if the deliveries belong to the same payer (item-oriented layout on the invoice). The item-oriented layout presents one invoice line for each item as long as they have the same price.</t>
  </si>
  <si>
    <t>OKBOCD</t>
  </si>
  <si>
    <t>Backorder permitted</t>
  </si>
  <si>
    <t>OKFRE1</t>
  </si>
  <si>
    <t>Statistics identity 1 customer</t>
  </si>
  <si>
    <t>FRE1</t>
  </si>
  <si>
    <t>The field indicates a user-defined customer statistics accumulator.
Statistics field 1 is validated against the table in (CRS192) and Statistics field 2 is validated against the table in (CRS197).
Statistics field 1 can be changed for every customer order, but not statistics field 2.
The headings for these fields are defined in (CRS715).</t>
  </si>
  <si>
    <t>CRS192</t>
  </si>
  <si>
    <t>OKFRE2</t>
  </si>
  <si>
    <t>Statistics identity 2 customer</t>
  </si>
  <si>
    <t>FRE2</t>
  </si>
  <si>
    <t>OKBGRP</t>
  </si>
  <si>
    <t>Bonus group</t>
  </si>
  <si>
    <t>BGRP</t>
  </si>
  <si>
    <t>CRS120</t>
  </si>
  <si>
    <t>OKDOGR</t>
  </si>
  <si>
    <t>Customer document group</t>
  </si>
  <si>
    <t>DOGR</t>
  </si>
  <si>
    <t>The field indicates a customer document group.
Customer document group is a group of customers to which the same customer documents are to be sent. In addition to the customer document group, the order type determines which documents that will be sent.
Customer document groups are registered per customer. The customer document groups registered must first be registered in the system.
More document numbers can be connected to a customer order in (OIS104).</t>
  </si>
  <si>
    <t>CRS147</t>
  </si>
  <si>
    <t>OKBLII</t>
  </si>
  <si>
    <t>Interest invoicing</t>
  </si>
  <si>
    <t>K</t>
  </si>
  <si>
    <t>BLII</t>
  </si>
  <si>
    <t>Select the check box if a customer is to be included in the interest invoicing routine. In this way you can exclude a customer from the routine without having to change the interest rule for the customer.</t>
  </si>
  <si>
    <t>OKIICT</t>
  </si>
  <si>
    <t>Interest rule</t>
  </si>
  <si>
    <t>IICT</t>
  </si>
  <si>
    <t>The field indicates how to calculate interest on overdue payments and the conditions for charging a customer interest. The connection between customer and interest rule is made in the customer file.</t>
  </si>
  <si>
    <t>CRS460</t>
  </si>
  <si>
    <t>OKCLCD</t>
  </si>
  <si>
    <t>Collection</t>
  </si>
  <si>
    <t>CLCD</t>
  </si>
  <si>
    <t>Select the check box if unpaid customer invoices may be turned over for debt collection.</t>
  </si>
  <si>
    <t>OKBLPR</t>
  </si>
  <si>
    <t>Payment reminder code</t>
  </si>
  <si>
    <t>BLPR</t>
  </si>
  <si>
    <t>Select the check box if the customer is to be included in the routine for payment reminders.
This allows the possibility of excluding a customer from this routine for a shorter or longer period of time without having to change the payment reminder rule of the customer.</t>
  </si>
  <si>
    <t>OKRMCT</t>
  </si>
  <si>
    <t>Payment reminder rule</t>
  </si>
  <si>
    <t>RMCT</t>
  </si>
  <si>
    <t>The field indicates the conditions to be met before a payment reminder is sent to a customer.
The connection between a customer and payment reminder rule is made in the customer file.
If the 'Payment reminder rule' field is left empty in (ARS151/F) or (ARS655/E) when creating a payment reminder proposal, payment reminders will be generated for all customers having the same grouping method in payment reminder rule (CRS465), as entered in the Grouping method field in (ARS151/F) or (ARS655/E). If a payment reminder rule is entered in this field, only invoices from a customer/payer with the payment reminder rules selected will be included in the reminder proposal.</t>
  </si>
  <si>
    <t>CRS465</t>
  </si>
  <si>
    <t>Z01</t>
  </si>
  <si>
    <t>OKBLAC</t>
  </si>
  <si>
    <t>Advice code</t>
  </si>
  <si>
    <t>BLAC</t>
  </si>
  <si>
    <t>Select the check box if the customer is to be included in the routine for payment advice.
This parameter allows you to exclude a customer from the advice routine without having to change the advice rule of the customer.</t>
  </si>
  <si>
    <t>OKADCA</t>
  </si>
  <si>
    <t>Advice rule</t>
  </si>
  <si>
    <t>ADCA</t>
  </si>
  <si>
    <t>The field is used to connect a customer to an advice rule.
For each advice rule, enter a minimum amount and number of days until due date.
When the payment advice routine is run, only those invoices with the outstanding balances that exceed the rule's minimum amount will be selected. Also, the number of days between the routine run and the due date must be less than the number of days for the rule.</t>
  </si>
  <si>
    <t>ARS030</t>
  </si>
  <si>
    <t>OKPYDI</t>
  </si>
  <si>
    <t>Payment instruction</t>
  </si>
  <si>
    <t>PYDI</t>
  </si>
  <si>
    <t>The field identifies payment instructions for a customer's payments to a specific bank. If there is a payment instruction, two lines of text will be printed on the document.
Payment instructions can be used in two ways:
M3 will first search for any payment instruction connected to the customer in (CRS610/K). If no payment instruction is found there, M3 automatically retrieves the country-specific payment instruction, based on the country defined for the customer.</t>
  </si>
  <si>
    <t>CRS285</t>
  </si>
  <si>
    <t>OKPONO</t>
  </si>
  <si>
    <t>Postal code</t>
  </si>
  <si>
    <t>PONO</t>
  </si>
  <si>
    <t>/ProcessCustomerPartyMaster/DataArea/CustomerPartyMaster/Location/Address/PostalCode</t>
  </si>
  <si>
    <t>Syndigo - Mail To Address Postal Code</t>
  </si>
  <si>
    <t>The field indicates a postal code for a specific address.
The postal code is an address element that can be part of an address line if address formatting rules in (CRS117) are used.
Select 'Validate Postal' in (CRS045) to activate validation of the postal code against (CRS044).</t>
  </si>
  <si>
    <t>CRS044</t>
  </si>
  <si>
    <t>22601</t>
  </si>
  <si>
    <t>OKAUGI</t>
  </si>
  <si>
    <t>Auto giro</t>
  </si>
  <si>
    <t>OKAGPA</t>
  </si>
  <si>
    <t>Autogiro payer</t>
  </si>
  <si>
    <t>OKCCUS</t>
  </si>
  <si>
    <t>Company group customer number</t>
  </si>
  <si>
    <t>CCUS</t>
  </si>
  <si>
    <t>The field indicates the customer's ID within the group.
The field is used for information purposes only.</t>
  </si>
  <si>
    <t>OKWAYB</t>
  </si>
  <si>
    <t>Waybill</t>
  </si>
  <si>
    <t>OKADTG</t>
  </si>
  <si>
    <t>Address tag</t>
  </si>
  <si>
    <t>OKODTG</t>
  </si>
  <si>
    <t>Odette-tag</t>
  </si>
  <si>
    <t>OKMAIL</t>
  </si>
  <si>
    <t>Mail type</t>
  </si>
  <si>
    <t>MAIL</t>
  </si>
  <si>
    <t>/ProcessCustomerPartyMaster/DataArea/CustomerPartyMaster/Communication/DialNumber [UseCode]="EMail"</t>
  </si>
  <si>
    <t>CRS111</t>
  </si>
  <si>
    <t>OKENHD</t>
  </si>
  <si>
    <t>Document</t>
  </si>
  <si>
    <t>OKEURI</t>
  </si>
  <si>
    <t>EUR1 certificate</t>
  </si>
  <si>
    <t>OKEDIP</t>
  </si>
  <si>
    <t>EDI-package note</t>
  </si>
  <si>
    <t>OKCFC1</t>
  </si>
  <si>
    <t>User-defined field 1 - customer</t>
  </si>
  <si>
    <t>I</t>
  </si>
  <si>
    <t>CFC1</t>
  </si>
  <si>
    <t>/ProcessCustomerPartyMaster/DataArea/CustomerPartyMaster/UserArea/Property/NameValue[@name]="ItemFreeField1"</t>
  </si>
  <si>
    <t>The field is a user-defined field that may be used as desired.
Field headings for these fields are defined in (CRS712).</t>
  </si>
  <si>
    <t>CRS191</t>
  </si>
  <si>
    <t>OKCFC2</t>
  </si>
  <si>
    <t>User-defined field 2 - customer</t>
  </si>
  <si>
    <t>CFC2</t>
  </si>
  <si>
    <t>/ProcessCustomerPartyMaster/DataArea/CustomerPartyMaster/UserArea/Property/NameValue[@name]="ItemFreeField2"</t>
  </si>
  <si>
    <t>OKCFC3</t>
  </si>
  <si>
    <t>User-defined field 3 - customer</t>
  </si>
  <si>
    <t>CFC3</t>
  </si>
  <si>
    <t>/ProcessCustomerPartyMaster/DataArea/CustomerPartyMaster/UserArea/Property/NameValue[@name]="ItemFreeField3"</t>
  </si>
  <si>
    <t>CRS193</t>
  </si>
  <si>
    <t>OKCFC4</t>
  </si>
  <si>
    <t>User-defined field 4 - customer</t>
  </si>
  <si>
    <t>CFC4</t>
  </si>
  <si>
    <t>/ProcessCustomerPartyMaster/DataArea/CustomerPartyMaster/UserArea/Property/NameValue[@name]="ItemFreeField4"</t>
  </si>
  <si>
    <t>CRS194</t>
  </si>
  <si>
    <t>OKCFC5</t>
  </si>
  <si>
    <t>User-defined field 5 - customer</t>
  </si>
  <si>
    <t>CFC5</t>
  </si>
  <si>
    <t>/ProcessCustomerPartyMaster/DataArea/CustomerPartyMaster/UserArea/Property/NameValue[@name]="ItemFreeField5"</t>
  </si>
  <si>
    <t>CRS195</t>
  </si>
  <si>
    <t>OKCFC6</t>
  </si>
  <si>
    <t>User-defined field 6 - customer</t>
  </si>
  <si>
    <t>CFC6</t>
  </si>
  <si>
    <t>/ProcessCustomerPartyMaster/DataArea/CustomerPartyMaster/UserArea/Property/NameValue[@name]="ItemFreeField6"</t>
  </si>
  <si>
    <t>CRS196</t>
  </si>
  <si>
    <t>OKCFC7</t>
  </si>
  <si>
    <t>User-defined field 7 - customer</t>
  </si>
  <si>
    <t>CFC7</t>
  </si>
  <si>
    <t>/ProcessCustomerPartyMaster/DataArea/CustomerPartyMaster/UserArea/Property/NameValue[@name]="ItemFreeField7"</t>
  </si>
  <si>
    <t>OKCFC8</t>
  </si>
  <si>
    <t>User-defined field 8 - customer</t>
  </si>
  <si>
    <t>CFC8</t>
  </si>
  <si>
    <t>/ProcessCustomerPartyMaster/DataArea/CustomerPartyMaster/UserArea/Property/NameValue[@name]="ItemFreeField8"</t>
  </si>
  <si>
    <t>CRS198</t>
  </si>
  <si>
    <t>OKCFC9</t>
  </si>
  <si>
    <t>User-defined field 9 - customer</t>
  </si>
  <si>
    <t>CFC9</t>
  </si>
  <si>
    <t>/ProcessCustomerPartyMaster/DataArea/CustomerPartyMaster/UserArea/Property/NameValue[@name]="ItemFreeField9"</t>
  </si>
  <si>
    <t>CRS199</t>
  </si>
  <si>
    <t>OKCFC0</t>
  </si>
  <si>
    <t>User-defined field 10 - customer</t>
  </si>
  <si>
    <t>CFC0</t>
  </si>
  <si>
    <t>/ProcessCustomerPartyMaster/DataArea/CustomerPartyMaster/UserArea/Property/NameValue[@name]="ItemFreeField0"</t>
  </si>
  <si>
    <t>CRS190</t>
  </si>
  <si>
    <t>OKLSID</t>
  </si>
  <si>
    <t>User</t>
  </si>
  <si>
    <t>ChgBasicData</t>
  </si>
  <si>
    <t>LSID</t>
  </si>
  <si>
    <t>The field indicates a user ID or send list for direct distribution of a printout.
This method of distribution is only possible if the user ID and/or send lists exist in the system. However, this is not checked here.</t>
  </si>
  <si>
    <t>OKLSAD</t>
  </si>
  <si>
    <t>Address</t>
  </si>
  <si>
    <t>LSAD</t>
  </si>
  <si>
    <t>The field indicates the address of the user ID entered.
The information is mandatory when distribution is made to a user ID but it is optional when distribution is made via a send list.</t>
  </si>
  <si>
    <t>OKMEAL</t>
  </si>
  <si>
    <t>Valid media</t>
  </si>
  <si>
    <t>MEAL</t>
  </si>
  <si>
    <t>The field indicates the media a partner can use to receive different documents.</t>
  </si>
  <si>
    <t>1: Paper document
2: Telefax
3: EDI
4: Email or SNDNETF (IN-net)</t>
  </si>
  <si>
    <t>OKVRNO</t>
  </si>
  <si>
    <t>VAT registration number</t>
  </si>
  <si>
    <t>VRNO</t>
  </si>
  <si>
    <t>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t>
  </si>
  <si>
    <t>TXS070</t>
  </si>
  <si>
    <t>OKAGCH</t>
  </si>
  <si>
    <t>Agreement check - order header</t>
  </si>
  <si>
    <t>AGCH</t>
  </si>
  <si>
    <t>The field indicates how blanket agreements are retrieved to the order head during customer order entry.</t>
  </si>
  <si>
    <t>0: Agreement not retrieved, but can be specified manually in (OIS100/B).
1: Agreement retrieved. A list of valid agreements is displayed.
2: Agreement retrieved. If there is more than one agreement, a list is displayed. If only one valid agreement exists, this will be retrieved automatically.
3: Oldest valid agreement is retrieved automatically.
4: The lowest blanket agreement number is retrieved automatically, that is, the sequence order in the list in (OIS060).</t>
  </si>
  <si>
    <t>OKAGCT</t>
  </si>
  <si>
    <t>Agreement check - order lines</t>
  </si>
  <si>
    <t>AGCT</t>
  </si>
  <si>
    <t>The field indicates whether blanket agreements are retrieved to the order line during customer order line entry, and how.
Agreements that do not allow agreement lines on a grouped level will have the highest priority.
If a list of valid agreements is to be displayed (alternatives 1 and 2), the list will cover only one priority (lower priorities are not searched).</t>
  </si>
  <si>
    <t>0: Agreement is not retrieved.
1: Agreement is retrieved. A list of valid agreements is displayed.
2: Agreement retrieved. If there are several agreements with the same priority, a list is displayed. If only one valid agreement exists for that priority, that agreement is retrieved to the order header.
3: Agreement retrieved from the order header. If no agreement is entered on the header or if the agreement is invalid for the order line, the first valid agreement for the item is retrieved.
4: Only items connected to the agreement in the order header are valid in the order line.
5: Only items connected to the agreement in the order header or items not connected to any agreement are valid in the order line.
6: Agreement retrieved from the order header. If no agreement is entered on the header or if the agreement is invalid for the order line, no agreement will be retrieved. However, manual change of agreement on the order line (OIS101/F) is allowed.
7: Agreement is retrieved. The lowest blanket agreement number is retrieved, that is, the sequence order in the list in (OIS060).</t>
  </si>
  <si>
    <t>OKDUCD</t>
  </si>
  <si>
    <t>Due date base</t>
  </si>
  <si>
    <t>DUCD</t>
  </si>
  <si>
    <t>The field indicates which date is to form the basis for calculation of the due date.</t>
  </si>
  <si>
    <t>1: Invoice date
2: Delivery date.</t>
  </si>
  <si>
    <t>OKUSR1</t>
  </si>
  <si>
    <t>Credit limit 1 changed by</t>
  </si>
  <si>
    <t>The field indicates the ID of the person that last changed credit limit. The information is updated automatically.</t>
  </si>
  <si>
    <t>OKUSR2</t>
  </si>
  <si>
    <t>Credit limit 2 changed by</t>
  </si>
  <si>
    <t>OKUSR3</t>
  </si>
  <si>
    <t>Credit limit 3 changed by</t>
  </si>
  <si>
    <t>OKDTE1</t>
  </si>
  <si>
    <t>Change date - credit limit 1</t>
  </si>
  <si>
    <t>This field indicates the date the credit limit was last updated. The information is updated automatically.</t>
  </si>
  <si>
    <t>OKDTE2</t>
  </si>
  <si>
    <t>Change date - credit limit 2</t>
  </si>
  <si>
    <t>OKDTE3</t>
  </si>
  <si>
    <t>Change date - credit limit 3</t>
  </si>
  <si>
    <t>OKCDRC</t>
  </si>
  <si>
    <t>Credit department reference</t>
  </si>
  <si>
    <t>CDRC</t>
  </si>
  <si>
    <t>The field indicates a reference code for the credit manager.
The codes are defined in (ARS025).</t>
  </si>
  <si>
    <t>ARS025</t>
  </si>
  <si>
    <t>DISAR</t>
  </si>
  <si>
    <t>OKINCO</t>
  </si>
  <si>
    <t>Insurance company</t>
  </si>
  <si>
    <t>INCO</t>
  </si>
  <si>
    <t>The field indicates the customer's insurance company.
The insurance only applies to outstanding accounts receivable.</t>
  </si>
  <si>
    <t>OKINSN</t>
  </si>
  <si>
    <t>Insurance number</t>
  </si>
  <si>
    <t>INSN</t>
  </si>
  <si>
    <t>The field indicates the policy number the customer has with the current insurance company.</t>
  </si>
  <si>
    <t>OKCUIC</t>
  </si>
  <si>
    <t>Customer number at the insurance company</t>
  </si>
  <si>
    <t>CUIC</t>
  </si>
  <si>
    <t>The field indicates the company's customer number at the insurance company. It is used on insurance reports in the accounts receivable module.</t>
  </si>
  <si>
    <t>OKINSS</t>
  </si>
  <si>
    <t>Insurance status</t>
  </si>
  <si>
    <t>INSS</t>
  </si>
  <si>
    <t>The field indicates optional information. The system does not update the information.
Valid values are 0 - 9.</t>
  </si>
  <si>
    <t>OKNALI</t>
  </si>
  <si>
    <t>Unapproved limit</t>
  </si>
  <si>
    <t>NALI</t>
  </si>
  <si>
    <t>The field indicates the value of the new limit requested, but which has not yet been approved by the insurance company. After the limit has been approved, the value must be moved to the approved limit field.</t>
  </si>
  <si>
    <t>OKDTL1</t>
  </si>
  <si>
    <t>Change date not approved limit</t>
  </si>
  <si>
    <t>The field indicates the date the unapproved insurance limit was last changed. The information is automatically updated.</t>
  </si>
  <si>
    <t>OKUSL1</t>
  </si>
  <si>
    <t>Changed by</t>
  </si>
  <si>
    <t>The field indicates the person that last changed the unapproved insurance limit.
The information is updated automatically.</t>
  </si>
  <si>
    <t>OKINLI</t>
  </si>
  <si>
    <t>Insurance limit</t>
  </si>
  <si>
    <t>INLI</t>
  </si>
  <si>
    <t>The field indicates the amount for which a customer is insured. The insurance is intended for customer losses. Outstanding customer debts may not exceed the insured amount.</t>
  </si>
  <si>
    <t>OKDTL2</t>
  </si>
  <si>
    <t>Change date insurance limit</t>
  </si>
  <si>
    <t>The field indicates the date the insurance limit was last changed.
The information is automatically updated.</t>
  </si>
  <si>
    <t>OKUSL2</t>
  </si>
  <si>
    <t>The field indicates the person that last changed the insurance limit.
The information is updated automatically.</t>
  </si>
  <si>
    <t>OKVRCD</t>
  </si>
  <si>
    <t>Business type - trade statistics (TST)</t>
  </si>
  <si>
    <t>The field indicates different types of trade transactions in the trade statistics, for example, Intrastat or Extrastat reports. You can use this code in different ways depending on your country.
For exports, enter the code for each order type. It can then be changed for individual orders or order lines. For imports (purchases), enter the code in (PPS095, parameter 400). This code is then used as the default value for each PO line.</t>
  </si>
  <si>
    <t>CRS240</t>
  </si>
  <si>
    <t>OKEDES</t>
  </si>
  <si>
    <t>Place</t>
  </si>
  <si>
    <t>EDES</t>
  </si>
  <si>
    <t>The field indicates the ID of a geographic location or a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 unloading parameters above, the following must be defined in order to establish a route network and to assign consignees:
- Routes, with valid loading / starting points and eventually pre-defined unloading points, depending on the route type (see separate field help)(DRS005)
- Route pre-selections, where consignees are assigned to relevant route options (DRS011).</t>
  </si>
  <si>
    <t>MMS008</t>
  </si>
  <si>
    <t>YUSMN</t>
  </si>
  <si>
    <t>OKROUT</t>
  </si>
  <si>
    <t>Route</t>
  </si>
  <si>
    <t>The field indicates the transportation route. A route is determined by a loading place with one or more unloading locations. The unloading locations can be located in a geographical area or region, such as southeast Germany.
Routes are used to:
- Coordinate transportation to several customers along a road or within a specified area
- Distinguish orders needing special handling, such as special deliveries to be made with a company vehicle. In this case, the route can vary every time depending on where the order's destination.
(DRS011) is used for automatic route selection, depending on default values used for a particular order.
Default priorities are defined in (CRS727).</t>
  </si>
  <si>
    <t>DRS005</t>
  </si>
  <si>
    <t>OKRODN</t>
  </si>
  <si>
    <t>Route departure</t>
  </si>
  <si>
    <t>The field indicates route departure and is used to identify one or more departures which reoccur with a defined interval (for example, once a week).
Two route departures can have a common interval, while the departure time, transportation equipment, forwarding agent or method of transportation are different.</t>
  </si>
  <si>
    <t>OKULZO</t>
  </si>
  <si>
    <t>Unloading zone</t>
  </si>
  <si>
    <t>ULZO</t>
  </si>
  <si>
    <t>The field indicates whether to divide a place of unloading into several different zones. Each zone can be linked to one or more delivery address. As a result, you can determine the sequence the packages are to be loaded on the transportation equipment.
Postal codes may be used as an alternative to using unloading zones. Enter your alternative in (DRS021).</t>
  </si>
  <si>
    <t>OKECLC</t>
  </si>
  <si>
    <t>Labor code - trade statistics (TST)</t>
  </si>
  <si>
    <t>ECLC</t>
  </si>
  <si>
    <t>The field indicates labor code and is used to distinguish between different types of transactions that are reported in the trade statistics. The code entered here is optional.
For exports, you enter the labor code for each customer order type. It can then be changed for an individual customer order or order line. For imports, you enter the code in ((PPS095), parameter 400). It then acts as a default value in each PO line.</t>
  </si>
  <si>
    <t>CRS320</t>
  </si>
  <si>
    <t>OKECF1</t>
  </si>
  <si>
    <t>User-defined TST field 1</t>
  </si>
  <si>
    <t>The field indicates what information will be transferred to INTRASTAT transactions for dispatch and arrival.
The kind of information is included in this user-defined field is optional in different M3 installations.</t>
  </si>
  <si>
    <t>OKECF2</t>
  </si>
  <si>
    <t>User-defined TST field 2</t>
  </si>
  <si>
    <t>OKECF3</t>
  </si>
  <si>
    <t>User-defined TST field 3</t>
  </si>
  <si>
    <t>OKECF4</t>
  </si>
  <si>
    <t>User-defined TST field  4</t>
  </si>
  <si>
    <t>OKECF5</t>
  </si>
  <si>
    <t>User-defined TST field 5</t>
  </si>
  <si>
    <t>OKPYCD</t>
  </si>
  <si>
    <t>Payment method - accounts receivable</t>
  </si>
  <si>
    <t>PYCD</t>
  </si>
  <si>
    <t>/ProcessCustomerPartyMaster/DataArea/CustomerPartyMaster/PaymentMethodCode</t>
  </si>
  <si>
    <t>The field indicates how a payment is or has been handled.
The payment method is used as a general sorting key for similar routines when handling customer payments. Payment methods for Accounts Receivable are defined in (CRS076).
Each payment method is connected to a payment class, an ID used to classify different payment methods. The payment class is, in turn, connected to a payment class, which is a general designation for a category of payments (for example Cash or Draft).</t>
  </si>
  <si>
    <t>CRS076</t>
  </si>
  <si>
    <t>TR1</t>
  </si>
  <si>
    <t>OKGRPY</t>
  </si>
  <si>
    <t>Group invoice</t>
  </si>
  <si>
    <t>GRPY</t>
  </si>
  <si>
    <t>Select the check box if several invoices are to be grouped together to create one payment document for this customer.</t>
  </si>
  <si>
    <t>OKTXID</t>
  </si>
  <si>
    <t>Text identity</t>
  </si>
  <si>
    <t>13</t>
  </si>
  <si>
    <t>The field indicates the text ID, which identifies comments made. It is updated automatically when entering comments.</t>
  </si>
  <si>
    <t>OKSERC</t>
  </si>
  <si>
    <t>Service code</t>
  </si>
  <si>
    <t>SERC</t>
  </si>
  <si>
    <t>The field indicates service code and is used to select customer invoices to be processed with VAT. This user-defined code is connected to the customer in (CRS610).
You may change the code during each entry of an invoice.</t>
  </si>
  <si>
    <t>OKSRES</t>
  </si>
  <si>
    <t>Service manager</t>
  </si>
  <si>
    <t>ChgServOrdInfo</t>
  </si>
  <si>
    <t>SRES</t>
  </si>
  <si>
    <t>The field indicates who has the main responsibility for a service order. The service manager may be a person or a department head for one or more technicians.
By specifying a service manager in a service order, the service manager can see which orders they are responsible for. This can be reviewed in, for example, (SOS475).
A warehouse and work schedule can be entered in connection with a service manager. They are then used during order entry if a service manager is specified in the order.
The status of the service assignment reflects whether or not a service manager is specified. If one is not specified, the assignment receives status 20 at entry. If one is specified, the assignment receives status 25.
A service assignment can be dispatched to a service manager other than the default manager.
When assignments are entered, the default service manager is retrieved in the order below. Locations 1-5 below are searched until a value is found.
If a technician is entered in a service assignment but the service manager is blank, the service manager is automatically retrieved from the technician.</t>
  </si>
  <si>
    <t>SOS422</t>
  </si>
  <si>
    <t>OKTECH</t>
  </si>
  <si>
    <t>Technician</t>
  </si>
  <si>
    <t>TECH</t>
  </si>
  <si>
    <t>The field indicates the person who will perform a service assignment. A technician can refer to a single person or a group of technicians.
Entering a technician for a service order assignment allows the service manager to see who is responsible for which service orders, and which technicians have been scheduled. This can be reviewed in (SOS475)
The status of an assignment is set according to whether a technician has been entered. If a technician is not entered, but a service manager is, then the assignment receives status 25. If a technician is entered as well, the status is set to 30. This status method applies as long as the assignment status is less than 35, which means that the service order has been printed. Therefore, if the service assignment's status is 30, and the technician is deleted (in (SOS475), for example), the status is lowered from 30 to 25.
A service order assignment may be dispatched to another technician by entering a technician.
During service order entry, the service manager and the technician are proposed by default as follows:
The retrieval is performed from 1 to 5, and continues until a service manager that is not blank is found.
If the technician is blank after steps 1 to 5, then M3 runs the auto allocation function to find a suitable technician depending on the required qualifications (entered in the service assignment) and postal code area (from the customer site). In this case, the availability of the technician can be also checked depending on parameters set in (SOS975).</t>
  </si>
  <si>
    <t>OKTRTI</t>
  </si>
  <si>
    <t>Planned travel time</t>
  </si>
  <si>
    <t>7</t>
  </si>
  <si>
    <t>The field indicates how much time that is needed to travel to a customer site and back in order to perform a service assignment.
The planned travel time can be entered per customer site in the agreement processing, per service manager or per service order type. If the travel time was entered for a valid site, this will be proposed first. Which of the other travel times should be proposed as the travel time during service assignment entry is determined by a parameter in the service order type.
Default travel time can be changed during service assignment entry.
The travel time is used when automatically calculating the default planned starting date and time as well as the planned finishing date and time of a service assignment.</t>
  </si>
  <si>
    <t>OKLZON</t>
  </si>
  <si>
    <t>Service zone</t>
  </si>
  <si>
    <t>The field indicates the zone to which a customer or customer site belongs. It is for informational purposes.</t>
  </si>
  <si>
    <t>OKDIST</t>
  </si>
  <si>
    <t>Number of kilometer</t>
  </si>
  <si>
    <t>The field indicates the round trip distance (in kilometers) from the service office to the customer site.
The field is only used for informational purposes.</t>
  </si>
  <si>
    <t>OKTVCD</t>
  </si>
  <si>
    <t>Travel type</t>
  </si>
  <si>
    <t>The field indicates how trips and travel expenses are to be handled. Each travel type can indicate whether zone debiting is appropriate, what identity travel expense compensation should receive, etc.</t>
  </si>
  <si>
    <t>OKSOTP</t>
  </si>
  <si>
    <t>Service order type</t>
  </si>
  <si>
    <t>SOTP</t>
  </si>
  <si>
    <t>The field indicates an order type which is a combined ID for settings that determine how the order is processed during order entry and in the processing flow.
Order types are defined per order category in the following programs:</t>
  </si>
  <si>
    <t>SOS010</t>
  </si>
  <si>
    <t>OKMTIC</t>
  </si>
  <si>
    <t>Credit check - MTI</t>
  </si>
  <si>
    <t>The field indicates whether to use a simplified credit check for M3 telephone orders and Internet applications.</t>
  </si>
  <si>
    <t>0: No. Orders may always be entered.
1: A warning is issued if the credit limit is exceeded, but the order may still be entered.
2: A warning is issued if the credit limit is exceeded, and the order may not be entered.</t>
  </si>
  <si>
    <t>OKPWMT</t>
  </si>
  <si>
    <t>PIN code</t>
  </si>
  <si>
    <t>PWMT</t>
  </si>
  <si>
    <t>The field is used to enter a password for an M3 telephone order, Internet order or a point-of-sales ticket. The password is entered by the customer or the sales person when an order or sales ticket is being placed.</t>
  </si>
  <si>
    <t>OKBPCD</t>
  </si>
  <si>
    <t>Buying pattern type</t>
  </si>
  <si>
    <t>The field indicates how the type of buying pattern for each customer and item is updated. The pattern is saved for each customer and item for the last three purchases.</t>
  </si>
  <si>
    <t>0: Buying pattern is not updated.
1: The last three purchases are saved.
2: The last three purchases for each day of the week are saved (1=Mon, 2=Tues and so on).
3: The last three purchases for each day of the week, and the last three purchases, are saved.</t>
  </si>
  <si>
    <t>OKBPEX</t>
  </si>
  <si>
    <t>Buying pattern exception</t>
  </si>
  <si>
    <t>Select the check box if periodic exceptions should override customer buying patterns per weekday.
If you select the check box, then the combinations of periods/buying patterns entered in (OIS161) are checked. The check is made when buying patterns are updated.</t>
  </si>
  <si>
    <t>OKACHK</t>
  </si>
  <si>
    <t>Assortment check</t>
  </si>
  <si>
    <t>ACHK</t>
  </si>
  <si>
    <t>The field indicates whether an assortment check is to be carried out for the customer.</t>
  </si>
  <si>
    <t>0: No. The customer can purchase all items.
1: Yes. The customer can only purchase items from assortments connected to the customer (directly or via a business chain), or items without an assortment check according to the item master table.
2: Yes. The customer can only purchase items from assortments connected directly to the customer, or items without an assortment check according to the item master table.</t>
  </si>
  <si>
    <t>OKTINC</t>
  </si>
  <si>
    <t>VAT included</t>
  </si>
  <si>
    <t>TINC</t>
  </si>
  <si>
    <t>Select the check box if sales prices include VAT.</t>
  </si>
  <si>
    <t>OKBUSE</t>
  </si>
  <si>
    <t>Bonus and/or commission active</t>
  </si>
  <si>
    <t>BUSE</t>
  </si>
  <si>
    <t>Select the check box if a bonus/commission agreement can be affected by a customer order entered for this customer number.</t>
  </si>
  <si>
    <t>OKTCEX</t>
  </si>
  <si>
    <t>Included in business chain</t>
  </si>
  <si>
    <t>The field indicates whether the customer is a member of any business chains.
0 = Not a member of any business chains
1 = Member of one business chain
2 = Member of several business chains.
This information is automatically updated in the customer file and is used internally in the system during, for example, customer order entry.</t>
  </si>
  <si>
    <t>OKPYOP</t>
  </si>
  <si>
    <t>Search path - payer</t>
  </si>
  <si>
    <t>PYOP</t>
  </si>
  <si>
    <t>Select the check box if the proposed payer is to be searched using a business chain.
If you select the check box, then the payer is searched in the hierarchy of the business chains to which the customer is connected. The search is made from the bottom. This means the next highest business chain in the hierarchy is checked first. If no payer is found in the hierarchy, the customer is proposed as the payer.</t>
  </si>
  <si>
    <t>OKALWT</t>
  </si>
  <si>
    <t>Alias category</t>
  </si>
  <si>
    <t>ALWT</t>
  </si>
  <si>
    <t>The field indicates the alias type used when entering a customer order.</t>
  </si>
  <si>
    <t>Blank: This function is not used when the field is left blank.
01: Popular number.
06: Customer's item number (alias number can be blank).
07: Assortment.</t>
  </si>
  <si>
    <t>OKPOPN</t>
  </si>
  <si>
    <t>Alias number</t>
  </si>
  <si>
    <t>POPN</t>
  </si>
  <si>
    <t>The field indicates the alias number which is an alternative ID for an individual item.
Alias numbers are used during order entry for customer, service, requisition, distribution order lines or for physical inventory. The alias number is defined so that an individual item has several alias numbers and can be searched in different ways. One alias number can be used for several individual items.
Note: The alias number can be an EAN code (European Article Numbering) or supplier's item number. Every alias number is connected to an alias type which regulates the information used as the alias. Alias numbers are entered and updated in (MMS025).</t>
  </si>
  <si>
    <t>MMS025</t>
  </si>
  <si>
    <t>OKSOOP</t>
  </si>
  <si>
    <t>OKPRS1</t>
  </si>
  <si>
    <t>Price list SO</t>
  </si>
  <si>
    <t>PRS1</t>
  </si>
  <si>
    <t>The field indicates the ID of a sales prices list. This is a common ID for the sales price of several items, service expenses or contract items. A price list can be used to process several prices for each item, service expense or contract item.
The price list used to price the item during order line entry or service agreement line entry is selected from the following alternatives (in order of priority):
1.Price list entered manually in the service order or service agreement header.
2.Customer-specific price list (price agreement). When this is present, the price lists in the customer file are not checked (alternative 3 below is ignored).
3.One of the service order price lists in the customer file.
Comments on alternative 2: If more than one customer-specific price list is qualified, the one with the latest valid start date is used. If several price lists have the same valid start date, the one entered last in the system is used.
Comments on alternative 3: Up to five price lists can be entered in the customer file. During automatic pricing in the line entry, these lists are checked in the order they were entered. The price list selected is the one containing a valid sales price for the item, service expense or contract item entered.
If the payer on a service order line is different from the customer or payer on the service order header, the payer on the line is used to find an appropriate price list.</t>
  </si>
  <si>
    <t>OKPRS2</t>
  </si>
  <si>
    <t>Price list 2 SO</t>
  </si>
  <si>
    <t>PRS2</t>
  </si>
  <si>
    <t>OKPRS3</t>
  </si>
  <si>
    <t>Price list 3 SO</t>
  </si>
  <si>
    <t>PRS3</t>
  </si>
  <si>
    <t>OKPRS4</t>
  </si>
  <si>
    <t>Price list 4 SO</t>
  </si>
  <si>
    <t>PRS4</t>
  </si>
  <si>
    <t>OKPRS5</t>
  </si>
  <si>
    <t>Price list 5 SO</t>
  </si>
  <si>
    <t>PRS5</t>
  </si>
  <si>
    <t>OKDMSO</t>
  </si>
  <si>
    <t>Discount model SO</t>
  </si>
  <si>
    <t>DMSO</t>
  </si>
  <si>
    <t>The field indicates the discount model.
A discount model has up to six discount numbers that define how discounts are calculated for a service order. Each discount number refers to a discount table indicating the discount percentages.
Discount models can be specified per order type and customer. Discount models specified in the order type are prioritized over those specified for the customer. These models can also be changed for separate service orders.</t>
  </si>
  <si>
    <t>OKLSOI</t>
  </si>
  <si>
    <t>Last SO invoice date</t>
  </si>
  <si>
    <t>The field indicates the date when invoicing for a service order was last carried out for this customer. This date is relevant when used to move the set number of days between invoices when invoicing the customer.</t>
  </si>
  <si>
    <t>OKODUD</t>
  </si>
  <si>
    <t>Credit limit 4</t>
  </si>
  <si>
    <t>ODUD</t>
  </si>
  <si>
    <t>The field indicates credit limit 4, which is the number of days past due permitted for the invoice with the oldest due date.
Valid values are 1-999. If 0 is entered or if the field is left blank, credit limit 4 is not used.
This credit limit is used during credit checks of customer orders. When necessary, customer order stop 4 is set for the order.
Credit limit 4 is checked when credit limits 1-3 are not exceeded. Credit limit 4 has a lower priority than credit limits 1-3.</t>
  </si>
  <si>
    <t>OKODUE</t>
  </si>
  <si>
    <t>The field indicates the number of days past due for the invoice with the oldest due date. This information is automatically updated during the night run.</t>
  </si>
  <si>
    <t>OKEALO</t>
  </si>
  <si>
    <t>EAN location code</t>
  </si>
  <si>
    <t>EALO</t>
  </si>
  <si>
    <t>The field indicates the EAN (European Article Numbering) code for a company. The code is issued by the local EAN organization. The code is validated as the EAN code for an item number.
The check digit (final digit) is validated as follows:
1. Ignore check digit.
2. Add every other number from right to left.
3. Multiply the total by 3.
4. Add all other numbers.
5. Add the totals from steps 3 and 4.
6. Subtract the total of step 5 from the next highest ten.
The result is to correspond to the check digit.</t>
  </si>
  <si>
    <t>OKECAR</t>
  </si>
  <si>
    <t>State</t>
  </si>
  <si>
    <t>ECAR</t>
  </si>
  <si>
    <t>/ProcessCustomerPartyMaster/DataArea/CustomerPartyMaster/Location/Address/CountrySubDivisionCode</t>
  </si>
  <si>
    <t>Syndigo - Mail To Address State</t>
  </si>
  <si>
    <t>The field indicates a state or province within a country.
The information is used for sales tax in the United States, for INTRASTAT reporting within the EU in certain cases, and as an address element when addresses are formatted. The information can also be used to select or sort in the sales statistics.</t>
  </si>
  <si>
    <t>CRS046</t>
  </si>
  <si>
    <t>VA</t>
  </si>
  <si>
    <t>OKGEOC</t>
  </si>
  <si>
    <t>Geographical code</t>
  </si>
  <si>
    <t>L</t>
  </si>
  <si>
    <t>GEOC</t>
  </si>
  <si>
    <t>The field indicates the geographical code used when calculating M3 sales tax.</t>
  </si>
  <si>
    <t>CRS137</t>
  </si>
  <si>
    <t>OKTECN</t>
  </si>
  <si>
    <t>Tax exemption contract number</t>
  </si>
  <si>
    <t>TECN</t>
  </si>
  <si>
    <t>The field indicates the contract number for tax exemption.</t>
  </si>
  <si>
    <t>OKTEEC</t>
  </si>
  <si>
    <t>Tax exemption expiry date</t>
  </si>
  <si>
    <t>TEEC</t>
  </si>
  <si>
    <t>The field indicates the expiration date for tax exemption. This is only used to process sales tax in the US.</t>
  </si>
  <si>
    <t>OKAGPY</t>
  </si>
  <si>
    <t>Payer - postal giro</t>
  </si>
  <si>
    <t>18</t>
  </si>
  <si>
    <t>AGPY</t>
  </si>
  <si>
    <t>The field indicates the customer's payer number. This can be either a bank account number, personal ID, etc.
This number is used by Postgiro to identify the customer's auto giro payments.</t>
  </si>
  <si>
    <t>OKAGCP</t>
  </si>
  <si>
    <t>Clearing number</t>
  </si>
  <si>
    <t>AGCP</t>
  </si>
  <si>
    <t>The field indicates the clearing number for the bank account number to be charged when the customer has made a payment through the Postgiro auto giro routine.
After exiting the field, the clearing number is right justified.
A clearing number is not necessary for the post giro number or personal bank accounts.</t>
  </si>
  <si>
    <t>OKAGAC</t>
  </si>
  <si>
    <t>Bank account number - postal giro</t>
  </si>
  <si>
    <t>12</t>
  </si>
  <si>
    <t>AGAC</t>
  </si>
  <si>
    <t>The field indicates the bank account number to be charged when the customer has made a payment through the Postgiro auto giro routine.
After exiting the field, the account number is right justified and the empty positions are filled in with zeros.</t>
  </si>
  <si>
    <t>OKAGBP</t>
  </si>
  <si>
    <t>Payer - bank giro</t>
  </si>
  <si>
    <t>AGBP</t>
  </si>
  <si>
    <t>The field indicates the customer's payer number. This can be either a bank account number, personal ID number, etc.
The payer number and the company bank giro number then make up a unique ID at Bankgiro. This information is relevant only when Autogiro/Private is used.</t>
  </si>
  <si>
    <t>OKACLB</t>
  </si>
  <si>
    <t>4</t>
  </si>
  <si>
    <t>The field indicates the clearing number for the bank account number to be charged when the customer has made a payment through the Bankgiro auto giro routine.
After exiting the field, the clearing number is right justified and the empty positions are filled in with zeros.</t>
  </si>
  <si>
    <t>OKAACB</t>
  </si>
  <si>
    <t>Bank account number - bank giro</t>
  </si>
  <si>
    <t>AACB</t>
  </si>
  <si>
    <t>The field indicates the number of the bank account to be charged when a customer makes a payment through the Bankgiro auto giro routine. If auto giro/company is used, then the customer's bank giro number is normally specified.
After exiting the field, the account number is right justified and the empty positions are filled in with zeros.</t>
  </si>
  <si>
    <t>OKAGPN</t>
  </si>
  <si>
    <t>Personal ID</t>
  </si>
  <si>
    <t>The field indicates the customer's personal ID or organization number. This is only necessary when Auto giro/Private is used.
The personal ID number must begin with four numbers representing the year. The organization number must begin with two zeros.</t>
  </si>
  <si>
    <t>OKAGBG</t>
  </si>
  <si>
    <t>Bank giro number</t>
  </si>
  <si>
    <t>AGBG</t>
  </si>
  <si>
    <t>The field indicates the customer's bank giro number.</t>
  </si>
  <si>
    <t>OKAGPG</t>
  </si>
  <si>
    <t>Postal giro number</t>
  </si>
  <si>
    <t>AGPG</t>
  </si>
  <si>
    <t>The field indicates the customer's post giro number.</t>
  </si>
  <si>
    <t>OKAGCA</t>
  </si>
  <si>
    <t>Cancellation</t>
  </si>
  <si>
    <t>The field indicates if the payer information at Bankgiro or Postgiro should be canceled.</t>
  </si>
  <si>
    <t>0: No
1: Yes
9: A cancellation order has been sent.</t>
  </si>
  <si>
    <t>OKAGTD</t>
  </si>
  <si>
    <t>Transmission date</t>
  </si>
  <si>
    <t>The field indicates the date when the customer's payer information was last transferred to either Bankgiro or Postgiro.</t>
  </si>
  <si>
    <t>OKAGTN</t>
  </si>
  <si>
    <t>Transmission number</t>
  </si>
  <si>
    <t>The field indicates the transfer when the customer's payment information was last transferred to either Bankgiro or Postgiro.</t>
  </si>
  <si>
    <t>OKINRC</t>
  </si>
  <si>
    <t>Invoice recipient</t>
  </si>
  <si>
    <t>INRC</t>
  </si>
  <si>
    <t>The field indicates the number of the customer who receives the invoice.
The information is specified for each payer in the customer file. It is copied to the order header via the payer used when entering new orders.</t>
  </si>
  <si>
    <t>OKCESA</t>
  </si>
  <si>
    <t>Marketing ID - M3 SMS</t>
  </si>
  <si>
    <t>32</t>
  </si>
  <si>
    <t>CESA</t>
  </si>
  <si>
    <t>OKCHSY</t>
  </si>
  <si>
    <t>Line charge model</t>
  </si>
  <si>
    <t>CHSY</t>
  </si>
  <si>
    <t>The field indicates the line charge model for customer orders, service orders, or rental agreements.
A line charge model is an ID, to which an optional number of line charges can be connected. When a line charge model is used in a customer order, service order, or rental agreement, their line charge(s) are validity checked for the lines entered. Validity is checked against control values specified for each line in the model.
The charge model is defaulted to the customer order, service order, or rental agreement (as set in the order type of the customer or service order, or otherwise from the customer). If allowed by the customer order type, the charge model can be changed for each customer order.</t>
  </si>
  <si>
    <t>CRS278</t>
  </si>
  <si>
    <t>OKTAXC</t>
  </si>
  <si>
    <t>Tax code customer/address</t>
  </si>
  <si>
    <t>TAXC</t>
  </si>
  <si>
    <t>The field indicates if an item, charge, customer or ship-to location is taxable or not.
The tax code is used to calculate US sales tax.</t>
  </si>
  <si>
    <t>CRS130</t>
  </si>
  <si>
    <t>TAX</t>
  </si>
  <si>
    <t>OKHAFE</t>
  </si>
  <si>
    <t>Harbor or airport</t>
  </si>
  <si>
    <t>HAFE</t>
  </si>
  <si>
    <t>The field indicates the ID of the harbor or airport. It is used for reporting purposes in the trade statistics.
This information is only relevant for exports or imports when the goods do not pass any customs office at the border.</t>
  </si>
  <si>
    <t>CRS073</t>
  </si>
  <si>
    <t>OKOT89</t>
  </si>
  <si>
    <t>Check planned split</t>
  </si>
  <si>
    <t>OT89</t>
  </si>
  <si>
    <t>Select the check box if it should be possible to perform a planned split of the ordered quantity for a customer order line.
If you do not select the check box, the planned split is not used even if it has been activated in (OIS010).</t>
  </si>
  <si>
    <t>OKPRDL</t>
  </si>
  <si>
    <t>Print delivery information</t>
  </si>
  <si>
    <t>PRDL</t>
  </si>
  <si>
    <t>Select the check box if delivery information from the delivery address connected to the order line is to be printed on order confirmations and pro forma invoices.
Delivery information includes the delivery address, delivery method, and delivery terms. This information is printed on a sub header to the document.</t>
  </si>
  <si>
    <t>OKMCON</t>
  </si>
  <si>
    <t>Mandatory entry of customer's order no.</t>
  </si>
  <si>
    <t>MCON</t>
  </si>
  <si>
    <t>OKRAN1</t>
  </si>
  <si>
    <t>Fixed due date</t>
  </si>
  <si>
    <t>RAN1</t>
  </si>
  <si>
    <t>OKRAN2</t>
  </si>
  <si>
    <t>RAN2</t>
  </si>
  <si>
    <t>OKRAN3</t>
  </si>
  <si>
    <t>RAN3</t>
  </si>
  <si>
    <t>OKRAN4</t>
  </si>
  <si>
    <t>RAN4</t>
  </si>
  <si>
    <t>OKQUCK</t>
  </si>
  <si>
    <t>Quotation check</t>
  </si>
  <si>
    <t>QUCK</t>
  </si>
  <si>
    <t>The field indicates whether current valid quotations are checked during order entry.</t>
  </si>
  <si>
    <t>0: No
1: Yes, if the order type is for a normal, or cash order.
2: Yes, if the order type is for a normal order, quotation, or cash order.</t>
  </si>
  <si>
    <t>OKIVGP</t>
  </si>
  <si>
    <t>Invoicing group</t>
  </si>
  <si>
    <t>IVGP</t>
  </si>
  <si>
    <t>The field indicates the invoicing group.
When requesting invoicing in (OIS180), an invoicing group can be selected. Only order types within the selected invoicing group are then invoiced.
The invoicing group is used to group different customer order types. It is then possible to select which order types that should be invoiced.
An invoicing group can also be specified per customer. If the customer's invoicing group is different than the invoicing group of the order type, the customer's invoicing group takes precedence.</t>
  </si>
  <si>
    <t>CRS104</t>
  </si>
  <si>
    <t>OKACEI</t>
  </si>
  <si>
    <t>Advance invoicing of ECI</t>
  </si>
  <si>
    <t>The field indicates whether an advance invoice is created automatically during customer order entry.</t>
  </si>
  <si>
    <t>0: No
1: Yes - if the customer order line has a reference number (DO, PO, etc.)
2: Yes - if the customer order line has a reference number AND and the item is an extended catalog item or a non-coded item.</t>
  </si>
  <si>
    <t>OKVDLA</t>
  </si>
  <si>
    <t>Display valid delivery addresses</t>
  </si>
  <si>
    <t>VDLA</t>
  </si>
  <si>
    <t>The field indicates whether or not delivery addresses are to be displayed during order entry.
The addresses will be displayed provided the customer order type allows it; that is, the 'Display delivery address' field is activated in (OIS010/E).</t>
  </si>
  <si>
    <t>0: No display.
1: Display, provided that at least one address with address type 01 exists.
2: Display, provided that more than one address with address type 01 exist.
3: Display, provided that at least one address with address type 01 exists. Selection is mandatory.</t>
  </si>
  <si>
    <t>OKFACI</t>
  </si>
  <si>
    <t>Facility</t>
  </si>
  <si>
    <t>FACI</t>
  </si>
  <si>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</si>
  <si>
    <t>CRS008</t>
  </si>
  <si>
    <t>A01</t>
  </si>
  <si>
    <t>OKDTID</t>
  </si>
  <si>
    <t>Data identity</t>
  </si>
  <si>
    <t>The field indicates the unique key used to connect a detailed message with the original record.</t>
  </si>
  <si>
    <t>OKDESV</t>
  </si>
  <si>
    <t>Alternate lang for option description</t>
  </si>
  <si>
    <t>DESV</t>
  </si>
  <si>
    <t>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t>
  </si>
  <si>
    <t>OKCHCL</t>
  </si>
  <si>
    <t>Charge calculation</t>
  </si>
  <si>
    <t>The field indicates if and how charges will be calculated.</t>
  </si>
  <si>
    <t>0: No charges are calculated
1: Charges are calculated separately, in other words as regular order line charges.
2: Charges are calculated but included in the item's gross price.</t>
  </si>
  <si>
    <t>OKMCOS</t>
  </si>
  <si>
    <t>Customer's order number mandatory</t>
  </si>
  <si>
    <t>MCOS</t>
  </si>
  <si>
    <t>Select the check box if the customer's order number must be entered during order entry.
The customer's order number acts as a reference to the customer's own number. It can, for example, be used to easily identify the customer order when you speak to the customer. It is also printed on external documents.
If the customer's order number does not exist during batch order entry, the customer order will be stopped in the batch order entry in (OIS275).
This setting is also used in maintenance customer order entry (COS100), (COS101) and in rental agreement entry (STS085), (STS100). The order type field (OIS014) does not have any impact on maintenance customer order and rental agreement entry (see Note below).</t>
  </si>
  <si>
    <t>OKSPLM</t>
  </si>
  <si>
    <t>Supply model</t>
  </si>
  <si>
    <t>SPLM</t>
  </si>
  <si>
    <t>The field indicates rules for how to find alternate ways to supply a specific demand. Several supply models can be valid for a specific item. For example, the supply models for customer order entry and MRP run can differ.</t>
  </si>
  <si>
    <t>MMS056</t>
  </si>
  <si>
    <t>OKEXPT</t>
  </si>
  <si>
    <t>Exclude payment terms</t>
  </si>
  <si>
    <t>OKATPR</t>
  </si>
  <si>
    <t>Attribute pricing rule</t>
  </si>
  <si>
    <t>ATPR</t>
  </si>
  <si>
    <t>The field indicates which rule should be used when calculating attribute-based prices or charges.</t>
  </si>
  <si>
    <t>1: Expected attribute values are used as base
2: Actual attribute values are used as base.</t>
  </si>
  <si>
    <t>OKACGR</t>
  </si>
  <si>
    <t>Object access group</t>
  </si>
  <si>
    <t>ACGR</t>
  </si>
  <si>
    <t>The field is used to restrict access to different objects such as accounting identities, divisions, and facilities.
These objects can be connected to an object access group, and different users can be connected to user groups. For each user group, you can specify a number of object access groups.
Therefore, if an object is connected to an access group, access is only granted to users that belong to a user group connected to that access group.</t>
  </si>
  <si>
    <t>CRS006</t>
  </si>
  <si>
    <t>OKSTMS</t>
  </si>
  <si>
    <t>Statement code</t>
  </si>
  <si>
    <t>STMS</t>
  </si>
  <si>
    <t>The field indicates how to manage the customer in the routine for creating statement of accounts in (ARS140) and (ARS510).</t>
  </si>
  <si>
    <t>1: The customer is not included.
2: The customer is included. However, no age distribution of invoices to be overdue is printed on the statement of account.
3: As alternative 2, but an age distribution is printed.</t>
  </si>
  <si>
    <t>OKSTMR</t>
  </si>
  <si>
    <t>Statement rule</t>
  </si>
  <si>
    <t>STMR</t>
  </si>
  <si>
    <t>The field indicates a statement rule for printing of age distribution of customer invoices when creating a statement of account in (ARS140) or (ARS510).
The statement rule determines the range of time periods on which to base the printing of age distribution of invoices to be overdue. It also determines whether to base the age distribution on the due date or the invoice date.
The statement rule is connected to the customer, either in (CRS610/K) or (MFS610/K).</t>
  </si>
  <si>
    <t>CRS665</t>
  </si>
  <si>
    <t>OKBCKO</t>
  </si>
  <si>
    <t>Backorder</t>
  </si>
  <si>
    <t>BCKO</t>
  </si>
  <si>
    <t>Select the check box if the backorder is approved when the supply model is executed.
If the backorder is not approved, only the quantity available at requested delivery date will be proposed.
This information can be specified for each:</t>
  </si>
  <si>
    <t>OKPADL</t>
  </si>
  <si>
    <t>Partial delivery</t>
  </si>
  <si>
    <t>PADL</t>
  </si>
  <si>
    <t>The field indicates whether the partial delivery is approved when the supply model is executed.
Select the check box if the partial delivery should be approved when the supply model is executed.
This information can be specified for each:
Supply model line (MMS059/F)
Customer (CRS610/G)
Customer. Local Exceptions (MFS610/F)
Customer. Connect Addresses (OIS002/F)
The lowest of the above alternatives (0 or 1) will determine whether partial delivery is approved.</t>
  </si>
  <si>
    <t>OKTOWN</t>
  </si>
  <si>
    <t>City</t>
  </si>
  <si>
    <t>TOWN</t>
  </si>
  <si>
    <t>/ProcessCustomerPartyMaster/DataArea/CustomerPartyMaster/Location/Address/CityName</t>
  </si>
  <si>
    <t>Syndigo - Mail To Address City</t>
  </si>
  <si>
    <t>The field indicates the city in an address. The information is mandatory when address formatting is used, and when a city is an address element used in the formatting rule (CRS117). Address formatting rules are defined for each country (CRS045).</t>
  </si>
  <si>
    <t>WINCHESTER</t>
  </si>
  <si>
    <t>OKADVI</t>
  </si>
  <si>
    <t>Ship-via address</t>
  </si>
  <si>
    <t>ADVI</t>
  </si>
  <si>
    <t>The field indicates the address the transport is shipped through before it arrives at the final address.</t>
  </si>
  <si>
    <t>CRS300</t>
  </si>
  <si>
    <t>OKESAL</t>
  </si>
  <si>
    <t>E-Sales customer</t>
  </si>
  <si>
    <t>OKRGDT</t>
  </si>
  <si>
    <t>Entry date</t>
  </si>
  <si>
    <t>The field indicates the date that the object was created. This date is set automatically.</t>
  </si>
  <si>
    <t>OKRGTM</t>
  </si>
  <si>
    <t>Entry time</t>
  </si>
  <si>
    <t>The field indicates the time each object was first entered. This time is set automatically.</t>
  </si>
  <si>
    <t>OKLMDT</t>
  </si>
  <si>
    <t>Change date</t>
  </si>
  <si>
    <t>The field indicates the date the record last was changed.</t>
  </si>
  <si>
    <t>OKCHNO</t>
  </si>
  <si>
    <t>Change number</t>
  </si>
  <si>
    <t>The field indicates a project change ID.</t>
  </si>
  <si>
    <t>OKCHID</t>
  </si>
  <si>
    <t>The field indicates the ID of the user that last changed the record. If the record has not been changed (change date = blank or equal to entry date), the ID of the user who created the record is displayed.</t>
  </si>
  <si>
    <t>OKLMTS</t>
  </si>
  <si>
    <t>Timestamp</t>
  </si>
  <si>
    <t>OKSCED</t>
  </si>
  <si>
    <t>Delivery regrouping</t>
  </si>
  <si>
    <t>SCED</t>
  </si>
  <si>
    <t>The field indicates if the delivery regrouping process is activated.
Select the check box to enable a controlled delivery regrouping process. All delivery lines and deliveries are created as preliminary at order entry with one order per delivery. Later process steps will perform the delivery consolidation and transform these preliminary deliveries into firm.
If the check box is left blank the delivery consolidation is performed as an integrated part of the order line entry. All delivery lines and deliveries will be created as firm at order line entry and no delivery regrouping will be performed.
For delivery regrouping to take place, this setting must be selected in (MWS010). If delivery regrouping is also selected for the consignee in (CRS610) or (MMS005), then the delivery regrouping process will be automatically initiated. Delivery regrouping can be manually changed in (OIS100) and in (MMS100) at order entry. It can be displayed in (MWS410) and via the view in (MWS411).</t>
  </si>
  <si>
    <t>OKOT86</t>
  </si>
  <si>
    <t>External prices</t>
  </si>
  <si>
    <t>OT86</t>
  </si>
  <si>
    <t>The field indicates whether external prices are used.</t>
  </si>
  <si>
    <t>0: No.
1: Yes, for labels only.
2: Yes, for packing slips only.
3: Yes, for labels and packing slips.
4: Yes, for invoices only.
5: Yes, for labels and invoices.
6: Yes, for invoices and packing slips.
7: Yes, for all.
8: According to CO type.</t>
  </si>
  <si>
    <t>OKBOP1</t>
  </si>
  <si>
    <t>Automatic closing</t>
  </si>
  <si>
    <t>BOP1</t>
  </si>
  <si>
    <t>The field determines whether backorder quantities should be automatically closed. The "Automatic closing" field in (OIS010) must be set to 1 in order for this setting to be used.</t>
  </si>
  <si>
    <t>0: No. Backorders are allowed and no automatic closing takes place.
1: Yes. Backorders are not allowed and any remaining quantity will be automatically closed.
2: Same as 1 but you can override the setting for each promotion.</t>
  </si>
  <si>
    <t>OKRPLT</t>
  </si>
  <si>
    <t>Rental price list table</t>
  </si>
  <si>
    <t>ChgRentalData</t>
  </si>
  <si>
    <t>RPLT</t>
  </si>
  <si>
    <t>The field indicates a joint ID for the rental prices of several items. By using price list tables you can process several rental price lists for rental agreements for each item. The price list tables are valid for pricing of rental agreement rental lines (line types 4, 5, 7, or 8).
A price list table can be entered per customer and/or rental depot. The price list table can even be changed for a single rental agreement.</t>
  </si>
  <si>
    <t>OKRDIS</t>
  </si>
  <si>
    <t>Rental discount model</t>
  </si>
  <si>
    <t>RDIS</t>
  </si>
  <si>
    <t>The field indicates a discount model used for retrieving rental discounts. A discount model can contain six discount numbers, which define how a discount is calculated for a rental agreement line (line types 4, 5, 7, or 8). A discount matrix, containing the discount rates, is connected to the discount numbers.
A discount model can be entered per customer and/or rental depot. The discount model may even be changed for a single rental agreement.</t>
  </si>
  <si>
    <t>OKRPYN</t>
  </si>
  <si>
    <t>Rental payer</t>
  </si>
  <si>
    <t>The field indicates a default payer for rental agreements.</t>
  </si>
  <si>
    <t>OKRTEP</t>
  </si>
  <si>
    <t>Rental payment terms</t>
  </si>
  <si>
    <t>RTEP</t>
  </si>
  <si>
    <t>The field indicates the default payment terms for rental agreements.</t>
  </si>
  <si>
    <t>OKRSMC</t>
  </si>
  <si>
    <t>Rental salesperson</t>
  </si>
  <si>
    <t>RSMC</t>
  </si>
  <si>
    <t>The field indicates a default salesperson for rental agreements.</t>
  </si>
  <si>
    <t>OKTRSU</t>
  </si>
  <si>
    <t>Trade-in supplier</t>
  </si>
  <si>
    <t>TRSU</t>
  </si>
  <si>
    <t>The field indicates a supplier number connected to a customer. It is used when goods are purchased from the customer as part of a trade-in transaction.</t>
  </si>
  <si>
    <t>CRS620</t>
  </si>
  <si>
    <t>OKAOTP</t>
  </si>
  <si>
    <t>Agreement order type</t>
  </si>
  <si>
    <t>AOTP</t>
  </si>
  <si>
    <t>The field indicates a unique ID to control which functions to use in the agreement order flow and how they are used.
Order types are defined per order category in the following programs:
You may specify which agreement documents to print per agreement order type, as well as which service order types in the service order processing to use for agreement invoicing and preventative service.</t>
  </si>
  <si>
    <t>STS020</t>
  </si>
  <si>
    <t>OKFRCO</t>
  </si>
  <si>
    <t>County ID</t>
  </si>
  <si>
    <t>FRCO</t>
  </si>
  <si>
    <t>The field indicates the identifier of a county in M3. The county ID is unique per state.
The county is used to calculate freight costs.</t>
  </si>
  <si>
    <t>CRS042</t>
  </si>
  <si>
    <t>OKSPLE</t>
  </si>
  <si>
    <t>Standard point location code</t>
  </si>
  <si>
    <t>SPLE</t>
  </si>
  <si>
    <t>The field indicates a standard point location code.
The SPLC code is a nine-digit geographical code used in North America.</t>
  </si>
  <si>
    <t>OKRASN</t>
  </si>
  <si>
    <t>Rail station</t>
  </si>
  <si>
    <t>RASN</t>
  </si>
  <si>
    <t>The field indicates the ID of the railway station.</t>
  </si>
  <si>
    <t>CRS061</t>
  </si>
  <si>
    <t>OKST75</t>
  </si>
  <si>
    <t>Rental rate type</t>
  </si>
  <si>
    <t>ST75</t>
  </si>
  <si>
    <t>The field indicates the type of rate used by default at agreement entry.</t>
  </si>
  <si>
    <t>1: Daily
2: Weekly
3: Monthly
4: Fixed rate
5: Hourly
9: Best Price</t>
  </si>
  <si>
    <t>OKST76</t>
  </si>
  <si>
    <t>Number of shifts</t>
  </si>
  <si>
    <t>ST76</t>
  </si>
  <si>
    <t>The field indicates the number of shifts used by default during agreement entry.</t>
  </si>
  <si>
    <t>0: 0 shifts
1: 1 shift
2: 2 shifts
3: 3 shifts.</t>
  </si>
  <si>
    <t>OKST77</t>
  </si>
  <si>
    <t>Number of days per week</t>
  </si>
  <si>
    <t>ST77</t>
  </si>
  <si>
    <t>The field indicates a proposal for M3 to calculate 5 or 7 days per week at agreement entry.
At rental, the rate type can be a daily rate, weekly rate or monthly rate. M3 uses the daily rate to calculate a price per section of a week or month. Different rates can be entered in the price list depending on whether a 5-, 6- or 7-day week is used.</t>
  </si>
  <si>
    <t>OKST78</t>
  </si>
  <si>
    <t>Minimum days/week to invoice a week</t>
  </si>
  <si>
    <t>ST78</t>
  </si>
  <si>
    <t>The field indicates the number of days needed to invoice for an entire week at final invoicing of an agreement. This is only used for weekly rates.</t>
  </si>
  <si>
    <t>OKRAFA</t>
  </si>
  <si>
    <t>Rate factor</t>
  </si>
  <si>
    <t>RAFA</t>
  </si>
  <si>
    <t>The field indicates the relationship between foreign and domestic currency.</t>
  </si>
  <si>
    <t>1: 1000:1
2: 100:1
3: 10:1
4: 1:1
5: 1:10
6: 1:100
7: 1:1000</t>
  </si>
  <si>
    <t>OKMRTP</t>
  </si>
  <si>
    <t>Minimum rental type</t>
  </si>
  <si>
    <t>MRTP</t>
  </si>
  <si>
    <t>OKMINV</t>
  </si>
  <si>
    <t>Minimum order value</t>
  </si>
  <si>
    <t>MINV</t>
  </si>
  <si>
    <t>OKMIHP</t>
  </si>
  <si>
    <t>Minimum rental period</t>
  </si>
  <si>
    <t>MIHP</t>
  </si>
  <si>
    <t>OKRTYR</t>
  </si>
  <si>
    <t>Return years - open agreement</t>
  </si>
  <si>
    <t>RTYR</t>
  </si>
  <si>
    <t>OKRTMO</t>
  </si>
  <si>
    <t>Return months - open agreement</t>
  </si>
  <si>
    <t>RTMO</t>
  </si>
  <si>
    <t>OKIIYR</t>
  </si>
  <si>
    <t>Invoicing interval - years</t>
  </si>
  <si>
    <t>IIYR</t>
  </si>
  <si>
    <t>The field indicates the number of years with which an invoicing interval should be moved forward in connection with agreement invoicing.
A value entered in the agreement header is proposed during new entry of sites for this agreement, but may be changed. A value entered in the site is proposed during new entry for this site, but may be changed.
In MCO the field exist in agreement invoice default (COS406) agreement site(COS403) and agreement equipment (COS433) and is defaulted from higher level to lower level during new entry but may be changed.
Values between 0 and 10 may be entered. If parts of a year need to be entered, an invoicing interval in months must be used. The invoicing interval in years may be entered for an agreement type, during entry of an agreement header, sites, or agreement lines/equipment.
When agreement invoicing has been performed for an agreement line/equipment, the invoicing interval start and end are moved forward the number of days, months and years indicated in the fields invoicing interval days, months and year, respectively.</t>
  </si>
  <si>
    <t>OKIIMO</t>
  </si>
  <si>
    <t>Invoicing interval - months</t>
  </si>
  <si>
    <t>IIMO</t>
  </si>
  <si>
    <t>The field indicates how many months an invoicing interval should be moved forward during agreement invoicing.
A value entered in the agreement header is proposed during new entry of sites for this agreement, but may be changed. A value entered for the site is proposed during new entry for this site, but may be changed. In MCO, the field is found in (COS406), (COS403), and (COS433), and is defaulted from a higher to a lower level during new entry, but may also be changed.
Values between 0 and 12 may be entered. If more than 12 months must be entered, enter a value in the field 'Invoicing interval - years'. If parts of a month are used, use 'invoicing interval - days'.
'Invoicing interval - months' may be used for an agreement type, or during entry of an agreement header or site, or agreement lines.
When agreement invoicing has been performed for an agreement line/equipment, the start and end of the invoicing interval are moved forward the number of days, months, and years indicated in the fields 'Invoicing interval - days', 'Invoicing interval - months', and 'Invoicing interval - years' respectively.</t>
  </si>
  <si>
    <t>OKIIDA</t>
  </si>
  <si>
    <t>Invoicing interval - days</t>
  </si>
  <si>
    <t>IIDA</t>
  </si>
  <si>
    <t>The field indicates how many days an invoicing interval should be moved forward in connection with agreement invoicing.
You may enter a value between 0 and 31. To enter a number greater than 31 days, instead enter a value in the field for the months or years invoicing interval.
You may enter an invoicing interval for the agreement type when entering agreement headers, sites, or lines.
The value entered in the agreement header is displayed by default when the you enter new sites, but may later be changed. The value entered for site is displayed by default when you enter new lines, but may be changed. In MCO, the field exists in (COS406), (COS403), and (COS433) and is defaulted from a higher to a lower level during new entry, but may be changed.
When agreement invoicing of an agreement line has been performed, the start and end dates of the agreement interval are postponed by the length of time entered in the fields for the days, months, or years invoicing interval respectively.</t>
  </si>
  <si>
    <t>OKDPOT</t>
  </si>
  <si>
    <t>Rental depot</t>
  </si>
  <si>
    <t>DPOT</t>
  </si>
  <si>
    <t>The field indicates a rental depot.
In M3, a rental depot is a physical location that acts as a storehouse for a rental business. A rental depot is defined with a default warehouse from which rental items are delivered to the customer.
Important: The rental depot is not a part of the M3 company structure such as facility or warehouse. It is not possible to calculate rental utilization statistics or do any financial follow-up on a rental depot. In M3, the rental depot is used to gather settings. Many depots can belong to a facility, but a single depot can only belong to one facility.</t>
  </si>
  <si>
    <t>STS030</t>
  </si>
  <si>
    <t>OKDPCD</t>
  </si>
  <si>
    <t>Pricing and discount setting</t>
  </si>
  <si>
    <t>DPCD</t>
  </si>
  <si>
    <t>OKOOTP</t>
  </si>
  <si>
    <t>Override order type</t>
  </si>
  <si>
    <t>OOTP</t>
  </si>
  <si>
    <t>Select the check box to override the 'Price/Disc' setting on (OIS010/J). This is only applicable for 'CO Category' 1 ('Normal order').</t>
  </si>
  <si>
    <t>OKHIFD</t>
  </si>
  <si>
    <t>Hold invoice until fully delivered</t>
  </si>
  <si>
    <t>HIFD</t>
  </si>
  <si>
    <t>Select the check box if invoices are to be hold until the customer order is fully delivered.
By selecting this check box, all types of customer order invoices are put on hold until the order is fully delivered. It can be used in combination with the summary invoice settings per customer and order type. At customer order entry, the lowest alternative per customer and order type summary invoice code is selected and proposed as either 4, 5 or 6 to ensure that the invoices are put on hold until the order is fully delivered.
For summary invoices it is also possible to instead control this by the order type via the summary invoice alternative 4 - 'Fully delivered order'.</t>
  </si>
  <si>
    <t>OKENCD</t>
  </si>
  <si>
    <t>Use code</t>
  </si>
  <si>
    <t>ENCD</t>
  </si>
  <si>
    <t>The field indicates the use code used for AvaTax. The field can be used to set up tax exemption rules in AvaTax. The alternatives listed below are predefined in AvaTax but other codes can be entered manually.</t>
  </si>
  <si>
    <t>A: Federal government
B: State government
C: Tribal government
D: Foreign diplomat
E: Charitable organization
F: Religious organization
G: Resale
H: Agricultural production
I: Industrial production or manufacturers
J: Direct pay permit
K: Direct mail
L: Other or custom
M: Educational organization
N: Local government
P: Commercial aquaculture
Q: Commercial fishery
R: Non-resident</t>
  </si>
  <si>
    <t>OKSEOL</t>
  </si>
  <si>
    <t>Select oldest</t>
  </si>
  <si>
    <t>OKPYGR</t>
  </si>
  <si>
    <t>Credit group</t>
  </si>
  <si>
    <t>The field indicates a credit group that is used in credit checking control for all payers that are connected to the credit group in (CRS316).
A customer can be connected to a payer by selecting a payer on (CRS610/J).
If a customer is connected to a payer, customer orders, and invoices in accounts receivable, are updated with different values for customer number (field CUNO) and payer number (field PYNO).
If a customer is not connected to a payer, it is assumed that they pay their own invoices, and then both fields (CUNO and PYNO) will store the customer number.
Payers can be now connected to a credit group in (CRS316). Payers that are connected to a credit group, have a value in the field âCredit groupâ (PYGR) on (CRS610/J).
The use of a credit group, will not affect accounts receivable, or customer orders, for the payers that are connected to the credit group.
Credit limits are defined for the payer on (CRS610/J). However, if the payer is connected to a credit group, the credit limits must instead be defined for the credit group on (CRS610/J), as the credit checking control is then made against the credit limits for the credit group. If credit limits have been defined for the payers that are connected to the credit group, the credit limits for the individual payers are not considered during credit checking control.
The credit limits are defined in the currency that has been selected for the payer, or for the credit group, on (CRS610/J). The currency of the payers that are connected to a credit group must be the same as the currency for the credit group.
In comparison to the credit limits defined on (CRS610/J), and stored in the OCUSMA table, for the payer, or for the credit group, current outstanding balances (in the currency of the payer, or the credit group) are stored in the CCUCRL table.
The outstanding balances in table CCUCRL can be displayed in the following functions:
The outstanding balances in table CCUCRL are updated through (CRS930) as follows:
If a payer is connected to a credit group, the outstanding balances in table CCUCRL are stored both for the individual payer, and for the credit group.
The outstanding balances for the payers that are connected to the credit group are then accumulated to outstanding balances for the credit group.
If the outstanding balances are refreshed with F15 on (CRS315/E), (OIS120/E), or (COS120/E) for a payer that is connected to a credit group, the outstanding balances are updated in the CCURCL table for both the individual payer and the credit group.
The corresponding outstanding balances for invoices and orders are listed for the connected customers and payers below:
The outstanding balances for payers ABC and DEF, 600 USD and 6,000 USD respectively, are stored for each payer individually in the CCUCRL table.
And as the payers ABC and DEF are both connected to the credit group âALFABETAâ, their accumulated outstanding balance, 6,600 USD, is also stored for the credit group in the CCUCRL table.
If a new customer order would be entered for one of the customers connected to the credit group, for example customer A, with an order value of 400 USD, this order would be accepted, as the total outstanding balance for invoices and orders for the credit group (6,600 + 400 USD) would still be within the value for credit limit 3 (10,000 USD) for the credit group âALFABETAâ.
However, if the new order value would be 4,000 USD for customer A, then this order would be stopped, as the total outstanding balance (6,600 + 4,000 USD) would now exceed the credit limit 3 (10,000 USD) for the credit group âALFABETAâ.</t>
  </si>
  <si>
    <t>OKSETA</t>
  </si>
  <si>
    <t>Tax regime</t>
  </si>
  <si>
    <t>SETA</t>
  </si>
  <si>
    <t>The field indicates how a customer is identified regarding its domestic business activity as a taxpayer. For example, it can be identified as Final consumer, Tax registered, Not registered, Exempted, Simplified regime, and Foreign company.
The tax regime of the customer can be used as a control object in (CMS237) to identify taxes to be applied on an invoice.</t>
  </si>
  <si>
    <t>CMS235</t>
  </si>
  <si>
    <t>OKTAGY</t>
  </si>
  <si>
    <t>Trade agreement model</t>
  </si>
  <si>
    <t>TAGY</t>
  </si>
  <si>
    <t>The field indicates a trade agreement model, which defines how accruals are calculated for a customer order. The trade agreement model has a selection matrix, which contains the agreements and recipients to retrieve on a customer order.
A trade agreement model can be specified either in the customer order type, in local exceptions for the customer, or in the customer file. It can also be defined manually upon creation of the customer order.</t>
  </si>
  <si>
    <t>OIS438</t>
  </si>
  <si>
    <t>OKOPAY</t>
  </si>
  <si>
    <t>Accounts payable payout</t>
  </si>
  <si>
    <t>OPAY</t>
  </si>
  <si>
    <t>The field indicates whether to enable payment of Accounts Receivable invoices and credit notes to the customer using outgoing payment proposal in (APS330) in Accounts Payable, without netting supplier invoices.</t>
  </si>
  <si>
    <t>0: No
1: Yes</t>
  </si>
  <si>
    <t>OKCASC</t>
  </si>
  <si>
    <t>Cash customer</t>
  </si>
  <si>
    <t>CASC</t>
  </si>
  <si>
    <t>Select the check box to indicate that this is a cash customer. The customer's outstanding credit will not be monitored in (CRS315) for cash customers.
A payment term with 'Cash cus proc' selected must be used when using a cash customer as payer, unless payment is done by credit card or 'Adv invoicing' is set to 3 or 4 on (OIS010/K). Cash payment must be ensured when using a cash customer in any other process.</t>
  </si>
  <si>
    <t>OKRCPP</t>
  </si>
  <si>
    <t>Payment receipt document</t>
  </si>
  <si>
    <t>RCPP</t>
  </si>
  <si>
    <t>Select the check box to indicate that a payment receipt document should be printed when the payment is included in a payment receipt displayed in (ARS400).
If you do not select the check box, the payment receipt is only displayed in (ARS400).</t>
  </si>
  <si>
    <t>OKEXDF</t>
  </si>
  <si>
    <t>Exclude doubtful allowance</t>
  </si>
  <si>
    <t>EXDF</t>
  </si>
  <si>
    <t>Select the checkbox to exclude the customer from the doubtful allowance routine in (ARS630).</t>
  </si>
  <si>
    <t>OCUSAD</t>
  </si>
  <si>
    <t>OPCONO</t>
  </si>
  <si>
    <t>AddAddress</t>
  </si>
  <si>
    <t>OPDIVI</t>
  </si>
  <si>
    <t>OPCUNO</t>
  </si>
  <si>
    <t>OPADRT</t>
  </si>
  <si>
    <t>Address type</t>
  </si>
  <si>
    <t>ADRT</t>
  </si>
  <si>
    <t>The field indicates the type of address.</t>
  </si>
  <si>
    <t>01: Delivery address (Customer Order Processing)
02: Location address (Service Order Processing)
03: Invoice address (Customer Order Processing)
04: Payment address
05: Quotation address
06: Order confirmation address
07: Material address in (COS105)
08-50: Reserved for future use
51-99: Reserved for modifications.</t>
  </si>
  <si>
    <t>OPADID</t>
  </si>
  <si>
    <t>The field indicates address number and is used to identify a record in the address file.
The address may contain up to 6 alphanumeric characters.</t>
  </si>
  <si>
    <t>OPCUNM</t>
  </si>
  <si>
    <t>The field indicates the company or personal name that applies for the address. The address lines with this name form the address which, for example, is printed on customer documents if the address is a delivery address.</t>
  </si>
  <si>
    <t>OPCUA1</t>
  </si>
  <si>
    <t>OPCUA2</t>
  </si>
  <si>
    <t>OPCUA3</t>
  </si>
  <si>
    <t>OPCUA4</t>
  </si>
  <si>
    <t>OPPONO</t>
  </si>
  <si>
    <t>OPEALO</t>
  </si>
  <si>
    <t>OPECAR</t>
  </si>
  <si>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</si>
  <si>
    <t>OPRONO</t>
  </si>
  <si>
    <t>RONO</t>
  </si>
  <si>
    <t>OPMODL</t>
  </si>
  <si>
    <t>The field indicates how the delivery is made.
Valid values are defined in (CRS070).</t>
  </si>
  <si>
    <t>OPTEDL</t>
  </si>
  <si>
    <t>The field indicates delivery terms, which define when the responsibility for a delivery is transferred from the supplier to the customer.
The following codes are recommended according to Incoterms: Note: The text within parentheses indicates the text of the delivery terms in line 2.</t>
  </si>
  <si>
    <t>OPTEL2</t>
  </si>
  <si>
    <t>Terms text</t>
  </si>
  <si>
    <t>TEL2</t>
  </si>
  <si>
    <t>The field indicates the terms text, which is usually printed on external documents as explanatory text.
When language is used as a selection ID, such as when making entries or printouts, the text is language-specific.</t>
  </si>
  <si>
    <t>OPPHNO</t>
  </si>
  <si>
    <t>The field indicates the telephone number for the address record in question.</t>
  </si>
  <si>
    <t>OPTFNO</t>
  </si>
  <si>
    <t>The field indicates the fax number of the address record in question.</t>
  </si>
  <si>
    <t>OPYREF</t>
  </si>
  <si>
    <t>The field indicates the contact person for the address record. The field is only used as information.</t>
  </si>
  <si>
    <t>OPLSID</t>
  </si>
  <si>
    <t>OPLSAD</t>
  </si>
  <si>
    <t>OPMEAL</t>
  </si>
  <si>
    <t>OPCSCD</t>
  </si>
  <si>
    <t>OPVRNO</t>
  </si>
  <si>
    <t>OPEDES</t>
  </si>
  <si>
    <t>OPROUT</t>
  </si>
  <si>
    <t>ROUT</t>
  </si>
  <si>
    <t>OPRODN</t>
  </si>
  <si>
    <t>RODN</t>
  </si>
  <si>
    <t>OPULZO</t>
  </si>
  <si>
    <t>OPCESA</t>
  </si>
  <si>
    <t>OPGEOC</t>
  </si>
  <si>
    <t>OPTAXC</t>
  </si>
  <si>
    <t>OPHAFE</t>
  </si>
  <si>
    <t>OPTEPA</t>
  </si>
  <si>
    <t>OPCALV</t>
  </si>
  <si>
    <t>Calendar version</t>
  </si>
  <si>
    <t>The field indicates a delivery schedule calendar version</t>
  </si>
  <si>
    <t>OPDLPA</t>
  </si>
  <si>
    <t>Delivery pattern</t>
  </si>
  <si>
    <t>The field indicates the delivery pattern, which describes how deliveries are made.
This field is used only by Repetitive Scheduling (RSS).
The pattern is divided into two parts. The first part specifies the pattern up to the first four weeks. The second part specifies the pattern from week five onwards.
You can define a delivery pattern so that it rotates within the first or second part.</t>
  </si>
  <si>
    <t>OPDNVA</t>
  </si>
  <si>
    <t>Delivery note variant</t>
  </si>
  <si>
    <t>OPLAVA</t>
  </si>
  <si>
    <t>Label variant</t>
  </si>
  <si>
    <t>OPFVDT</t>
  </si>
  <si>
    <t>Valid from</t>
  </si>
  <si>
    <t>FVDT</t>
  </si>
  <si>
    <t>The field indicates the first valid date.</t>
  </si>
  <si>
    <t>OPLVDT</t>
  </si>
  <si>
    <t>Valid to</t>
  </si>
  <si>
    <t>LVDT</t>
  </si>
  <si>
    <t>The field indicates the last date the record is valid. If the field is left blank, the record is valid until a date is entered.</t>
  </si>
  <si>
    <t>OPDTID</t>
  </si>
  <si>
    <t>OPSPLM</t>
  </si>
  <si>
    <t>OPBCKO</t>
  </si>
  <si>
    <t>OPPADL</t>
  </si>
  <si>
    <t>OPTOWN</t>
  </si>
  <si>
    <t>OPPNOD</t>
  </si>
  <si>
    <t>Planning node</t>
  </si>
  <si>
    <t>The field indicates a planning node. The planning node is a geographical location that you can connect to a supplier address, warehouse address, and/or customer address.
Planning nodes are used to group suppliers, warehouses, and customers that are placed within the same area. Planning nodes are used to build supply chains in the Assortment Replenishment Planner (ARP).
Planning nodes are defined in (CMS020).</t>
  </si>
  <si>
    <t>CMS020</t>
  </si>
  <si>
    <t>OPADVI</t>
  </si>
  <si>
    <t>OPTXID</t>
  </si>
  <si>
    <t>OPRGDT</t>
  </si>
  <si>
    <t>OPRGTM</t>
  </si>
  <si>
    <t>OPLMDT</t>
  </si>
  <si>
    <t>OPCHNO</t>
  </si>
  <si>
    <t>OPCHID</t>
  </si>
  <si>
    <t>OPLMTS</t>
  </si>
  <si>
    <t>OPGEOX</t>
  </si>
  <si>
    <t>Geographic code X</t>
  </si>
  <si>
    <t>GEOX</t>
  </si>
  <si>
    <t>The field indicates the longitude coordinate of the node.</t>
  </si>
  <si>
    <t>OPGEOY</t>
  </si>
  <si>
    <t>Geographic code Y</t>
  </si>
  <si>
    <t>GEOY</t>
  </si>
  <si>
    <t>The field indicates the latitude coordinate of the node.</t>
  </si>
  <si>
    <t>OPGEOZ</t>
  </si>
  <si>
    <t>Geographic code  Z</t>
  </si>
  <si>
    <t>GEOZ</t>
  </si>
  <si>
    <t>OPBOP1</t>
  </si>
  <si>
    <t>OPVAAD</t>
  </si>
  <si>
    <t>Valid address</t>
  </si>
  <si>
    <t>OPPRIO</t>
  </si>
  <si>
    <t>The field indicates the order priority.
The priority is automatically created on the planned order when it is created. The priority may then be changed manually per planned order.
When a planned order is released, its priority is copied to the new order. When you create an order manually in (PMS001) or (MOS001), the priority can be manually entered.
In maintenance the order type priority overrides the equipment priority if entered.
The priority may be grouped as follows:
Priority 0 to 4 is equal to high.
Priotity 5 is equal to normal.
Priority 6 to 9 is equal to low.</t>
  </si>
  <si>
    <t>OPFRCO</t>
  </si>
  <si>
    <t>OPSPLE</t>
  </si>
  <si>
    <t>OPRASN</t>
  </si>
  <si>
    <t>OPADCG</t>
  </si>
  <si>
    <t>Address category</t>
  </si>
  <si>
    <t>ADCG</t>
  </si>
  <si>
    <t>The field indicates an optional categorization of the address, used for informational purposes only.</t>
  </si>
  <si>
    <t>MDM Comments</t>
  </si>
  <si>
    <t>Exists In Syndigo?</t>
  </si>
  <si>
    <t>Syndigo Name</t>
  </si>
  <si>
    <t>Infoverity_3</t>
  </si>
  <si>
    <t>Akhil</t>
  </si>
  <si>
    <t>Infoverity</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</si>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</sst>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0"/>
      <name val="Avenir Book"/>
      <family val="2"/>
    </font>
    <font>
      <b/>
      <sz val="12"/>
      <color rgb="FFFFFFFF"/>
      <name val="Avenir Book"/>
      <family val="2"/>
    </font>
    <font>
      <sz val="12"/>
      <color theme="1"/>
      <name val="Avenir Book"/>
      <family val="2"/>
    </font>
    <font>
      <b/>
      <sz val="12"/>
      <color rgb="FF8164A2"/>
      <name val="Avenir Book"/>
      <family val="2"/>
    </font>
    <font>
      <b/>
      <sz val="12"/>
      <color rgb="FF1A6B25"/>
      <name val="Avenir Book"/>
      <family val="2"/>
    </font>
    <font>
      <b/>
      <sz val="12"/>
      <color rgb="FF156082"/>
      <name val="Avenir Book"/>
      <family val="2"/>
    </font>
    <font>
      <b/>
      <sz val="12"/>
      <color rgb="FFE97131"/>
      <name val="Avenir Book"/>
      <family val="2"/>
    </font>
    <font>
      <b/>
      <sz val="12"/>
      <color rgb="FF0F9ED5"/>
      <name val="Avenir Book"/>
      <family val="2"/>
    </font>
    <font>
      <b/>
      <sz val="12"/>
      <color rgb="FF0F2841"/>
      <name val="Avenir Book"/>
      <family val="2"/>
    </font>
    <font>
      <b/>
      <sz val="12"/>
      <color rgb="FFC00000"/>
      <name val="Avenir Book"/>
      <family val="2"/>
    </font>
    <font>
      <b/>
      <sz val="12"/>
      <color theme="9"/>
      <name val="Avenir Book"/>
      <family val="2"/>
    </font>
  </fonts>
  <fills count="10">
    <fill>
      <patternFill patternType="none"/>
    </fill>
    <fill>
      <patternFill patternType="gray125"/>
    </fill>
    <fill>
      <patternFill patternType="solid">
        <fgColor rgb="FF8164A2"/>
        <bgColor rgb="FF8164A2"/>
      </patternFill>
    </fill>
    <fill>
      <patternFill patternType="solid">
        <fgColor rgb="FF1A6B25"/>
        <bgColor rgb="FF1A6B25"/>
      </patternFill>
    </fill>
    <fill>
      <patternFill patternType="solid">
        <fgColor rgb="FF156082"/>
        <bgColor rgb="FF156082"/>
      </patternFill>
    </fill>
    <fill>
      <patternFill patternType="solid">
        <fgColor rgb="FFE97131"/>
        <bgColor rgb="FFE97131"/>
      </patternFill>
    </fill>
    <fill>
      <patternFill patternType="solid">
        <fgColor rgb="FF0F9ED5"/>
        <bgColor rgb="FF0F9ED5"/>
      </patternFill>
    </fill>
    <fill>
      <patternFill patternType="solid">
        <fgColor rgb="FF0F2841"/>
        <bgColor rgb="FF0F2841"/>
      </patternFill>
    </fill>
    <fill>
      <patternFill patternType="solid">
        <fgColor rgb="FFC00000"/>
        <bgColor rgb="FFC00000"/>
      </patternFill>
    </fill>
    <fill>
      <patternFill patternType="solid">
        <fgColor theme="9"/>
        <bgColor indexed="64"/>
      </patternFill>
    </fill>
  </fills>
  <borders count="1">
    <border>
      <left/>
      <right/>
      <top/>
      <bottom/>
      <diagonal/>
    </border>
  </borders>
  <cellStyleXfs count="1">
    <xf numFmtId="0" fontId="0" fillId="0" borderId="0"/>
  </cellStyleXfs>
  <cellXfs count="31">
    <xf numFmtId="0" fontId="0" fillId="0" borderId="0" xfId="0"/>
    <xf numFmtId="0" fontId="1" fillId="9" borderId="0" xfId="0" applyFont="1" applyFill="1" applyAlignment="1">
      <alignment horizontal="left" vertical="top"/>
    </xf>
    <xf numFmtId="0" fontId="3" fillId="0" borderId="0" xfId="0" applyFont="1" applyAlignment="1">
      <alignment vertical="top"/>
    </xf>
    <xf numFmtId="0" fontId="3" fillId="0" borderId="0" xfId="0" applyFont="1" applyAlignment="1">
      <alignment horizontal="center" vertical="top"/>
    </xf>
    <xf numFmtId="0" fontId="2" fillId="2" borderId="0" xfId="0" applyFont="1" applyFill="1" applyAlignment="1">
      <alignment horizontal="left" vertical="top"/>
    </xf>
    <xf numFmtId="0" fontId="4" fillId="2" borderId="0" xfId="0" applyFont="1" applyFill="1" applyAlignment="1">
      <alignment horizontal="left" vertical="top"/>
    </xf>
    <xf numFmtId="0" fontId="2" fillId="3" borderId="0" xfId="0" applyFont="1" applyFill="1" applyAlignment="1">
      <alignment horizontal="left" vertical="top"/>
    </xf>
    <xf numFmtId="0" fontId="5" fillId="3" borderId="0" xfId="0" applyFont="1" applyFill="1" applyAlignment="1">
      <alignment horizontal="left" vertical="top"/>
    </xf>
    <xf numFmtId="0" fontId="2" fillId="4" borderId="0" xfId="0" applyFont="1" applyFill="1" applyAlignment="1">
      <alignment horizontal="left" vertical="top"/>
    </xf>
    <xf numFmtId="0" fontId="6" fillId="4" borderId="0" xfId="0" applyFont="1" applyFill="1" applyAlignment="1">
      <alignment horizontal="left" vertical="top"/>
    </xf>
    <xf numFmtId="0" fontId="2" fillId="5" borderId="0" xfId="0" applyFont="1" applyFill="1" applyAlignment="1">
      <alignment horizontal="left" vertical="top"/>
    </xf>
    <xf numFmtId="0" fontId="7" fillId="5" borderId="0" xfId="0" applyFont="1" applyFill="1" applyAlignment="1">
      <alignment horizontal="left" vertical="top"/>
    </xf>
    <xf numFmtId="0" fontId="2" fillId="6" borderId="0" xfId="0" applyFont="1" applyFill="1" applyAlignment="1">
      <alignment horizontal="left" vertical="top"/>
    </xf>
    <xf numFmtId="0" fontId="8" fillId="6" borderId="0" xfId="0" applyFont="1" applyFill="1" applyAlignment="1">
      <alignment horizontal="left" vertical="top"/>
    </xf>
    <xf numFmtId="0" fontId="2" fillId="7" borderId="0" xfId="0" applyFont="1" applyFill="1" applyAlignment="1">
      <alignment horizontal="left" vertical="top"/>
    </xf>
    <xf numFmtId="0" fontId="9" fillId="7" borderId="0" xfId="0" applyFont="1" applyFill="1" applyAlignment="1">
      <alignment horizontal="left" vertical="top"/>
    </xf>
    <xf numFmtId="0" fontId="2" fillId="8" borderId="0" xfId="0" applyFont="1" applyFill="1" applyAlignment="1">
      <alignment horizontal="left" vertical="top"/>
    </xf>
    <xf numFmtId="0" fontId="10" fillId="8" borderId="0" xfId="0" applyFont="1" applyFill="1" applyAlignment="1">
      <alignment horizontal="left" vertical="top"/>
    </xf>
    <xf numFmtId="0" fontId="3" fillId="0" borderId="0" xfId="0" applyFont="1" applyAlignment="1">
      <alignment horizontal="left" vertical="top"/>
    </xf>
    <xf numFmtId="0" fontId="1" fillId="9" borderId="0" xfId="0" applyFont="1" applyFill="1" applyAlignment="1">
      <alignment vertical="top"/>
    </xf>
    <xf numFmtId="0" fontId="11" fillId="9" borderId="0" xfId="0" applyFont="1" applyFill="1" applyAlignment="1">
      <alignment horizontal="left" vertical="top"/>
    </xf>
    <xf numFmtId="0" fontId="1" fillId="9" borderId="0" xfId="0" applyFont="1" applyFill="1" applyAlignment="1">
      <alignment horizontal="center" vertical="top"/>
    </xf>
    <xf numFmtId="0" fontId="2" fillId="6" borderId="0" xfId="0" applyFont="1" applyFill="1" applyAlignment="1">
      <alignment horizontal="center" vertical="top"/>
    </xf>
    <xf numFmtId="0" fontId="3" fillId="0" borderId="0" xfId="0" applyFont="1" applyAlignment="1">
      <alignment vertical="top"/>
    </xf>
    <xf numFmtId="0" fontId="2" fillId="5" borderId="0" xfId="0" applyFont="1" applyFill="1" applyAlignment="1">
      <alignment horizontal="center" vertical="top"/>
    </xf>
    <xf numFmtId="0" fontId="2" fillId="4" borderId="0" xfId="0" applyFont="1" applyFill="1" applyAlignment="1">
      <alignment horizontal="center" vertical="top"/>
    </xf>
    <xf numFmtId="0" fontId="2" fillId="2" borderId="0" xfId="0" applyFont="1" applyFill="1" applyAlignment="1">
      <alignment horizontal="center" vertical="top"/>
    </xf>
    <xf numFmtId="0" fontId="2" fillId="8" borderId="0" xfId="0" applyFont="1" applyFill="1" applyAlignment="1">
      <alignment horizontal="center" vertical="top"/>
    </xf>
    <xf numFmtId="0" fontId="2" fillId="3" borderId="0" xfId="0" applyFont="1" applyFill="1" applyAlignment="1">
      <alignment horizontal="center" vertical="top"/>
    </xf>
    <xf numFmtId="0" fontId="2" fillId="7" borderId="0" xfId="0" applyFont="1" applyFill="1" applyAlignment="1">
      <alignment horizontal="center" vertical="top"/>
    </xf>
    <xf numFmtId="0" fontId="3" fillId="0" borderId="0" xfId="0" applyFont="1" applyAlignment="1">
      <alignment horizontal="center" vertical="top"/>
    </xf>
  </cellXfs>
  <cellStyles count="1">
    <cellStyle name="Normal" xfId="0" builtinId="0"/>
  </cellStyles>
  <dxfs count="43">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horizontal="center" vertical="top" textRotation="0" wrapText="0" indent="0" justifyLastLine="0" shrinkToFit="0" readingOrder="0"/>
    </dxf>
    <dxf>
      <font>
        <strike val="0"/>
        <outline val="0"/>
        <shadow val="0"/>
        <u val="none"/>
        <vertAlign val="baseline"/>
        <sz val="12"/>
        <name val="Avenir Book"/>
        <family val="2"/>
        <scheme val="none"/>
      </font>
      <numFmt numFmtId="0" formatCode="General"/>
      <alignment horizontal="general"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b val="0"/>
        <i val="0"/>
        <strike val="0"/>
        <condense val="0"/>
        <extend val="0"/>
        <outline val="0"/>
        <shadow val="0"/>
        <u val="none"/>
        <vertAlign val="baseline"/>
        <sz val="12"/>
        <color theme="1"/>
        <name val="Avenir Book"/>
        <family val="2"/>
        <scheme val="none"/>
      </font>
      <numFmt numFmtId="0" formatCode="General"/>
      <alignment horizontal="general"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horizontal="center" vertical="top" textRotation="0" wrapText="0" indent="0" justifyLastLine="0" shrinkToFit="0" readingOrder="0"/>
    </dxf>
    <dxf>
      <font>
        <strike val="0"/>
        <outline val="0"/>
        <shadow val="0"/>
        <u val="none"/>
        <vertAlign val="baseline"/>
        <sz val="12"/>
        <name val="Avenir Book"/>
        <family val="2"/>
        <scheme val="none"/>
      </font>
      <alignment horizontal="center" vertical="top" textRotation="0" wrapText="0" indent="0" justifyLastLine="0" shrinkToFit="0" readingOrder="0"/>
    </dxf>
    <dxf>
      <font>
        <strike val="0"/>
        <outline val="0"/>
        <shadow val="0"/>
        <u val="none"/>
        <vertAlign val="baseline"/>
        <sz val="12"/>
        <name val="Avenir Book"/>
        <family val="2"/>
        <scheme val="none"/>
      </font>
      <numFmt numFmtId="0" formatCode="General"/>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horizontal="general"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ericpronovost/Doppio/MappingGuides/mapping/processed/HerffJones_CUSTOMER_20251205.xlsx" TargetMode="External"/><Relationship Id="rId1" Type="http://schemas.openxmlformats.org/officeDocument/2006/relationships/externalLinkPath" Target="/Users/ericpronovost/Doppio/MappingGuides/mapping/processed/HerffJones_CUSTOMER_20251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quirrel SQL Export 1"/>
      <sheetName val="Payment Terms"/>
      <sheetName val="Cash Disount Terms"/>
      <sheetName val="Sheet1"/>
      <sheetName val="PIVOT - ADAM"/>
    </sheetNames>
    <sheetDataSet>
      <sheetData sheetId="0"/>
      <sheetData sheetId="1">
        <row r="1">
          <cell r="AE1" t="str">
            <v>Infoverity</v>
          </cell>
        </row>
        <row r="2">
          <cell r="C2" t="str">
            <v>ColumnName (MDM)</v>
          </cell>
          <cell r="D2" t="str">
            <v>Description (MDM)</v>
          </cell>
          <cell r="E2" t="str">
            <v>DataType</v>
          </cell>
          <cell r="F2" t="str">
            <v>Length</v>
          </cell>
          <cell r="Y2" t="str">
            <v>Doppio Notes2</v>
          </cell>
          <cell r="Z2" t="str">
            <v>DG_required</v>
          </cell>
          <cell r="AC2" t="str">
            <v>Example Value</v>
          </cell>
          <cell r="AE2" t="str">
            <v>MDM Comments</v>
          </cell>
          <cell r="AF2" t="str">
            <v>Exists In Syndigo?</v>
          </cell>
          <cell r="AG2" t="str">
            <v>Syndigo Name</v>
          </cell>
        </row>
        <row r="3">
          <cell r="C3" t="str">
            <v/>
          </cell>
          <cell r="D3" t="str">
            <v>Customer template</v>
          </cell>
          <cell r="E3" t="str">
            <v>String</v>
          </cell>
          <cell r="F3" t="str">
            <v>10</v>
          </cell>
          <cell r="Y3" t="str">
            <v xml:space="preserve">We will create one/more template customers in M3 depending upon requirements. For every new customer that is created, either MDM needs to specify which template customer to use for the new customer, or there need to be a logic in the interface choosing the right template to be used when new customers are created.
Possible templates:
1. ISP US
2. ISP Canada
3. Regular customers US
4. Regular customers Canada
5. Payer US
6. Payer Canada
</v>
          </cell>
          <cell r="Z3" t="str">
            <v>yes</v>
          </cell>
          <cell r="AC3" t="str">
            <v/>
          </cell>
          <cell r="AE3" t="str">
            <v>M3 Only</v>
          </cell>
          <cell r="AF3" t="str">
            <v>No</v>
          </cell>
        </row>
        <row r="4">
          <cell r="C4" t="str">
            <v>OKCONO</v>
          </cell>
          <cell r="D4" t="str">
            <v>Company</v>
          </cell>
          <cell r="E4" t="str">
            <v>Decimal</v>
          </cell>
          <cell r="F4" t="str">
            <v>3</v>
          </cell>
          <cell r="Y4" t="str">
            <v>Field is not maintained. CONO auto populated based upon the system set up</v>
          </cell>
          <cell r="Z4" t="str">
            <v>yes</v>
          </cell>
        </row>
        <row r="5">
          <cell r="C5" t="str">
            <v>OKDIVI</v>
          </cell>
          <cell r="D5" t="str">
            <v>Division</v>
          </cell>
          <cell r="E5" t="str">
            <v>String</v>
          </cell>
          <cell r="F5" t="str">
            <v>3</v>
          </cell>
          <cell r="Y5" t="str">
            <v>Field not used - Always blank (Customer Master is global)</v>
          </cell>
          <cell r="Z5" t="str">
            <v>yes</v>
          </cell>
        </row>
        <row r="6">
          <cell r="C6" t="str">
            <v>OKSTAT</v>
          </cell>
          <cell r="D6" t="str">
            <v>Status</v>
          </cell>
          <cell r="E6" t="str">
            <v>String</v>
          </cell>
          <cell r="F6" t="str">
            <v>2</v>
          </cell>
          <cell r="Y6" t="str">
            <v>Template customer should have status 10. New customers inherit status from template. Once activated in M3 status will be 20 - and the activation needs to be transferred to MDM. Customers that expire should get status 90. Only customers in status 20 can place orders. (When a new customer is created it can get sts 12 which indicates that something is wrong - an invalid value was most likely used during creation)</v>
          </cell>
          <cell r="Z6" t="str">
            <v>yes</v>
          </cell>
          <cell r="AC6" t="str">
            <v>20</v>
          </cell>
          <cell r="AE6" t="str">
            <v>Will exist in both Syndigo &amp; M3</v>
          </cell>
          <cell r="AF6" t="str">
            <v>Yes</v>
          </cell>
          <cell r="AG6" t="str">
            <v>Status</v>
          </cell>
        </row>
        <row r="7">
          <cell r="C7" t="str">
            <v>OKCUNO</v>
          </cell>
          <cell r="D7" t="str">
            <v>Customer</v>
          </cell>
          <cell r="E7" t="str">
            <v>String</v>
          </cell>
          <cell r="F7" t="str">
            <v>10</v>
          </cell>
          <cell r="Y7" t="str">
            <v>This is the customer number</v>
          </cell>
          <cell r="Z7" t="str">
            <v>yes</v>
          </cell>
          <cell r="AC7" t="str">
            <v>A000000001</v>
          </cell>
          <cell r="AE7" t="str">
            <v>Will exist in both Syndigo &amp; M3</v>
          </cell>
          <cell r="AF7" t="str">
            <v>Yes</v>
          </cell>
          <cell r="AG7" t="str">
            <v>ID</v>
          </cell>
        </row>
        <row r="8">
          <cell r="C8" t="str">
            <v>OKCUCL</v>
          </cell>
          <cell r="D8" t="str">
            <v>Customer group</v>
          </cell>
          <cell r="E8" t="str">
            <v>String</v>
          </cell>
          <cell r="F8" t="str">
            <v>3</v>
          </cell>
          <cell r="Y8" t="str">
            <v>This is needed. Doppio to define all customer groups in discussion with business.
Doppio to discuss with business and define all customer groups, and share list with MDM
We might set up customer groups for College vs Scholastic vs Commercial vs ISP/Sales Office vs Others for ex</v>
          </cell>
          <cell r="Z8" t="str">
            <v>yes</v>
          </cell>
          <cell r="AC8" t="str">
            <v>ZZZ</v>
          </cell>
          <cell r="AE8" t="str">
            <v>Need to confirm but we currently dont have Customer Group</v>
          </cell>
          <cell r="AF8" t="str">
            <v>No</v>
          </cell>
        </row>
        <row r="9">
          <cell r="C9" t="str">
            <v>OKCUTP</v>
          </cell>
          <cell r="D9" t="str">
            <v>Customer type</v>
          </cell>
          <cell r="E9" t="str">
            <v>Decimal</v>
          </cell>
          <cell r="F9" t="str">
            <v>1</v>
          </cell>
          <cell r="Y9" t="str">
            <v>Yes</v>
          </cell>
          <cell r="Z9" t="str">
            <v>yes</v>
          </cell>
          <cell r="AE9" t="str">
            <v>Will exist in both Syndigo &amp; M3</v>
          </cell>
          <cell r="AF9" t="str">
            <v>Yes</v>
          </cell>
          <cell r="AG9" t="str">
            <v>Type</v>
          </cell>
        </row>
        <row r="10">
          <cell r="C10" t="str">
            <v>OKALCU</v>
          </cell>
          <cell r="D10" t="str">
            <v>Search key</v>
          </cell>
          <cell r="E10" t="str">
            <v>String</v>
          </cell>
          <cell r="F10" t="str">
            <v>10</v>
          </cell>
          <cell r="Y10" t="str">
            <v xml:space="preserve">If it's not populated by value from MDM, M3 will add values automatically. (Normally the first 10 char from customer name in capitals) Nowadays you use enterprise search to find your customers so the field is not important.
01/05: Since, we can sort by any field, so this field doesn't look relevant anymore. So, we are ok to drop it for now unless MDM team identifies some field which should be mapped against it. </v>
          </cell>
          <cell r="Z10" t="str">
            <v>no</v>
          </cell>
          <cell r="AC10" t="str">
            <v>DOMESTIC</v>
          </cell>
          <cell r="AE10" t="str">
            <v>There is not currently a field in MDM, we can consider adding later if this will be leveraged by downstream teams but will hold off on adding at this time.</v>
          </cell>
          <cell r="AF10" t="str">
            <v>No</v>
          </cell>
        </row>
        <row r="11">
          <cell r="C11" t="str">
            <v>OKCUNM</v>
          </cell>
          <cell r="D11" t="str">
            <v>Name</v>
          </cell>
          <cell r="E11" t="str">
            <v>String</v>
          </cell>
          <cell r="F11" t="str">
            <v>36</v>
          </cell>
          <cell r="Y11" t="str">
            <v>This is self explanatory</v>
          </cell>
          <cell r="Z11" t="str">
            <v>yes</v>
          </cell>
          <cell r="AC11" t="str">
            <v>WINCHESTER PUBLIC SCHOOLS</v>
          </cell>
          <cell r="AE11" t="str">
            <v>Need to determine whether Legal or Public name is preferred.</v>
          </cell>
          <cell r="AF11" t="str">
            <v>Yes</v>
          </cell>
          <cell r="AG11" t="str">
            <v>Legal Name / Public Name</v>
          </cell>
        </row>
        <row r="12">
          <cell r="C12" t="str">
            <v>OKCUA1</v>
          </cell>
          <cell r="D12" t="str">
            <v>Address line 1</v>
          </cell>
          <cell r="E12" t="str">
            <v>String</v>
          </cell>
          <cell r="F12" t="str">
            <v>36</v>
          </cell>
          <cell r="Y12" t="str">
            <v>This is self explanatory</v>
          </cell>
          <cell r="Z12" t="str">
            <v>yes</v>
          </cell>
          <cell r="AC12" t="str">
            <v>12 N WASHINGTON ST</v>
          </cell>
          <cell r="AE12" t="str">
            <v>Need to confirm which Address fields this appies we have a  Mail, Bill and Ship To</v>
          </cell>
          <cell r="AF12" t="str">
            <v>Yes</v>
          </cell>
        </row>
        <row r="13">
          <cell r="C13" t="str">
            <v>OKCUA2</v>
          </cell>
          <cell r="D13" t="str">
            <v>Address line 2</v>
          </cell>
          <cell r="E13" t="str">
            <v>String</v>
          </cell>
          <cell r="F13" t="str">
            <v>36</v>
          </cell>
          <cell r="Y13" t="str">
            <v>This is self explanatory</v>
          </cell>
          <cell r="Z13" t="str">
            <v>yes</v>
          </cell>
          <cell r="AE13" t="str">
            <v>Need to confirm which Address fields this appies we have a  Mail, Bill and Ship To</v>
          </cell>
          <cell r="AF13" t="str">
            <v>Yes</v>
          </cell>
        </row>
        <row r="14">
          <cell r="C14" t="str">
            <v>OKCUA3</v>
          </cell>
          <cell r="D14" t="str">
            <v>Address line 3</v>
          </cell>
          <cell r="E14" t="str">
            <v>String</v>
          </cell>
          <cell r="F14" t="str">
            <v>36</v>
          </cell>
          <cell r="Y14" t="str">
            <v>Depending on the address formating rule in M3 (CRS117) - If auto formatted you can't populate it manually.</v>
          </cell>
          <cell r="Z14" t="str">
            <v>no</v>
          </cell>
          <cell r="AC14" t="str">
            <v>WINCHESTER VA 22601</v>
          </cell>
          <cell r="AE14" t="str">
            <v>Need to confirm which Address fields this appies we have a  Mail, Bill and Ship To</v>
          </cell>
          <cell r="AF14" t="str">
            <v>Yes</v>
          </cell>
        </row>
        <row r="15">
          <cell r="C15" t="str">
            <v>OKCUA4</v>
          </cell>
          <cell r="D15" t="str">
            <v>Address line 4</v>
          </cell>
          <cell r="E15" t="str">
            <v>String</v>
          </cell>
          <cell r="F15" t="str">
            <v>36</v>
          </cell>
          <cell r="Y15" t="str">
            <v>Depending on the address formating rule in M3 (CRS117) - If auto formatted you can't populate it manually.</v>
          </cell>
          <cell r="Z15" t="str">
            <v>no</v>
          </cell>
          <cell r="AC15" t="str">
            <v>United States</v>
          </cell>
          <cell r="AE15" t="str">
            <v>Need to confirm which Address fields this appies we have a  Mail, Bill and Ship To</v>
          </cell>
          <cell r="AF15" t="str">
            <v>Yes</v>
          </cell>
        </row>
        <row r="16">
          <cell r="C16" t="str">
            <v>OKADID</v>
          </cell>
          <cell r="D16" t="str">
            <v>Address number</v>
          </cell>
          <cell r="E16" t="str">
            <v>String</v>
          </cell>
          <cell r="F16" t="str">
            <v>6</v>
          </cell>
          <cell r="Y16" t="str">
            <v>Will be set as blank. Delivery address will be specified during CO creation. (If a default delivery address must be specified this field needs to be updated after address creation)</v>
          </cell>
          <cell r="Z16" t="str">
            <v>no</v>
          </cell>
        </row>
        <row r="17">
          <cell r="C17" t="str">
            <v>OKADBO</v>
          </cell>
          <cell r="D17" t="str">
            <v>Separate invoices</v>
          </cell>
          <cell r="E17" t="str">
            <v>Decimal</v>
          </cell>
          <cell r="F17" t="str">
            <v>1</v>
          </cell>
          <cell r="Y17" t="str">
            <v>This is self explanatory</v>
          </cell>
          <cell r="Z17" t="str">
            <v>yes</v>
          </cell>
          <cell r="AE17" t="str">
            <v>There is not currently a field in MDM will need to discuss with Business</v>
          </cell>
          <cell r="AF17" t="str">
            <v>No</v>
          </cell>
        </row>
        <row r="18">
          <cell r="C18" t="str">
            <v>OKPHNO</v>
          </cell>
          <cell r="D18" t="str">
            <v>Telephone number 1</v>
          </cell>
          <cell r="E18" t="str">
            <v>String</v>
          </cell>
          <cell r="F18" t="str">
            <v>16</v>
          </cell>
          <cell r="Y18" t="str">
            <v>If info needed in M3 it should be maintained in MDM</v>
          </cell>
          <cell r="Z18" t="str">
            <v>yes</v>
          </cell>
          <cell r="AF18" t="str">
            <v>Yes</v>
          </cell>
          <cell r="AG18" t="str">
            <v>MDR NUMBER</v>
          </cell>
        </row>
        <row r="19">
          <cell r="C19" t="str">
            <v>OKPHN2</v>
          </cell>
          <cell r="D19" t="str">
            <v>Telephone number 2</v>
          </cell>
          <cell r="E19" t="str">
            <v>String</v>
          </cell>
          <cell r="F19" t="str">
            <v>16</v>
          </cell>
          <cell r="Y19" t="str">
            <v>If info needed in M3 it should be maintained in MDM</v>
          </cell>
          <cell r="Z19" t="str">
            <v>yes</v>
          </cell>
          <cell r="AE19" t="str">
            <v>There is not currently a field in MDM, we can consider adding later if this will be leveraged by downstream teams but will hold off on adding at this time.</v>
          </cell>
          <cell r="AF19" t="str">
            <v>No</v>
          </cell>
        </row>
        <row r="20">
          <cell r="C20" t="str">
            <v>OKTFNO</v>
          </cell>
          <cell r="D20" t="str">
            <v>Facsimile transmission number</v>
          </cell>
          <cell r="E20" t="str">
            <v>String</v>
          </cell>
          <cell r="F20" t="str">
            <v>16</v>
          </cell>
          <cell r="Y20" t="str">
            <v>If info needed in M3 it should be maintained in MDM</v>
          </cell>
          <cell r="Z20" t="str">
            <v>yes</v>
          </cell>
          <cell r="AE20" t="str">
            <v>There is a field in CCM Data but not currenlty in MDM we will need to discuss if we need to add</v>
          </cell>
          <cell r="AF20" t="str">
            <v>No</v>
          </cell>
        </row>
        <row r="21">
          <cell r="C21" t="str">
            <v>OKCORG</v>
          </cell>
          <cell r="D21" t="str">
            <v>Organization number 1</v>
          </cell>
          <cell r="E21" t="str">
            <v>String</v>
          </cell>
          <cell r="F21" t="str">
            <v>11</v>
          </cell>
          <cell r="Y21" t="str">
            <v>CORG (Organization number 1) stores the primary legal entity registration number of a customer/supplier, as defined by the country’s company registry, and is used by Localization Services for banking and electronic invoicing identifiers (including EndPointID where applicable).
CORG is not used in US or Canada because these countries do not mandate a standardized legal organization registry number for invoicing or banking; therefore CORG/COR2 are typically left blank in M3.
Confirmed by Dee over email, this is not needed</v>
          </cell>
          <cell r="Z21" t="str">
            <v>no</v>
          </cell>
          <cell r="AE21" t="str">
            <v>There is not currently a field in MDM at the Organization level</v>
          </cell>
          <cell r="AF21" t="str">
            <v>No</v>
          </cell>
        </row>
        <row r="22">
          <cell r="C22" t="str">
            <v>OKCOR2</v>
          </cell>
          <cell r="D22" t="str">
            <v>Organization number 2</v>
          </cell>
          <cell r="E22" t="str">
            <v>String</v>
          </cell>
          <cell r="F22" t="str">
            <v>11</v>
          </cell>
          <cell r="Y22" t="str">
            <v>COR2 (Secondary Organization number) stores the secondary legal entity registration number of a customer/supplier, as defined by the country’s company registry, and is used by Localization Services for banking and electronic invoicing identifiers (including EndPointID where applicable).
COR2 is not used in US or Canada because these countries do not mandate a standardized legal organization registry number for invoicing or banking; therefore CORG/COR2 are typically left blank in M3.
Confirmed by Dee over email, this is not needed</v>
          </cell>
          <cell r="Z22" t="str">
            <v>no</v>
          </cell>
          <cell r="AE22" t="str">
            <v>There is not currently a field in MDM at the Organization level</v>
          </cell>
          <cell r="AF22" t="str">
            <v>No</v>
          </cell>
        </row>
        <row r="23">
          <cell r="C23" t="str">
            <v>OKYREF</v>
          </cell>
          <cell r="D23" t="str">
            <v>Your reference 1</v>
          </cell>
          <cell r="E23" t="str">
            <v>String</v>
          </cell>
          <cell r="F23" t="str">
            <v>30</v>
          </cell>
          <cell r="Y23" t="str">
            <v>The field indicates the customer's contact person.
Generally left blank, and used as a free field for saving some other info</v>
          </cell>
          <cell r="Z23" t="str">
            <v>tbd</v>
          </cell>
          <cell r="AE23" t="str">
            <v>There is not currently a field in MDM at the Organization level</v>
          </cell>
          <cell r="AF23" t="str">
            <v>No</v>
          </cell>
        </row>
        <row r="24">
          <cell r="C24" t="str">
            <v>OKYRE2</v>
          </cell>
          <cell r="D24" t="str">
            <v>Your reference 2</v>
          </cell>
          <cell r="E24" t="str">
            <v>String</v>
          </cell>
          <cell r="F24" t="str">
            <v>30</v>
          </cell>
          <cell r="Y24" t="str">
            <v>The field indicates the customer's contact person.
Generally left blank, and used as a free field for saving some other info</v>
          </cell>
          <cell r="Z24" t="str">
            <v>tbd</v>
          </cell>
          <cell r="AE24" t="str">
            <v>There is not currently a field in MDM at the Organization level</v>
          </cell>
          <cell r="AF24" t="str">
            <v>No</v>
          </cell>
        </row>
        <row r="25">
          <cell r="C25" t="str">
            <v>OKOREF</v>
          </cell>
          <cell r="D25" t="str">
            <v>Our reference</v>
          </cell>
          <cell r="E25" t="str">
            <v>String</v>
          </cell>
          <cell r="F25" t="str">
            <v>30</v>
          </cell>
          <cell r="Y25" t="str">
            <v>The field indicates the person who the customer or supplier may contact regarding customer/purchase orders.
Generally left blank, and used as a free field for saving some other info</v>
          </cell>
          <cell r="Z25" t="str">
            <v>tbd</v>
          </cell>
          <cell r="AE25" t="str">
            <v>There is not currently a field in MDM at the Organization level</v>
          </cell>
          <cell r="AF25" t="str">
            <v>No</v>
          </cell>
        </row>
        <row r="26">
          <cell r="C26" t="str">
            <v>OKCUSU</v>
          </cell>
          <cell r="D26" t="str">
            <v>Our supplier number at customer</v>
          </cell>
          <cell r="E26" t="str">
            <v>String</v>
          </cell>
          <cell r="F26" t="str">
            <v>10</v>
          </cell>
          <cell r="Y26" t="str">
            <v xml:space="preserve">Customer-assigned supplier numbers are often used in financial documents
Customers often require their own supplier number to appear on:
Invoices
Statements
Remittance advice
EDI invoices (e.g., 810)
Audit or compliance documents
So the review question is:
Does Herff Jones’ customer expect to see their supplier number on financial documents?
</v>
          </cell>
          <cell r="Z26" t="str">
            <v>no</v>
          </cell>
          <cell r="AE26" t="str">
            <v>There is not currently a field in MDM at the Organization level</v>
          </cell>
          <cell r="AF26" t="str">
            <v>No</v>
          </cell>
        </row>
        <row r="27">
          <cell r="C27" t="str">
            <v>OKEXCD</v>
          </cell>
          <cell r="D27" t="str">
            <v>Service charge</v>
          </cell>
          <cell r="E27" t="str">
            <v>String</v>
          </cell>
          <cell r="F27" t="str">
            <v>2</v>
          </cell>
          <cell r="Y27" t="str">
            <v>In Customer master this is a two-digit code specifying which service charge "model" in M3 that should be applied. Works as this: If order value is under a certain limit a specific charge amount will be applied.
Service charge also be specified during order entry - so CPQ might own this function.</v>
          </cell>
          <cell r="Z27" t="str">
            <v>no</v>
          </cell>
        </row>
        <row r="28">
          <cell r="C28" t="str">
            <v>OKTEPY</v>
          </cell>
          <cell r="D28" t="str">
            <v>Payment terms</v>
          </cell>
          <cell r="E28" t="str">
            <v>String</v>
          </cell>
          <cell r="F28" t="str">
            <v>3</v>
          </cell>
          <cell r="Y28" t="str">
            <v>Normally dynamic, and should be maintained in MDM</v>
          </cell>
          <cell r="Z28" t="str">
            <v>yes</v>
          </cell>
          <cell r="AC28" t="str">
            <v>N30</v>
          </cell>
          <cell r="AE28" t="str">
            <v>This the field that we have the most questions about if it does not change can this be handled in the Template, if it is needed to be updated or seen then we can include in MDM.</v>
          </cell>
          <cell r="AF28" t="str">
            <v>No</v>
          </cell>
        </row>
        <row r="29">
          <cell r="C29" t="str">
            <v>OKOT75</v>
          </cell>
          <cell r="D29" t="str">
            <v>Self invoicing</v>
          </cell>
          <cell r="E29" t="str">
            <v>Decimal</v>
          </cell>
          <cell r="F29" t="str">
            <v>1</v>
          </cell>
          <cell r="Y29" t="str">
            <v>Not used</v>
          </cell>
          <cell r="Z29" t="str">
            <v>no</v>
          </cell>
        </row>
        <row r="30">
          <cell r="C30" t="str">
            <v>OKTECD</v>
          </cell>
          <cell r="D30" t="str">
            <v>Cash discount term</v>
          </cell>
          <cell r="E30" t="str">
            <v>String</v>
          </cell>
          <cell r="F30" t="str">
            <v>3</v>
          </cell>
          <cell r="Y30" t="str">
            <v>Only used if "Cash discount" has been agreed with customer.
Ex:
Pay within 10 days → 3% discount
Pay within 20 days → 2% discount
Pay within 30 days → 1% discount
Up to 5 days late may still be accepted for discount calculation
As discussed with Dee/Angie on 01/07, this is not needed</v>
          </cell>
          <cell r="Z30" t="str">
            <v>no</v>
          </cell>
          <cell r="AE30" t="str">
            <v>There is not currently a field in MDM at the Organization level</v>
          </cell>
          <cell r="AF30" t="str">
            <v>No</v>
          </cell>
        </row>
        <row r="31">
          <cell r="C31" t="str">
            <v>OKTEDL</v>
          </cell>
          <cell r="D31" t="str">
            <v>Delivery terms</v>
          </cell>
          <cell r="E31" t="str">
            <v>String</v>
          </cell>
          <cell r="F31" t="str">
            <v>3</v>
          </cell>
          <cell r="Y31" t="str">
            <v>Normally dynamic, and should be maintained in MDM</v>
          </cell>
          <cell r="Z31" t="str">
            <v>yes</v>
          </cell>
          <cell r="AC31" t="str">
            <v>CIF</v>
          </cell>
          <cell r="AE31" t="str">
            <v>This the field that we have the most questions about if it does not change can this be handled in the Template, if it is needed to be updated or seen then we can include in MDM.</v>
          </cell>
          <cell r="AF31" t="str">
            <v>No</v>
          </cell>
        </row>
        <row r="32">
          <cell r="C32" t="str">
            <v>OKMODL</v>
          </cell>
          <cell r="D32" t="str">
            <v>Delivery method</v>
          </cell>
          <cell r="E32" t="str">
            <v>String</v>
          </cell>
          <cell r="F32" t="str">
            <v>3</v>
          </cell>
          <cell r="Y32" t="str">
            <v>Normally dynamic, and should be maintained in MDM</v>
          </cell>
          <cell r="Z32" t="str">
            <v>no</v>
          </cell>
          <cell r="AC32" t="str">
            <v>3</v>
          </cell>
          <cell r="AE32" t="str">
            <v>This the field that we have the most questions about if it does not change can this be handled in the Template, if it is needed to be updated or seen then we can include in MDM.</v>
          </cell>
          <cell r="AF32" t="str">
            <v>No</v>
          </cell>
        </row>
        <row r="33">
          <cell r="C33" t="str">
            <v>OKSMCD</v>
          </cell>
          <cell r="D33" t="str">
            <v>Salesperson</v>
          </cell>
          <cell r="E33" t="str">
            <v>String</v>
          </cell>
          <cell r="F33" t="str">
            <v>10</v>
          </cell>
          <cell r="Y33" t="str">
            <v>Sales person must be defined in M3 as a user, and can be connected to a sales department in M3</v>
          </cell>
          <cell r="Z33" t="str">
            <v>yes</v>
          </cell>
          <cell r="AE33" t="str">
            <v>Will need to discuss, we have Sales Person as a Relationship. Need to confirm if this is the same attribute</v>
          </cell>
          <cell r="AF33" t="str">
            <v>Yes</v>
          </cell>
        </row>
        <row r="34">
          <cell r="C34" t="str">
            <v>OKRESP</v>
          </cell>
          <cell r="D34" t="str">
            <v>Responsible</v>
          </cell>
          <cell r="E34" t="str">
            <v>String</v>
          </cell>
          <cell r="F34" t="str">
            <v>10</v>
          </cell>
          <cell r="Y34" t="str">
            <v>Static or dynamic value?
If dynamic it should be maintained in MDM.</v>
          </cell>
          <cell r="Z34" t="str">
            <v>yes</v>
          </cell>
          <cell r="AC34" t="str">
            <v>DISADMIN</v>
          </cell>
          <cell r="AE34" t="str">
            <v>Will need to validate what values are needed for Responsible this might be added to the template.</v>
          </cell>
          <cell r="AF34" t="str">
            <v>No</v>
          </cell>
        </row>
        <row r="35">
          <cell r="C35" t="str">
            <v>OKRONO</v>
          </cell>
          <cell r="D35" t="str">
            <v>Run</v>
          </cell>
          <cell r="E35" t="str">
            <v>String</v>
          </cell>
          <cell r="F35" t="str">
            <v>3</v>
          </cell>
          <cell r="Y35" t="str">
            <v>Not used (Relates to old functionality in M3)</v>
          </cell>
          <cell r="Z35" t="str">
            <v>no</v>
          </cell>
        </row>
        <row r="36">
          <cell r="C36" t="str">
            <v>OKDIPC</v>
          </cell>
          <cell r="D36" t="str">
            <v>Discount</v>
          </cell>
          <cell r="E36" t="str">
            <v>Decimal</v>
          </cell>
          <cell r="F36" t="str">
            <v>5</v>
          </cell>
          <cell r="Y36" t="str">
            <v>Not used</v>
          </cell>
          <cell r="Z36" t="str">
            <v>no</v>
          </cell>
        </row>
        <row r="37">
          <cell r="C37" t="str">
            <v>OKDISY</v>
          </cell>
          <cell r="D37" t="str">
            <v>Discount model</v>
          </cell>
          <cell r="E37" t="str">
            <v>String</v>
          </cell>
          <cell r="F37" t="str">
            <v>10</v>
          </cell>
          <cell r="Y37" t="str">
            <v>Define how discounts can be applied on CO
Defined on Template</v>
          </cell>
          <cell r="Z37" t="str">
            <v>no</v>
          </cell>
          <cell r="AC37" t="str">
            <v>Y001</v>
          </cell>
        </row>
        <row r="38">
          <cell r="C38" t="str">
            <v>OKDIGC</v>
          </cell>
          <cell r="D38" t="str">
            <v>Discount group - customer</v>
          </cell>
          <cell r="E38" t="str">
            <v>String</v>
          </cell>
          <cell r="F38" t="str">
            <v>2</v>
          </cell>
          <cell r="Y38" t="str">
            <v>Price and discounts should be calculated in CPQ</v>
          </cell>
          <cell r="Z38" t="str">
            <v>no</v>
          </cell>
        </row>
        <row r="39">
          <cell r="C39" t="str">
            <v>OKVTCD</v>
          </cell>
          <cell r="D39" t="str">
            <v>VAT code</v>
          </cell>
          <cell r="E39" t="str">
            <v>Decimal</v>
          </cell>
          <cell r="F39" t="str">
            <v>2</v>
          </cell>
          <cell r="Y39" t="str">
            <v>VAT not used in US (Default code on template if value needed)</v>
          </cell>
          <cell r="Z39" t="str">
            <v>no</v>
          </cell>
          <cell r="AC39" t="str">
            <v>9</v>
          </cell>
        </row>
        <row r="40">
          <cell r="C40" t="str">
            <v>OKTXAP</v>
          </cell>
          <cell r="D40" t="str">
            <v>Tax applicable</v>
          </cell>
          <cell r="E40" t="str">
            <v>Decimal</v>
          </cell>
          <cell r="F40" t="str">
            <v>1</v>
          </cell>
          <cell r="Y40" t="str">
            <v>Define if sales tax should be added for the customer. The possible options would be 0/1 only though. Option 2 shouldn't be shown.</v>
          </cell>
          <cell r="Z40" t="str">
            <v>yes</v>
          </cell>
          <cell r="AC40" t="str">
            <v>1</v>
          </cell>
          <cell r="AE40" t="str">
            <v>This field seems like it can be handled in the Template, if we need to show or it is needed by downstream applications then we would consider.</v>
          </cell>
          <cell r="AF40" t="str">
            <v>No</v>
          </cell>
        </row>
        <row r="41">
          <cell r="C41" t="str">
            <v>OKCUCD</v>
          </cell>
          <cell r="D41" t="str">
            <v>Currency</v>
          </cell>
          <cell r="E41" t="str">
            <v>String</v>
          </cell>
          <cell r="F41" t="str">
            <v>3</v>
          </cell>
          <cell r="Y41" t="str">
            <v>If more than one currency used, maintain it in MDM.
Send USD/CAD</v>
          </cell>
          <cell r="Z41" t="str">
            <v>yes</v>
          </cell>
          <cell r="AC41" t="str">
            <v>USD</v>
          </cell>
          <cell r="AE41" t="str">
            <v>This field seems like it can be handled in the Template, if we need to show or it is needed by downstream applications then we would consider.</v>
          </cell>
          <cell r="AF41" t="str">
            <v>No</v>
          </cell>
        </row>
        <row r="42">
          <cell r="C42" t="str">
            <v>OKCRTP</v>
          </cell>
          <cell r="D42" t="str">
            <v>Exchange rate type</v>
          </cell>
          <cell r="E42" t="str">
            <v>Decimal</v>
          </cell>
          <cell r="F42" t="str">
            <v>2</v>
          </cell>
          <cell r="Y42" t="str">
            <v>This is needed in M3, but we will set value using template</v>
          </cell>
          <cell r="Z42" t="str">
            <v>no</v>
          </cell>
          <cell r="AC42" t="str">
            <v>1</v>
          </cell>
        </row>
        <row r="43">
          <cell r="C43" t="str">
            <v>OKPLTB</v>
          </cell>
          <cell r="D43" t="str">
            <v>Price list table</v>
          </cell>
          <cell r="E43" t="str">
            <v>String</v>
          </cell>
          <cell r="F43" t="str">
            <v>10</v>
          </cell>
          <cell r="Y43" t="str">
            <v>Price and discounts should be calculated in CPQ</v>
          </cell>
          <cell r="Z43" t="str">
            <v>no</v>
          </cell>
          <cell r="AC43" t="str">
            <v>Z0001</v>
          </cell>
        </row>
        <row r="44">
          <cell r="C44" t="str">
            <v>OKPRVG</v>
          </cell>
          <cell r="D44" t="str">
            <v>Commission group</v>
          </cell>
          <cell r="E44" t="str">
            <v>String</v>
          </cell>
          <cell r="F44" t="str">
            <v>2</v>
          </cell>
          <cell r="Y44" t="str">
            <v>Athar: This is needed in M3, but we will pass default value = BLANK using template.</v>
          </cell>
          <cell r="Z44" t="str">
            <v>no</v>
          </cell>
        </row>
        <row r="45">
          <cell r="C45" t="str">
            <v>OKBREC</v>
          </cell>
          <cell r="D45" t="str">
            <v>Recipient b/c agreement</v>
          </cell>
          <cell r="E45" t="str">
            <v>String</v>
          </cell>
          <cell r="F45" t="str">
            <v>10</v>
          </cell>
          <cell r="Y45" t="str">
            <v>Not used</v>
          </cell>
          <cell r="Z45" t="str">
            <v>no</v>
          </cell>
        </row>
        <row r="46">
          <cell r="C46" t="str">
            <v>OKDTFM</v>
          </cell>
          <cell r="D46" t="str">
            <v>Date format</v>
          </cell>
          <cell r="E46" t="str">
            <v>String</v>
          </cell>
          <cell r="F46" t="str">
            <v>3</v>
          </cell>
          <cell r="Y46" t="str">
            <v>Not used for XML out.</v>
          </cell>
          <cell r="Z46" t="str">
            <v>no</v>
          </cell>
          <cell r="AC46" t="str">
            <v>MDY</v>
          </cell>
        </row>
        <row r="47">
          <cell r="C47" t="str">
            <v>OKEDIT</v>
          </cell>
          <cell r="D47" t="str">
            <v>Date editing</v>
          </cell>
          <cell r="E47" t="str">
            <v>String</v>
          </cell>
          <cell r="F47" t="str">
            <v>1</v>
          </cell>
          <cell r="Y47" t="str">
            <v>Not used for XML out.</v>
          </cell>
          <cell r="Z47" t="str">
            <v>no</v>
          </cell>
          <cell r="AC47" t="str">
            <v>-</v>
          </cell>
        </row>
        <row r="48">
          <cell r="C48" t="str">
            <v>OKORTP</v>
          </cell>
          <cell r="D48" t="str">
            <v>Customer order type</v>
          </cell>
          <cell r="E48" t="str">
            <v>String</v>
          </cell>
          <cell r="F48" t="str">
            <v>3</v>
          </cell>
          <cell r="Y48" t="str">
            <v>Order type specified during CO creation.
Default value can be specified on template (or it can be blank)</v>
          </cell>
          <cell r="Z48" t="str">
            <v>no</v>
          </cell>
          <cell r="AC48" t="str">
            <v>D01</v>
          </cell>
        </row>
        <row r="49">
          <cell r="C49" t="str">
            <v>OKWHLO</v>
          </cell>
          <cell r="D49" t="str">
            <v>Warehouse</v>
          </cell>
          <cell r="E49" t="str">
            <v>String</v>
          </cell>
          <cell r="F49" t="str">
            <v>3</v>
          </cell>
          <cell r="Y49" t="str">
            <v>Warehouse specified during CO creation. By def from source system or via Supply model in M3.
Default value can be specified on template (or it can be blank)</v>
          </cell>
          <cell r="Z49" t="str">
            <v>no</v>
          </cell>
          <cell r="AC49" t="str">
            <v>1</v>
          </cell>
        </row>
        <row r="50">
          <cell r="C50" t="str">
            <v>OKPRIC</v>
          </cell>
          <cell r="D50" t="str">
            <v>Price printout</v>
          </cell>
          <cell r="E50" t="str">
            <v>Decimal</v>
          </cell>
          <cell r="F50" t="str">
            <v>1</v>
          </cell>
          <cell r="Y50" t="str">
            <v>This is needed in M3, but we will set value using template</v>
          </cell>
          <cell r="Z50" t="str">
            <v>no</v>
          </cell>
          <cell r="AC50" t="str">
            <v>1</v>
          </cell>
        </row>
        <row r="51">
          <cell r="C51" t="str">
            <v>OKSDST</v>
          </cell>
          <cell r="D51" t="str">
            <v>District</v>
          </cell>
          <cell r="E51" t="str">
            <v>String</v>
          </cell>
          <cell r="F51" t="str">
            <v>3</v>
          </cell>
          <cell r="Y51" t="str">
            <v>This is self explanatory.
As discussed with Dee/Angie on 01/07, this is not needed</v>
          </cell>
          <cell r="Z51" t="str">
            <v>no</v>
          </cell>
          <cell r="AC51" t="str">
            <v>ZZZ</v>
          </cell>
          <cell r="AE51" t="str">
            <v>This field may be part of MDR Data will need to confirm with Herff</v>
          </cell>
          <cell r="AF51" t="str">
            <v>No</v>
          </cell>
        </row>
        <row r="52">
          <cell r="C52" t="str">
            <v>OKCSCD</v>
          </cell>
          <cell r="D52" t="str">
            <v>Country</v>
          </cell>
          <cell r="E52" t="str">
            <v>String</v>
          </cell>
          <cell r="F52" t="str">
            <v>3</v>
          </cell>
          <cell r="Y52" t="str">
            <v>Two digit code for country.</v>
          </cell>
          <cell r="Z52" t="str">
            <v>yes</v>
          </cell>
          <cell r="AC52" t="str">
            <v>US</v>
          </cell>
          <cell r="AE52" t="str">
            <v>Not a field but we currently assumed this can be defaulted in the Template.</v>
          </cell>
          <cell r="AF52" t="str">
            <v>No</v>
          </cell>
        </row>
        <row r="53">
          <cell r="C53" t="str">
            <v>OKAGNT</v>
          </cell>
          <cell r="D53" t="str">
            <v>Recipient agreement type 1 - commission</v>
          </cell>
          <cell r="E53" t="str">
            <v>String</v>
          </cell>
          <cell r="F53" t="str">
            <v>10</v>
          </cell>
          <cell r="Y53" t="str">
            <v>Not used</v>
          </cell>
          <cell r="Z53" t="str">
            <v>no</v>
          </cell>
        </row>
        <row r="54">
          <cell r="C54" t="str">
            <v>OKAGN2</v>
          </cell>
          <cell r="D54" t="str">
            <v>Recipient agreement type 2 - commission</v>
          </cell>
          <cell r="E54" t="str">
            <v>String</v>
          </cell>
          <cell r="F54" t="str">
            <v>10</v>
          </cell>
          <cell r="Y54" t="str">
            <v>Not used</v>
          </cell>
          <cell r="Z54" t="str">
            <v>no</v>
          </cell>
        </row>
        <row r="55">
          <cell r="C55" t="str">
            <v>OKAGN3</v>
          </cell>
          <cell r="D55" t="str">
            <v>Recipient agreement type 3 - commission</v>
          </cell>
          <cell r="E55" t="str">
            <v>String</v>
          </cell>
          <cell r="F55" t="str">
            <v>10</v>
          </cell>
          <cell r="Y55" t="str">
            <v>Not used</v>
          </cell>
          <cell r="Z55" t="str">
            <v>no</v>
          </cell>
        </row>
        <row r="56">
          <cell r="C56" t="str">
            <v>OKAGN4</v>
          </cell>
          <cell r="D56" t="str">
            <v>Recipient agreement type 4 - commission</v>
          </cell>
          <cell r="E56" t="str">
            <v>String</v>
          </cell>
          <cell r="F56" t="str">
            <v>10</v>
          </cell>
          <cell r="Y56" t="str">
            <v>Not used</v>
          </cell>
          <cell r="Z56" t="str">
            <v>no</v>
          </cell>
        </row>
        <row r="57">
          <cell r="C57" t="str">
            <v>OKAGN5</v>
          </cell>
          <cell r="D57" t="str">
            <v>Recipient agreement type 5 - commission</v>
          </cell>
          <cell r="E57" t="str">
            <v>String</v>
          </cell>
          <cell r="F57" t="str">
            <v>10</v>
          </cell>
          <cell r="Y57" t="str">
            <v>Not used</v>
          </cell>
          <cell r="Z57" t="str">
            <v>no</v>
          </cell>
        </row>
        <row r="58">
          <cell r="C58" t="str">
            <v>OKAGN6</v>
          </cell>
          <cell r="D58" t="str">
            <v>Recipient agreement type 6 - commission</v>
          </cell>
          <cell r="E58" t="str">
            <v>String</v>
          </cell>
          <cell r="F58" t="str">
            <v>10</v>
          </cell>
          <cell r="Y58" t="str">
            <v>Not used</v>
          </cell>
          <cell r="Z58" t="str">
            <v>no</v>
          </cell>
        </row>
        <row r="59">
          <cell r="C59" t="str">
            <v>OKAGN7</v>
          </cell>
          <cell r="D59" t="str">
            <v>Recipient agreement type 7 - commission</v>
          </cell>
          <cell r="E59" t="str">
            <v>String</v>
          </cell>
          <cell r="F59" t="str">
            <v>10</v>
          </cell>
          <cell r="Y59" t="str">
            <v>Not used</v>
          </cell>
          <cell r="Z59" t="str">
            <v>no</v>
          </cell>
        </row>
        <row r="60">
          <cell r="C60" t="str">
            <v>OKINSU</v>
          </cell>
          <cell r="D60" t="str">
            <v>Insurance agent</v>
          </cell>
          <cell r="E60" t="str">
            <v>String</v>
          </cell>
          <cell r="F60" t="str">
            <v>10</v>
          </cell>
          <cell r="Y60" t="str">
            <v>As discussed with Dee/Angie on 01/07, this is not needed</v>
          </cell>
          <cell r="Z60" t="str">
            <v>no</v>
          </cell>
          <cell r="AE60" t="str">
            <v>M3 Only</v>
          </cell>
          <cell r="AF60" t="str">
            <v>No</v>
          </cell>
        </row>
        <row r="61">
          <cell r="C61" t="str">
            <v>OKPYNO</v>
          </cell>
          <cell r="D61" t="str">
            <v>Payer</v>
          </cell>
          <cell r="E61" t="str">
            <v>String</v>
          </cell>
          <cell r="F61" t="str">
            <v>10</v>
          </cell>
          <cell r="Y61" t="str">
            <v>The M3 customer number which act as Payer (Bill to) for the actual customer.
If customer is also the payer this field doesn't need to be populated.</v>
          </cell>
          <cell r="Z61" t="str">
            <v>yes</v>
          </cell>
          <cell r="AE61" t="str">
            <v>No MDM field captured to represent this. Unsure if this is needed in MDM.</v>
          </cell>
          <cell r="AF61" t="str">
            <v>No</v>
          </cell>
        </row>
        <row r="62">
          <cell r="C62" t="str">
            <v>OKCUST</v>
          </cell>
          <cell r="D62" t="str">
            <v>Statistics customer</v>
          </cell>
          <cell r="E62" t="str">
            <v>String</v>
          </cell>
          <cell r="F62" t="str">
            <v>10</v>
          </cell>
          <cell r="Y62" t="str">
            <v>An M3 customer number used for statistic purpose. (Leave blank in M3)</v>
          </cell>
          <cell r="Z62" t="str">
            <v>no</v>
          </cell>
        </row>
        <row r="63">
          <cell r="C63" t="str">
            <v>OKTEPA</v>
          </cell>
          <cell r="D63" t="str">
            <v>Packaging terms</v>
          </cell>
          <cell r="E63" t="str">
            <v>String</v>
          </cell>
          <cell r="F63" t="str">
            <v>3</v>
          </cell>
          <cell r="Y63" t="str">
            <v>Special terms for packing. List of terms can be specified in M3.
This is needed in M3, but we will set value using template</v>
          </cell>
          <cell r="Z63" t="str">
            <v>no</v>
          </cell>
          <cell r="AC63" t="str">
            <v>1</v>
          </cell>
        </row>
        <row r="64">
          <cell r="C64" t="str">
            <v>OKLHCD</v>
          </cell>
          <cell r="D64" t="str">
            <v>Language</v>
          </cell>
          <cell r="E64" t="str">
            <v>String</v>
          </cell>
          <cell r="F64" t="str">
            <v>2</v>
          </cell>
          <cell r="Y64" t="str">
            <v>If only one language should be used, no need to maintain it in MDM. Use default from template (GB).</v>
          </cell>
          <cell r="Z64" t="str">
            <v>yes</v>
          </cell>
          <cell r="AC64" t="str">
            <v>GB</v>
          </cell>
          <cell r="AE64" t="str">
            <v>This field seems like it can be handled in the Template, if we need to show or it is needed by downstream applications then we would consider.</v>
          </cell>
          <cell r="AF64" t="str">
            <v>No</v>
          </cell>
        </row>
        <row r="65">
          <cell r="C65" t="str">
            <v>OKCRLM</v>
          </cell>
          <cell r="D65" t="str">
            <v>Credit limit 1</v>
          </cell>
          <cell r="E65" t="str">
            <v>Decimal</v>
          </cell>
          <cell r="F65" t="str">
            <v>15</v>
          </cell>
          <cell r="Y65" t="str">
            <v>This is needed</v>
          </cell>
          <cell r="Z65" t="str">
            <v>yes</v>
          </cell>
          <cell r="AE65" t="str">
            <v>This field seems like it can be handled in the Template, if we need to show or it is needed by downstream applications then we would consider.</v>
          </cell>
          <cell r="AF65" t="str">
            <v>No</v>
          </cell>
        </row>
        <row r="66">
          <cell r="C66" t="str">
            <v>OKCRL2</v>
          </cell>
          <cell r="D66" t="str">
            <v>Credit limit 2</v>
          </cell>
          <cell r="E66" t="str">
            <v>Decimal</v>
          </cell>
          <cell r="F66" t="str">
            <v>15</v>
          </cell>
          <cell r="Y66" t="str">
            <v>This is needed</v>
          </cell>
          <cell r="Z66" t="str">
            <v>yes</v>
          </cell>
          <cell r="AE66" t="str">
            <v>This field seems like it can be handled in the Template, if we need to show or it is needed by downstream applications then we would consider.</v>
          </cell>
          <cell r="AF66" t="str">
            <v>No</v>
          </cell>
        </row>
        <row r="67">
          <cell r="C67" t="str">
            <v>OKCRL3</v>
          </cell>
          <cell r="D67" t="str">
            <v>Credit limit 3</v>
          </cell>
          <cell r="E67" t="str">
            <v>Decimal</v>
          </cell>
          <cell r="F67" t="str">
            <v>15</v>
          </cell>
          <cell r="Y67" t="str">
            <v>This is needed</v>
          </cell>
          <cell r="Z67" t="str">
            <v>yes</v>
          </cell>
          <cell r="AE67" t="str">
            <v>This field seems like it can be handled in the Template, if we need to show or it is needed by downstream applications then we would consider.</v>
          </cell>
          <cell r="AF67" t="str">
            <v>No</v>
          </cell>
        </row>
        <row r="68">
          <cell r="C68" t="str">
            <v>OKBLCD</v>
          </cell>
          <cell r="D68" t="str">
            <v>Customer stop</v>
          </cell>
          <cell r="E68" t="str">
            <v>Decimal</v>
          </cell>
          <cell r="F68" t="str">
            <v>1</v>
          </cell>
          <cell r="Y68" t="str">
            <v>At the time of customer creation, it would be set up as 0 always. But, later on, we might need to block the customer in M3, and that value should be synced back to MDM</v>
          </cell>
          <cell r="Z68" t="str">
            <v>yes</v>
          </cell>
          <cell r="AE68" t="str">
            <v>Further discussion is needed, this field seems like it would need a well defined Business Process to make sure all systems are being updated on this Status Change.</v>
          </cell>
          <cell r="AF68" t="str">
            <v>No</v>
          </cell>
        </row>
        <row r="69">
          <cell r="C69" t="str">
            <v>OKPRIO</v>
          </cell>
          <cell r="D69" t="str">
            <v>Priority</v>
          </cell>
          <cell r="E69" t="str">
            <v>Decimal</v>
          </cell>
          <cell r="F69" t="str">
            <v>1</v>
          </cell>
          <cell r="Y69" t="str">
            <v>This is needed in M3, but we will set value using template</v>
          </cell>
          <cell r="Z69" t="str">
            <v>no</v>
          </cell>
          <cell r="AC69" t="str">
            <v>5</v>
          </cell>
        </row>
        <row r="70">
          <cell r="C70" t="str">
            <v>OKTBLG</v>
          </cell>
          <cell r="D70" t="str">
            <v>Not used</v>
          </cell>
          <cell r="E70" t="str">
            <v>Decimal</v>
          </cell>
          <cell r="F70" t="str">
            <v>15</v>
          </cell>
          <cell r="Y70" t="str">
            <v>Calculated value inside M3</v>
          </cell>
          <cell r="Z70" t="str">
            <v>no</v>
          </cell>
        </row>
        <row r="71">
          <cell r="C71" t="str">
            <v>OKTOIN</v>
          </cell>
          <cell r="D71" t="str">
            <v>Not used</v>
          </cell>
          <cell r="E71" t="str">
            <v>Decimal</v>
          </cell>
          <cell r="F71" t="str">
            <v>15</v>
          </cell>
          <cell r="Y71" t="str">
            <v>Calculated value inside M3</v>
          </cell>
          <cell r="Z71" t="str">
            <v>no</v>
          </cell>
        </row>
        <row r="72">
          <cell r="C72" t="str">
            <v>OKTDIN</v>
          </cell>
          <cell r="D72" t="str">
            <v>Not used</v>
          </cell>
          <cell r="E72" t="str">
            <v>Decimal</v>
          </cell>
          <cell r="F72" t="str">
            <v>15</v>
          </cell>
          <cell r="Y72" t="str">
            <v>Calculated value inside M3</v>
          </cell>
          <cell r="Z72" t="str">
            <v>no</v>
          </cell>
        </row>
        <row r="73">
          <cell r="C73" t="str">
            <v>OKLIDT</v>
          </cell>
          <cell r="D73" t="str">
            <v>Not used</v>
          </cell>
          <cell r="E73" t="str">
            <v>Decimal</v>
          </cell>
          <cell r="F73" t="str">
            <v>8</v>
          </cell>
          <cell r="Y73" t="str">
            <v>Calculated value inside M3</v>
          </cell>
          <cell r="Z73" t="str">
            <v>no</v>
          </cell>
        </row>
        <row r="74">
          <cell r="C74" t="str">
            <v>OKININ</v>
          </cell>
          <cell r="D74" t="str">
            <v>End date - invoicing range</v>
          </cell>
          <cell r="E74" t="str">
            <v>Decimal</v>
          </cell>
          <cell r="F74" t="str">
            <v>3</v>
          </cell>
          <cell r="Y74" t="str">
            <v>As discussed with Dee/Angie on 01/07, this is not needed</v>
          </cell>
          <cell r="Z74" t="str">
            <v>no</v>
          </cell>
          <cell r="AE74" t="str">
            <v>This appears to be an M3 only attribute.</v>
          </cell>
          <cell r="AF74" t="str">
            <v>No</v>
          </cell>
        </row>
        <row r="75">
          <cell r="C75" t="str">
            <v>OKACRF</v>
          </cell>
          <cell r="D75" t="str">
            <v>User-defined accounting control object</v>
          </cell>
          <cell r="E75" t="str">
            <v>String</v>
          </cell>
          <cell r="F75" t="str">
            <v>8</v>
          </cell>
          <cell r="Y75" t="str">
            <v>Not used</v>
          </cell>
          <cell r="Z75" t="str">
            <v>no</v>
          </cell>
        </row>
        <row r="76">
          <cell r="C76" t="str">
            <v>OKAICD</v>
          </cell>
          <cell r="D76" t="str">
            <v>Summary invoice</v>
          </cell>
          <cell r="E76" t="str">
            <v>Decimal</v>
          </cell>
          <cell r="F76" t="str">
            <v>1</v>
          </cell>
          <cell r="Y76" t="str">
            <v>This is self explanatory</v>
          </cell>
          <cell r="Z76" t="str">
            <v>yes</v>
          </cell>
          <cell r="AE76" t="str">
            <v>This appears to be an M3 only attribute.</v>
          </cell>
          <cell r="AF76" t="str">
            <v>No</v>
          </cell>
        </row>
        <row r="77">
          <cell r="C77" t="str">
            <v>OKBOCD</v>
          </cell>
          <cell r="D77" t="str">
            <v>Backorder permitted</v>
          </cell>
          <cell r="E77" t="str">
            <v>Decimal</v>
          </cell>
          <cell r="F77" t="str">
            <v>1</v>
          </cell>
          <cell r="Y77" t="str">
            <v>As discussed with Kyle: Backorder is permitted for all, and hence, will be set up as template value
Default Value = 1</v>
          </cell>
          <cell r="Z77" t="str">
            <v>no</v>
          </cell>
          <cell r="AE77" t="str">
            <v>This appears to be an M3 only attribute.</v>
          </cell>
          <cell r="AF77" t="str">
            <v>No</v>
          </cell>
        </row>
        <row r="78">
          <cell r="C78" t="str">
            <v>OKFRE1</v>
          </cell>
          <cell r="D78" t="str">
            <v>Statistics identity 1 customer</v>
          </cell>
          <cell r="E78" t="str">
            <v>String</v>
          </cell>
          <cell r="F78" t="str">
            <v>5</v>
          </cell>
          <cell r="Y78" t="str">
            <v>Not used</v>
          </cell>
          <cell r="Z78" t="str">
            <v>no</v>
          </cell>
        </row>
        <row r="79">
          <cell r="C79" t="str">
            <v>OKFRE2</v>
          </cell>
          <cell r="D79" t="str">
            <v>Statistics identity 2 customer</v>
          </cell>
          <cell r="E79" t="str">
            <v>String</v>
          </cell>
          <cell r="F79" t="str">
            <v>5</v>
          </cell>
          <cell r="Y79" t="str">
            <v>Not used</v>
          </cell>
          <cell r="Z79" t="str">
            <v>no</v>
          </cell>
        </row>
        <row r="80">
          <cell r="C80" t="str">
            <v>OKBGRP</v>
          </cell>
          <cell r="D80" t="str">
            <v>Bonus group</v>
          </cell>
          <cell r="E80" t="str">
            <v>String</v>
          </cell>
          <cell r="F80" t="str">
            <v>2</v>
          </cell>
          <cell r="Y80" t="str">
            <v>Athar: This is needed in M3, but we will pass default value = BLANK using template.</v>
          </cell>
          <cell r="Z80" t="str">
            <v>no</v>
          </cell>
        </row>
        <row r="81">
          <cell r="C81" t="str">
            <v>OKDOGR</v>
          </cell>
          <cell r="D81" t="str">
            <v>Customer document group</v>
          </cell>
          <cell r="E81" t="str">
            <v>String</v>
          </cell>
          <cell r="F81" t="str">
            <v>3</v>
          </cell>
          <cell r="Y81" t="str">
            <v>This helps maintain what all documents does a customer get</v>
          </cell>
          <cell r="Z81" t="str">
            <v>yes</v>
          </cell>
          <cell r="AE81" t="str">
            <v>Need further discussions on what data is required for this attribute</v>
          </cell>
          <cell r="AF81" t="str">
            <v>No</v>
          </cell>
        </row>
        <row r="82">
          <cell r="C82" t="str">
            <v>OKBLII</v>
          </cell>
          <cell r="D82" t="str">
            <v>Interest invoicing</v>
          </cell>
          <cell r="E82" t="str">
            <v>Decimal</v>
          </cell>
          <cell r="F82" t="str">
            <v>1</v>
          </cell>
          <cell r="Y82" t="str">
            <v>This is needed in M3, but we will set value using template</v>
          </cell>
          <cell r="Z82" t="str">
            <v>no</v>
          </cell>
        </row>
        <row r="83">
          <cell r="C83" t="str">
            <v>OKIICT</v>
          </cell>
          <cell r="D83" t="str">
            <v>Interest rule</v>
          </cell>
          <cell r="E83" t="str">
            <v>String</v>
          </cell>
          <cell r="F83" t="str">
            <v>3</v>
          </cell>
          <cell r="Y83" t="str">
            <v>This is needed in M3, but we will set value using template</v>
          </cell>
          <cell r="Z83" t="str">
            <v>no</v>
          </cell>
        </row>
        <row r="84">
          <cell r="C84" t="str">
            <v>OKCLCD</v>
          </cell>
          <cell r="D84" t="str">
            <v>Collection</v>
          </cell>
          <cell r="E84" t="str">
            <v>Decimal</v>
          </cell>
          <cell r="F84" t="str">
            <v>1</v>
          </cell>
          <cell r="Y84" t="str">
            <v>Not used</v>
          </cell>
          <cell r="Z84" t="str">
            <v>no</v>
          </cell>
        </row>
        <row r="85">
          <cell r="C85" t="str">
            <v>OKBLPR</v>
          </cell>
          <cell r="D85" t="str">
            <v>Payment reminder code</v>
          </cell>
          <cell r="E85" t="str">
            <v>Decimal</v>
          </cell>
          <cell r="F85" t="str">
            <v>1</v>
          </cell>
          <cell r="Y85" t="str">
            <v>This is needed in M3, but we will set value using template</v>
          </cell>
          <cell r="Z85" t="str">
            <v>no</v>
          </cell>
          <cell r="AC85" t="str">
            <v>1</v>
          </cell>
        </row>
        <row r="86">
          <cell r="C86" t="str">
            <v>OKRMCT</v>
          </cell>
          <cell r="D86" t="str">
            <v>Payment reminder rule</v>
          </cell>
          <cell r="E86" t="str">
            <v>String</v>
          </cell>
          <cell r="F86" t="str">
            <v>3</v>
          </cell>
          <cell r="Y86" t="str">
            <v>This is needed in M3, but we will set value using template</v>
          </cell>
          <cell r="Z86" t="str">
            <v>no</v>
          </cell>
          <cell r="AC86" t="str">
            <v>Z01</v>
          </cell>
        </row>
        <row r="87">
          <cell r="C87" t="str">
            <v>OKBLAC</v>
          </cell>
          <cell r="D87" t="str">
            <v>Advice code</v>
          </cell>
          <cell r="E87" t="str">
            <v>Decimal</v>
          </cell>
          <cell r="F87" t="str">
            <v>1</v>
          </cell>
          <cell r="Y87" t="str">
            <v>This is needed in M3, but we will set value using template</v>
          </cell>
          <cell r="Z87" t="str">
            <v>no</v>
          </cell>
        </row>
        <row r="88">
          <cell r="C88" t="str">
            <v>OKADCA</v>
          </cell>
          <cell r="D88" t="str">
            <v>Advice rule</v>
          </cell>
          <cell r="E88" t="str">
            <v>String</v>
          </cell>
          <cell r="F88" t="str">
            <v>3</v>
          </cell>
          <cell r="Y88" t="str">
            <v>This is needed in M3, but we will set value using template</v>
          </cell>
          <cell r="Z88" t="str">
            <v>no</v>
          </cell>
        </row>
        <row r="89">
          <cell r="C89" t="str">
            <v>OKPYDI</v>
          </cell>
          <cell r="D89" t="str">
            <v>Payment instruction</v>
          </cell>
          <cell r="E89" t="str">
            <v>String</v>
          </cell>
          <cell r="F89" t="str">
            <v>3</v>
          </cell>
          <cell r="Y89" t="str">
            <v>Not used</v>
          </cell>
          <cell r="Z89" t="str">
            <v>no</v>
          </cell>
        </row>
        <row r="90">
          <cell r="C90" t="str">
            <v>OKPONO</v>
          </cell>
          <cell r="D90" t="str">
            <v>Postal code</v>
          </cell>
          <cell r="E90" t="str">
            <v>String</v>
          </cell>
          <cell r="F90" t="str">
            <v>10</v>
          </cell>
          <cell r="Y90" t="str">
            <v>Postal code</v>
          </cell>
          <cell r="Z90" t="str">
            <v>yes</v>
          </cell>
          <cell r="AC90" t="str">
            <v>22601</v>
          </cell>
          <cell r="AE90" t="str">
            <v>Need to discuss if this is mailing, shipping or billing (That goes for all Address fields).</v>
          </cell>
          <cell r="AF90" t="str">
            <v>Yes</v>
          </cell>
        </row>
        <row r="91">
          <cell r="C91" t="str">
            <v>OKAUGI</v>
          </cell>
          <cell r="D91" t="str">
            <v>Auto giro</v>
          </cell>
          <cell r="E91" t="str">
            <v>Decimal</v>
          </cell>
          <cell r="F91" t="str">
            <v>1</v>
          </cell>
          <cell r="Y91" t="str">
            <v>Not used</v>
          </cell>
          <cell r="Z91" t="str">
            <v>no</v>
          </cell>
        </row>
        <row r="92">
          <cell r="C92" t="str">
            <v>OKAGPA</v>
          </cell>
          <cell r="D92" t="str">
            <v>Autogiro payer</v>
          </cell>
          <cell r="E92" t="str">
            <v>Decimal</v>
          </cell>
          <cell r="F92" t="str">
            <v>1</v>
          </cell>
          <cell r="Y92" t="str">
            <v>Not used</v>
          </cell>
          <cell r="Z92" t="str">
            <v>no</v>
          </cell>
        </row>
        <row r="93">
          <cell r="C93" t="str">
            <v>OKCCUS</v>
          </cell>
          <cell r="D93" t="str">
            <v>Company group customer number</v>
          </cell>
          <cell r="E93" t="str">
            <v>String</v>
          </cell>
          <cell r="F93" t="str">
            <v>10</v>
          </cell>
          <cell r="Y93" t="str">
            <v>Not used</v>
          </cell>
          <cell r="Z93" t="str">
            <v>no</v>
          </cell>
        </row>
        <row r="94">
          <cell r="C94" t="str">
            <v>OKWAYB</v>
          </cell>
          <cell r="D94" t="str">
            <v>Waybill</v>
          </cell>
          <cell r="E94" t="str">
            <v>Decimal</v>
          </cell>
          <cell r="F94" t="str">
            <v>1</v>
          </cell>
          <cell r="Y94" t="str">
            <v>Not used</v>
          </cell>
          <cell r="Z94" t="str">
            <v>no</v>
          </cell>
        </row>
        <row r="95">
          <cell r="C95" t="str">
            <v>OKADTG</v>
          </cell>
          <cell r="D95" t="str">
            <v>Address tag</v>
          </cell>
          <cell r="E95" t="str">
            <v>Decimal</v>
          </cell>
          <cell r="F95" t="str">
            <v>1</v>
          </cell>
          <cell r="Y95" t="str">
            <v>Not used</v>
          </cell>
          <cell r="Z95" t="str">
            <v>no</v>
          </cell>
        </row>
        <row r="96">
          <cell r="C96" t="str">
            <v>OKODTG</v>
          </cell>
          <cell r="D96" t="str">
            <v>Odette-tag</v>
          </cell>
          <cell r="E96" t="str">
            <v>Decimal</v>
          </cell>
          <cell r="F96" t="str">
            <v>1</v>
          </cell>
          <cell r="Y96" t="str">
            <v>Not used</v>
          </cell>
          <cell r="Z96" t="str">
            <v>no</v>
          </cell>
        </row>
        <row r="97">
          <cell r="C97" t="str">
            <v>OKMAIL</v>
          </cell>
          <cell r="D97" t="str">
            <v>Mail type</v>
          </cell>
          <cell r="E97" t="str">
            <v>Decimal</v>
          </cell>
          <cell r="F97" t="str">
            <v>1</v>
          </cell>
          <cell r="Y97" t="str">
            <v>Not used</v>
          </cell>
          <cell r="Z97" t="str">
            <v>no</v>
          </cell>
        </row>
        <row r="98">
          <cell r="C98" t="str">
            <v>OKENHD</v>
          </cell>
          <cell r="D98" t="str">
            <v>Document</v>
          </cell>
          <cell r="E98" t="str">
            <v>Decimal</v>
          </cell>
          <cell r="F98" t="str">
            <v>1</v>
          </cell>
          <cell r="Y98" t="str">
            <v>Not used</v>
          </cell>
          <cell r="Z98" t="str">
            <v>no</v>
          </cell>
        </row>
        <row r="99">
          <cell r="C99" t="str">
            <v>OKEURI</v>
          </cell>
          <cell r="D99" t="str">
            <v>EUR1 certificate</v>
          </cell>
          <cell r="E99" t="str">
            <v>Decimal</v>
          </cell>
          <cell r="F99" t="str">
            <v>1</v>
          </cell>
          <cell r="Y99" t="str">
            <v>Not used</v>
          </cell>
          <cell r="Z99" t="str">
            <v>no</v>
          </cell>
        </row>
        <row r="100">
          <cell r="C100" t="str">
            <v>OKEDIP</v>
          </cell>
          <cell r="D100" t="str">
            <v>EDI-package note</v>
          </cell>
          <cell r="E100" t="str">
            <v>Decimal</v>
          </cell>
          <cell r="F100" t="str">
            <v>1</v>
          </cell>
          <cell r="Y100" t="str">
            <v>Not used</v>
          </cell>
          <cell r="Z100" t="str">
            <v>no</v>
          </cell>
        </row>
        <row r="101">
          <cell r="C101" t="str">
            <v>OKCFC1</v>
          </cell>
          <cell r="D101" t="str">
            <v>User-defined field 1 - customer</v>
          </cell>
          <cell r="E101" t="str">
            <v>String</v>
          </cell>
          <cell r="F101" t="str">
            <v>10</v>
          </cell>
          <cell r="Y101" t="str">
            <v>We would most probably use this field for saving Legacy AR number</v>
          </cell>
          <cell r="Z101" t="str">
            <v>no</v>
          </cell>
        </row>
        <row r="102">
          <cell r="C102" t="str">
            <v>OKCFC2</v>
          </cell>
          <cell r="D102" t="str">
            <v>User-defined field 2 - customer</v>
          </cell>
          <cell r="E102" t="str">
            <v>Decimal</v>
          </cell>
          <cell r="F102" t="str">
            <v>15</v>
          </cell>
          <cell r="Y102" t="str">
            <v>Not used</v>
          </cell>
          <cell r="Z102" t="str">
            <v>no</v>
          </cell>
        </row>
        <row r="103">
          <cell r="C103" t="str">
            <v>OKCFC3</v>
          </cell>
          <cell r="D103" t="str">
            <v>User-defined field 3 - customer</v>
          </cell>
          <cell r="E103" t="str">
            <v>String</v>
          </cell>
          <cell r="F103" t="str">
            <v>3</v>
          </cell>
          <cell r="Y103" t="str">
            <v>Not used</v>
          </cell>
          <cell r="Z103" t="str">
            <v>no</v>
          </cell>
        </row>
        <row r="104">
          <cell r="C104" t="str">
            <v>OKCFC4</v>
          </cell>
          <cell r="D104" t="str">
            <v>User-defined field 4 - customer</v>
          </cell>
          <cell r="E104" t="str">
            <v>String</v>
          </cell>
          <cell r="F104" t="str">
            <v>5</v>
          </cell>
          <cell r="Y104" t="str">
            <v>Not used</v>
          </cell>
          <cell r="Z104" t="str">
            <v>no</v>
          </cell>
        </row>
        <row r="105">
          <cell r="C105" t="str">
            <v>OKCFC5</v>
          </cell>
          <cell r="D105" t="str">
            <v>User-defined field 5 - customer</v>
          </cell>
          <cell r="E105" t="str">
            <v>String</v>
          </cell>
          <cell r="F105" t="str">
            <v>1</v>
          </cell>
          <cell r="Y105" t="str">
            <v>Not used</v>
          </cell>
          <cell r="Z105" t="str">
            <v>no</v>
          </cell>
        </row>
        <row r="106">
          <cell r="C106" t="str">
            <v>OKCFC6</v>
          </cell>
          <cell r="D106" t="str">
            <v>User-defined field 6 - customer</v>
          </cell>
          <cell r="E106" t="str">
            <v>String</v>
          </cell>
          <cell r="F106" t="str">
            <v>10</v>
          </cell>
          <cell r="Y106" t="str">
            <v>Not used</v>
          </cell>
          <cell r="Z106" t="str">
            <v>no</v>
          </cell>
        </row>
        <row r="107">
          <cell r="C107" t="str">
            <v>OKCFC7</v>
          </cell>
          <cell r="D107" t="str">
            <v>User-defined field 7 - customer</v>
          </cell>
          <cell r="E107" t="str">
            <v>Decimal</v>
          </cell>
          <cell r="F107" t="str">
            <v>15</v>
          </cell>
          <cell r="Y107" t="str">
            <v>Not used</v>
          </cell>
          <cell r="Z107" t="str">
            <v>no</v>
          </cell>
        </row>
        <row r="108">
          <cell r="C108" t="str">
            <v>OKCFC8</v>
          </cell>
          <cell r="D108" t="str">
            <v>User-defined field 8 - customer</v>
          </cell>
          <cell r="E108" t="str">
            <v>String</v>
          </cell>
          <cell r="F108" t="str">
            <v>3</v>
          </cell>
          <cell r="Y108" t="str">
            <v>Not used</v>
          </cell>
          <cell r="Z108" t="str">
            <v>no</v>
          </cell>
        </row>
        <row r="109">
          <cell r="C109" t="str">
            <v>OKCFC9</v>
          </cell>
          <cell r="D109" t="str">
            <v>User-defined field 9 - customer</v>
          </cell>
          <cell r="E109" t="str">
            <v>String</v>
          </cell>
          <cell r="F109" t="str">
            <v>5</v>
          </cell>
          <cell r="Y109" t="str">
            <v>Not used</v>
          </cell>
          <cell r="Z109" t="str">
            <v>no</v>
          </cell>
        </row>
        <row r="110">
          <cell r="C110" t="str">
            <v>OKCFC0</v>
          </cell>
          <cell r="D110" t="str">
            <v>User-defined field 10 - customer</v>
          </cell>
          <cell r="E110" t="str">
            <v>String</v>
          </cell>
          <cell r="F110" t="str">
            <v>1</v>
          </cell>
          <cell r="Y110" t="str">
            <v>Not used</v>
          </cell>
          <cell r="Z110" t="str">
            <v>no</v>
          </cell>
        </row>
        <row r="111">
          <cell r="C111" t="str">
            <v>OKLSID</v>
          </cell>
          <cell r="D111" t="str">
            <v>User</v>
          </cell>
          <cell r="E111" t="str">
            <v>String</v>
          </cell>
          <cell r="F111" t="str">
            <v>8</v>
          </cell>
          <cell r="Y111" t="str">
            <v>Not used</v>
          </cell>
          <cell r="Z111" t="str">
            <v>no</v>
          </cell>
        </row>
        <row r="112">
          <cell r="C112" t="str">
            <v>OKLSAD</v>
          </cell>
          <cell r="D112" t="str">
            <v>Address</v>
          </cell>
          <cell r="E112" t="str">
            <v>String</v>
          </cell>
          <cell r="F112" t="str">
            <v>8</v>
          </cell>
          <cell r="Y112" t="str">
            <v>Not used</v>
          </cell>
          <cell r="Z112" t="str">
            <v>no</v>
          </cell>
        </row>
        <row r="113">
          <cell r="C113" t="str">
            <v>OKMEAL</v>
          </cell>
          <cell r="D113" t="str">
            <v>Valid media</v>
          </cell>
          <cell r="E113" t="str">
            <v>String</v>
          </cell>
          <cell r="F113" t="str">
            <v>10</v>
          </cell>
          <cell r="Y113" t="str">
            <v>Not used</v>
          </cell>
          <cell r="Z113" t="str">
            <v>no</v>
          </cell>
          <cell r="AC113" t="str">
            <v>1</v>
          </cell>
        </row>
        <row r="114">
          <cell r="C114" t="str">
            <v>OKVRNO</v>
          </cell>
          <cell r="D114" t="str">
            <v>VAT registration number</v>
          </cell>
          <cell r="E114" t="str">
            <v>String</v>
          </cell>
          <cell r="F114" t="str">
            <v>16</v>
          </cell>
          <cell r="Y114" t="str">
            <v>Not used</v>
          </cell>
          <cell r="Z114" t="str">
            <v>no</v>
          </cell>
        </row>
        <row r="115">
          <cell r="C115" t="str">
            <v>OKAGCH</v>
          </cell>
          <cell r="D115" t="str">
            <v>Agreement check - order header</v>
          </cell>
          <cell r="E115" t="str">
            <v>Decimal</v>
          </cell>
          <cell r="F115" t="str">
            <v>1</v>
          </cell>
          <cell r="Y115" t="str">
            <v>This is needed in M3, but we will set value using template</v>
          </cell>
          <cell r="Z115" t="str">
            <v>no</v>
          </cell>
          <cell r="AC115" t="str">
            <v>3</v>
          </cell>
        </row>
        <row r="116">
          <cell r="C116" t="str">
            <v>OKAGCT</v>
          </cell>
          <cell r="D116" t="str">
            <v>Agreement check - order lines</v>
          </cell>
          <cell r="E116" t="str">
            <v>Decimal</v>
          </cell>
          <cell r="F116" t="str">
            <v>1</v>
          </cell>
          <cell r="Y116" t="str">
            <v>This is needed in M3, but we will set value using template</v>
          </cell>
          <cell r="Z116" t="str">
            <v>no</v>
          </cell>
          <cell r="AC116" t="str">
            <v>2</v>
          </cell>
        </row>
        <row r="117">
          <cell r="C117" t="str">
            <v>OKDUCD</v>
          </cell>
          <cell r="D117" t="str">
            <v>Due date base</v>
          </cell>
          <cell r="E117" t="str">
            <v>Decimal</v>
          </cell>
          <cell r="F117" t="str">
            <v>1</v>
          </cell>
          <cell r="Y117" t="str">
            <v>This is needed in M3, but we will set value using template</v>
          </cell>
          <cell r="Z117" t="str">
            <v>no</v>
          </cell>
          <cell r="AC117" t="str">
            <v>1</v>
          </cell>
        </row>
        <row r="118">
          <cell r="C118" t="str">
            <v>OKUSR1</v>
          </cell>
          <cell r="D118" t="str">
            <v>Credit limit 1 changed by</v>
          </cell>
          <cell r="E118" t="str">
            <v>String</v>
          </cell>
          <cell r="F118" t="str">
            <v>10</v>
          </cell>
          <cell r="Y118" t="str">
            <v>Calculated value inside M3</v>
          </cell>
          <cell r="Z118" t="str">
            <v>no</v>
          </cell>
        </row>
        <row r="119">
          <cell r="C119" t="str">
            <v>OKUSR2</v>
          </cell>
          <cell r="D119" t="str">
            <v>Credit limit 2 changed by</v>
          </cell>
          <cell r="E119" t="str">
            <v>String</v>
          </cell>
          <cell r="F119" t="str">
            <v>10</v>
          </cell>
          <cell r="Y119" t="str">
            <v>Calculated value inside M3</v>
          </cell>
          <cell r="Z119" t="str">
            <v>no</v>
          </cell>
        </row>
        <row r="120">
          <cell r="C120" t="str">
            <v>OKUSR3</v>
          </cell>
          <cell r="D120" t="str">
            <v>Credit limit 3 changed by</v>
          </cell>
          <cell r="E120" t="str">
            <v>String</v>
          </cell>
          <cell r="F120" t="str">
            <v>10</v>
          </cell>
          <cell r="Y120" t="str">
            <v>Calculated value inside M3</v>
          </cell>
          <cell r="Z120" t="str">
            <v>no</v>
          </cell>
        </row>
        <row r="121">
          <cell r="C121" t="str">
            <v>OKDTE1</v>
          </cell>
          <cell r="D121" t="str">
            <v>Change date - credit limit 1</v>
          </cell>
          <cell r="E121" t="str">
            <v>Decimal</v>
          </cell>
          <cell r="F121" t="str">
            <v>8</v>
          </cell>
          <cell r="Y121" t="str">
            <v>Calculated value inside M3</v>
          </cell>
          <cell r="Z121" t="str">
            <v>no</v>
          </cell>
        </row>
        <row r="122">
          <cell r="C122" t="str">
            <v>OKDTE2</v>
          </cell>
          <cell r="D122" t="str">
            <v>Change date - credit limit 2</v>
          </cell>
          <cell r="E122" t="str">
            <v>Decimal</v>
          </cell>
          <cell r="F122" t="str">
            <v>8</v>
          </cell>
          <cell r="Y122" t="str">
            <v>Calculated value inside M3</v>
          </cell>
          <cell r="Z122" t="str">
            <v>no</v>
          </cell>
        </row>
        <row r="123">
          <cell r="C123" t="str">
            <v>OKDTE3</v>
          </cell>
          <cell r="D123" t="str">
            <v>Change date - credit limit 3</v>
          </cell>
          <cell r="E123" t="str">
            <v>Decimal</v>
          </cell>
          <cell r="F123" t="str">
            <v>8</v>
          </cell>
          <cell r="Y123" t="str">
            <v>Calculated value inside M3</v>
          </cell>
          <cell r="Z123" t="str">
            <v>no</v>
          </cell>
        </row>
        <row r="124">
          <cell r="C124" t="str">
            <v>OKCDRC</v>
          </cell>
          <cell r="D124" t="str">
            <v>Credit department reference</v>
          </cell>
          <cell r="E124" t="str">
            <v>String</v>
          </cell>
          <cell r="F124" t="str">
            <v>10</v>
          </cell>
          <cell r="Y124" t="str">
            <v>As discussed with Dee/Angie on 01/07, this is not needed in MDM. However, this one will be filled as part of enrichment process in M3</v>
          </cell>
          <cell r="Z124" t="str">
            <v>no</v>
          </cell>
          <cell r="AC124" t="str">
            <v>DISAR</v>
          </cell>
          <cell r="AE124" t="str">
            <v>This appears to be an M3 only attribute.</v>
          </cell>
          <cell r="AF124" t="str">
            <v>No</v>
          </cell>
        </row>
        <row r="125">
          <cell r="C125" t="str">
            <v>OKINCO</v>
          </cell>
          <cell r="D125" t="str">
            <v>Insurance company</v>
          </cell>
          <cell r="E125" t="str">
            <v>String</v>
          </cell>
          <cell r="F125" t="str">
            <v>10</v>
          </cell>
          <cell r="Y125" t="str">
            <v>As discussed with Dee/Angie on 01/07, this is not needed</v>
          </cell>
          <cell r="Z125" t="str">
            <v>no</v>
          </cell>
          <cell r="AE125" t="str">
            <v>This appears to be an M3 only attribute.</v>
          </cell>
          <cell r="AF125" t="str">
            <v>No</v>
          </cell>
        </row>
        <row r="126">
          <cell r="C126" t="str">
            <v>OKINSN</v>
          </cell>
          <cell r="D126" t="str">
            <v>Insurance number</v>
          </cell>
          <cell r="E126" t="str">
            <v>String</v>
          </cell>
          <cell r="F126" t="str">
            <v>20</v>
          </cell>
          <cell r="Y126" t="str">
            <v>As discussed with Dee/Angie on 01/07, this is not needed</v>
          </cell>
          <cell r="Z126" t="str">
            <v>no</v>
          </cell>
          <cell r="AE126" t="str">
            <v>This appears to be an M3 only attribute.</v>
          </cell>
          <cell r="AF126" t="str">
            <v>No</v>
          </cell>
        </row>
        <row r="127">
          <cell r="C127" t="str">
            <v>OKCUIC</v>
          </cell>
          <cell r="D127" t="str">
            <v>Customer number at the insurance company</v>
          </cell>
          <cell r="E127" t="str">
            <v>String</v>
          </cell>
          <cell r="F127" t="str">
            <v>10</v>
          </cell>
          <cell r="Y127" t="str">
            <v>As discussed with Dee/Angie on 01/07, this is not needed</v>
          </cell>
          <cell r="Z127" t="str">
            <v>no</v>
          </cell>
          <cell r="AE127" t="str">
            <v>This appears to be an M3 only attribute.</v>
          </cell>
          <cell r="AF127" t="str">
            <v>No</v>
          </cell>
        </row>
        <row r="128">
          <cell r="C128" t="str">
            <v>OKINSS</v>
          </cell>
          <cell r="D128" t="str">
            <v>Insurance status</v>
          </cell>
          <cell r="E128" t="str">
            <v>Decimal</v>
          </cell>
          <cell r="F128" t="str">
            <v>1</v>
          </cell>
          <cell r="Y128" t="str">
            <v>As discussed with Dee/Angie on 01/07, this is not needed</v>
          </cell>
          <cell r="Z128" t="str">
            <v>no</v>
          </cell>
          <cell r="AE128" t="str">
            <v>This appears to be an M3 only attribute.</v>
          </cell>
          <cell r="AF128" t="str">
            <v>No</v>
          </cell>
        </row>
        <row r="129">
          <cell r="C129" t="str">
            <v>OKNALI</v>
          </cell>
          <cell r="D129" t="str">
            <v>Unapproved limit</v>
          </cell>
          <cell r="E129" t="str">
            <v>Decimal</v>
          </cell>
          <cell r="F129" t="str">
            <v>15</v>
          </cell>
          <cell r="Y129" t="str">
            <v>As discussed with Dee/Angie on 01/07, this is not needed</v>
          </cell>
          <cell r="Z129" t="str">
            <v>no</v>
          </cell>
          <cell r="AE129" t="str">
            <v>This appears to be an M3 only attribute.</v>
          </cell>
          <cell r="AF129" t="str">
            <v>No</v>
          </cell>
        </row>
        <row r="130">
          <cell r="C130" t="str">
            <v>OKDTL1</v>
          </cell>
          <cell r="D130" t="str">
            <v>Change date not approved limit</v>
          </cell>
          <cell r="E130" t="str">
            <v>Decimal</v>
          </cell>
          <cell r="F130" t="str">
            <v>8</v>
          </cell>
          <cell r="Y130" t="str">
            <v>Calculated value inside M3</v>
          </cell>
          <cell r="Z130" t="str">
            <v>no</v>
          </cell>
        </row>
        <row r="131">
          <cell r="C131" t="str">
            <v>OKUSL1</v>
          </cell>
          <cell r="D131" t="str">
            <v>Changed by</v>
          </cell>
          <cell r="E131" t="str">
            <v>String</v>
          </cell>
          <cell r="F131" t="str">
            <v>10</v>
          </cell>
          <cell r="Y131" t="str">
            <v>Calculated value inside M3</v>
          </cell>
          <cell r="Z131" t="str">
            <v>no</v>
          </cell>
        </row>
        <row r="132">
          <cell r="C132" t="str">
            <v>OKINLI</v>
          </cell>
          <cell r="D132" t="str">
            <v>Insurance limit</v>
          </cell>
          <cell r="E132" t="str">
            <v>Decimal</v>
          </cell>
          <cell r="F132" t="str">
            <v>15</v>
          </cell>
          <cell r="Y132" t="str">
            <v>As discussed with Dee/Angie on 01/07, this is not needed</v>
          </cell>
          <cell r="Z132" t="str">
            <v>no</v>
          </cell>
          <cell r="AE132" t="str">
            <v>This appears to be an M3 only attribute.</v>
          </cell>
          <cell r="AF132" t="str">
            <v>No</v>
          </cell>
        </row>
        <row r="133">
          <cell r="C133" t="str">
            <v>OKDTL2</v>
          </cell>
          <cell r="D133" t="str">
            <v>Change date insurance limit</v>
          </cell>
          <cell r="E133" t="str">
            <v>Decimal</v>
          </cell>
          <cell r="F133" t="str">
            <v>8</v>
          </cell>
          <cell r="Y133" t="str">
            <v>Calculated value inside M3</v>
          </cell>
          <cell r="Z133" t="str">
            <v>no</v>
          </cell>
        </row>
        <row r="134">
          <cell r="C134" t="str">
            <v>OKUSL2</v>
          </cell>
          <cell r="D134" t="str">
            <v>Changed by</v>
          </cell>
          <cell r="E134" t="str">
            <v>String</v>
          </cell>
          <cell r="F134" t="str">
            <v>10</v>
          </cell>
          <cell r="Y134" t="str">
            <v>Calculated value inside M3</v>
          </cell>
          <cell r="Z134" t="str">
            <v>no</v>
          </cell>
        </row>
        <row r="135">
          <cell r="C135" t="str">
            <v>OKVRCD</v>
          </cell>
          <cell r="D135" t="str">
            <v>Business type - trade statistics (TST)</v>
          </cell>
          <cell r="E135" t="str">
            <v>String</v>
          </cell>
          <cell r="F135" t="str">
            <v>2</v>
          </cell>
          <cell r="Y135" t="str">
            <v>Not used</v>
          </cell>
          <cell r="Z135" t="str">
            <v>no</v>
          </cell>
        </row>
        <row r="136">
          <cell r="C136" t="str">
            <v>OKEDES</v>
          </cell>
          <cell r="D136" t="str">
            <v>Place</v>
          </cell>
          <cell r="E136" t="str">
            <v>String</v>
          </cell>
          <cell r="F136" t="str">
            <v>10</v>
          </cell>
          <cell r="Y136" t="str">
            <v>Mandatory field that is used to define a "place" within a country. Table of places defined in M3 (MMS008), and used for route selection.</v>
          </cell>
          <cell r="Z136" t="str">
            <v>yes</v>
          </cell>
          <cell r="AC136" t="str">
            <v>YUSMN</v>
          </cell>
          <cell r="AE136" t="str">
            <v>This appears to be an M3 only attribute.</v>
          </cell>
          <cell r="AF136" t="str">
            <v>No</v>
          </cell>
        </row>
        <row r="137">
          <cell r="C137" t="str">
            <v>OKROUT</v>
          </cell>
          <cell r="D137" t="str">
            <v>Route</v>
          </cell>
          <cell r="E137" t="str">
            <v>String</v>
          </cell>
          <cell r="F137" t="str">
            <v>6</v>
          </cell>
          <cell r="Y137" t="str">
            <v>Not used</v>
          </cell>
          <cell r="Z137" t="str">
            <v>no</v>
          </cell>
        </row>
        <row r="138">
          <cell r="C138" t="str">
            <v>OKRODN</v>
          </cell>
          <cell r="D138" t="str">
            <v>Route departure</v>
          </cell>
          <cell r="E138" t="str">
            <v>Decimal</v>
          </cell>
          <cell r="F138" t="str">
            <v>3</v>
          </cell>
          <cell r="Y138" t="str">
            <v>Not used</v>
          </cell>
          <cell r="Z138" t="str">
            <v>no</v>
          </cell>
        </row>
        <row r="139">
          <cell r="C139" t="str">
            <v>OKULZO</v>
          </cell>
          <cell r="D139" t="str">
            <v>Unloading zone</v>
          </cell>
          <cell r="E139" t="str">
            <v>String</v>
          </cell>
          <cell r="F139" t="str">
            <v>5</v>
          </cell>
          <cell r="Y139" t="str">
            <v>Not used (Can be used if advanced route selection is needed)</v>
          </cell>
          <cell r="Z139" t="str">
            <v>no</v>
          </cell>
        </row>
        <row r="140">
          <cell r="C140" t="str">
            <v>OKECLC</v>
          </cell>
          <cell r="D140" t="str">
            <v>Labor code - trade statistics (TST)</v>
          </cell>
          <cell r="E140" t="str">
            <v>String</v>
          </cell>
          <cell r="F140" t="str">
            <v>2</v>
          </cell>
          <cell r="Y140" t="str">
            <v>Not used</v>
          </cell>
          <cell r="Z140" t="str">
            <v>no</v>
          </cell>
        </row>
        <row r="141">
          <cell r="C141" t="str">
            <v>OKECF1</v>
          </cell>
          <cell r="D141" t="str">
            <v>User-defined TST field 1</v>
          </cell>
          <cell r="E141" t="str">
            <v>String</v>
          </cell>
          <cell r="F141" t="str">
            <v>5</v>
          </cell>
          <cell r="Y141" t="str">
            <v>Not used</v>
          </cell>
          <cell r="Z141" t="str">
            <v>no</v>
          </cell>
        </row>
        <row r="142">
          <cell r="C142" t="str">
            <v>OKECF2</v>
          </cell>
          <cell r="D142" t="str">
            <v>User-defined TST field 2</v>
          </cell>
          <cell r="E142" t="str">
            <v>String</v>
          </cell>
          <cell r="F142" t="str">
            <v>5</v>
          </cell>
          <cell r="Y142" t="str">
            <v>Not used</v>
          </cell>
          <cell r="Z142" t="str">
            <v>no</v>
          </cell>
        </row>
        <row r="143">
          <cell r="C143" t="str">
            <v>OKECF3</v>
          </cell>
          <cell r="D143" t="str">
            <v>User-defined TST field 3</v>
          </cell>
          <cell r="E143" t="str">
            <v>String</v>
          </cell>
          <cell r="F143" t="str">
            <v>5</v>
          </cell>
          <cell r="Y143" t="str">
            <v>Not used</v>
          </cell>
          <cell r="Z143" t="str">
            <v>no</v>
          </cell>
        </row>
        <row r="144">
          <cell r="C144" t="str">
            <v>OKECF4</v>
          </cell>
          <cell r="D144" t="str">
            <v>User-defined TST field  4</v>
          </cell>
          <cell r="E144" t="str">
            <v>String</v>
          </cell>
          <cell r="F144" t="str">
            <v>5</v>
          </cell>
          <cell r="Y144" t="str">
            <v>Not used</v>
          </cell>
          <cell r="Z144" t="str">
            <v>no</v>
          </cell>
        </row>
        <row r="145">
          <cell r="C145" t="str">
            <v>OKECF5</v>
          </cell>
          <cell r="D145" t="str">
            <v>User-defined TST field 5</v>
          </cell>
          <cell r="E145" t="str">
            <v>String</v>
          </cell>
          <cell r="F145" t="str">
            <v>5</v>
          </cell>
          <cell r="Y145" t="str">
            <v>Not used</v>
          </cell>
          <cell r="Z145" t="str">
            <v>no</v>
          </cell>
        </row>
        <row r="146">
          <cell r="C146" t="str">
            <v>OKPYCD</v>
          </cell>
          <cell r="D146" t="str">
            <v>Payment method - accounts receivable</v>
          </cell>
          <cell r="E146" t="str">
            <v>String</v>
          </cell>
          <cell r="F146" t="str">
            <v>3</v>
          </cell>
          <cell r="Y146" t="str">
            <v xml:space="preserve">This need to be maintained in M3. But, at time of customer creation, we will pass a default value as part of template. Because, we don't know the default payment method for the customer generally at the time of customer creation. </v>
          </cell>
          <cell r="Z146" t="str">
            <v>no</v>
          </cell>
          <cell r="AC146" t="str">
            <v>TR1</v>
          </cell>
          <cell r="AE146" t="str">
            <v>We will need to confirm if this is the CCM AR Number, then we can map</v>
          </cell>
          <cell r="AF146" t="str">
            <v>No</v>
          </cell>
        </row>
        <row r="147">
          <cell r="C147" t="str">
            <v>OKGRPY</v>
          </cell>
          <cell r="D147" t="str">
            <v>Group invoice</v>
          </cell>
          <cell r="E147" t="str">
            <v>Decimal</v>
          </cell>
          <cell r="F147" t="str">
            <v>1</v>
          </cell>
          <cell r="Y147" t="str">
            <v>Not used</v>
          </cell>
          <cell r="Z147" t="str">
            <v>no</v>
          </cell>
        </row>
        <row r="148">
          <cell r="C148" t="str">
            <v>OKTXID</v>
          </cell>
          <cell r="D148" t="str">
            <v>Text identity</v>
          </cell>
          <cell r="E148" t="str">
            <v>Decimal</v>
          </cell>
          <cell r="F148" t="str">
            <v>13</v>
          </cell>
          <cell r="Y148" t="str">
            <v>Not used</v>
          </cell>
          <cell r="Z148" t="str">
            <v>no</v>
          </cell>
        </row>
        <row r="149">
          <cell r="C149" t="str">
            <v>OKSERC</v>
          </cell>
          <cell r="D149" t="str">
            <v>Service code</v>
          </cell>
          <cell r="E149" t="str">
            <v>Decimal</v>
          </cell>
          <cell r="F149" t="str">
            <v>2</v>
          </cell>
          <cell r="Y149" t="str">
            <v>This is needed if customer holds withholding tax. If not, we can pass default = 0 using template
As discussed with Dee/Angie on 01/07, we will pass SERC = 0 for all customers using template</v>
          </cell>
          <cell r="Z149" t="str">
            <v>no</v>
          </cell>
          <cell r="AE149" t="str">
            <v>This appears to be an M3 only attribute.</v>
          </cell>
          <cell r="AF149" t="str">
            <v>No</v>
          </cell>
        </row>
        <row r="150">
          <cell r="C150" t="str">
            <v>OKSRES</v>
          </cell>
          <cell r="D150" t="str">
            <v>Service manager</v>
          </cell>
          <cell r="E150" t="str">
            <v>String</v>
          </cell>
          <cell r="F150" t="str">
            <v>10</v>
          </cell>
          <cell r="Y150" t="str">
            <v>Not used</v>
          </cell>
          <cell r="Z150" t="str">
            <v>no</v>
          </cell>
        </row>
        <row r="151">
          <cell r="C151" t="str">
            <v>OKTECH</v>
          </cell>
          <cell r="D151" t="str">
            <v>Technician</v>
          </cell>
          <cell r="E151" t="str">
            <v>String</v>
          </cell>
          <cell r="F151" t="str">
            <v>10</v>
          </cell>
          <cell r="Y151" t="str">
            <v>Not used</v>
          </cell>
          <cell r="Z151" t="str">
            <v>no</v>
          </cell>
        </row>
        <row r="152">
          <cell r="C152" t="str">
            <v>OKTRTI</v>
          </cell>
          <cell r="D152" t="str">
            <v>Planned travel time</v>
          </cell>
          <cell r="E152" t="str">
            <v>Decimal</v>
          </cell>
          <cell r="F152" t="str">
            <v>7</v>
          </cell>
          <cell r="Y152" t="str">
            <v>Not used</v>
          </cell>
          <cell r="Z152" t="str">
            <v>no</v>
          </cell>
        </row>
        <row r="153">
          <cell r="C153" t="str">
            <v>OKLZON</v>
          </cell>
          <cell r="D153" t="str">
            <v>Service zone</v>
          </cell>
          <cell r="E153" t="str">
            <v>Decimal</v>
          </cell>
          <cell r="F153" t="str">
            <v>2</v>
          </cell>
          <cell r="Y153" t="str">
            <v>Not used</v>
          </cell>
          <cell r="Z153" t="str">
            <v>no</v>
          </cell>
        </row>
        <row r="154">
          <cell r="C154" t="str">
            <v>OKDIST</v>
          </cell>
          <cell r="D154" t="str">
            <v>Number of kilometer</v>
          </cell>
          <cell r="E154" t="str">
            <v>Decimal</v>
          </cell>
          <cell r="F154" t="str">
            <v>5</v>
          </cell>
          <cell r="Y154" t="str">
            <v>Not used</v>
          </cell>
          <cell r="Z154" t="str">
            <v>no</v>
          </cell>
        </row>
        <row r="155">
          <cell r="C155" t="str">
            <v>OKTVCD</v>
          </cell>
          <cell r="D155" t="str">
            <v>Travel type</v>
          </cell>
          <cell r="E155" t="str">
            <v>String</v>
          </cell>
          <cell r="F155" t="str">
            <v>2</v>
          </cell>
          <cell r="Y155" t="str">
            <v>Not used</v>
          </cell>
          <cell r="Z155" t="str">
            <v>no</v>
          </cell>
        </row>
        <row r="156">
          <cell r="C156" t="str">
            <v>OKSOTP</v>
          </cell>
          <cell r="D156" t="str">
            <v>Service order type</v>
          </cell>
          <cell r="E156" t="str">
            <v>String</v>
          </cell>
          <cell r="F156" t="str">
            <v>3</v>
          </cell>
          <cell r="Y156" t="str">
            <v>Not used</v>
          </cell>
          <cell r="Z156" t="str">
            <v>no</v>
          </cell>
        </row>
        <row r="157">
          <cell r="C157" t="str">
            <v>OKMTIC</v>
          </cell>
          <cell r="D157" t="str">
            <v>Credit check - MTI</v>
          </cell>
          <cell r="E157" t="str">
            <v>Decimal</v>
          </cell>
          <cell r="F157" t="str">
            <v>1</v>
          </cell>
          <cell r="Y157" t="str">
            <v>Not used</v>
          </cell>
          <cell r="Z157" t="str">
            <v>no</v>
          </cell>
        </row>
        <row r="158">
          <cell r="C158" t="str">
            <v>OKPWMT</v>
          </cell>
          <cell r="D158" t="str">
            <v>PIN code</v>
          </cell>
          <cell r="E158" t="str">
            <v>String</v>
          </cell>
          <cell r="F158" t="str">
            <v>10</v>
          </cell>
          <cell r="Y158" t="str">
            <v>Not used</v>
          </cell>
          <cell r="Z158" t="str">
            <v>no</v>
          </cell>
        </row>
        <row r="159">
          <cell r="C159" t="str">
            <v>OKBPCD</v>
          </cell>
          <cell r="D159" t="str">
            <v>Buying pattern type</v>
          </cell>
          <cell r="E159" t="str">
            <v>Decimal</v>
          </cell>
          <cell r="F159" t="str">
            <v>1</v>
          </cell>
          <cell r="Y159" t="str">
            <v>Not used</v>
          </cell>
          <cell r="Z159" t="str">
            <v>no</v>
          </cell>
        </row>
        <row r="160">
          <cell r="C160" t="str">
            <v>OKBPEX</v>
          </cell>
          <cell r="D160" t="str">
            <v>Buying pattern exception</v>
          </cell>
          <cell r="E160" t="str">
            <v>Decimal</v>
          </cell>
          <cell r="F160" t="str">
            <v>1</v>
          </cell>
          <cell r="Y160" t="str">
            <v>Not used</v>
          </cell>
          <cell r="Z160" t="str">
            <v>no</v>
          </cell>
        </row>
        <row r="161">
          <cell r="C161" t="str">
            <v>OKACHK</v>
          </cell>
          <cell r="D161" t="str">
            <v>Assortment check</v>
          </cell>
          <cell r="E161" t="str">
            <v>Decimal</v>
          </cell>
          <cell r="F161" t="str">
            <v>1</v>
          </cell>
          <cell r="Y161" t="str">
            <v>Not used</v>
          </cell>
          <cell r="Z161" t="str">
            <v>no</v>
          </cell>
        </row>
        <row r="162">
          <cell r="C162" t="str">
            <v>OKTINC</v>
          </cell>
          <cell r="D162" t="str">
            <v>VAT included</v>
          </cell>
          <cell r="E162" t="str">
            <v>Decimal</v>
          </cell>
          <cell r="F162" t="str">
            <v>1</v>
          </cell>
          <cell r="Y162" t="str">
            <v>Not used</v>
          </cell>
          <cell r="Z162" t="str">
            <v>no</v>
          </cell>
        </row>
        <row r="163">
          <cell r="C163" t="str">
            <v>OKBUSE</v>
          </cell>
          <cell r="D163" t="str">
            <v>Bonus and/or commission active</v>
          </cell>
          <cell r="E163" t="str">
            <v>Decimal</v>
          </cell>
          <cell r="F163" t="str">
            <v>1</v>
          </cell>
          <cell r="Y163" t="str">
            <v>This is needed in M3, but we will set value default value = 0 using template</v>
          </cell>
          <cell r="Z163" t="str">
            <v>no</v>
          </cell>
        </row>
        <row r="164">
          <cell r="C164" t="str">
            <v>OKTCEX</v>
          </cell>
          <cell r="D164" t="str">
            <v>Included in business chain</v>
          </cell>
          <cell r="E164" t="str">
            <v>Decimal</v>
          </cell>
          <cell r="F164" t="str">
            <v>1</v>
          </cell>
          <cell r="Y164" t="str">
            <v>Calculated value inside M3</v>
          </cell>
          <cell r="Z164" t="str">
            <v>no</v>
          </cell>
        </row>
        <row r="165">
          <cell r="C165" t="str">
            <v>OKPYOP</v>
          </cell>
          <cell r="D165" t="str">
            <v>Search path - payer</v>
          </cell>
          <cell r="E165" t="str">
            <v>Decimal</v>
          </cell>
          <cell r="F165" t="str">
            <v>1</v>
          </cell>
          <cell r="Y165" t="str">
            <v>This is needed in M3, but we will set value using template</v>
          </cell>
          <cell r="Z165" t="str">
            <v>no</v>
          </cell>
        </row>
        <row r="166">
          <cell r="C166" t="str">
            <v>OKALWT</v>
          </cell>
          <cell r="D166" t="str">
            <v>Alias category</v>
          </cell>
          <cell r="E166" t="str">
            <v>Decimal</v>
          </cell>
          <cell r="F166" t="str">
            <v>2</v>
          </cell>
          <cell r="Y166" t="str">
            <v>This is needed in M3, but we will set value using template</v>
          </cell>
          <cell r="Z166" t="str">
            <v>no</v>
          </cell>
        </row>
        <row r="167">
          <cell r="C167" t="str">
            <v>OKPOPN</v>
          </cell>
          <cell r="D167" t="str">
            <v>Alias number</v>
          </cell>
          <cell r="E167" t="str">
            <v>String</v>
          </cell>
          <cell r="F167" t="str">
            <v>30</v>
          </cell>
          <cell r="Y167" t="str">
            <v>Not used</v>
          </cell>
          <cell r="Z167" t="str">
            <v>no</v>
          </cell>
        </row>
        <row r="168">
          <cell r="C168" t="str">
            <v>OKSOOP</v>
          </cell>
          <cell r="D168" t="str">
            <v>Not used</v>
          </cell>
          <cell r="E168" t="str">
            <v>Decimal</v>
          </cell>
          <cell r="F168" t="str">
            <v>1</v>
          </cell>
          <cell r="Y168" t="str">
            <v>Not used</v>
          </cell>
          <cell r="Z168" t="str">
            <v>no</v>
          </cell>
        </row>
        <row r="169">
          <cell r="C169" t="str">
            <v>OKPRS1</v>
          </cell>
          <cell r="D169" t="str">
            <v>Price list SO</v>
          </cell>
          <cell r="E169" t="str">
            <v>String</v>
          </cell>
          <cell r="F169" t="str">
            <v>10</v>
          </cell>
          <cell r="Y169" t="str">
            <v>Not used</v>
          </cell>
          <cell r="Z169" t="str">
            <v>no</v>
          </cell>
        </row>
        <row r="170">
          <cell r="C170" t="str">
            <v>OKPRS2</v>
          </cell>
          <cell r="D170" t="str">
            <v>Price list 2 SO</v>
          </cell>
          <cell r="E170" t="str">
            <v>String</v>
          </cell>
          <cell r="F170" t="str">
            <v>10</v>
          </cell>
          <cell r="Y170" t="str">
            <v>Not used</v>
          </cell>
          <cell r="Z170" t="str">
            <v>no</v>
          </cell>
        </row>
        <row r="171">
          <cell r="C171" t="str">
            <v>OKPRS3</v>
          </cell>
          <cell r="D171" t="str">
            <v>Price list 3 SO</v>
          </cell>
          <cell r="E171" t="str">
            <v>String</v>
          </cell>
          <cell r="F171" t="str">
            <v>10</v>
          </cell>
          <cell r="Y171" t="str">
            <v>Not used</v>
          </cell>
          <cell r="Z171" t="str">
            <v>no</v>
          </cell>
        </row>
        <row r="172">
          <cell r="C172" t="str">
            <v>OKPRS4</v>
          </cell>
          <cell r="D172" t="str">
            <v>Price list 4 SO</v>
          </cell>
          <cell r="E172" t="str">
            <v>String</v>
          </cell>
          <cell r="F172" t="str">
            <v>10</v>
          </cell>
          <cell r="Y172" t="str">
            <v>Not used</v>
          </cell>
          <cell r="Z172" t="str">
            <v>no</v>
          </cell>
        </row>
        <row r="173">
          <cell r="C173" t="str">
            <v>OKPRS5</v>
          </cell>
          <cell r="D173" t="str">
            <v>Price list 5 SO</v>
          </cell>
          <cell r="E173" t="str">
            <v>String</v>
          </cell>
          <cell r="F173" t="str">
            <v>10</v>
          </cell>
          <cell r="Y173" t="str">
            <v>Not used</v>
          </cell>
          <cell r="Z173" t="str">
            <v>no</v>
          </cell>
        </row>
        <row r="174">
          <cell r="C174" t="str">
            <v>OKDMSO</v>
          </cell>
          <cell r="D174" t="str">
            <v>Discount model SO</v>
          </cell>
          <cell r="E174" t="str">
            <v>String</v>
          </cell>
          <cell r="F174" t="str">
            <v>10</v>
          </cell>
          <cell r="Y174" t="str">
            <v>Not used</v>
          </cell>
          <cell r="Z174" t="str">
            <v>no</v>
          </cell>
        </row>
        <row r="175">
          <cell r="C175" t="str">
            <v>OKLSOI</v>
          </cell>
          <cell r="D175" t="str">
            <v>Last SO invoice date</v>
          </cell>
          <cell r="E175" t="str">
            <v>Decimal</v>
          </cell>
          <cell r="F175" t="str">
            <v>8</v>
          </cell>
          <cell r="Y175" t="str">
            <v>Calculated value inside M3</v>
          </cell>
          <cell r="Z175" t="str">
            <v>no</v>
          </cell>
        </row>
        <row r="176">
          <cell r="C176" t="str">
            <v>OKODUD</v>
          </cell>
          <cell r="D176" t="str">
            <v>Credit limit 4</v>
          </cell>
          <cell r="E176" t="str">
            <v>Decimal</v>
          </cell>
          <cell r="F176" t="str">
            <v>3</v>
          </cell>
          <cell r="Y176" t="str">
            <v>This is needed</v>
          </cell>
          <cell r="Z176" t="str">
            <v>yes</v>
          </cell>
          <cell r="AE176" t="str">
            <v>This field seems like it can be handled in the Template, if we need to show or it is needed by downstream applications then we would consider.</v>
          </cell>
          <cell r="AF176" t="str">
            <v>No</v>
          </cell>
        </row>
        <row r="177">
          <cell r="C177" t="str">
            <v>OKODUE</v>
          </cell>
          <cell r="D177" t="str">
            <v>Not used</v>
          </cell>
          <cell r="E177" t="str">
            <v>Decimal</v>
          </cell>
          <cell r="F177" t="str">
            <v>3</v>
          </cell>
          <cell r="Y177" t="str">
            <v>Calculated value inside M3</v>
          </cell>
          <cell r="Z177" t="str">
            <v>no</v>
          </cell>
        </row>
        <row r="178">
          <cell r="C178" t="str">
            <v>OKEALO</v>
          </cell>
          <cell r="D178" t="str">
            <v>EAN location code</v>
          </cell>
          <cell r="E178" t="str">
            <v>Decimal</v>
          </cell>
          <cell r="F178" t="str">
            <v>13</v>
          </cell>
          <cell r="Y178" t="str">
            <v>OKEALO stores the EAN location code of the customer. This is a globally unique identifier issued by the local EAN/GS1 organization and is used to identify a company or physical location in EDI and supply-chain messaging.</v>
          </cell>
          <cell r="Z178" t="str">
            <v>tbd</v>
          </cell>
          <cell r="AE178" t="str">
            <v>This appears to be an M3 only attribute.</v>
          </cell>
          <cell r="AF178" t="str">
            <v>No</v>
          </cell>
        </row>
        <row r="179">
          <cell r="C179" t="str">
            <v>OKECAR</v>
          </cell>
          <cell r="D179" t="str">
            <v>State</v>
          </cell>
          <cell r="E179" t="str">
            <v>String</v>
          </cell>
          <cell r="F179" t="str">
            <v>2</v>
          </cell>
          <cell r="Y179" t="str">
            <v>Two-digit code for State</v>
          </cell>
          <cell r="Z179" t="str">
            <v>yes</v>
          </cell>
          <cell r="AC179" t="str">
            <v>VA</v>
          </cell>
          <cell r="AE179" t="str">
            <v>Need to discuss if this is mailing, shipping or billing (That goes for all Address fields).</v>
          </cell>
          <cell r="AF179" t="str">
            <v>Yes</v>
          </cell>
        </row>
        <row r="180">
          <cell r="C180" t="str">
            <v>OKGEOC</v>
          </cell>
          <cell r="D180" t="str">
            <v>Geographical code</v>
          </cell>
          <cell r="E180" t="str">
            <v>Decimal</v>
          </cell>
          <cell r="F180" t="str">
            <v>9</v>
          </cell>
          <cell r="Y180" t="str">
            <v>If it should be used a table with codes needs to be maintained in M3 (CRS137)
As discussed with Dee/Angie on 01/07, we will pass default = 999999999. Vertex would take care of taxes calculated correctly</v>
          </cell>
          <cell r="Z180" t="str">
            <v>no</v>
          </cell>
          <cell r="AE180" t="str">
            <v>This appears to be an M3 only attribute.</v>
          </cell>
          <cell r="AF180" t="str">
            <v>No</v>
          </cell>
        </row>
        <row r="181">
          <cell r="C181" t="str">
            <v>OKTECN</v>
          </cell>
          <cell r="D181" t="str">
            <v>Tax exemption contract number</v>
          </cell>
          <cell r="E181" t="str">
            <v>String</v>
          </cell>
          <cell r="F181" t="str">
            <v>20</v>
          </cell>
          <cell r="Y181" t="str">
            <v>Vertex to manage</v>
          </cell>
          <cell r="Z181" t="str">
            <v>no</v>
          </cell>
        </row>
        <row r="182">
          <cell r="C182" t="str">
            <v>OKTEEC</v>
          </cell>
          <cell r="D182" t="str">
            <v>Tax exemption expiry date</v>
          </cell>
          <cell r="E182" t="str">
            <v>Decimal</v>
          </cell>
          <cell r="F182" t="str">
            <v>8</v>
          </cell>
          <cell r="Y182" t="str">
            <v>Vertex to manage</v>
          </cell>
          <cell r="Z182" t="str">
            <v>no</v>
          </cell>
        </row>
        <row r="183">
          <cell r="C183" t="str">
            <v>OKAGPY</v>
          </cell>
          <cell r="D183" t="str">
            <v>Payer - postal giro</v>
          </cell>
          <cell r="E183" t="str">
            <v>String</v>
          </cell>
          <cell r="F183" t="str">
            <v>18</v>
          </cell>
          <cell r="Y183" t="str">
            <v>Not used</v>
          </cell>
          <cell r="Z183" t="str">
            <v>no</v>
          </cell>
        </row>
        <row r="184">
          <cell r="C184" t="str">
            <v>OKAGCP</v>
          </cell>
          <cell r="D184" t="str">
            <v>Clearing number</v>
          </cell>
          <cell r="E184" t="str">
            <v>String</v>
          </cell>
          <cell r="F184" t="str">
            <v>5</v>
          </cell>
          <cell r="Y184" t="str">
            <v>Not used</v>
          </cell>
          <cell r="Z184" t="str">
            <v>no</v>
          </cell>
        </row>
        <row r="185">
          <cell r="C185" t="str">
            <v>OKAGAC</v>
          </cell>
          <cell r="D185" t="str">
            <v>Bank account number - postal giro</v>
          </cell>
          <cell r="E185" t="str">
            <v>String</v>
          </cell>
          <cell r="F185" t="str">
            <v>12</v>
          </cell>
          <cell r="Y185" t="str">
            <v>Not used</v>
          </cell>
          <cell r="Z185" t="str">
            <v>no</v>
          </cell>
        </row>
        <row r="186">
          <cell r="C186" t="str">
            <v>OKAGBP</v>
          </cell>
          <cell r="D186" t="str">
            <v>Payer - bank giro</v>
          </cell>
          <cell r="E186" t="str">
            <v>String</v>
          </cell>
          <cell r="F186" t="str">
            <v>16</v>
          </cell>
          <cell r="Y186" t="str">
            <v>Not used</v>
          </cell>
          <cell r="Z186" t="str">
            <v>no</v>
          </cell>
        </row>
        <row r="187">
          <cell r="C187" t="str">
            <v>OKACLB</v>
          </cell>
          <cell r="D187" t="str">
            <v>Clearing number</v>
          </cell>
          <cell r="E187" t="str">
            <v>String</v>
          </cell>
          <cell r="F187" t="str">
            <v>4</v>
          </cell>
          <cell r="Y187" t="str">
            <v>Not used</v>
          </cell>
          <cell r="Z187" t="str">
            <v>no</v>
          </cell>
        </row>
        <row r="188">
          <cell r="C188" t="str">
            <v>OKAACB</v>
          </cell>
          <cell r="D188" t="str">
            <v>Bank account number - bank giro</v>
          </cell>
          <cell r="E188" t="str">
            <v>String</v>
          </cell>
          <cell r="F188" t="str">
            <v>12</v>
          </cell>
          <cell r="Y188" t="str">
            <v>Not used</v>
          </cell>
          <cell r="Z188" t="str">
            <v>no</v>
          </cell>
        </row>
        <row r="189">
          <cell r="C189" t="str">
            <v>OKAGPN</v>
          </cell>
          <cell r="D189" t="str">
            <v>Personal ID</v>
          </cell>
          <cell r="E189" t="str">
            <v>String</v>
          </cell>
          <cell r="F189" t="str">
            <v>12</v>
          </cell>
          <cell r="Y189" t="str">
            <v>Not used</v>
          </cell>
          <cell r="Z189" t="str">
            <v>no</v>
          </cell>
        </row>
        <row r="190">
          <cell r="C190" t="str">
            <v>OKAGBG</v>
          </cell>
          <cell r="D190" t="str">
            <v>Bank giro number</v>
          </cell>
          <cell r="E190" t="str">
            <v>Decimal</v>
          </cell>
          <cell r="F190" t="str">
            <v>10</v>
          </cell>
          <cell r="Y190" t="str">
            <v>Not used</v>
          </cell>
          <cell r="Z190" t="str">
            <v>no</v>
          </cell>
        </row>
        <row r="191">
          <cell r="C191" t="str">
            <v>OKAGPG</v>
          </cell>
          <cell r="D191" t="str">
            <v>Postal giro number</v>
          </cell>
          <cell r="E191" t="str">
            <v>Decimal</v>
          </cell>
          <cell r="F191" t="str">
            <v>10</v>
          </cell>
          <cell r="Y191" t="str">
            <v>Not used</v>
          </cell>
          <cell r="Z191" t="str">
            <v>no</v>
          </cell>
        </row>
        <row r="192">
          <cell r="C192" t="str">
            <v>OKAGCA</v>
          </cell>
          <cell r="D192" t="str">
            <v>Cancellation</v>
          </cell>
          <cell r="E192" t="str">
            <v>Decimal</v>
          </cell>
          <cell r="F192" t="str">
            <v>1</v>
          </cell>
          <cell r="Y192" t="str">
            <v>Not used</v>
          </cell>
          <cell r="Z192" t="str">
            <v>no</v>
          </cell>
        </row>
        <row r="193">
          <cell r="C193" t="str">
            <v>OKAGTD</v>
          </cell>
          <cell r="D193" t="str">
            <v>Transmission date</v>
          </cell>
          <cell r="E193" t="str">
            <v>Decimal</v>
          </cell>
          <cell r="F193" t="str">
            <v>8</v>
          </cell>
          <cell r="Y193" t="str">
            <v>Not used</v>
          </cell>
          <cell r="Z193" t="str">
            <v>no</v>
          </cell>
        </row>
        <row r="194">
          <cell r="C194" t="str">
            <v>OKAGTN</v>
          </cell>
          <cell r="D194" t="str">
            <v>Transmission number</v>
          </cell>
          <cell r="E194" t="str">
            <v>Decimal</v>
          </cell>
          <cell r="F194" t="str">
            <v>10</v>
          </cell>
          <cell r="Y194" t="str">
            <v>Not used</v>
          </cell>
          <cell r="Z194" t="str">
            <v>no</v>
          </cell>
        </row>
        <row r="195">
          <cell r="C195" t="str">
            <v>OKINRC</v>
          </cell>
          <cell r="D195" t="str">
            <v>Invoice recipient</v>
          </cell>
          <cell r="E195" t="str">
            <v>String</v>
          </cell>
          <cell r="F195" t="str">
            <v>10</v>
          </cell>
          <cell r="Y195" t="str">
            <v>Specific customer number to who where the invoice will be sent (Address on invoice)
If customer is also the payer and invoice receiver this field doesn't need to be populated.</v>
          </cell>
          <cell r="Z195" t="str">
            <v>yes</v>
          </cell>
          <cell r="AE195" t="str">
            <v>Further discussion is needed, we will need to confirm that the Data Steward entering this information will know the Customer.</v>
          </cell>
          <cell r="AF195" t="str">
            <v>No</v>
          </cell>
        </row>
        <row r="196">
          <cell r="C196" t="str">
            <v>OKCESA</v>
          </cell>
          <cell r="D196" t="str">
            <v>Marketing ID - M3 SMS</v>
          </cell>
          <cell r="E196" t="str">
            <v>String</v>
          </cell>
          <cell r="F196" t="str">
            <v>32</v>
          </cell>
          <cell r="Y196" t="str">
            <v>Not used</v>
          </cell>
          <cell r="Z196" t="str">
            <v>no</v>
          </cell>
        </row>
        <row r="197">
          <cell r="C197" t="str">
            <v>OKCHSY</v>
          </cell>
          <cell r="D197" t="str">
            <v>Line charge model</v>
          </cell>
          <cell r="E197" t="str">
            <v>String</v>
          </cell>
          <cell r="F197" t="str">
            <v>10</v>
          </cell>
          <cell r="Y197" t="str">
            <v>This is needed in M3, but we will set value using template</v>
          </cell>
          <cell r="Z197" t="str">
            <v>no</v>
          </cell>
        </row>
        <row r="198">
          <cell r="C198" t="str">
            <v>OKTAXC</v>
          </cell>
          <cell r="D198" t="str">
            <v>Tax code customer/address</v>
          </cell>
          <cell r="E198" t="str">
            <v>String</v>
          </cell>
          <cell r="F198" t="str">
            <v>3</v>
          </cell>
          <cell r="Y198" t="str">
            <v>As discussed with Dee/Angie on 01/07, this value is needed. By default, we would add TAX for every customer. However if the customer is tax-exempt customer, then use should enter the code = NOT or EXE (Exact code to be confirmed by Athar)</v>
          </cell>
          <cell r="Z198" t="str">
            <v>no</v>
          </cell>
          <cell r="AC198" t="str">
            <v>TAX</v>
          </cell>
        </row>
        <row r="199">
          <cell r="C199" t="str">
            <v>OKHAFE</v>
          </cell>
          <cell r="D199" t="str">
            <v>Harbor or airport</v>
          </cell>
          <cell r="E199" t="str">
            <v>String</v>
          </cell>
          <cell r="F199" t="str">
            <v>6</v>
          </cell>
          <cell r="Y199" t="str">
            <v>Not used</v>
          </cell>
          <cell r="Z199" t="str">
            <v>no</v>
          </cell>
        </row>
        <row r="200">
          <cell r="C200" t="str">
            <v>OKOT89</v>
          </cell>
          <cell r="D200" t="str">
            <v>Check planned split</v>
          </cell>
          <cell r="E200" t="str">
            <v>Decimal</v>
          </cell>
          <cell r="F200" t="str">
            <v>1</v>
          </cell>
          <cell r="Y200" t="str">
            <v>Not used</v>
          </cell>
          <cell r="Z200" t="str">
            <v>no</v>
          </cell>
        </row>
        <row r="201">
          <cell r="C201" t="str">
            <v>OKPRDL</v>
          </cell>
          <cell r="D201" t="str">
            <v>Print delivery information</v>
          </cell>
          <cell r="E201" t="str">
            <v>Decimal</v>
          </cell>
          <cell r="F201" t="str">
            <v>1</v>
          </cell>
          <cell r="Y201" t="str">
            <v>Not used</v>
          </cell>
          <cell r="Z201" t="str">
            <v>no</v>
          </cell>
          <cell r="AC201" t="str">
            <v>1</v>
          </cell>
        </row>
        <row r="202">
          <cell r="C202" t="str">
            <v>OKMCON</v>
          </cell>
          <cell r="D202" t="str">
            <v>Mandatory entry of customer's order no.</v>
          </cell>
          <cell r="E202" t="str">
            <v>Decimal</v>
          </cell>
          <cell r="F202" t="str">
            <v>1</v>
          </cell>
          <cell r="Y202" t="str">
            <v>Not used</v>
          </cell>
          <cell r="Z202" t="str">
            <v>no</v>
          </cell>
        </row>
        <row r="203">
          <cell r="C203" t="str">
            <v>OKRAN1</v>
          </cell>
          <cell r="D203" t="str">
            <v>Fixed due date</v>
          </cell>
          <cell r="E203" t="str">
            <v>Decimal</v>
          </cell>
          <cell r="F203" t="str">
            <v>2</v>
          </cell>
          <cell r="Y203" t="str">
            <v>Not used</v>
          </cell>
          <cell r="Z203" t="str">
            <v>no</v>
          </cell>
        </row>
        <row r="204">
          <cell r="C204" t="str">
            <v>OKRAN2</v>
          </cell>
          <cell r="D204" t="str">
            <v>Fixed due date</v>
          </cell>
          <cell r="E204" t="str">
            <v>Decimal</v>
          </cell>
          <cell r="F204" t="str">
            <v>2</v>
          </cell>
          <cell r="Y204" t="str">
            <v>Not used</v>
          </cell>
          <cell r="Z204" t="str">
            <v>no</v>
          </cell>
        </row>
        <row r="205">
          <cell r="C205" t="str">
            <v>OKRAN3</v>
          </cell>
          <cell r="D205" t="str">
            <v>Fixed due date</v>
          </cell>
          <cell r="E205" t="str">
            <v>Decimal</v>
          </cell>
          <cell r="F205" t="str">
            <v>2</v>
          </cell>
          <cell r="Y205" t="str">
            <v>Not used</v>
          </cell>
          <cell r="Z205" t="str">
            <v>no</v>
          </cell>
        </row>
        <row r="206">
          <cell r="C206" t="str">
            <v>OKRAN4</v>
          </cell>
          <cell r="D206" t="str">
            <v>Fixed due date</v>
          </cell>
          <cell r="E206" t="str">
            <v>Decimal</v>
          </cell>
          <cell r="F206" t="str">
            <v>2</v>
          </cell>
          <cell r="Y206" t="str">
            <v>Not used</v>
          </cell>
          <cell r="Z206" t="str">
            <v>no</v>
          </cell>
        </row>
        <row r="207">
          <cell r="C207" t="str">
            <v>OKQUCK</v>
          </cell>
          <cell r="D207" t="str">
            <v>Quotation check</v>
          </cell>
          <cell r="E207" t="str">
            <v>Decimal</v>
          </cell>
          <cell r="F207" t="str">
            <v>1</v>
          </cell>
          <cell r="Y207" t="str">
            <v>Not used</v>
          </cell>
          <cell r="Z207" t="str">
            <v>no</v>
          </cell>
          <cell r="AC207" t="str">
            <v>2</v>
          </cell>
        </row>
        <row r="208">
          <cell r="C208" t="str">
            <v>OKIVGP</v>
          </cell>
          <cell r="D208" t="str">
            <v>Invoicing group</v>
          </cell>
          <cell r="E208" t="str">
            <v>String</v>
          </cell>
          <cell r="F208" t="str">
            <v>3</v>
          </cell>
          <cell r="Y208" t="str">
            <v>As discussed with Dee/Angie on 01/07, invoice grouping is not needed, since, we will generate invoices everyday by a scheduled job.</v>
          </cell>
          <cell r="Z208" t="str">
            <v>no</v>
          </cell>
          <cell r="AE208" t="str">
            <v>This appears to be an M3 only attribute.</v>
          </cell>
          <cell r="AF208" t="str">
            <v>No</v>
          </cell>
        </row>
        <row r="209">
          <cell r="C209" t="str">
            <v>OKACEI</v>
          </cell>
          <cell r="D209" t="str">
            <v>Advance invoicing of ECI</v>
          </cell>
          <cell r="E209" t="str">
            <v>Decimal</v>
          </cell>
          <cell r="F209" t="str">
            <v>1</v>
          </cell>
          <cell r="Y209" t="str">
            <v>Not used</v>
          </cell>
          <cell r="Z209" t="str">
            <v>no</v>
          </cell>
        </row>
        <row r="210">
          <cell r="C210" t="str">
            <v>OKVDLA</v>
          </cell>
          <cell r="D210" t="str">
            <v>Display valid delivery addresses</v>
          </cell>
          <cell r="E210" t="str">
            <v>Decimal</v>
          </cell>
          <cell r="F210" t="str">
            <v>1</v>
          </cell>
          <cell r="Y210" t="str">
            <v>This is needed in M3, but we will set default value = 0 using template</v>
          </cell>
          <cell r="Z210" t="str">
            <v>no</v>
          </cell>
        </row>
        <row r="211">
          <cell r="C211" t="str">
            <v>OKFACI</v>
          </cell>
          <cell r="D211" t="str">
            <v>Facility</v>
          </cell>
          <cell r="E211" t="str">
            <v>String</v>
          </cell>
          <cell r="F211" t="str">
            <v>3</v>
          </cell>
          <cell r="Y211" t="str">
            <v>As discussed with Dee/Angie on 01/07, we will pass default value = Corporate Faciility in this field</v>
          </cell>
          <cell r="Z211" t="str">
            <v>no</v>
          </cell>
          <cell r="AC211" t="str">
            <v>A01</v>
          </cell>
          <cell r="AE211" t="str">
            <v>This appears to be an M3 only attribute.</v>
          </cell>
          <cell r="AF211" t="str">
            <v>No</v>
          </cell>
        </row>
        <row r="212">
          <cell r="C212" t="str">
            <v>OKDTID</v>
          </cell>
          <cell r="D212" t="str">
            <v>Data identity</v>
          </cell>
          <cell r="E212" t="str">
            <v>Decimal</v>
          </cell>
          <cell r="F212" t="str">
            <v>13</v>
          </cell>
          <cell r="Y212" t="str">
            <v>Not used</v>
          </cell>
          <cell r="Z212" t="str">
            <v>no</v>
          </cell>
        </row>
        <row r="213">
          <cell r="C213" t="str">
            <v>OKDESV</v>
          </cell>
          <cell r="D213" t="str">
            <v>Alternate lang for option description</v>
          </cell>
          <cell r="E213" t="str">
            <v>String</v>
          </cell>
          <cell r="F213" t="str">
            <v>2</v>
          </cell>
          <cell r="Y213" t="str">
            <v>This is needed in M3, but we will set value using template</v>
          </cell>
          <cell r="Z213" t="str">
            <v>no</v>
          </cell>
          <cell r="AC213" t="str">
            <v>GB</v>
          </cell>
        </row>
        <row r="214">
          <cell r="C214" t="str">
            <v>OKCHCL</v>
          </cell>
          <cell r="D214" t="str">
            <v>Charge calculation</v>
          </cell>
          <cell r="E214" t="str">
            <v>Decimal</v>
          </cell>
          <cell r="F214" t="str">
            <v>1</v>
          </cell>
          <cell r="Y214" t="str">
            <v>Not used</v>
          </cell>
          <cell r="Z214" t="str">
            <v>no</v>
          </cell>
        </row>
        <row r="215">
          <cell r="C215" t="str">
            <v>OKMCOS</v>
          </cell>
          <cell r="D215" t="str">
            <v>Customer's order number mandatory</v>
          </cell>
          <cell r="E215" t="str">
            <v>Decimal</v>
          </cell>
          <cell r="F215" t="str">
            <v>1</v>
          </cell>
          <cell r="Y215" t="str">
            <v>This is needed in M3, but we will set value using template</v>
          </cell>
          <cell r="Z215" t="str">
            <v>no</v>
          </cell>
        </row>
        <row r="216">
          <cell r="C216" t="str">
            <v>OKSPLM</v>
          </cell>
          <cell r="D216" t="str">
            <v>Supply model</v>
          </cell>
          <cell r="E216" t="str">
            <v>String</v>
          </cell>
          <cell r="F216" t="str">
            <v>8</v>
          </cell>
          <cell r="Y216" t="str">
            <v>This is needed in M3, but we will set value using template</v>
          </cell>
          <cell r="Z216" t="str">
            <v>no</v>
          </cell>
        </row>
        <row r="217">
          <cell r="C217" t="str">
            <v>OKEXPT</v>
          </cell>
          <cell r="D217" t="str">
            <v>Exclude payment terms</v>
          </cell>
          <cell r="E217" t="str">
            <v>Decimal</v>
          </cell>
          <cell r="F217" t="str">
            <v>1</v>
          </cell>
          <cell r="Y217" t="str">
            <v>Not used</v>
          </cell>
          <cell r="Z217" t="str">
            <v>no</v>
          </cell>
        </row>
        <row r="218">
          <cell r="C218" t="str">
            <v>OKATPR</v>
          </cell>
          <cell r="D218" t="str">
            <v>Attribute pricing rule</v>
          </cell>
          <cell r="E218" t="str">
            <v>String</v>
          </cell>
          <cell r="F218" t="str">
            <v>1</v>
          </cell>
          <cell r="Y218" t="str">
            <v>This is needed in M3, but we will set value using template</v>
          </cell>
          <cell r="Z218" t="str">
            <v>no</v>
          </cell>
          <cell r="AC218" t="str">
            <v>1</v>
          </cell>
        </row>
        <row r="219">
          <cell r="C219" t="str">
            <v>OKACGR</v>
          </cell>
          <cell r="D219" t="str">
            <v>Object access group</v>
          </cell>
          <cell r="E219" t="str">
            <v>String</v>
          </cell>
          <cell r="F219" t="str">
            <v>10</v>
          </cell>
          <cell r="Y219" t="str">
            <v>Not used (Connected to security)</v>
          </cell>
          <cell r="Z219" t="str">
            <v>no</v>
          </cell>
        </row>
        <row r="220">
          <cell r="C220" t="str">
            <v>OKSTMS</v>
          </cell>
          <cell r="D220" t="str">
            <v>Statement code</v>
          </cell>
          <cell r="E220" t="str">
            <v>Decimal</v>
          </cell>
          <cell r="F220" t="str">
            <v>1</v>
          </cell>
          <cell r="Y220" t="str">
            <v>This is needed in M3, but we will set value using template</v>
          </cell>
          <cell r="Z220" t="str">
            <v>no</v>
          </cell>
          <cell r="AC220" t="str">
            <v>3</v>
          </cell>
        </row>
        <row r="221">
          <cell r="C221" t="str">
            <v>OKSTMR</v>
          </cell>
          <cell r="D221" t="str">
            <v>Statement rule</v>
          </cell>
          <cell r="E221" t="str">
            <v>String</v>
          </cell>
          <cell r="F221" t="str">
            <v>3</v>
          </cell>
          <cell r="Y221" t="str">
            <v>This is needed in M3, but we will set value using template</v>
          </cell>
          <cell r="Z221" t="str">
            <v>no</v>
          </cell>
          <cell r="AC221" t="str">
            <v>Z01</v>
          </cell>
        </row>
        <row r="222">
          <cell r="C222" t="str">
            <v>OKBCKO</v>
          </cell>
          <cell r="D222" t="str">
            <v>Backorder</v>
          </cell>
          <cell r="E222" t="str">
            <v>Decimal</v>
          </cell>
          <cell r="F222" t="str">
            <v>1</v>
          </cell>
          <cell r="Y222" t="str">
            <v>This is needed in M3, but we will set value using template</v>
          </cell>
          <cell r="Z222" t="str">
            <v>no</v>
          </cell>
          <cell r="AC222" t="str">
            <v>1</v>
          </cell>
        </row>
        <row r="223">
          <cell r="C223" t="str">
            <v>OKPADL</v>
          </cell>
          <cell r="D223" t="str">
            <v>Partial delivery</v>
          </cell>
          <cell r="E223" t="str">
            <v>Decimal</v>
          </cell>
          <cell r="F223" t="str">
            <v>1</v>
          </cell>
          <cell r="Y223" t="str">
            <v>This is needed in M3, but we will set value using template</v>
          </cell>
          <cell r="Z223" t="str">
            <v>no</v>
          </cell>
          <cell r="AC223" t="str">
            <v>1</v>
          </cell>
        </row>
        <row r="224">
          <cell r="C224" t="str">
            <v>OKTOWN</v>
          </cell>
          <cell r="D224" t="str">
            <v>City</v>
          </cell>
          <cell r="E224" t="str">
            <v>String</v>
          </cell>
          <cell r="F224" t="str">
            <v>20</v>
          </cell>
          <cell r="Y224" t="str">
            <v>Name of the City (20 pos)</v>
          </cell>
          <cell r="Z224" t="str">
            <v>yes</v>
          </cell>
          <cell r="AC224" t="str">
            <v>WINCHESTER</v>
          </cell>
          <cell r="AE224" t="str">
            <v>Need to discuss if this is mailing, shipping or billing (That goes for all Address fields).</v>
          </cell>
          <cell r="AF224" t="str">
            <v>Yes</v>
          </cell>
        </row>
        <row r="225">
          <cell r="C225" t="str">
            <v>OKADVI</v>
          </cell>
          <cell r="D225" t="str">
            <v>Ship-via address</v>
          </cell>
          <cell r="E225" t="str">
            <v>String</v>
          </cell>
          <cell r="F225" t="str">
            <v>6</v>
          </cell>
          <cell r="Y225" t="str">
            <v>Only applicable if Ship via addresses is used and predefined per customer. Ship via can also be defined on routes and in separate control table (MWS190).
As discussed with Kyle, we don't have Ship via for any customer</v>
          </cell>
          <cell r="Z225" t="str">
            <v>no</v>
          </cell>
          <cell r="AE225" t="str">
            <v>This appears to be an M3 only attribute.</v>
          </cell>
          <cell r="AF225" t="str">
            <v>No</v>
          </cell>
        </row>
        <row r="226">
          <cell r="C226" t="str">
            <v>OKESAL</v>
          </cell>
          <cell r="D226" t="str">
            <v>E-Sales customer</v>
          </cell>
          <cell r="E226" t="str">
            <v>Decimal</v>
          </cell>
          <cell r="F226" t="str">
            <v>1</v>
          </cell>
          <cell r="Y226" t="str">
            <v>Not used</v>
          </cell>
          <cell r="Z226" t="str">
            <v>no</v>
          </cell>
        </row>
        <row r="227">
          <cell r="C227" t="str">
            <v>OKRGDT</v>
          </cell>
          <cell r="D227" t="str">
            <v>Entry date</v>
          </cell>
          <cell r="E227" t="str">
            <v>Decimal</v>
          </cell>
          <cell r="F227" t="str">
            <v>8</v>
          </cell>
          <cell r="Y227" t="str">
            <v>Not used (Set automatically in the database when record created)</v>
          </cell>
          <cell r="Z227" t="str">
            <v>no</v>
          </cell>
        </row>
        <row r="228">
          <cell r="C228" t="str">
            <v>OKRGTM</v>
          </cell>
          <cell r="D228" t="str">
            <v>Entry time</v>
          </cell>
          <cell r="E228" t="str">
            <v>Decimal</v>
          </cell>
          <cell r="F228" t="str">
            <v>6</v>
          </cell>
          <cell r="Y228" t="str">
            <v>Not used (Set automatically in the database when record created)</v>
          </cell>
          <cell r="Z228" t="str">
            <v>no</v>
          </cell>
        </row>
        <row r="229">
          <cell r="C229" t="str">
            <v>OKLMDT</v>
          </cell>
          <cell r="D229" t="str">
            <v>Change date</v>
          </cell>
          <cell r="E229" t="str">
            <v>Decimal</v>
          </cell>
          <cell r="F229" t="str">
            <v>8</v>
          </cell>
          <cell r="Y229" t="str">
            <v>Not used (Set automatically in the database when record created)</v>
          </cell>
          <cell r="Z229" t="str">
            <v>no</v>
          </cell>
        </row>
        <row r="230">
          <cell r="C230" t="str">
            <v>OKCHNO</v>
          </cell>
          <cell r="D230" t="str">
            <v>Change number</v>
          </cell>
          <cell r="E230" t="str">
            <v>Decimal</v>
          </cell>
          <cell r="F230" t="str">
            <v>3</v>
          </cell>
          <cell r="Y230" t="str">
            <v>Not used (Set automatically in the database when record created)</v>
          </cell>
          <cell r="Z230" t="str">
            <v>no</v>
          </cell>
        </row>
        <row r="231">
          <cell r="C231" t="str">
            <v>OKCHID</v>
          </cell>
          <cell r="D231" t="str">
            <v>Changed by</v>
          </cell>
          <cell r="E231" t="str">
            <v>String</v>
          </cell>
          <cell r="F231" t="str">
            <v>10</v>
          </cell>
          <cell r="Y231" t="str">
            <v>Not used (Set automatically in the database when record created)</v>
          </cell>
          <cell r="Z231" t="str">
            <v>no</v>
          </cell>
        </row>
        <row r="232">
          <cell r="C232" t="str">
            <v>OKLMTS</v>
          </cell>
          <cell r="D232" t="str">
            <v>Timestamp</v>
          </cell>
          <cell r="E232" t="str">
            <v>Decimal</v>
          </cell>
          <cell r="F232" t="str">
            <v>18</v>
          </cell>
          <cell r="Y232" t="str">
            <v>Not used (Set automatically in the database when record created)</v>
          </cell>
          <cell r="Z232" t="str">
            <v>no</v>
          </cell>
        </row>
        <row r="233">
          <cell r="C233" t="str">
            <v>OKSCED</v>
          </cell>
          <cell r="D233" t="str">
            <v>Delivery regrouping</v>
          </cell>
          <cell r="E233" t="str">
            <v>Decimal</v>
          </cell>
          <cell r="F233" t="str">
            <v>1</v>
          </cell>
          <cell r="Y233" t="str">
            <v>Not used</v>
          </cell>
          <cell r="Z233" t="str">
            <v>no</v>
          </cell>
        </row>
        <row r="234">
          <cell r="C234" t="str">
            <v>OKOT86</v>
          </cell>
          <cell r="D234" t="str">
            <v>External prices</v>
          </cell>
          <cell r="E234" t="str">
            <v>Decimal</v>
          </cell>
          <cell r="F234" t="str">
            <v>1</v>
          </cell>
          <cell r="Y234" t="str">
            <v>This is needed in M3, but we will set default value = 0 using template</v>
          </cell>
          <cell r="Z234" t="str">
            <v>no</v>
          </cell>
        </row>
        <row r="235">
          <cell r="C235" t="str">
            <v>OKBOP1</v>
          </cell>
          <cell r="D235" t="str">
            <v>Automatic closing</v>
          </cell>
          <cell r="E235" t="str">
            <v>Decimal</v>
          </cell>
          <cell r="F235" t="str">
            <v>1</v>
          </cell>
          <cell r="Y235" t="str">
            <v>This is needed</v>
          </cell>
          <cell r="Z235" t="str">
            <v>yes</v>
          </cell>
          <cell r="AE235" t="str">
            <v>This field seems like it can be handled in the Template, if we need to show or it is needed by downstream applications then we would consider.</v>
          </cell>
          <cell r="AF235" t="str">
            <v>No</v>
          </cell>
        </row>
        <row r="236">
          <cell r="C236" t="str">
            <v>OKRPLT</v>
          </cell>
          <cell r="D236" t="str">
            <v>Rental price list table</v>
          </cell>
          <cell r="E236" t="str">
            <v>String</v>
          </cell>
          <cell r="F236" t="str">
            <v>10</v>
          </cell>
          <cell r="Y236" t="str">
            <v>Not used</v>
          </cell>
          <cell r="Z236" t="str">
            <v>no</v>
          </cell>
        </row>
        <row r="237">
          <cell r="C237" t="str">
            <v>OKRDIS</v>
          </cell>
          <cell r="D237" t="str">
            <v>Rental discount model</v>
          </cell>
          <cell r="E237" t="str">
            <v>String</v>
          </cell>
          <cell r="F237" t="str">
            <v>10</v>
          </cell>
          <cell r="Y237" t="str">
            <v>Not used</v>
          </cell>
          <cell r="Z237" t="str">
            <v>no</v>
          </cell>
        </row>
        <row r="238">
          <cell r="C238" t="str">
            <v>OKRPYN</v>
          </cell>
          <cell r="D238" t="str">
            <v>Rental payer</v>
          </cell>
          <cell r="E238" t="str">
            <v>String</v>
          </cell>
          <cell r="F238" t="str">
            <v>10</v>
          </cell>
          <cell r="Y238" t="str">
            <v>Not used</v>
          </cell>
          <cell r="Z238" t="str">
            <v>no</v>
          </cell>
        </row>
        <row r="239">
          <cell r="C239" t="str">
            <v>OKRTEP</v>
          </cell>
          <cell r="D239" t="str">
            <v>Rental payment terms</v>
          </cell>
          <cell r="E239" t="str">
            <v>String</v>
          </cell>
          <cell r="F239" t="str">
            <v>3</v>
          </cell>
          <cell r="Y239" t="str">
            <v>Not used</v>
          </cell>
          <cell r="Z239" t="str">
            <v>no</v>
          </cell>
        </row>
        <row r="240">
          <cell r="C240" t="str">
            <v>OKRSMC</v>
          </cell>
          <cell r="D240" t="str">
            <v>Rental salesperson</v>
          </cell>
          <cell r="E240" t="str">
            <v>String</v>
          </cell>
          <cell r="F240" t="str">
            <v>10</v>
          </cell>
          <cell r="Y240" t="str">
            <v>Not used</v>
          </cell>
          <cell r="Z240" t="str">
            <v>no</v>
          </cell>
        </row>
        <row r="241">
          <cell r="C241" t="str">
            <v>OKTRSU</v>
          </cell>
          <cell r="D241" t="str">
            <v>Trade-in supplier</v>
          </cell>
          <cell r="E241" t="str">
            <v>String</v>
          </cell>
          <cell r="F241" t="str">
            <v>10</v>
          </cell>
          <cell r="Y241" t="str">
            <v>Not used</v>
          </cell>
          <cell r="Z241" t="str">
            <v>no</v>
          </cell>
        </row>
        <row r="242">
          <cell r="C242" t="str">
            <v>OKAOTP</v>
          </cell>
          <cell r="D242" t="str">
            <v>Agreement order type</v>
          </cell>
          <cell r="E242" t="str">
            <v>String</v>
          </cell>
          <cell r="F242" t="str">
            <v>3</v>
          </cell>
          <cell r="Y242" t="str">
            <v>Not used</v>
          </cell>
          <cell r="Z242" t="str">
            <v>no</v>
          </cell>
        </row>
        <row r="243">
          <cell r="C243" t="str">
            <v>OKFRCO</v>
          </cell>
          <cell r="D243" t="str">
            <v>County ID</v>
          </cell>
          <cell r="E243" t="str">
            <v>String</v>
          </cell>
          <cell r="F243" t="str">
            <v>7</v>
          </cell>
          <cell r="Y243" t="str">
            <v>Not used</v>
          </cell>
          <cell r="Z243" t="str">
            <v>no</v>
          </cell>
        </row>
        <row r="244">
          <cell r="C244" t="str">
            <v>OKSPLE</v>
          </cell>
          <cell r="D244" t="str">
            <v>Standard point location code</v>
          </cell>
          <cell r="E244" t="str">
            <v>String</v>
          </cell>
          <cell r="F244" t="str">
            <v>10</v>
          </cell>
          <cell r="Y244" t="str">
            <v>OKSPLE stores the Standard Point Location Code (SPLC), which is a nine-digit geographical location code used in North America to identify origin or destination points in logistics and transportation processes.
As discussed with Kyle, we don't have SPLE for any customer</v>
          </cell>
          <cell r="Z244" t="str">
            <v>no</v>
          </cell>
          <cell r="AE244" t="str">
            <v>This appears to be an M3 only attribute.</v>
          </cell>
          <cell r="AF244" t="str">
            <v>No</v>
          </cell>
        </row>
        <row r="245">
          <cell r="C245" t="str">
            <v>OKRASN</v>
          </cell>
          <cell r="D245" t="str">
            <v>Rail station</v>
          </cell>
          <cell r="E245" t="str">
            <v>String</v>
          </cell>
          <cell r="F245" t="str">
            <v>10</v>
          </cell>
          <cell r="Y245" t="str">
            <v>Not used</v>
          </cell>
          <cell r="Z245" t="str">
            <v>no</v>
          </cell>
        </row>
        <row r="246">
          <cell r="C246" t="str">
            <v>OKST75</v>
          </cell>
          <cell r="D246" t="str">
            <v>Rental rate type</v>
          </cell>
          <cell r="E246" t="str">
            <v>String</v>
          </cell>
          <cell r="F246" t="str">
            <v>1</v>
          </cell>
          <cell r="Y246" t="str">
            <v>Not used</v>
          </cell>
          <cell r="Z246" t="str">
            <v>no</v>
          </cell>
        </row>
        <row r="247">
          <cell r="C247" t="str">
            <v>OKST76</v>
          </cell>
          <cell r="D247" t="str">
            <v>Number of shifts</v>
          </cell>
          <cell r="E247" t="str">
            <v>Decimal</v>
          </cell>
          <cell r="F247" t="str">
            <v>1</v>
          </cell>
          <cell r="Y247" t="str">
            <v>Not used</v>
          </cell>
          <cell r="Z247" t="str">
            <v>no</v>
          </cell>
        </row>
        <row r="248">
          <cell r="C248" t="str">
            <v>OKST77</v>
          </cell>
          <cell r="D248" t="str">
            <v>Number of days per week</v>
          </cell>
          <cell r="E248" t="str">
            <v>Decimal</v>
          </cell>
          <cell r="F248" t="str">
            <v>1</v>
          </cell>
          <cell r="Y248" t="str">
            <v>Not used</v>
          </cell>
          <cell r="Z248" t="str">
            <v>no</v>
          </cell>
        </row>
        <row r="249">
          <cell r="C249" t="str">
            <v>OKST78</v>
          </cell>
          <cell r="D249" t="str">
            <v>Minimum days/week to invoice a week</v>
          </cell>
          <cell r="E249" t="str">
            <v>Decimal</v>
          </cell>
          <cell r="F249" t="str">
            <v>1</v>
          </cell>
          <cell r="Y249" t="str">
            <v>Not used</v>
          </cell>
          <cell r="Z249" t="str">
            <v>no</v>
          </cell>
        </row>
        <row r="250">
          <cell r="C250" t="str">
            <v>OKRAFA</v>
          </cell>
          <cell r="D250" t="str">
            <v>Rate factor</v>
          </cell>
          <cell r="E250" t="str">
            <v>Decimal</v>
          </cell>
          <cell r="F250" t="str">
            <v>1</v>
          </cell>
          <cell r="Y250" t="str">
            <v>Not used</v>
          </cell>
          <cell r="Z250" t="str">
            <v>no</v>
          </cell>
        </row>
        <row r="251">
          <cell r="C251" t="str">
            <v>OKMRTP</v>
          </cell>
          <cell r="D251" t="str">
            <v>Minimum rental type</v>
          </cell>
          <cell r="E251" t="str">
            <v>String</v>
          </cell>
          <cell r="F251" t="str">
            <v>1</v>
          </cell>
          <cell r="Y251" t="str">
            <v>Not used</v>
          </cell>
          <cell r="Z251" t="str">
            <v>no</v>
          </cell>
        </row>
        <row r="252">
          <cell r="C252" t="str">
            <v>OKMINV</v>
          </cell>
          <cell r="D252" t="str">
            <v>Minimum order value</v>
          </cell>
          <cell r="E252" t="str">
            <v>Decimal</v>
          </cell>
          <cell r="F252" t="str">
            <v>15</v>
          </cell>
          <cell r="Y252" t="str">
            <v>Not used</v>
          </cell>
          <cell r="Z252" t="str">
            <v>no</v>
          </cell>
        </row>
        <row r="253">
          <cell r="C253" t="str">
            <v>OKMIHP</v>
          </cell>
          <cell r="D253" t="str">
            <v>Minimum rental period</v>
          </cell>
          <cell r="E253" t="str">
            <v>Decimal</v>
          </cell>
          <cell r="F253" t="str">
            <v>8</v>
          </cell>
          <cell r="Y253" t="str">
            <v>Not used</v>
          </cell>
          <cell r="Z253" t="str">
            <v>no</v>
          </cell>
        </row>
        <row r="254">
          <cell r="C254" t="str">
            <v>OKRTYR</v>
          </cell>
          <cell r="D254" t="str">
            <v>Return years - open agreement</v>
          </cell>
          <cell r="E254" t="str">
            <v>Decimal</v>
          </cell>
          <cell r="F254" t="str">
            <v>2</v>
          </cell>
          <cell r="Y254" t="str">
            <v>Not used</v>
          </cell>
          <cell r="Z254" t="str">
            <v>no</v>
          </cell>
        </row>
        <row r="255">
          <cell r="C255" t="str">
            <v>OKRTMO</v>
          </cell>
          <cell r="D255" t="str">
            <v>Return months - open agreement</v>
          </cell>
          <cell r="E255" t="str">
            <v>Decimal</v>
          </cell>
          <cell r="F255" t="str">
            <v>2</v>
          </cell>
          <cell r="Y255" t="str">
            <v>Not used</v>
          </cell>
          <cell r="Z255" t="str">
            <v>no</v>
          </cell>
        </row>
        <row r="256">
          <cell r="C256" t="str">
            <v>OKIIYR</v>
          </cell>
          <cell r="D256" t="str">
            <v>Invoicing interval - years</v>
          </cell>
          <cell r="E256" t="str">
            <v>Decimal</v>
          </cell>
          <cell r="F256" t="str">
            <v>2</v>
          </cell>
          <cell r="Y256" t="str">
            <v>Not used</v>
          </cell>
          <cell r="Z256" t="str">
            <v>no</v>
          </cell>
        </row>
        <row r="257">
          <cell r="C257" t="str">
            <v>OKIIMO</v>
          </cell>
          <cell r="D257" t="str">
            <v>Invoicing interval - months</v>
          </cell>
          <cell r="E257" t="str">
            <v>Decimal</v>
          </cell>
          <cell r="F257" t="str">
            <v>2</v>
          </cell>
          <cell r="Y257" t="str">
            <v>Not used</v>
          </cell>
          <cell r="Z257" t="str">
            <v>no</v>
          </cell>
        </row>
        <row r="258">
          <cell r="C258" t="str">
            <v>OKIIDA</v>
          </cell>
          <cell r="D258" t="str">
            <v>Invoicing interval - days</v>
          </cell>
          <cell r="E258" t="str">
            <v>Decimal</v>
          </cell>
          <cell r="F258" t="str">
            <v>2</v>
          </cell>
          <cell r="Y258" t="str">
            <v>Not used</v>
          </cell>
          <cell r="Z258" t="str">
            <v>no</v>
          </cell>
        </row>
        <row r="259">
          <cell r="C259" t="str">
            <v>OKDPOT</v>
          </cell>
          <cell r="D259" t="str">
            <v>Rental depot</v>
          </cell>
          <cell r="E259" t="str">
            <v>String</v>
          </cell>
          <cell r="F259" t="str">
            <v>3</v>
          </cell>
          <cell r="Y259" t="str">
            <v>Not used</v>
          </cell>
          <cell r="Z259" t="str">
            <v>no</v>
          </cell>
        </row>
        <row r="260">
          <cell r="C260" t="str">
            <v>OKDPCD</v>
          </cell>
          <cell r="D260" t="str">
            <v>Pricing and discount setting</v>
          </cell>
          <cell r="E260" t="str">
            <v>Decimal</v>
          </cell>
          <cell r="F260" t="str">
            <v>1</v>
          </cell>
          <cell r="Y260" t="str">
            <v>This is needed in M3, but we will set value using template</v>
          </cell>
          <cell r="Z260" t="str">
            <v>no</v>
          </cell>
        </row>
        <row r="261">
          <cell r="C261" t="str">
            <v>OKOOTP</v>
          </cell>
          <cell r="D261" t="str">
            <v>Override order type</v>
          </cell>
          <cell r="E261" t="str">
            <v>Decimal</v>
          </cell>
          <cell r="F261" t="str">
            <v>1</v>
          </cell>
          <cell r="Y261" t="str">
            <v>This is needed in M3, but we will set value using template</v>
          </cell>
          <cell r="Z261" t="str">
            <v>no</v>
          </cell>
        </row>
        <row r="262">
          <cell r="C262" t="str">
            <v>OKHIFD</v>
          </cell>
          <cell r="D262" t="str">
            <v>Hold invoice until fully delivered</v>
          </cell>
          <cell r="E262" t="str">
            <v>Decimal</v>
          </cell>
          <cell r="F262" t="str">
            <v>1</v>
          </cell>
          <cell r="Y262" t="str">
            <v>This is needed in M3, but we will set value using template</v>
          </cell>
          <cell r="Z262" t="str">
            <v>no</v>
          </cell>
        </row>
        <row r="263">
          <cell r="C263" t="str">
            <v>OKENCD</v>
          </cell>
          <cell r="D263" t="str">
            <v>Use code</v>
          </cell>
          <cell r="E263" t="str">
            <v>String</v>
          </cell>
          <cell r="F263" t="str">
            <v>2</v>
          </cell>
          <cell r="Y263" t="str">
            <v>Vertex to manage</v>
          </cell>
          <cell r="Z263" t="str">
            <v>no</v>
          </cell>
        </row>
        <row r="264">
          <cell r="C264" t="str">
            <v>OKSEOL</v>
          </cell>
          <cell r="D264" t="str">
            <v>Select oldest</v>
          </cell>
          <cell r="E264" t="str">
            <v>Decimal</v>
          </cell>
          <cell r="F264" t="str">
            <v>1</v>
          </cell>
          <cell r="Y264" t="str">
            <v>Not used</v>
          </cell>
          <cell r="Z264" t="str">
            <v>no</v>
          </cell>
        </row>
        <row r="265">
          <cell r="C265" t="str">
            <v>OKPYGR</v>
          </cell>
          <cell r="D265" t="str">
            <v>Credit group</v>
          </cell>
          <cell r="E265" t="str">
            <v>String</v>
          </cell>
          <cell r="F265" t="str">
            <v>10</v>
          </cell>
          <cell r="Y265" t="str">
            <v>As discussed with Dee/Angie on 01/07, this is not needed in MDM. However, it will be updated in M3 as part of the enrichment process</v>
          </cell>
          <cell r="Z265" t="str">
            <v>no</v>
          </cell>
          <cell r="AE265" t="str">
            <v>This appears to be an M3 only attribute.</v>
          </cell>
          <cell r="AF265" t="str">
            <v>No</v>
          </cell>
        </row>
        <row r="266">
          <cell r="C266" t="str">
            <v>OKSETA</v>
          </cell>
          <cell r="D266" t="str">
            <v>Tax regime</v>
          </cell>
          <cell r="E266" t="str">
            <v>String</v>
          </cell>
          <cell r="F266" t="str">
            <v>3</v>
          </cell>
          <cell r="Y266" t="str">
            <v>Vertex to manage</v>
          </cell>
          <cell r="Z266" t="str">
            <v>no</v>
          </cell>
        </row>
        <row r="267">
          <cell r="C267" t="str">
            <v>OKTAGY</v>
          </cell>
          <cell r="D267" t="str">
            <v>Trade agreement model</v>
          </cell>
          <cell r="E267" t="str">
            <v>String</v>
          </cell>
          <cell r="F267" t="str">
            <v>10</v>
          </cell>
          <cell r="Y267" t="str">
            <v>This is needed in M3, but we will set value using template</v>
          </cell>
          <cell r="Z267" t="str">
            <v>no</v>
          </cell>
        </row>
        <row r="268">
          <cell r="C268" t="str">
            <v>OKOPAY</v>
          </cell>
          <cell r="D268" t="str">
            <v>Accounts payable payout</v>
          </cell>
          <cell r="E268" t="str">
            <v>Decimal</v>
          </cell>
          <cell r="F268" t="str">
            <v>1</v>
          </cell>
          <cell r="Y268" t="str">
            <v>This is needed in M3, but we will set value = 1 most probably using template. Finance team</v>
          </cell>
          <cell r="Z268" t="str">
            <v>no</v>
          </cell>
        </row>
        <row r="269">
          <cell r="C269" t="str">
            <v>OKCASC</v>
          </cell>
          <cell r="D269" t="str">
            <v>Cash customer</v>
          </cell>
          <cell r="E269" t="str">
            <v>Decimal</v>
          </cell>
          <cell r="F269" t="str">
            <v>1</v>
          </cell>
          <cell r="Y269" t="str">
            <v>Not used</v>
          </cell>
          <cell r="Z269" t="str">
            <v>no</v>
          </cell>
        </row>
        <row r="270">
          <cell r="C270" t="str">
            <v>OKRCPP</v>
          </cell>
          <cell r="D270" t="str">
            <v>Payment receipt document</v>
          </cell>
          <cell r="E270" t="str">
            <v>Decimal</v>
          </cell>
          <cell r="F270" t="str">
            <v>1</v>
          </cell>
          <cell r="Y270" t="str">
            <v>This is needed in M3, but we will set value using template</v>
          </cell>
          <cell r="Z270" t="str">
            <v>no</v>
          </cell>
        </row>
        <row r="271">
          <cell r="C271" t="str">
            <v>OKEXDF</v>
          </cell>
          <cell r="D271" t="str">
            <v>Exclude doubtful allowance</v>
          </cell>
          <cell r="E271" t="str">
            <v>Decimal</v>
          </cell>
          <cell r="F271" t="str">
            <v>1</v>
          </cell>
          <cell r="Y271" t="str">
            <v>This is needed in M3, but we will set value using template</v>
          </cell>
          <cell r="Z271" t="str">
            <v>no</v>
          </cell>
        </row>
        <row r="272">
          <cell r="Z272" t="str">
            <v>no</v>
          </cell>
        </row>
        <row r="273">
          <cell r="C273" t="str">
            <v>OPCONO</v>
          </cell>
          <cell r="D273" t="str">
            <v>Company</v>
          </cell>
          <cell r="E273" t="str">
            <v>Decimal</v>
          </cell>
          <cell r="F273" t="str">
            <v>3</v>
          </cell>
          <cell r="Y273" t="str">
            <v>Field is not maintained. CONO aut populated based upon the system set up</v>
          </cell>
          <cell r="Z273" t="str">
            <v>no</v>
          </cell>
        </row>
        <row r="274">
          <cell r="C274" t="str">
            <v>OPDIVI</v>
          </cell>
          <cell r="D274" t="str">
            <v>Division</v>
          </cell>
          <cell r="E274" t="str">
            <v>String</v>
          </cell>
          <cell r="F274" t="str">
            <v>3</v>
          </cell>
          <cell r="Y274" t="str">
            <v>Field not used - Always blank (Customer Master is global)</v>
          </cell>
          <cell r="Z274" t="str">
            <v>no</v>
          </cell>
        </row>
        <row r="275">
          <cell r="C275" t="str">
            <v>OPCUNO</v>
          </cell>
          <cell r="D275" t="str">
            <v>Customer</v>
          </cell>
          <cell r="E275" t="str">
            <v>String</v>
          </cell>
          <cell r="F275" t="str">
            <v>10</v>
          </cell>
          <cell r="Y275" t="str">
            <v>When an address is created it's tied to a customer number</v>
          </cell>
          <cell r="Z275" t="str">
            <v>yes</v>
          </cell>
          <cell r="AE275" t="str">
            <v>Is this a duplicate field?</v>
          </cell>
          <cell r="AF275" t="str">
            <v>Yes</v>
          </cell>
          <cell r="AG275" t="str">
            <v>ID</v>
          </cell>
        </row>
        <row r="276">
          <cell r="C276" t="str">
            <v>OPADRT</v>
          </cell>
          <cell r="D276" t="str">
            <v>Address type</v>
          </cell>
          <cell r="E276" t="str">
            <v>Decimal</v>
          </cell>
          <cell r="F276" t="str">
            <v>2</v>
          </cell>
          <cell r="Y276" t="str">
            <v>This is needed</v>
          </cell>
          <cell r="Z276" t="str">
            <v>yes</v>
          </cell>
          <cell r="AE276" t="str">
            <v>Need to discuss address fields. In MDM, we have separate fields for mailing, shipping, billing, etc but no address type field.</v>
          </cell>
          <cell r="AF276" t="str">
            <v>No</v>
          </cell>
        </row>
        <row r="277">
          <cell r="C277" t="str">
            <v>OPADID</v>
          </cell>
          <cell r="D277" t="str">
            <v>Address number</v>
          </cell>
          <cell r="E277" t="str">
            <v>String</v>
          </cell>
          <cell r="F277" t="str">
            <v>6</v>
          </cell>
          <cell r="Y277" t="str">
            <v>Address number tied to the customer. (6 pos Alpha)</v>
          </cell>
          <cell r="Z277" t="str">
            <v>yes</v>
          </cell>
          <cell r="AE277" t="str">
            <v>Need to discuss address fields. In MDM, we have separate fields for mailing, shipping, billing, etc but no address type field.</v>
          </cell>
          <cell r="AF277" t="str">
            <v>No</v>
          </cell>
        </row>
        <row r="278">
          <cell r="C278" t="str">
            <v>OPCUNM</v>
          </cell>
          <cell r="D278" t="str">
            <v>Name</v>
          </cell>
          <cell r="E278" t="str">
            <v>String</v>
          </cell>
          <cell r="F278" t="str">
            <v>36</v>
          </cell>
          <cell r="Y278" t="str">
            <v>Name on address (36 pos)</v>
          </cell>
          <cell r="Z278" t="str">
            <v>yes</v>
          </cell>
          <cell r="AE278" t="str">
            <v>Need to discuss address fields. In MDM, we have separate fields for mailing, shipping, billing, etc but no address type field.</v>
          </cell>
          <cell r="AF278" t="str">
            <v>No</v>
          </cell>
        </row>
        <row r="279">
          <cell r="C279" t="str">
            <v>OPCUA1</v>
          </cell>
          <cell r="D279" t="str">
            <v>Address line 1</v>
          </cell>
          <cell r="E279" t="str">
            <v>String</v>
          </cell>
          <cell r="F279" t="str">
            <v>36</v>
          </cell>
          <cell r="Y279" t="str">
            <v>Address line 1 (36 pos)</v>
          </cell>
          <cell r="Z279" t="str">
            <v>yes</v>
          </cell>
          <cell r="AE279" t="str">
            <v>Need to discuss address fields. In MDM, we have separate fields for mailing, shipping, billing, etc but no address type field.</v>
          </cell>
          <cell r="AF279" t="str">
            <v>No</v>
          </cell>
        </row>
        <row r="280">
          <cell r="C280" t="str">
            <v>OPCUA2</v>
          </cell>
          <cell r="D280" t="str">
            <v>Address line 2</v>
          </cell>
          <cell r="E280" t="str">
            <v>String</v>
          </cell>
          <cell r="F280" t="str">
            <v>36</v>
          </cell>
          <cell r="Y280" t="str">
            <v>Address line 2 (36 pos)</v>
          </cell>
          <cell r="Z280" t="str">
            <v>yes</v>
          </cell>
          <cell r="AE280" t="str">
            <v>Need to discuss address fields. In MDM, we have separate fields for mailing, shipping, billing, etc but no address type field.</v>
          </cell>
          <cell r="AF280" t="str">
            <v>No</v>
          </cell>
        </row>
        <row r="281">
          <cell r="C281" t="str">
            <v>OPCUA3</v>
          </cell>
          <cell r="D281" t="str">
            <v>Address line 3</v>
          </cell>
          <cell r="E281" t="str">
            <v>String</v>
          </cell>
          <cell r="F281" t="str">
            <v>36</v>
          </cell>
          <cell r="Y281" t="str">
            <v>Depending on the address formating rule in M3 (CRS117) If auto formatted you can't populate it manually.
We will use if this if OPCUA1 and OPCUA2 is not sufficient. Please note that we have seperate fields for city, state, country, postal code. We don't need to save those values in OPCUA1, OPCUA2.</v>
          </cell>
          <cell r="Z281" t="str">
            <v>No</v>
          </cell>
          <cell r="AE281" t="str">
            <v>Need to discuss address fields. In MDM, we have separate fields for mailing, shipping, billing, etc but no address type field.</v>
          </cell>
          <cell r="AF281" t="str">
            <v>No</v>
          </cell>
        </row>
        <row r="282">
          <cell r="C282" t="str">
            <v>OPCUA4</v>
          </cell>
          <cell r="D282" t="str">
            <v>Address line 4</v>
          </cell>
          <cell r="E282" t="str">
            <v>String</v>
          </cell>
          <cell r="F282" t="str">
            <v>36</v>
          </cell>
          <cell r="Y282" t="str">
            <v>Depending on the address formating rule in M3 (CRS117) If auto formatted you can't populate it manually.
We will use if this if OPCUA1 and OPCUA2 is not sufficient. Please note that we have seperate fields for city, state, country, postal code. We don't need to save those values in OPCUA1, OPCUA2.</v>
          </cell>
          <cell r="Z282" t="str">
            <v>No</v>
          </cell>
          <cell r="AE282" t="str">
            <v>Need to discuss address fields. In MDM, we have separate fields for mailing, shipping, billing, etc but no address type field.</v>
          </cell>
          <cell r="AF282" t="str">
            <v>No</v>
          </cell>
        </row>
        <row r="283">
          <cell r="C283" t="str">
            <v>OPPONO</v>
          </cell>
          <cell r="D283" t="str">
            <v>Postal code</v>
          </cell>
          <cell r="E283" t="str">
            <v>String</v>
          </cell>
          <cell r="F283" t="str">
            <v>10</v>
          </cell>
          <cell r="Y283" t="str">
            <v>Postal code</v>
          </cell>
          <cell r="Z283" t="str">
            <v>yes</v>
          </cell>
          <cell r="AE283" t="str">
            <v>Need to discuss address fields. In MDM, we have separate fields for mailing, shipping, billing, etc but no address type field.</v>
          </cell>
          <cell r="AF283" t="str">
            <v>No</v>
          </cell>
        </row>
        <row r="284">
          <cell r="C284" t="str">
            <v>OPEALO</v>
          </cell>
          <cell r="D284" t="str">
            <v>EAN location code</v>
          </cell>
          <cell r="E284" t="str">
            <v>Decimal</v>
          </cell>
          <cell r="F284" t="str">
            <v>13</v>
          </cell>
          <cell r="Y284" t="str">
            <v>OPEALO stores the EAN location code of the customer. This is a globally unique identifier issued by the local EAN/GS1 organization and is used to identify a company or physical location in EDI and supply-chain messaging.</v>
          </cell>
          <cell r="Z284" t="str">
            <v>tbd</v>
          </cell>
          <cell r="AE284" t="str">
            <v>This appears to be an M3 only attribute.</v>
          </cell>
          <cell r="AF284" t="str">
            <v>No</v>
          </cell>
        </row>
        <row r="285">
          <cell r="C285" t="str">
            <v>OPECAR</v>
          </cell>
          <cell r="D285" t="str">
            <v>State</v>
          </cell>
          <cell r="E285" t="str">
            <v>String</v>
          </cell>
          <cell r="F285" t="str">
            <v>2</v>
          </cell>
          <cell r="Y285" t="str">
            <v>State two-digit code</v>
          </cell>
          <cell r="Z285" t="str">
            <v>yes</v>
          </cell>
          <cell r="AE285" t="str">
            <v>Need to discuss address fields. In MDM, we have separate fields for mailing, shipping, billing, etc but no address type field.</v>
          </cell>
          <cell r="AF285" t="str">
            <v>No</v>
          </cell>
        </row>
        <row r="286">
          <cell r="C286" t="str">
            <v>OPRONO</v>
          </cell>
          <cell r="D286" t="str">
            <v>Run</v>
          </cell>
          <cell r="E286" t="str">
            <v>String</v>
          </cell>
          <cell r="F286" t="str">
            <v>3</v>
          </cell>
          <cell r="Y286" t="str">
            <v>Not used</v>
          </cell>
          <cell r="Z286" t="str">
            <v>no</v>
          </cell>
        </row>
        <row r="287">
          <cell r="C287" t="str">
            <v>OPMODL</v>
          </cell>
          <cell r="D287" t="str">
            <v>Delivery method</v>
          </cell>
          <cell r="E287" t="str">
            <v>String</v>
          </cell>
          <cell r="F287" t="str">
            <v>3</v>
          </cell>
          <cell r="Y287" t="str">
            <v>Normally dynamic, and should be maintained in MDM
As discussed with Kyle, actual shipping method logic depends on a lot of things. So, pass default value as part of template in this field.</v>
          </cell>
          <cell r="Z287" t="str">
            <v>no</v>
          </cell>
          <cell r="AE287" t="str">
            <v>This field seems like it can be handled in the Template, if we need to show or it is needed by downstream applications then we would consider.</v>
          </cell>
          <cell r="AF287" t="str">
            <v>No</v>
          </cell>
        </row>
        <row r="288">
          <cell r="C288" t="str">
            <v>OPTEDL</v>
          </cell>
          <cell r="D288" t="str">
            <v>Delivery terms</v>
          </cell>
          <cell r="E288" t="str">
            <v>String</v>
          </cell>
          <cell r="F288" t="str">
            <v>3</v>
          </cell>
          <cell r="Y288" t="str">
            <v>Normally dynamic, and should be maintained in MDM
As discussed with Kyle/Mark on 01/06: We will save default value as part of the template. However, if we need to show the field or it is needed by downstream applications then we would consider adding it in MDM</v>
          </cell>
          <cell r="Z288" t="str">
            <v>no</v>
          </cell>
          <cell r="AE288" t="str">
            <v>This field seems like it can be handled in the Template, if we need to show or it is needed by downstream applications then we would consider.</v>
          </cell>
          <cell r="AF288" t="str">
            <v>No</v>
          </cell>
        </row>
        <row r="289">
          <cell r="C289" t="str">
            <v>OPTEL2</v>
          </cell>
          <cell r="D289" t="str">
            <v>Terms text</v>
          </cell>
          <cell r="E289" t="str">
            <v>String</v>
          </cell>
          <cell r="F289" t="str">
            <v>36</v>
          </cell>
          <cell r="Y289" t="str">
            <v>Normally the place to where the delivery term is valid.
Example using Incoterms: DAP Boston</v>
          </cell>
          <cell r="Z289" t="str">
            <v>yes</v>
          </cell>
          <cell r="AE289" t="str">
            <v>This field seems like it can be handled in the Template, if we need to show or it is needed by downstream applications then we would consider.</v>
          </cell>
          <cell r="AF289" t="str">
            <v>No</v>
          </cell>
        </row>
        <row r="290">
          <cell r="C290" t="str">
            <v>OPPHNO</v>
          </cell>
          <cell r="D290" t="str">
            <v>Telephone number 1</v>
          </cell>
          <cell r="E290" t="str">
            <v>String</v>
          </cell>
          <cell r="F290" t="str">
            <v>16</v>
          </cell>
          <cell r="Y290" t="str">
            <v>This is self explanatory</v>
          </cell>
          <cell r="Z290" t="str">
            <v>tbd</v>
          </cell>
          <cell r="AE290" t="str">
            <v>Is this a duplicate field?</v>
          </cell>
          <cell r="AF290" t="str">
            <v>No</v>
          </cell>
        </row>
        <row r="291">
          <cell r="C291" t="str">
            <v>OPTFNO</v>
          </cell>
          <cell r="D291" t="str">
            <v>Facsimile transmission number</v>
          </cell>
          <cell r="E291" t="str">
            <v>String</v>
          </cell>
          <cell r="F291" t="str">
            <v>16</v>
          </cell>
          <cell r="Y291" t="str">
            <v>This is self explanatory</v>
          </cell>
          <cell r="Z291" t="str">
            <v>tbd</v>
          </cell>
          <cell r="AE291" t="str">
            <v>This appears to be an M3 only attribute.</v>
          </cell>
          <cell r="AF291" t="str">
            <v>No</v>
          </cell>
        </row>
        <row r="292">
          <cell r="C292" t="str">
            <v>OPYREF</v>
          </cell>
          <cell r="D292" t="str">
            <v>Your reference 1</v>
          </cell>
          <cell r="E292" t="str">
            <v>String</v>
          </cell>
          <cell r="F292" t="str">
            <v>30</v>
          </cell>
          <cell r="Y292" t="str">
            <v>This is self explanatory</v>
          </cell>
          <cell r="Z292" t="str">
            <v>tbd</v>
          </cell>
          <cell r="AE292" t="str">
            <v>This appears to be an M3 only attribute.</v>
          </cell>
          <cell r="AF292" t="str">
            <v>No</v>
          </cell>
        </row>
        <row r="293">
          <cell r="C293" t="str">
            <v>OPLSID</v>
          </cell>
          <cell r="D293" t="str">
            <v>User</v>
          </cell>
          <cell r="E293" t="str">
            <v>String</v>
          </cell>
          <cell r="F293" t="str">
            <v>8</v>
          </cell>
          <cell r="Y293" t="str">
            <v>Not used</v>
          </cell>
          <cell r="Z293" t="str">
            <v>no</v>
          </cell>
        </row>
        <row r="294">
          <cell r="C294" t="str">
            <v>OPLSAD</v>
          </cell>
          <cell r="D294" t="str">
            <v>Address</v>
          </cell>
          <cell r="E294" t="str">
            <v>String</v>
          </cell>
          <cell r="F294" t="str">
            <v>8</v>
          </cell>
          <cell r="Y294" t="str">
            <v>Not used</v>
          </cell>
          <cell r="Z294" t="str">
            <v>no</v>
          </cell>
        </row>
        <row r="295">
          <cell r="C295" t="str">
            <v>OPMEAL</v>
          </cell>
          <cell r="D295" t="str">
            <v>Valid media</v>
          </cell>
          <cell r="E295" t="str">
            <v>String</v>
          </cell>
          <cell r="F295" t="str">
            <v>10</v>
          </cell>
          <cell r="Y295" t="str">
            <v>Not used</v>
          </cell>
          <cell r="Z295" t="str">
            <v>no</v>
          </cell>
        </row>
        <row r="296">
          <cell r="C296" t="str">
            <v>OPCSCD</v>
          </cell>
          <cell r="D296" t="str">
            <v>Country</v>
          </cell>
          <cell r="E296" t="str">
            <v>String</v>
          </cell>
          <cell r="F296" t="str">
            <v>3</v>
          </cell>
          <cell r="Y296" t="str">
            <v>Two digit code for country.</v>
          </cell>
          <cell r="Z296" t="str">
            <v>yes</v>
          </cell>
          <cell r="AE296" t="str">
            <v>This appears to be an M3 only attribute.</v>
          </cell>
          <cell r="AF296" t="str">
            <v>No</v>
          </cell>
        </row>
        <row r="297">
          <cell r="C297" t="str">
            <v>OPVRNO</v>
          </cell>
          <cell r="D297" t="str">
            <v>VAT registration number</v>
          </cell>
          <cell r="E297" t="str">
            <v>String</v>
          </cell>
          <cell r="F297" t="str">
            <v>16</v>
          </cell>
          <cell r="Y297" t="str">
            <v>Not used</v>
          </cell>
          <cell r="Z297" t="str">
            <v>no</v>
          </cell>
        </row>
        <row r="298">
          <cell r="C298" t="str">
            <v>OPEDES</v>
          </cell>
          <cell r="D298" t="str">
            <v>Place</v>
          </cell>
          <cell r="E298" t="str">
            <v>String</v>
          </cell>
          <cell r="F298" t="str">
            <v>10</v>
          </cell>
          <cell r="Y298" t="str">
            <v>Mandatory field that is used to define a "place" within a country. Table of places defined in M3 (MMS008), and used for route selection.</v>
          </cell>
          <cell r="Z298" t="str">
            <v>yes</v>
          </cell>
          <cell r="AE298" t="str">
            <v>This appears to be an M3 only attribute.</v>
          </cell>
          <cell r="AF298" t="str">
            <v>No</v>
          </cell>
        </row>
        <row r="299">
          <cell r="C299" t="str">
            <v>OPROUT</v>
          </cell>
          <cell r="D299" t="str">
            <v>Route</v>
          </cell>
          <cell r="E299" t="str">
            <v>String</v>
          </cell>
          <cell r="F299" t="str">
            <v>6</v>
          </cell>
          <cell r="Y299" t="str">
            <v>Not used</v>
          </cell>
          <cell r="Z299" t="str">
            <v>no</v>
          </cell>
        </row>
        <row r="300">
          <cell r="C300" t="str">
            <v>OPRODN</v>
          </cell>
          <cell r="D300" t="str">
            <v>Route departure</v>
          </cell>
          <cell r="E300" t="str">
            <v>Decimal</v>
          </cell>
          <cell r="F300" t="str">
            <v>3</v>
          </cell>
          <cell r="Y300" t="str">
            <v>Not used</v>
          </cell>
          <cell r="Z300" t="str">
            <v>no</v>
          </cell>
        </row>
        <row r="301">
          <cell r="C301" t="str">
            <v>OPULZO</v>
          </cell>
          <cell r="D301" t="str">
            <v>Unloading zone</v>
          </cell>
          <cell r="E301" t="str">
            <v>String</v>
          </cell>
          <cell r="F301" t="str">
            <v>5</v>
          </cell>
          <cell r="Y301" t="str">
            <v>Not used (Can be used if advanced route selection is needed)</v>
          </cell>
          <cell r="Z301" t="str">
            <v>no</v>
          </cell>
        </row>
        <row r="302">
          <cell r="C302" t="str">
            <v>OPCESA</v>
          </cell>
          <cell r="D302" t="str">
            <v>Marketing ID - M3 SMS</v>
          </cell>
          <cell r="E302" t="str">
            <v>String</v>
          </cell>
          <cell r="F302" t="str">
            <v>32</v>
          </cell>
          <cell r="Y302" t="str">
            <v>Not used</v>
          </cell>
          <cell r="Z302" t="str">
            <v>no</v>
          </cell>
        </row>
        <row r="303">
          <cell r="C303" t="str">
            <v>OPGEOC</v>
          </cell>
          <cell r="D303" t="str">
            <v>Geographical code</v>
          </cell>
          <cell r="E303" t="str">
            <v>Decimal</v>
          </cell>
          <cell r="F303" t="str">
            <v>9</v>
          </cell>
          <cell r="Y303" t="str">
            <v>This is self explanatory.
As discussed with Dee/Angie on 01/07, we will pass default = 999999999. Vertex would take care of taxes calculated correctly</v>
          </cell>
          <cell r="Z303" t="str">
            <v>no</v>
          </cell>
          <cell r="AE303" t="str">
            <v>This appears to be an M3 only attribute.</v>
          </cell>
          <cell r="AF303" t="str">
            <v>No</v>
          </cell>
        </row>
        <row r="304">
          <cell r="C304" t="str">
            <v>OPTAXC</v>
          </cell>
          <cell r="D304" t="str">
            <v>Tax code customer/address</v>
          </cell>
          <cell r="E304" t="str">
            <v>String</v>
          </cell>
          <cell r="F304" t="str">
            <v>3</v>
          </cell>
          <cell r="Z304" t="str">
            <v xml:space="preserve">yes </v>
          </cell>
        </row>
        <row r="305">
          <cell r="C305" t="str">
            <v>OPHAFE</v>
          </cell>
          <cell r="D305" t="str">
            <v>Harbor or airport</v>
          </cell>
          <cell r="E305" t="str">
            <v>String</v>
          </cell>
          <cell r="F305" t="str">
            <v>6</v>
          </cell>
          <cell r="Y305" t="str">
            <v>Not used</v>
          </cell>
          <cell r="Z305" t="str">
            <v>no</v>
          </cell>
        </row>
        <row r="306">
          <cell r="C306" t="str">
            <v>OPTEPA</v>
          </cell>
          <cell r="D306" t="str">
            <v>Packaging terms</v>
          </cell>
          <cell r="E306" t="str">
            <v>String</v>
          </cell>
          <cell r="F306" t="str">
            <v>3</v>
          </cell>
          <cell r="Y306" t="str">
            <v>This is needed in M3, but we will set value using template</v>
          </cell>
          <cell r="Z306" t="str">
            <v>no</v>
          </cell>
        </row>
        <row r="307">
          <cell r="C307" t="str">
            <v>OPCALV</v>
          </cell>
          <cell r="D307" t="str">
            <v>Calendar version</v>
          </cell>
          <cell r="E307" t="str">
            <v>String</v>
          </cell>
          <cell r="F307" t="str">
            <v>6</v>
          </cell>
          <cell r="Y307" t="str">
            <v>Not used</v>
          </cell>
          <cell r="Z307" t="str">
            <v>no</v>
          </cell>
        </row>
        <row r="308">
          <cell r="C308" t="str">
            <v>OPDLPA</v>
          </cell>
          <cell r="D308" t="str">
            <v>Delivery pattern</v>
          </cell>
          <cell r="E308" t="str">
            <v>String</v>
          </cell>
          <cell r="F308" t="str">
            <v>6</v>
          </cell>
          <cell r="Y308" t="str">
            <v>Not used</v>
          </cell>
          <cell r="Z308" t="str">
            <v>no</v>
          </cell>
        </row>
        <row r="309">
          <cell r="C309" t="str">
            <v>OPDNVA</v>
          </cell>
          <cell r="D309" t="str">
            <v>Delivery note variant</v>
          </cell>
          <cell r="E309" t="str">
            <v>String</v>
          </cell>
          <cell r="F309" t="str">
            <v>2</v>
          </cell>
          <cell r="Y309" t="str">
            <v>Not used</v>
          </cell>
          <cell r="Z309" t="str">
            <v>no</v>
          </cell>
        </row>
        <row r="310">
          <cell r="C310" t="str">
            <v>OPLAVA</v>
          </cell>
          <cell r="D310" t="str">
            <v>Label variant</v>
          </cell>
          <cell r="E310" t="str">
            <v>String</v>
          </cell>
          <cell r="F310" t="str">
            <v>2</v>
          </cell>
          <cell r="Y310" t="str">
            <v>Not used</v>
          </cell>
          <cell r="Z310" t="str">
            <v>no</v>
          </cell>
        </row>
        <row r="311">
          <cell r="C311" t="str">
            <v>OPFVDT</v>
          </cell>
          <cell r="D311" t="str">
            <v>Valid from</v>
          </cell>
          <cell r="E311" t="str">
            <v>Decimal</v>
          </cell>
          <cell r="F311" t="str">
            <v>8</v>
          </cell>
          <cell r="Y311" t="str">
            <v>Only to be used if a certain validity time is needed for the address.</v>
          </cell>
          <cell r="Z311" t="str">
            <v>no</v>
          </cell>
        </row>
        <row r="312">
          <cell r="C312" t="str">
            <v>OPLVDT</v>
          </cell>
          <cell r="D312" t="str">
            <v>Valid to</v>
          </cell>
          <cell r="E312" t="str">
            <v>Decimal</v>
          </cell>
          <cell r="F312" t="str">
            <v>8</v>
          </cell>
          <cell r="Y312" t="str">
            <v>Only to be used if a certain validity time is needed for the address.</v>
          </cell>
          <cell r="Z312" t="str">
            <v>no</v>
          </cell>
        </row>
        <row r="313">
          <cell r="C313" t="str">
            <v>OPDTID</v>
          </cell>
          <cell r="D313" t="str">
            <v>Data identity</v>
          </cell>
          <cell r="E313" t="str">
            <v>Decimal</v>
          </cell>
          <cell r="F313" t="str">
            <v>13</v>
          </cell>
          <cell r="Y313" t="str">
            <v>Not used</v>
          </cell>
          <cell r="Z313" t="str">
            <v>no</v>
          </cell>
        </row>
        <row r="314">
          <cell r="C314" t="str">
            <v>OPSPLM</v>
          </cell>
          <cell r="D314" t="str">
            <v>Supply model</v>
          </cell>
          <cell r="E314" t="str">
            <v>String</v>
          </cell>
          <cell r="F314" t="str">
            <v>8</v>
          </cell>
          <cell r="Y314" t="str">
            <v>This is needed in M3, but we will set value using template</v>
          </cell>
          <cell r="Z314" t="str">
            <v>no</v>
          </cell>
        </row>
        <row r="315">
          <cell r="C315" t="str">
            <v>OPBCKO</v>
          </cell>
          <cell r="D315" t="str">
            <v>Backorder</v>
          </cell>
          <cell r="E315" t="str">
            <v>Decimal</v>
          </cell>
          <cell r="F315" t="str">
            <v>1</v>
          </cell>
          <cell r="Y315" t="str">
            <v>This is needed in M3, but we will set value using template</v>
          </cell>
          <cell r="Z315" t="str">
            <v>no</v>
          </cell>
        </row>
        <row r="316">
          <cell r="C316" t="str">
            <v>OPPADL</v>
          </cell>
          <cell r="D316" t="str">
            <v>Partial delivery</v>
          </cell>
          <cell r="E316" t="str">
            <v>Decimal</v>
          </cell>
          <cell r="F316" t="str">
            <v>1</v>
          </cell>
          <cell r="Y316" t="str">
            <v>This is needed in M3, but we will set value using template</v>
          </cell>
          <cell r="Z316" t="str">
            <v>no</v>
          </cell>
        </row>
        <row r="317">
          <cell r="C317" t="str">
            <v>OPTOWN</v>
          </cell>
          <cell r="D317" t="str">
            <v>City</v>
          </cell>
          <cell r="E317" t="str">
            <v>String</v>
          </cell>
          <cell r="F317" t="str">
            <v>20</v>
          </cell>
          <cell r="Y317" t="str">
            <v>Name of the City (20 pos)</v>
          </cell>
          <cell r="Z317" t="str">
            <v>yes</v>
          </cell>
          <cell r="AE317" t="str">
            <v>This appears to be an M3 only attribute.</v>
          </cell>
          <cell r="AF317" t="str">
            <v>No</v>
          </cell>
        </row>
        <row r="318">
          <cell r="C318" t="str">
            <v>OPPNOD</v>
          </cell>
          <cell r="D318" t="str">
            <v>Planning node</v>
          </cell>
          <cell r="E318" t="str">
            <v>String</v>
          </cell>
          <cell r="F318" t="str">
            <v>15</v>
          </cell>
          <cell r="Y318" t="str">
            <v>Not used</v>
          </cell>
          <cell r="Z318" t="str">
            <v>no</v>
          </cell>
        </row>
        <row r="319">
          <cell r="C319" t="str">
            <v>OPADVI</v>
          </cell>
          <cell r="D319" t="str">
            <v>Ship-via address</v>
          </cell>
          <cell r="E319" t="str">
            <v>String</v>
          </cell>
          <cell r="F319" t="str">
            <v>6</v>
          </cell>
          <cell r="Y319" t="str">
            <v>Only applicable if Ship via addresses is used and predefined per customer. Ship via can also be defined on routes and in separate control table (MWS190).
As discussed with Kyle, we don't have ship via for any customer</v>
          </cell>
          <cell r="Z319" t="str">
            <v>no</v>
          </cell>
          <cell r="AE319" t="str">
            <v>This appears to be an M3 only attribute.</v>
          </cell>
          <cell r="AF319" t="str">
            <v>No</v>
          </cell>
        </row>
        <row r="320">
          <cell r="C320" t="str">
            <v>OPTXID</v>
          </cell>
          <cell r="D320" t="str">
            <v>Text identity</v>
          </cell>
          <cell r="E320" t="str">
            <v>Decimal</v>
          </cell>
          <cell r="F320" t="str">
            <v>13</v>
          </cell>
          <cell r="Y320" t="str">
            <v>Not used</v>
          </cell>
          <cell r="Z320" t="str">
            <v>no</v>
          </cell>
        </row>
        <row r="321">
          <cell r="C321" t="str">
            <v>OPRGDT</v>
          </cell>
          <cell r="D321" t="str">
            <v>Entry date</v>
          </cell>
          <cell r="E321" t="str">
            <v>Decimal</v>
          </cell>
          <cell r="F321" t="str">
            <v>8</v>
          </cell>
          <cell r="Y321" t="str">
            <v>Not used (Set automatically in the database when record created)</v>
          </cell>
          <cell r="Z321" t="str">
            <v>no</v>
          </cell>
        </row>
        <row r="322">
          <cell r="C322" t="str">
            <v>OPRGTM</v>
          </cell>
          <cell r="D322" t="str">
            <v>Entry time</v>
          </cell>
          <cell r="E322" t="str">
            <v>Decimal</v>
          </cell>
          <cell r="F322" t="str">
            <v>6</v>
          </cell>
          <cell r="Y322" t="str">
            <v>Not used (Set automatically in the database when record created)</v>
          </cell>
          <cell r="Z322" t="str">
            <v>no</v>
          </cell>
        </row>
        <row r="323">
          <cell r="C323" t="str">
            <v>OPLMDT</v>
          </cell>
          <cell r="D323" t="str">
            <v>Change date</v>
          </cell>
          <cell r="E323" t="str">
            <v>Decimal</v>
          </cell>
          <cell r="F323" t="str">
            <v>8</v>
          </cell>
          <cell r="Y323" t="str">
            <v>Not used (Set automatically in the database when record created)</v>
          </cell>
          <cell r="Z323" t="str">
            <v>no</v>
          </cell>
        </row>
        <row r="324">
          <cell r="C324" t="str">
            <v>OPCHNO</v>
          </cell>
          <cell r="D324" t="str">
            <v>Change number</v>
          </cell>
          <cell r="E324" t="str">
            <v>Decimal</v>
          </cell>
          <cell r="F324" t="str">
            <v>3</v>
          </cell>
          <cell r="Y324" t="str">
            <v>Not used (Set automatically in the database when record created)</v>
          </cell>
          <cell r="Z324" t="str">
            <v>no</v>
          </cell>
        </row>
        <row r="325">
          <cell r="C325" t="str">
            <v>OPCHID</v>
          </cell>
          <cell r="D325" t="str">
            <v>Changed by</v>
          </cell>
          <cell r="E325" t="str">
            <v>String</v>
          </cell>
          <cell r="F325" t="str">
            <v>10</v>
          </cell>
          <cell r="Y325" t="str">
            <v>Not used (Set automatically in the database when record created)</v>
          </cell>
          <cell r="Z325" t="str">
            <v>no</v>
          </cell>
        </row>
        <row r="326">
          <cell r="C326" t="str">
            <v>OPLMTS</v>
          </cell>
          <cell r="D326" t="str">
            <v>Timestamp</v>
          </cell>
          <cell r="E326" t="str">
            <v>Decimal</v>
          </cell>
          <cell r="F326" t="str">
            <v>18</v>
          </cell>
          <cell r="Y326" t="str">
            <v>Not used (Set automatically in the database when record created)</v>
          </cell>
          <cell r="Z326" t="str">
            <v>no</v>
          </cell>
        </row>
        <row r="327">
          <cell r="C327" t="str">
            <v>OPGEOX</v>
          </cell>
          <cell r="D327" t="str">
            <v>Geographic code X</v>
          </cell>
          <cell r="E327" t="str">
            <v>Decimal</v>
          </cell>
          <cell r="F327" t="str">
            <v>15</v>
          </cell>
          <cell r="Y327" t="str">
            <v>Not used</v>
          </cell>
          <cell r="Z327" t="str">
            <v>no</v>
          </cell>
        </row>
        <row r="328">
          <cell r="C328" t="str">
            <v>OPGEOY</v>
          </cell>
          <cell r="D328" t="str">
            <v>Geographic code Y</v>
          </cell>
          <cell r="E328" t="str">
            <v>Decimal</v>
          </cell>
          <cell r="F328" t="str">
            <v>15</v>
          </cell>
          <cell r="Y328" t="str">
            <v>Not used</v>
          </cell>
          <cell r="Z328" t="str">
            <v>no</v>
          </cell>
        </row>
        <row r="329">
          <cell r="C329" t="str">
            <v>OPGEOZ</v>
          </cell>
          <cell r="D329" t="str">
            <v>Geographic code  Z</v>
          </cell>
          <cell r="E329" t="str">
            <v>Decimal</v>
          </cell>
          <cell r="F329" t="str">
            <v>15</v>
          </cell>
          <cell r="Y329" t="str">
            <v>Not used</v>
          </cell>
          <cell r="Z329" t="str">
            <v>no</v>
          </cell>
        </row>
        <row r="330">
          <cell r="C330" t="str">
            <v>OPBOP1</v>
          </cell>
          <cell r="D330" t="str">
            <v>Automatic closing</v>
          </cell>
          <cell r="E330" t="str">
            <v>Decimal</v>
          </cell>
          <cell r="F330" t="str">
            <v>1</v>
          </cell>
          <cell r="Y330" t="str">
            <v>This is needed in M3, but we will set value using template</v>
          </cell>
          <cell r="Z330" t="str">
            <v>no</v>
          </cell>
        </row>
        <row r="331">
          <cell r="C331" t="str">
            <v>OPVAAD</v>
          </cell>
          <cell r="D331" t="str">
            <v>Valid address</v>
          </cell>
          <cell r="E331" t="str">
            <v>Decimal</v>
          </cell>
          <cell r="F331" t="str">
            <v>1</v>
          </cell>
          <cell r="Y331" t="str">
            <v>Not used</v>
          </cell>
          <cell r="Z331" t="str">
            <v>no</v>
          </cell>
        </row>
        <row r="332">
          <cell r="C332" t="str">
            <v>OPPRIO</v>
          </cell>
          <cell r="D332" t="str">
            <v>Priority</v>
          </cell>
          <cell r="E332" t="str">
            <v>Decimal</v>
          </cell>
          <cell r="F332" t="str">
            <v>1</v>
          </cell>
          <cell r="Y332" t="str">
            <v>This is needed in M3, but we will set value using template</v>
          </cell>
          <cell r="Z332" t="str">
            <v>no</v>
          </cell>
        </row>
        <row r="333">
          <cell r="C333" t="str">
            <v>OPFRCO</v>
          </cell>
          <cell r="D333" t="str">
            <v>County ID</v>
          </cell>
          <cell r="E333" t="str">
            <v>String</v>
          </cell>
          <cell r="F333" t="str">
            <v>7</v>
          </cell>
          <cell r="Y333" t="str">
            <v>Not used</v>
          </cell>
          <cell r="Z333" t="str">
            <v>no</v>
          </cell>
        </row>
        <row r="334">
          <cell r="C334" t="str">
            <v>OPSPLE</v>
          </cell>
          <cell r="D334" t="str">
            <v>Standard point location code</v>
          </cell>
          <cell r="E334" t="str">
            <v>String</v>
          </cell>
          <cell r="F334" t="str">
            <v>10</v>
          </cell>
          <cell r="Y334" t="str">
            <v>OPSPLE stores the Standard Point Location Code (SPLC), which is a nine-digit geographical location code used in North America to identify origin or destination points in logistics and transportation processes.
As discussed with Kyle, we don't have SPLE for any customer</v>
          </cell>
          <cell r="Z334" t="str">
            <v>no</v>
          </cell>
          <cell r="AE334" t="str">
            <v>This appears to be an M3 only attribute.</v>
          </cell>
          <cell r="AF334" t="str">
            <v>No</v>
          </cell>
        </row>
        <row r="335">
          <cell r="C335" t="str">
            <v>OPRASN</v>
          </cell>
          <cell r="D335" t="str">
            <v>Rail station</v>
          </cell>
          <cell r="E335" t="str">
            <v>String</v>
          </cell>
          <cell r="F335" t="str">
            <v>10</v>
          </cell>
          <cell r="Y335" t="str">
            <v>Not used</v>
          </cell>
          <cell r="Z335" t="str">
            <v>no</v>
          </cell>
        </row>
        <row r="336">
          <cell r="C336" t="str">
            <v>OPADCG</v>
          </cell>
          <cell r="D336" t="str">
            <v>Address category</v>
          </cell>
          <cell r="E336" t="str">
            <v>String</v>
          </cell>
          <cell r="F336" t="str">
            <v>15</v>
          </cell>
          <cell r="Y336" t="str">
            <v>Not used</v>
          </cell>
          <cell r="Z336" t="str">
            <v>no</v>
          </cell>
        </row>
      </sheetData>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Guide" displayName="MappingGuide" ref="A2:AN335" headerRowDxfId="42" dataDxfId="41" totalsRowDxfId="40">
  <autoFilter ref="A2:AN335" xr:uid="{00000000-0009-0000-0100-000001000000}"/>
  <tableColumns count="40">
    <tableColumn id="1" xr3:uid="{00000000-0010-0000-0000-000001000000}" name="Sequence" dataDxfId="39"/>
    <tableColumn id="2" xr3:uid="{00000000-0010-0000-0000-000002000000}" name="TableName" dataDxfId="38"/>
    <tableColumn id="3" xr3:uid="{00000000-0010-0000-0000-000003000000}" name="ColumnName" dataDxfId="37"/>
    <tableColumn id="4" xr3:uid="{00000000-0010-0000-0000-000004000000}" name="Description" dataDxfId="36"/>
    <tableColumn id="5" xr3:uid="{00000000-0010-0000-0000-000005000000}" name="DataType" dataDxfId="35"/>
    <tableColumn id="6" xr3:uid="{00000000-0010-0000-0000-000006000000}" name="Length" dataDxfId="34"/>
    <tableColumn id="7" xr3:uid="{00000000-0010-0000-0000-000007000000}" name="Decimals" dataDxfId="33"/>
    <tableColumn id="8" xr3:uid="{00000000-0010-0000-0000-000008000000}" name="PrimaryKey" dataDxfId="32"/>
    <tableColumn id="9" xr3:uid="{00000000-0010-0000-0000-000009000000}" name="Table_8" dataDxfId="31"/>
    <tableColumn id="10" xr3:uid="{00000000-0010-0000-0000-00000A000000}" name="Program" dataDxfId="30"/>
    <tableColumn id="11" xr3:uid="{00000000-0010-0000-0000-00000B000000}" name="Panel" dataDxfId="29"/>
    <tableColumn id="12" xr3:uid="{00000000-0010-0000-0000-00000C000000}" name="IDM" dataDxfId="28"/>
    <tableColumn id="13" xr3:uid="{00000000-0010-0000-0000-00000D000000}" name="DocBits" dataDxfId="27"/>
    <tableColumn id="14" xr3:uid="{00000000-0010-0000-0000-00000E000000}" name="Pgm_4" dataDxfId="26"/>
    <tableColumn id="15" xr3:uid="{00000000-0010-0000-0000-00000F000000}" name="MI" dataDxfId="25"/>
    <tableColumn id="16" xr3:uid="{00000000-0010-0000-0000-000010000000}" name="Transaction" dataDxfId="24"/>
    <tableColumn id="17" xr3:uid="{00000000-0010-0000-0000-000011000000}" name="Field" dataDxfId="23"/>
    <tableColumn id="18" xr3:uid="{00000000-0010-0000-0000-000012000000}" name="Mandatory" dataDxfId="22"/>
    <tableColumn id="19" xr3:uid="{00000000-0010-0000-0000-000013000000}" name="API_4" dataDxfId="21"/>
    <tableColumn id="20" xr3:uid="{00000000-0010-0000-0000-000014000000}" name="XPath" dataDxfId="20"/>
    <tableColumn id="21" xr3:uid="{00000000-0010-0000-0000-000015000000}" name="BOD_1" dataDxfId="19"/>
    <tableColumn id="22" xr3:uid="{00000000-0010-0000-0000-000016000000}" name="MappingNotes" dataDxfId="18"/>
    <tableColumn id="23" xr3:uid="{00000000-0010-0000-0000-000017000000}" name="Responsible" dataDxfId="17">
      <calculatedColumnFormula>_xlfn.LET(_xlpm.r, _xlfn.XLOOKUP(MappingGuide[[#This Row],[Description]],'[1]Squirrel SQL Export 1'!D:D,'[1]Squirrel SQL Export 1'!AC:AC),IF(_xlpm.r=0,"",_xlpm.r))</calculatedColumnFormula>
    </tableColumn>
    <tableColumn id="24" xr3:uid="{00000000-0010-0000-0000-000018000000}" name="Required" dataDxfId="16"/>
    <tableColumn id="25" xr3:uid="{00000000-0010-0000-0000-000019000000}" name="DefaultValue" dataDxfId="15"/>
    <tableColumn id="26" xr3:uid="{00000000-0010-0000-0000-00001A000000}" name="Herff Jones_4" dataDxfId="14"/>
    <tableColumn id="27" xr3:uid="{00000000-0010-0000-0000-00001B000000}" name="Definition" dataDxfId="13"/>
    <tableColumn id="28" xr3:uid="{00000000-0010-0000-0000-00001C000000}" name="Alternatives" dataDxfId="12"/>
    <tableColumn id="29" xr3:uid="{00000000-0010-0000-0000-00001D000000}" name="PromptPgm" dataDxfId="11"/>
    <tableColumn id="30" xr3:uid="{00000000-0010-0000-0000-00001E000000}" name="Help_3" dataDxfId="10"/>
    <tableColumn id="31" xr3:uid="{00000000-0010-0000-0000-00001F000000}" name="DG_Notes" dataDxfId="9">
      <calculatedColumnFormula array="1">_xlfn.LET(_xlpm.r, _xlfn.XLOOKUP(MappingGuide[[#This Row],[ColumnName]] &amp; "|" &amp; MappingGuide[[#This Row],[Description]],'[1]Squirrel SQL Export 1'!C:C &amp; "|" &amp;'[1]Squirrel SQL Export 1'!D:D,'[1]Squirrel SQL Export 1'!Z:Z),IF(_xlpm.r=0,"",_xlpm.r))</calculatedColumnFormula>
    </tableColumn>
    <tableColumn id="32" xr3:uid="{00000000-0010-0000-0000-000020000000}" name="DG_Responsible" dataDxfId="8"/>
    <tableColumn id="33" xr3:uid="{00000000-0010-0000-0000-000021000000}" name="DG_Required" dataDxfId="7"/>
    <tableColumn id="34" xr3:uid="{00000000-0010-0000-0000-000022000000}" name="DG_Example" dataDxfId="6"/>
    <tableColumn id="40" xr3:uid="{74C22281-53A8-EC42-8CF5-9DCA8A8F1C84}" name="Questions" dataDxfId="5">
      <calculatedColumnFormula>_xlfn.LET(_xlpm.r, _xlfn.XLOOKUP(MappingGuide[[#This Row],[Description]],'[1]Squirrel SQL Export 1'!D:D,'[1]Squirrel SQL Export 1'!Y:Y),IF(_xlpm.r=0,"",_xlpm.r))</calculatedColumnFormula>
    </tableColumn>
    <tableColumn id="35" xr3:uid="{00000000-0010-0000-0000-000023000000}" name="Doppio_4" dataDxfId="4"/>
    <tableColumn id="36" xr3:uid="{245E5D61-4B82-DB45-A12E-D8DE6DBAD9A9}" name="MDM Comments" dataDxfId="3">
      <calculatedColumnFormula>_xlfn.LET(_xlpm.r, _xlfn.XLOOKUP(MappingGuide[[#This Row],[Description]],'[1]Squirrel SQL Export 1'!D:D,'[1]Squirrel SQL Export 1'!AE:AE),IF(_xlpm.r=0,"",_xlpm.r))</calculatedColumnFormula>
    </tableColumn>
    <tableColumn id="37" xr3:uid="{63B96511-291F-8C42-AF1A-E726486A99A1}" name="Exists In Syndigo?" dataDxfId="2">
      <calculatedColumnFormula>_xlfn.LET(_xlpm.r, _xlfn.XLOOKUP(MappingGuide[[#This Row],[DataType]],'[1]Squirrel SQL Export 1'!E:E,'[1]Squirrel SQL Export 1'!AF:AF),IF(_xlpm.r=0,"",_xlpm.r))</calculatedColumnFormula>
    </tableColumn>
    <tableColumn id="38" xr3:uid="{385D24CF-EA89-9C4D-A9BA-29286B1E4A98}" name="Syndigo Name" dataDxfId="1">
      <calculatedColumnFormula>_xlfn.LET(_xlpm.r, _xlfn.XLOOKUP(MappingGuide[[#This Row],[Length]],'[1]Squirrel SQL Export 1'!F:F,'[1]Squirrel SQL Export 1'!AG:AG),IF(_xlpm.r=0,"",_xlpm.r))</calculatedColumnFormula>
    </tableColumn>
    <tableColumn id="39" xr3:uid="{96738DD9-0054-AC43-819F-FB87C1EA5003}" name="Infoverity_3"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35"/>
  <sheetViews>
    <sheetView tabSelected="1" workbookViewId="0">
      <pane xSplit="8" ySplit="2" topLeftCell="AE3" activePane="bottomRight" state="frozen"/>
      <selection pane="topRight" activeCell="I1" sqref="I1"/>
      <selection pane="bottomLeft" activeCell="A3" sqref="A3"/>
      <selection pane="bottomRight" activeCell="AE3" sqref="AE3"/>
    </sheetView>
  </sheetViews>
  <sheetFormatPr baseColWidth="10" defaultColWidth="101.1640625" defaultRowHeight="17" outlineLevelCol="1" x14ac:dyDescent="0.2"/>
  <cols>
    <col min="1" max="1" width="12.83203125" style="2" bestFit="1" customWidth="1"/>
    <col min="2" max="2" width="14" style="2" bestFit="1" customWidth="1"/>
    <col min="3" max="3" width="16" style="2" bestFit="1" customWidth="1"/>
    <col min="4" max="4" width="41.6640625" style="2" bestFit="1" customWidth="1"/>
    <col min="5" max="5" width="12.33203125" style="2" hidden="1" customWidth="1" outlineLevel="1"/>
    <col min="6" max="6" width="10" style="2" hidden="1" customWidth="1" outlineLevel="1"/>
    <col min="7" max="7" width="11.83203125" style="2" hidden="1" customWidth="1" outlineLevel="1"/>
    <col min="8" max="8" width="13.83203125" style="2" hidden="1" customWidth="1" outlineLevel="1"/>
    <col min="9" max="9" width="10.83203125" style="2" bestFit="1" customWidth="1" collapsed="1"/>
    <col min="10" max="10" width="11.1640625" style="2" hidden="1" customWidth="1" outlineLevel="1"/>
    <col min="11" max="11" width="8.6640625" style="2" hidden="1" customWidth="1" outlineLevel="1"/>
    <col min="12" max="12" width="7.5" style="2" hidden="1" customWidth="1" outlineLevel="1"/>
    <col min="13" max="13" width="10.6640625" style="2" hidden="1" customWidth="1" outlineLevel="1"/>
    <col min="14" max="14" width="9.83203125" style="2" bestFit="1" customWidth="1" collapsed="1"/>
    <col min="15" max="15" width="10.6640625" style="2" hidden="1" customWidth="1" outlineLevel="1"/>
    <col min="16" max="16" width="15.83203125" style="2" hidden="1" customWidth="1" outlineLevel="1"/>
    <col min="17" max="17" width="8.1640625" style="2" hidden="1" customWidth="1" outlineLevel="1"/>
    <col min="18" max="18" width="13.33203125" style="2" hidden="1" customWidth="1" outlineLevel="1"/>
    <col min="19" max="19" width="8.83203125" style="2" bestFit="1" customWidth="1" collapsed="1"/>
    <col min="20" max="20" width="21.6640625" style="2" hidden="1" customWidth="1" outlineLevel="1"/>
    <col min="21" max="21" width="10.33203125" style="2" bestFit="1" customWidth="1" collapsed="1"/>
    <col min="22" max="23" width="33.1640625" style="2" customWidth="1" outlineLevel="1"/>
    <col min="24" max="24" width="11.83203125" style="2" customWidth="1" outlineLevel="1"/>
    <col min="25" max="25" width="15.33203125" style="2" customWidth="1" outlineLevel="1"/>
    <col min="26" max="26" width="16.33203125" style="2" bestFit="1" customWidth="1"/>
    <col min="27" max="28" width="54.83203125" style="2" hidden="1" customWidth="1" outlineLevel="1"/>
    <col min="29" max="29" width="14.1640625" style="3" hidden="1" customWidth="1" outlineLevel="1"/>
    <col min="30" max="30" width="10.1640625" style="2" bestFit="1" customWidth="1" collapsed="1"/>
    <col min="31" max="31" width="47" style="2" customWidth="1" outlineLevel="1"/>
    <col min="32" max="32" width="18.5" style="3" customWidth="1" outlineLevel="1"/>
    <col min="33" max="33" width="15.83203125" style="3" customWidth="1" outlineLevel="1"/>
    <col min="34" max="34" width="18.6640625" style="2" customWidth="1" outlineLevel="1"/>
    <col min="35" max="35" width="32.6640625" style="2" customWidth="1" outlineLevel="1"/>
    <col min="36" max="36" width="12.5" style="2" bestFit="1" customWidth="1"/>
    <col min="37" max="37" width="30.83203125" style="2" customWidth="1" outlineLevel="1"/>
    <col min="38" max="38" width="19.83203125" style="3" customWidth="1" outlineLevel="1"/>
    <col min="39" max="39" width="25.1640625" style="2" customWidth="1" outlineLevel="1"/>
    <col min="40" max="40" width="14.33203125" style="2" bestFit="1" customWidth="1"/>
    <col min="41" max="16384" width="101.1640625" style="2"/>
  </cols>
  <sheetData>
    <row r="1" spans="1:40" x14ac:dyDescent="0.2">
      <c r="A1" s="26" t="s">
        <v>0</v>
      </c>
      <c r="B1" s="23"/>
      <c r="C1" s="23"/>
      <c r="D1" s="23"/>
      <c r="E1" s="23"/>
      <c r="F1" s="23"/>
      <c r="G1" s="23"/>
      <c r="H1" s="23"/>
      <c r="I1" s="23"/>
      <c r="J1" s="28" t="s">
        <v>1</v>
      </c>
      <c r="K1" s="23"/>
      <c r="L1" s="23"/>
      <c r="M1" s="23"/>
      <c r="N1" s="23"/>
      <c r="O1" s="25" t="s">
        <v>2</v>
      </c>
      <c r="P1" s="23"/>
      <c r="Q1" s="23"/>
      <c r="R1" s="23"/>
      <c r="S1" s="23"/>
      <c r="T1" s="24" t="s">
        <v>3</v>
      </c>
      <c r="U1" s="23"/>
      <c r="V1" s="22" t="s">
        <v>4</v>
      </c>
      <c r="W1" s="23"/>
      <c r="X1" s="23"/>
      <c r="Y1" s="23"/>
      <c r="Z1" s="23"/>
      <c r="AA1" s="29" t="s">
        <v>5</v>
      </c>
      <c r="AB1" s="23"/>
      <c r="AC1" s="30"/>
      <c r="AD1" s="23"/>
      <c r="AE1" s="27" t="s">
        <v>6</v>
      </c>
      <c r="AF1" s="23"/>
      <c r="AG1" s="23"/>
      <c r="AH1" s="23"/>
      <c r="AI1" s="23"/>
      <c r="AJ1" s="23"/>
      <c r="AK1" s="21" t="s">
        <v>1310</v>
      </c>
      <c r="AL1" s="21"/>
      <c r="AM1" s="21"/>
      <c r="AN1" s="21"/>
    </row>
    <row r="2" spans="1:40" s="18" customFormat="1" x14ac:dyDescent="0.2">
      <c r="A2" s="4" t="s">
        <v>7</v>
      </c>
      <c r="B2" s="4" t="s">
        <v>8</v>
      </c>
      <c r="C2" s="4" t="s">
        <v>9</v>
      </c>
      <c r="D2" s="4" t="s">
        <v>10</v>
      </c>
      <c r="E2" s="4" t="s">
        <v>11</v>
      </c>
      <c r="F2" s="4" t="s">
        <v>12</v>
      </c>
      <c r="G2" s="4" t="s">
        <v>13</v>
      </c>
      <c r="H2" s="4" t="s">
        <v>14</v>
      </c>
      <c r="I2" s="5" t="s">
        <v>15</v>
      </c>
      <c r="J2" s="6" t="s">
        <v>16</v>
      </c>
      <c r="K2" s="6" t="s">
        <v>17</v>
      </c>
      <c r="L2" s="6" t="s">
        <v>18</v>
      </c>
      <c r="M2" s="6" t="s">
        <v>19</v>
      </c>
      <c r="N2" s="7" t="s">
        <v>20</v>
      </c>
      <c r="O2" s="8" t="s">
        <v>21</v>
      </c>
      <c r="P2" s="8" t="s">
        <v>22</v>
      </c>
      <c r="Q2" s="8" t="s">
        <v>23</v>
      </c>
      <c r="R2" s="8" t="s">
        <v>24</v>
      </c>
      <c r="S2" s="9" t="s">
        <v>25</v>
      </c>
      <c r="T2" s="10" t="s">
        <v>26</v>
      </c>
      <c r="U2" s="11" t="s">
        <v>27</v>
      </c>
      <c r="V2" s="12" t="s">
        <v>28</v>
      </c>
      <c r="W2" s="12" t="s">
        <v>29</v>
      </c>
      <c r="X2" s="12" t="s">
        <v>30</v>
      </c>
      <c r="Y2" s="12" t="s">
        <v>31</v>
      </c>
      <c r="Z2" s="13" t="s">
        <v>32</v>
      </c>
      <c r="AA2" s="14" t="s">
        <v>33</v>
      </c>
      <c r="AB2" s="14" t="s">
        <v>34</v>
      </c>
      <c r="AC2" s="14" t="s">
        <v>35</v>
      </c>
      <c r="AD2" s="15" t="s">
        <v>36</v>
      </c>
      <c r="AE2" s="16" t="s">
        <v>37</v>
      </c>
      <c r="AF2" s="16" t="s">
        <v>38</v>
      </c>
      <c r="AG2" s="16" t="s">
        <v>39</v>
      </c>
      <c r="AH2" s="16" t="s">
        <v>40</v>
      </c>
      <c r="AI2" s="16" t="s">
        <v>1311</v>
      </c>
      <c r="AJ2" s="17" t="s">
        <v>41</v>
      </c>
      <c r="AK2" s="1" t="s">
        <v>1305</v>
      </c>
      <c r="AL2" s="1" t="s">
        <v>1306</v>
      </c>
      <c r="AM2" s="19" t="s">
        <v>1307</v>
      </c>
      <c r="AN2" s="20" t="s">
        <v>1308</v>
      </c>
    </row>
    <row r="3" spans="1:40" x14ac:dyDescent="0.2">
      <c r="A3" s="2">
        <v>0</v>
      </c>
      <c r="D3" s="2" t="s">
        <v>42</v>
      </c>
      <c r="E3" s="2" t="s">
        <v>43</v>
      </c>
      <c r="F3" s="2" t="s">
        <v>44</v>
      </c>
      <c r="O3" s="2" t="s">
        <v>45</v>
      </c>
      <c r="P3" s="2" t="s">
        <v>46</v>
      </c>
      <c r="Q3" s="2" t="s">
        <v>47</v>
      </c>
      <c r="R3" s="2" t="s">
        <v>48</v>
      </c>
      <c r="V3" s="2" t="s">
        <v>49</v>
      </c>
      <c r="W3" s="2" t="str">
        <f>_xlfn.LET(_xlpm.r, _xlfn.XLOOKUP(MappingGuide[[#This Row],[Description]],'[1]Squirrel SQL Export 1'!D:D,'[1]Squirrel SQL Export 1'!AC:AC),IF(_xlpm.r=0,"",_xlpm.r))</f>
        <v/>
      </c>
      <c r="AC3" s="2"/>
      <c r="AE3" s="2" t="str" cm="1">
        <f t="array" ref="AE3">_xlfn.LET(_xlpm.r, _xlfn.XLOOKUP(MappingGuide[[#This Row],[ColumnName]] &amp; "|" &amp; MappingGuide[[#This Row],[Description]],'[1]Squirrel SQL Export 1'!C:C &amp; "|" &amp;'[1]Squirrel SQL Export 1'!D:D,'[1]Squirrel SQL Export 1'!Z:Z),IF(_xlpm.r=0,"",_xlpm.r))</f>
        <v>yes</v>
      </c>
      <c r="AF3" s="3" t="s">
        <v>1309</v>
      </c>
      <c r="AG3" s="3" t="s">
        <v>48</v>
      </c>
      <c r="AH3" s="2" t="s">
        <v>50</v>
      </c>
      <c r="AI3" s="2" t="str">
        <f>_xlfn.LET(_xlpm.r, _xlfn.XLOOKUP(MappingGuide[[#This Row],[Description]],'[1]Squirrel SQL Export 1'!D:D,'[1]Squirrel SQL Export 1'!Y:Y),IF(_xlpm.r=0,"",_xlpm.r))</f>
        <v xml:space="preserve">We will create one/more template customers in M3 depending upon requirements. For every new customer that is created, either MDM needs to specify which template customer to use for the new customer, or there need to be a logic in the interface choosing the right template to be used when new customers are created.
Possible templates:
1. ISP US
2. ISP Canada
3. Regular customers US
4. Regular customers Canada
5. Payer US
6. Payer Canada
</v>
      </c>
      <c r="AK3" s="2" t="str">
        <f>_xlfn.LET(_xlpm.r, _xlfn.XLOOKUP(MappingGuide[[#This Row],[Description]],'[1]Squirrel SQL Export 1'!D:D,'[1]Squirrel SQL Export 1'!AE:AE),IF(_xlpm.r=0,"",_xlpm.r))</f>
        <v>M3 Only</v>
      </c>
      <c r="AL3" s="3" t="str">
        <f>_xlfn.LET(_xlpm.r, _xlfn.XLOOKUP(MappingGuide[[#This Row],[DataType]],'[1]Squirrel SQL Export 1'!E:E,'[1]Squirrel SQL Export 1'!AF:AF),IF(_xlpm.r=0,"",_xlpm.r))</f>
        <v>No</v>
      </c>
      <c r="AM3" s="2" t="str">
        <f>_xlfn.LET(_xlpm.r, _xlfn.XLOOKUP(MappingGuide[[#This Row],[Length]],'[1]Squirrel SQL Export 1'!F:F,'[1]Squirrel SQL Export 1'!AG:AG),IF(_xlpm.r=0,"",_xlpm.r))</f>
        <v/>
      </c>
    </row>
    <row r="4" spans="1:40" x14ac:dyDescent="0.2">
      <c r="A4" s="2">
        <v>1</v>
      </c>
      <c r="B4" s="2" t="s">
        <v>51</v>
      </c>
      <c r="C4" s="2" t="s">
        <v>52</v>
      </c>
      <c r="D4" s="2" t="s">
        <v>53</v>
      </c>
      <c r="E4" s="2" t="s">
        <v>54</v>
      </c>
      <c r="F4" s="2" t="s">
        <v>55</v>
      </c>
      <c r="H4" s="2" t="s">
        <v>56</v>
      </c>
      <c r="O4" s="2" t="s">
        <v>45</v>
      </c>
      <c r="P4" s="2" t="s">
        <v>46</v>
      </c>
      <c r="Q4" s="2" t="s">
        <v>57</v>
      </c>
      <c r="V4" s="2" t="s">
        <v>58</v>
      </c>
      <c r="W4" s="2" t="str">
        <f>_xlfn.LET(_xlpm.r, _xlfn.XLOOKUP(MappingGuide[[#This Row],[Description]],'[1]Squirrel SQL Export 1'!D:D,'[1]Squirrel SQL Export 1'!AC:AC),IF(_xlpm.r=0,"",_xlpm.r))</f>
        <v/>
      </c>
      <c r="AA4" s="2" t="s">
        <v>59</v>
      </c>
      <c r="AC4" s="3" t="s">
        <v>60</v>
      </c>
      <c r="AE4" s="2" t="str" cm="1">
        <f t="array" ref="AE4">_xlfn.LET(_xlpm.r, _xlfn.XLOOKUP(MappingGuide[[#This Row],[ColumnName]] &amp; "|" &amp; MappingGuide[[#This Row],[Description]],'[1]Squirrel SQL Export 1'!C:C &amp; "|" &amp;'[1]Squirrel SQL Export 1'!D:D,'[1]Squirrel SQL Export 1'!Z:Z),IF(_xlpm.r=0,"",_xlpm.r))</f>
        <v>yes</v>
      </c>
      <c r="AF4" s="3" t="s">
        <v>1309</v>
      </c>
      <c r="AG4" s="3" t="s">
        <v>48</v>
      </c>
      <c r="AH4" s="2" t="s">
        <v>61</v>
      </c>
      <c r="AI4" s="2" t="str">
        <f>_xlfn.LET(_xlpm.r, _xlfn.XLOOKUP(MappingGuide[[#This Row],[Description]],'[1]Squirrel SQL Export 1'!D:D,'[1]Squirrel SQL Export 1'!Y:Y),IF(_xlpm.r=0,"",_xlpm.r))</f>
        <v>Field is not maintained. CONO auto populated based upon the system set up</v>
      </c>
      <c r="AK4" s="2" t="str">
        <f>_xlfn.LET(_xlpm.r, _xlfn.XLOOKUP(MappingGuide[[#This Row],[Description]],'[1]Squirrel SQL Export 1'!D:D,'[1]Squirrel SQL Export 1'!AE:AE),IF(_xlpm.r=0,"",_xlpm.r))</f>
        <v/>
      </c>
      <c r="AL4" s="3" t="str">
        <f>_xlfn.LET(_xlpm.r, _xlfn.XLOOKUP(MappingGuide[[#This Row],[DataType]],'[1]Squirrel SQL Export 1'!E:E,'[1]Squirrel SQL Export 1'!AF:AF),IF(_xlpm.r=0,"",_xlpm.r))</f>
        <v/>
      </c>
      <c r="AM4" s="2" t="str">
        <f>_xlfn.LET(_xlpm.r, _xlfn.XLOOKUP(MappingGuide[[#This Row],[Length]],'[1]Squirrel SQL Export 1'!F:F,'[1]Squirrel SQL Export 1'!AG:AG),IF(_xlpm.r=0,"",_xlpm.r))</f>
        <v/>
      </c>
    </row>
    <row r="5" spans="1:40" x14ac:dyDescent="0.2">
      <c r="A5" s="2">
        <v>2</v>
      </c>
      <c r="B5" s="2" t="s">
        <v>51</v>
      </c>
      <c r="C5" s="2" t="s">
        <v>62</v>
      </c>
      <c r="D5" s="2" t="s">
        <v>63</v>
      </c>
      <c r="E5" s="2" t="s">
        <v>43</v>
      </c>
      <c r="F5" s="2" t="s">
        <v>55</v>
      </c>
      <c r="O5" s="2" t="s">
        <v>45</v>
      </c>
      <c r="P5" s="2" t="s">
        <v>46</v>
      </c>
      <c r="Q5" s="2" t="s">
        <v>64</v>
      </c>
      <c r="V5" s="2" t="s">
        <v>58</v>
      </c>
      <c r="W5" s="2" t="str">
        <f>_xlfn.LET(_xlpm.r, _xlfn.XLOOKUP(MappingGuide[[#This Row],[Description]],'[1]Squirrel SQL Export 1'!D:D,'[1]Squirrel SQL Export 1'!AC:AC),IF(_xlpm.r=0,"",_xlpm.r))</f>
        <v/>
      </c>
      <c r="AA5" s="2" t="s">
        <v>65</v>
      </c>
      <c r="AC5" s="3" t="s">
        <v>66</v>
      </c>
      <c r="AE5" s="2" t="str" cm="1">
        <f t="array" ref="AE5">_xlfn.LET(_xlpm.r, _xlfn.XLOOKUP(MappingGuide[[#This Row],[ColumnName]] &amp; "|" &amp; MappingGuide[[#This Row],[Description]],'[1]Squirrel SQL Export 1'!C:C &amp; "|" &amp;'[1]Squirrel SQL Export 1'!D:D,'[1]Squirrel SQL Export 1'!Z:Z),IF(_xlpm.r=0,"",_xlpm.r))</f>
        <v>yes</v>
      </c>
      <c r="AF5" s="3" t="s">
        <v>1309</v>
      </c>
      <c r="AG5" s="3" t="s">
        <v>48</v>
      </c>
      <c r="AH5" s="2" t="s">
        <v>67</v>
      </c>
      <c r="AI5" s="2" t="str">
        <f>_xlfn.LET(_xlpm.r, _xlfn.XLOOKUP(MappingGuide[[#This Row],[Description]],'[1]Squirrel SQL Export 1'!D:D,'[1]Squirrel SQL Export 1'!Y:Y),IF(_xlpm.r=0,"",_xlpm.r))</f>
        <v>Field not used - Always blank (Customer Master is global)</v>
      </c>
      <c r="AK5" s="2" t="str">
        <f>_xlfn.LET(_xlpm.r, _xlfn.XLOOKUP(MappingGuide[[#This Row],[Description]],'[1]Squirrel SQL Export 1'!D:D,'[1]Squirrel SQL Export 1'!AE:AE),IF(_xlpm.r=0,"",_xlpm.r))</f>
        <v/>
      </c>
      <c r="AL5" s="3" t="str">
        <f>_xlfn.LET(_xlpm.r, _xlfn.XLOOKUP(MappingGuide[[#This Row],[DataType]],'[1]Squirrel SQL Export 1'!E:E,'[1]Squirrel SQL Export 1'!AF:AF),IF(_xlpm.r=0,"",_xlpm.r))</f>
        <v>No</v>
      </c>
      <c r="AM5" s="2" t="str">
        <f>_xlfn.LET(_xlpm.r, _xlfn.XLOOKUP(MappingGuide[[#This Row],[Length]],'[1]Squirrel SQL Export 1'!F:F,'[1]Squirrel SQL Export 1'!AG:AG),IF(_xlpm.r=0,"",_xlpm.r))</f>
        <v/>
      </c>
    </row>
    <row r="6" spans="1:40" x14ac:dyDescent="0.2">
      <c r="A6" s="2">
        <v>3</v>
      </c>
      <c r="B6" s="2" t="s">
        <v>51</v>
      </c>
      <c r="C6" s="2" t="s">
        <v>68</v>
      </c>
      <c r="D6" s="2" t="s">
        <v>69</v>
      </c>
      <c r="E6" s="2" t="s">
        <v>43</v>
      </c>
      <c r="F6" s="2" t="s">
        <v>70</v>
      </c>
      <c r="J6" s="2" t="s">
        <v>71</v>
      </c>
      <c r="K6" s="2" t="s">
        <v>72</v>
      </c>
      <c r="O6" s="2" t="s">
        <v>45</v>
      </c>
      <c r="P6" s="2" t="s">
        <v>46</v>
      </c>
      <c r="Q6" s="2" t="s">
        <v>73</v>
      </c>
      <c r="T6" s="2" t="s">
        <v>74</v>
      </c>
      <c r="W6" s="2" t="str">
        <f>_xlfn.LET(_xlpm.r, _xlfn.XLOOKUP(MappingGuide[[#This Row],[Description]],'[1]Squirrel SQL Export 1'!D:D,'[1]Squirrel SQL Export 1'!AC:AC),IF(_xlpm.r=0,"",_xlpm.r))</f>
        <v>20</v>
      </c>
      <c r="AA6" s="2" t="s">
        <v>75</v>
      </c>
      <c r="AB6" s="2" t="s">
        <v>76</v>
      </c>
      <c r="AE6" s="2" t="str" cm="1">
        <f t="array" ref="AE6">_xlfn.LET(_xlpm.r, _xlfn.XLOOKUP(MappingGuide[[#This Row],[ColumnName]] &amp; "|" &amp; MappingGuide[[#This Row],[Description]],'[1]Squirrel SQL Export 1'!C:C &amp; "|" &amp;'[1]Squirrel SQL Export 1'!D:D,'[1]Squirrel SQL Export 1'!Z:Z),IF(_xlpm.r=0,"",_xlpm.r))</f>
        <v>yes</v>
      </c>
      <c r="AF6" s="3" t="s">
        <v>1309</v>
      </c>
      <c r="AG6" s="3" t="s">
        <v>48</v>
      </c>
      <c r="AH6" s="2" t="s">
        <v>77</v>
      </c>
      <c r="AI6" s="2" t="str">
        <f>_xlfn.LET(_xlpm.r, _xlfn.XLOOKUP(MappingGuide[[#This Row],[Description]],'[1]Squirrel SQL Export 1'!D:D,'[1]Squirrel SQL Export 1'!Y:Y),IF(_xlpm.r=0,"",_xlpm.r))</f>
        <v>Template customer should have status 10. New customers inherit status from template. Once activated in M3 status will be 20 - and the activation needs to be transferred to MDM. Customers that expire should get status 90. Only customers in status 20 can place orders. (When a new customer is created it can get sts 12 which indicates that something is wrong - an invalid value was most likely used during creation)</v>
      </c>
      <c r="AK6" s="2" t="str">
        <f>_xlfn.LET(_xlpm.r, _xlfn.XLOOKUP(MappingGuide[[#This Row],[Description]],'[1]Squirrel SQL Export 1'!D:D,'[1]Squirrel SQL Export 1'!AE:AE),IF(_xlpm.r=0,"",_xlpm.r))</f>
        <v>Will exist in both Syndigo &amp; M3</v>
      </c>
      <c r="AL6" s="3" t="str">
        <f>_xlfn.LET(_xlpm.r, _xlfn.XLOOKUP(MappingGuide[[#This Row],[DataType]],'[1]Squirrel SQL Export 1'!E:E,'[1]Squirrel SQL Export 1'!AF:AF),IF(_xlpm.r=0,"",_xlpm.r))</f>
        <v>No</v>
      </c>
      <c r="AM6" s="2" t="str">
        <f>_xlfn.LET(_xlpm.r, _xlfn.XLOOKUP(MappingGuide[[#This Row],[Length]],'[1]Squirrel SQL Export 1'!F:F,'[1]Squirrel SQL Export 1'!AG:AG),IF(_xlpm.r=0,"",_xlpm.r))</f>
        <v>Status</v>
      </c>
    </row>
    <row r="7" spans="1:40" x14ac:dyDescent="0.2">
      <c r="A7" s="2">
        <v>4</v>
      </c>
      <c r="B7" s="2" t="s">
        <v>51</v>
      </c>
      <c r="C7" s="2" t="s">
        <v>78</v>
      </c>
      <c r="D7" s="2" t="s">
        <v>79</v>
      </c>
      <c r="E7" s="2" t="s">
        <v>43</v>
      </c>
      <c r="F7" s="2" t="s">
        <v>44</v>
      </c>
      <c r="H7" s="2" t="s">
        <v>56</v>
      </c>
      <c r="J7" s="2" t="s">
        <v>71</v>
      </c>
      <c r="K7" s="2" t="s">
        <v>72</v>
      </c>
      <c r="L7" s="2" t="s">
        <v>48</v>
      </c>
      <c r="O7" s="2" t="s">
        <v>45</v>
      </c>
      <c r="P7" s="2" t="s">
        <v>46</v>
      </c>
      <c r="Q7" s="2" t="s">
        <v>80</v>
      </c>
      <c r="T7" s="2" t="s">
        <v>81</v>
      </c>
      <c r="V7" s="2" t="s">
        <v>82</v>
      </c>
      <c r="W7" s="2" t="str">
        <f>_xlfn.LET(_xlpm.r, _xlfn.XLOOKUP(MappingGuide[[#This Row],[Description]],'[1]Squirrel SQL Export 1'!D:D,'[1]Squirrel SQL Export 1'!AC:AC),IF(_xlpm.r=0,"",_xlpm.r))</f>
        <v>A000000001</v>
      </c>
      <c r="AA7" s="2" t="s">
        <v>83</v>
      </c>
      <c r="AC7" s="3" t="s">
        <v>71</v>
      </c>
      <c r="AE7" s="2" t="str" cm="1">
        <f t="array" ref="AE7">_xlfn.LET(_xlpm.r, _xlfn.XLOOKUP(MappingGuide[[#This Row],[ColumnName]] &amp; "|" &amp; MappingGuide[[#This Row],[Description]],'[1]Squirrel SQL Export 1'!C:C &amp; "|" &amp;'[1]Squirrel SQL Export 1'!D:D,'[1]Squirrel SQL Export 1'!Z:Z),IF(_xlpm.r=0,"",_xlpm.r))</f>
        <v>yes</v>
      </c>
      <c r="AF7" s="3" t="s">
        <v>1309</v>
      </c>
      <c r="AG7" s="3" t="s">
        <v>48</v>
      </c>
      <c r="AH7" s="2" t="s">
        <v>84</v>
      </c>
      <c r="AI7" s="2" t="str">
        <f>_xlfn.LET(_xlpm.r, _xlfn.XLOOKUP(MappingGuide[[#This Row],[Description]],'[1]Squirrel SQL Export 1'!D:D,'[1]Squirrel SQL Export 1'!Y:Y),IF(_xlpm.r=0,"",_xlpm.r))</f>
        <v>This is the customer number</v>
      </c>
      <c r="AK7" s="2" t="str">
        <f>_xlfn.LET(_xlpm.r, _xlfn.XLOOKUP(MappingGuide[[#This Row],[Description]],'[1]Squirrel SQL Export 1'!D:D,'[1]Squirrel SQL Export 1'!AE:AE),IF(_xlpm.r=0,"",_xlpm.r))</f>
        <v>Will exist in both Syndigo &amp; M3</v>
      </c>
      <c r="AL7" s="3" t="str">
        <f>_xlfn.LET(_xlpm.r, _xlfn.XLOOKUP(MappingGuide[[#This Row],[DataType]],'[1]Squirrel SQL Export 1'!E:E,'[1]Squirrel SQL Export 1'!AF:AF),IF(_xlpm.r=0,"",_xlpm.r))</f>
        <v>No</v>
      </c>
      <c r="AM7" s="2" t="str">
        <f>_xlfn.LET(_xlpm.r, _xlfn.XLOOKUP(MappingGuide[[#This Row],[Length]],'[1]Squirrel SQL Export 1'!F:F,'[1]Squirrel SQL Export 1'!AG:AG),IF(_xlpm.r=0,"",_xlpm.r))</f>
        <v/>
      </c>
    </row>
    <row r="8" spans="1:40" x14ac:dyDescent="0.2">
      <c r="A8" s="2">
        <v>5</v>
      </c>
      <c r="B8" s="2" t="s">
        <v>51</v>
      </c>
      <c r="C8" s="2" t="s">
        <v>85</v>
      </c>
      <c r="D8" s="2" t="s">
        <v>86</v>
      </c>
      <c r="E8" s="2" t="s">
        <v>43</v>
      </c>
      <c r="F8" s="2" t="s">
        <v>55</v>
      </c>
      <c r="J8" s="2" t="s">
        <v>71</v>
      </c>
      <c r="K8" s="2" t="s">
        <v>87</v>
      </c>
      <c r="L8" s="2" t="s">
        <v>48</v>
      </c>
      <c r="O8" s="2" t="s">
        <v>45</v>
      </c>
      <c r="P8" s="2" t="s">
        <v>88</v>
      </c>
      <c r="Q8" s="2" t="s">
        <v>89</v>
      </c>
      <c r="T8" s="2" t="s">
        <v>90</v>
      </c>
      <c r="W8" s="2" t="str">
        <f>_xlfn.LET(_xlpm.r, _xlfn.XLOOKUP(MappingGuide[[#This Row],[Description]],'[1]Squirrel SQL Export 1'!D:D,'[1]Squirrel SQL Export 1'!AC:AC),IF(_xlpm.r=0,"",_xlpm.r))</f>
        <v>ZZZ</v>
      </c>
      <c r="AA8" s="2" t="s">
        <v>91</v>
      </c>
      <c r="AC8" s="3" t="s">
        <v>92</v>
      </c>
      <c r="AE8" s="2" t="str" cm="1">
        <f t="array" ref="AE8">_xlfn.LET(_xlpm.r, _xlfn.XLOOKUP(MappingGuide[[#This Row],[ColumnName]] &amp; "|" &amp; MappingGuide[[#This Row],[Description]],'[1]Squirrel SQL Export 1'!C:C &amp; "|" &amp;'[1]Squirrel SQL Export 1'!D:D,'[1]Squirrel SQL Export 1'!Z:Z),IF(_xlpm.r=0,"",_xlpm.r))</f>
        <v>yes</v>
      </c>
      <c r="AF8" s="3" t="s">
        <v>1309</v>
      </c>
      <c r="AG8" s="3" t="s">
        <v>48</v>
      </c>
      <c r="AH8" s="2" t="s">
        <v>93</v>
      </c>
      <c r="AI8" s="2" t="str">
        <f>_xlfn.LET(_xlpm.r, _xlfn.XLOOKUP(MappingGuide[[#This Row],[Description]],'[1]Squirrel SQL Export 1'!D:D,'[1]Squirrel SQL Export 1'!Y:Y),IF(_xlpm.r=0,"",_xlpm.r))</f>
        <v>This is needed. Doppio to define all customer groups in discussion with business.
Doppio to discuss with business and define all customer groups, and share list with MDM
We might set up customer groups for College vs Scholastic vs Commercial vs ISP/Sales Office vs Others for ex</v>
      </c>
      <c r="AK8" s="2" t="str">
        <f>_xlfn.LET(_xlpm.r, _xlfn.XLOOKUP(MappingGuide[[#This Row],[Description]],'[1]Squirrel SQL Export 1'!D:D,'[1]Squirrel SQL Export 1'!AE:AE),IF(_xlpm.r=0,"",_xlpm.r))</f>
        <v>Need to confirm but we currently dont have Customer Group</v>
      </c>
      <c r="AL8" s="3" t="str">
        <f>_xlfn.LET(_xlpm.r, _xlfn.XLOOKUP(MappingGuide[[#This Row],[DataType]],'[1]Squirrel SQL Export 1'!E:E,'[1]Squirrel SQL Export 1'!AF:AF),IF(_xlpm.r=0,"",_xlpm.r))</f>
        <v>No</v>
      </c>
      <c r="AM8" s="2" t="str">
        <f>_xlfn.LET(_xlpm.r, _xlfn.XLOOKUP(MappingGuide[[#This Row],[Length]],'[1]Squirrel SQL Export 1'!F:F,'[1]Squirrel SQL Export 1'!AG:AG),IF(_xlpm.r=0,"",_xlpm.r))</f>
        <v/>
      </c>
    </row>
    <row r="9" spans="1:40" x14ac:dyDescent="0.2">
      <c r="A9" s="2">
        <v>6</v>
      </c>
      <c r="B9" s="2" t="s">
        <v>51</v>
      </c>
      <c r="C9" s="2" t="s">
        <v>94</v>
      </c>
      <c r="D9" s="2" t="s">
        <v>95</v>
      </c>
      <c r="E9" s="2" t="s">
        <v>54</v>
      </c>
      <c r="F9" s="2" t="s">
        <v>96</v>
      </c>
      <c r="J9" s="2" t="s">
        <v>71</v>
      </c>
      <c r="K9" s="2" t="s">
        <v>72</v>
      </c>
      <c r="L9" s="2" t="s">
        <v>48</v>
      </c>
      <c r="O9" s="2" t="s">
        <v>45</v>
      </c>
      <c r="P9" s="2" t="s">
        <v>46</v>
      </c>
      <c r="Q9" s="2" t="s">
        <v>97</v>
      </c>
      <c r="T9" s="2" t="s">
        <v>98</v>
      </c>
      <c r="W9" s="2" t="str">
        <f>_xlfn.LET(_xlpm.r, _xlfn.XLOOKUP(MappingGuide[[#This Row],[Description]],'[1]Squirrel SQL Export 1'!D:D,'[1]Squirrel SQL Export 1'!AC:AC),IF(_xlpm.r=0,"",_xlpm.r))</f>
        <v/>
      </c>
      <c r="AA9" s="2" t="s">
        <v>99</v>
      </c>
      <c r="AB9" s="2" t="s">
        <v>100</v>
      </c>
      <c r="AC9" s="2"/>
      <c r="AE9" s="2" t="str" cm="1">
        <f t="array" ref="AE9">_xlfn.LET(_xlpm.r, _xlfn.XLOOKUP(MappingGuide[[#This Row],[ColumnName]] &amp; "|" &amp; MappingGuide[[#This Row],[Description]],'[1]Squirrel SQL Export 1'!C:C &amp; "|" &amp;'[1]Squirrel SQL Export 1'!D:D,'[1]Squirrel SQL Export 1'!Z:Z),IF(_xlpm.r=0,"",_xlpm.r))</f>
        <v>yes</v>
      </c>
      <c r="AF9" s="3" t="s">
        <v>1309</v>
      </c>
      <c r="AG9" s="3" t="s">
        <v>101</v>
      </c>
      <c r="AI9" s="2" t="str">
        <f>_xlfn.LET(_xlpm.r, _xlfn.XLOOKUP(MappingGuide[[#This Row],[Description]],'[1]Squirrel SQL Export 1'!D:D,'[1]Squirrel SQL Export 1'!Y:Y),IF(_xlpm.r=0,"",_xlpm.r))</f>
        <v>Yes</v>
      </c>
      <c r="AK9" s="2" t="str">
        <f>_xlfn.LET(_xlpm.r, _xlfn.XLOOKUP(MappingGuide[[#This Row],[Description]],'[1]Squirrel SQL Export 1'!D:D,'[1]Squirrel SQL Export 1'!AE:AE),IF(_xlpm.r=0,"",_xlpm.r))</f>
        <v>Will exist in both Syndigo &amp; M3</v>
      </c>
      <c r="AL9" s="3" t="str">
        <f>_xlfn.LET(_xlpm.r, _xlfn.XLOOKUP(MappingGuide[[#This Row],[DataType]],'[1]Squirrel SQL Export 1'!E:E,'[1]Squirrel SQL Export 1'!AF:AF),IF(_xlpm.r=0,"",_xlpm.r))</f>
        <v/>
      </c>
      <c r="AM9" s="2" t="str">
        <f>_xlfn.LET(_xlpm.r, _xlfn.XLOOKUP(MappingGuide[[#This Row],[Length]],'[1]Squirrel SQL Export 1'!F:F,'[1]Squirrel SQL Export 1'!AG:AG),IF(_xlpm.r=0,"",_xlpm.r))</f>
        <v>Type</v>
      </c>
    </row>
    <row r="10" spans="1:40" x14ac:dyDescent="0.2">
      <c r="A10" s="2">
        <v>7</v>
      </c>
      <c r="B10" s="2" t="s">
        <v>51</v>
      </c>
      <c r="C10" s="2" t="s">
        <v>102</v>
      </c>
      <c r="D10" s="2" t="s">
        <v>103</v>
      </c>
      <c r="E10" s="2" t="s">
        <v>43</v>
      </c>
      <c r="F10" s="2" t="s">
        <v>44</v>
      </c>
      <c r="J10" s="2" t="s">
        <v>71</v>
      </c>
      <c r="K10" s="2" t="s">
        <v>72</v>
      </c>
      <c r="L10" s="2" t="s">
        <v>48</v>
      </c>
      <c r="O10" s="2" t="s">
        <v>45</v>
      </c>
      <c r="P10" s="2" t="s">
        <v>46</v>
      </c>
      <c r="Q10" s="2" t="s">
        <v>104</v>
      </c>
      <c r="W10" s="2" t="str">
        <f>_xlfn.LET(_xlpm.r, _xlfn.XLOOKUP(MappingGuide[[#This Row],[Description]],'[1]Squirrel SQL Export 1'!D:D,'[1]Squirrel SQL Export 1'!AC:AC),IF(_xlpm.r=0,"",_xlpm.r))</f>
        <v>DOMESTIC</v>
      </c>
      <c r="AA10" s="2" t="s">
        <v>105</v>
      </c>
      <c r="AE10" s="2" t="str" cm="1">
        <f t="array" ref="AE10">_xlfn.LET(_xlpm.r, _xlfn.XLOOKUP(MappingGuide[[#This Row],[ColumnName]] &amp; "|" &amp; MappingGuide[[#This Row],[Description]],'[1]Squirrel SQL Export 1'!C:C &amp; "|" &amp;'[1]Squirrel SQL Export 1'!D:D,'[1]Squirrel SQL Export 1'!Z:Z),IF(_xlpm.r=0,"",_xlpm.r))</f>
        <v>no</v>
      </c>
      <c r="AF10" s="3" t="s">
        <v>1309</v>
      </c>
      <c r="AG10" s="3" t="s">
        <v>48</v>
      </c>
      <c r="AH10" s="2" t="s">
        <v>106</v>
      </c>
      <c r="AI10" s="2" t="str">
        <f>_xlfn.LET(_xlpm.r, _xlfn.XLOOKUP(MappingGuide[[#This Row],[Description]],'[1]Squirrel SQL Export 1'!D:D,'[1]Squirrel SQL Export 1'!Y:Y),IF(_xlpm.r=0,"",_xlpm.r))</f>
        <v xml:space="preserve">If it's not populated by value from MDM, M3 will add values automatically. (Normally the first 10 char from customer name in capitals) Nowadays you use enterprise search to find your customers so the field is not important.
01/05: Since, we can sort by any field, so this field doesn't look relevant anymore. So, we are ok to drop it for now unless MDM team identifies some field which should be mapped against it. </v>
      </c>
      <c r="AK10" s="2" t="str">
        <f>_xlfn.LET(_xlpm.r, _xlfn.XLOOKUP(MappingGuide[[#This Row],[Description]],'[1]Squirrel SQL Export 1'!D:D,'[1]Squirrel SQL Export 1'!AE:AE),IF(_xlpm.r=0,"",_xlpm.r))</f>
        <v>There is not currently a field in MDM, we can consider adding later if this will be leveraged by downstream teams but will hold off on adding at this time.</v>
      </c>
      <c r="AL10" s="3" t="str">
        <f>_xlfn.LET(_xlpm.r, _xlfn.XLOOKUP(MappingGuide[[#This Row],[DataType]],'[1]Squirrel SQL Export 1'!E:E,'[1]Squirrel SQL Export 1'!AF:AF),IF(_xlpm.r=0,"",_xlpm.r))</f>
        <v>No</v>
      </c>
      <c r="AM10" s="2" t="str">
        <f>_xlfn.LET(_xlpm.r, _xlfn.XLOOKUP(MappingGuide[[#This Row],[Length]],'[1]Squirrel SQL Export 1'!F:F,'[1]Squirrel SQL Export 1'!AG:AG),IF(_xlpm.r=0,"",_xlpm.r))</f>
        <v/>
      </c>
    </row>
    <row r="11" spans="1:40" x14ac:dyDescent="0.2">
      <c r="A11" s="2">
        <v>8</v>
      </c>
      <c r="B11" s="2" t="s">
        <v>51</v>
      </c>
      <c r="C11" s="2" t="s">
        <v>107</v>
      </c>
      <c r="D11" s="2" t="s">
        <v>108</v>
      </c>
      <c r="E11" s="2" t="s">
        <v>43</v>
      </c>
      <c r="F11" s="2" t="s">
        <v>109</v>
      </c>
      <c r="J11" s="2" t="s">
        <v>71</v>
      </c>
      <c r="K11" s="2" t="s">
        <v>72</v>
      </c>
      <c r="L11" s="2" t="s">
        <v>48</v>
      </c>
      <c r="O11" s="2" t="s">
        <v>45</v>
      </c>
      <c r="P11" s="2" t="s">
        <v>46</v>
      </c>
      <c r="Q11" s="2" t="s">
        <v>110</v>
      </c>
      <c r="R11" s="2" t="s">
        <v>48</v>
      </c>
      <c r="T11" s="2" t="s">
        <v>111</v>
      </c>
      <c r="V11" s="2" t="s">
        <v>112</v>
      </c>
      <c r="W11" s="2" t="str">
        <f>_xlfn.LET(_xlpm.r, _xlfn.XLOOKUP(MappingGuide[[#This Row],[Description]],'[1]Squirrel SQL Export 1'!D:D,'[1]Squirrel SQL Export 1'!AC:AC),IF(_xlpm.r=0,"",_xlpm.r))</f>
        <v>WINCHESTER PUBLIC SCHOOLS</v>
      </c>
      <c r="AA11" s="2" t="s">
        <v>113</v>
      </c>
      <c r="AE11" s="2" t="str" cm="1">
        <f t="array" ref="AE11">_xlfn.LET(_xlpm.r, _xlfn.XLOOKUP(MappingGuide[[#This Row],[ColumnName]] &amp; "|" &amp; MappingGuide[[#This Row],[Description]],'[1]Squirrel SQL Export 1'!C:C &amp; "|" &amp;'[1]Squirrel SQL Export 1'!D:D,'[1]Squirrel SQL Export 1'!Z:Z),IF(_xlpm.r=0,"",_xlpm.r))</f>
        <v>yes</v>
      </c>
      <c r="AF11" s="3" t="s">
        <v>1309</v>
      </c>
      <c r="AG11" s="3" t="s">
        <v>48</v>
      </c>
      <c r="AH11" s="2" t="s">
        <v>114</v>
      </c>
      <c r="AI11" s="2" t="str">
        <f>_xlfn.LET(_xlpm.r, _xlfn.XLOOKUP(MappingGuide[[#This Row],[Description]],'[1]Squirrel SQL Export 1'!D:D,'[1]Squirrel SQL Export 1'!Y:Y),IF(_xlpm.r=0,"",_xlpm.r))</f>
        <v>This is self explanatory</v>
      </c>
      <c r="AK11" s="2" t="str">
        <f>_xlfn.LET(_xlpm.r, _xlfn.XLOOKUP(MappingGuide[[#This Row],[Description]],'[1]Squirrel SQL Export 1'!D:D,'[1]Squirrel SQL Export 1'!AE:AE),IF(_xlpm.r=0,"",_xlpm.r))</f>
        <v>Need to determine whether Legal or Public name is preferred.</v>
      </c>
      <c r="AL11" s="3" t="str">
        <f>_xlfn.LET(_xlpm.r, _xlfn.XLOOKUP(MappingGuide[[#This Row],[DataType]],'[1]Squirrel SQL Export 1'!E:E,'[1]Squirrel SQL Export 1'!AF:AF),IF(_xlpm.r=0,"",_xlpm.r))</f>
        <v>No</v>
      </c>
      <c r="AM11" s="2" t="str">
        <f>_xlfn.LET(_xlpm.r, _xlfn.XLOOKUP(MappingGuide[[#This Row],[Length]],'[1]Squirrel SQL Export 1'!F:F,'[1]Squirrel SQL Export 1'!AG:AG),IF(_xlpm.r=0,"",_xlpm.r))</f>
        <v>Legal Name / Public Name</v>
      </c>
    </row>
    <row r="12" spans="1:40" x14ac:dyDescent="0.2">
      <c r="A12" s="2">
        <v>9</v>
      </c>
      <c r="B12" s="2" t="s">
        <v>51</v>
      </c>
      <c r="C12" s="2" t="s">
        <v>115</v>
      </c>
      <c r="D12" s="2" t="s">
        <v>116</v>
      </c>
      <c r="E12" s="2" t="s">
        <v>43</v>
      </c>
      <c r="F12" s="2" t="s">
        <v>109</v>
      </c>
      <c r="J12" s="2" t="s">
        <v>71</v>
      </c>
      <c r="K12" s="2" t="s">
        <v>72</v>
      </c>
      <c r="L12" s="2" t="s">
        <v>48</v>
      </c>
      <c r="O12" s="2" t="s">
        <v>45</v>
      </c>
      <c r="P12" s="2" t="s">
        <v>46</v>
      </c>
      <c r="Q12" s="2" t="s">
        <v>117</v>
      </c>
      <c r="R12" s="2" t="s">
        <v>48</v>
      </c>
      <c r="T12" s="2" t="s">
        <v>118</v>
      </c>
      <c r="V12" s="2" t="s">
        <v>119</v>
      </c>
      <c r="W12" s="2" t="str">
        <f>_xlfn.LET(_xlpm.r, _xlfn.XLOOKUP(MappingGuide[[#This Row],[Description]],'[1]Squirrel SQL Export 1'!D:D,'[1]Squirrel SQL Export 1'!AC:AC),IF(_xlpm.r=0,"",_xlpm.r))</f>
        <v>12 N WASHINGTON ST</v>
      </c>
      <c r="AA12" s="2" t="s">
        <v>120</v>
      </c>
      <c r="AE12" s="2" t="str" cm="1">
        <f t="array" ref="AE12">_xlfn.LET(_xlpm.r, _xlfn.XLOOKUP(MappingGuide[[#This Row],[ColumnName]] &amp; "|" &amp; MappingGuide[[#This Row],[Description]],'[1]Squirrel SQL Export 1'!C:C &amp; "|" &amp;'[1]Squirrel SQL Export 1'!D:D,'[1]Squirrel SQL Export 1'!Z:Z),IF(_xlpm.r=0,"",_xlpm.r))</f>
        <v>yes</v>
      </c>
      <c r="AF12" s="3" t="s">
        <v>1309</v>
      </c>
      <c r="AG12" s="3" t="s">
        <v>48</v>
      </c>
      <c r="AH12" s="2" t="s">
        <v>121</v>
      </c>
      <c r="AI12" s="2" t="str">
        <f>_xlfn.LET(_xlpm.r, _xlfn.XLOOKUP(MappingGuide[[#This Row],[Description]],'[1]Squirrel SQL Export 1'!D:D,'[1]Squirrel SQL Export 1'!Y:Y),IF(_xlpm.r=0,"",_xlpm.r))</f>
        <v>This is self explanatory</v>
      </c>
      <c r="AK12" s="2" t="str">
        <f>_xlfn.LET(_xlpm.r, _xlfn.XLOOKUP(MappingGuide[[#This Row],[Description]],'[1]Squirrel SQL Export 1'!D:D,'[1]Squirrel SQL Export 1'!AE:AE),IF(_xlpm.r=0,"",_xlpm.r))</f>
        <v>Need to confirm which Address fields this appies we have a  Mail, Bill and Ship To</v>
      </c>
      <c r="AL12" s="3" t="str">
        <f>_xlfn.LET(_xlpm.r, _xlfn.XLOOKUP(MappingGuide[[#This Row],[DataType]],'[1]Squirrel SQL Export 1'!E:E,'[1]Squirrel SQL Export 1'!AF:AF),IF(_xlpm.r=0,"",_xlpm.r))</f>
        <v>No</v>
      </c>
      <c r="AM12" s="2" t="str">
        <f>_xlfn.LET(_xlpm.r, _xlfn.XLOOKUP(MappingGuide[[#This Row],[Length]],'[1]Squirrel SQL Export 1'!F:F,'[1]Squirrel SQL Export 1'!AG:AG),IF(_xlpm.r=0,"",_xlpm.r))</f>
        <v>Legal Name / Public Name</v>
      </c>
    </row>
    <row r="13" spans="1:40" x14ac:dyDescent="0.2">
      <c r="A13" s="2">
        <v>10</v>
      </c>
      <c r="B13" s="2" t="s">
        <v>51</v>
      </c>
      <c r="C13" s="2" t="s">
        <v>122</v>
      </c>
      <c r="D13" s="2" t="s">
        <v>123</v>
      </c>
      <c r="E13" s="2" t="s">
        <v>43</v>
      </c>
      <c r="F13" s="2" t="s">
        <v>109</v>
      </c>
      <c r="J13" s="2" t="s">
        <v>71</v>
      </c>
      <c r="K13" s="2" t="s">
        <v>72</v>
      </c>
      <c r="L13" s="2" t="s">
        <v>48</v>
      </c>
      <c r="O13" s="2" t="s">
        <v>45</v>
      </c>
      <c r="P13" s="2" t="s">
        <v>46</v>
      </c>
      <c r="Q13" s="2" t="s">
        <v>124</v>
      </c>
      <c r="T13" s="2" t="s">
        <v>118</v>
      </c>
      <c r="V13" s="2" t="s">
        <v>125</v>
      </c>
      <c r="W13" s="2" t="str">
        <f>_xlfn.LET(_xlpm.r, _xlfn.XLOOKUP(MappingGuide[[#This Row],[Description]],'[1]Squirrel SQL Export 1'!D:D,'[1]Squirrel SQL Export 1'!AC:AC),IF(_xlpm.r=0,"",_xlpm.r))</f>
        <v/>
      </c>
      <c r="AA13" s="2" t="s">
        <v>120</v>
      </c>
      <c r="AC13" s="2"/>
      <c r="AE13" s="2" t="str" cm="1">
        <f t="array" ref="AE13">_xlfn.LET(_xlpm.r, _xlfn.XLOOKUP(MappingGuide[[#This Row],[ColumnName]] &amp; "|" &amp; MappingGuide[[#This Row],[Description]],'[1]Squirrel SQL Export 1'!C:C &amp; "|" &amp;'[1]Squirrel SQL Export 1'!D:D,'[1]Squirrel SQL Export 1'!Z:Z),IF(_xlpm.r=0,"",_xlpm.r))</f>
        <v>yes</v>
      </c>
      <c r="AF13" s="3" t="s">
        <v>1309</v>
      </c>
      <c r="AG13" s="3" t="s">
        <v>101</v>
      </c>
      <c r="AI13" s="2" t="str">
        <f>_xlfn.LET(_xlpm.r, _xlfn.XLOOKUP(MappingGuide[[#This Row],[Description]],'[1]Squirrel SQL Export 1'!D:D,'[1]Squirrel SQL Export 1'!Y:Y),IF(_xlpm.r=0,"",_xlpm.r))</f>
        <v>This is self explanatory</v>
      </c>
      <c r="AK13" s="2" t="str">
        <f>_xlfn.LET(_xlpm.r, _xlfn.XLOOKUP(MappingGuide[[#This Row],[Description]],'[1]Squirrel SQL Export 1'!D:D,'[1]Squirrel SQL Export 1'!AE:AE),IF(_xlpm.r=0,"",_xlpm.r))</f>
        <v>Need to confirm which Address fields this appies we have a  Mail, Bill and Ship To</v>
      </c>
      <c r="AL13" s="3" t="str">
        <f>_xlfn.LET(_xlpm.r, _xlfn.XLOOKUP(MappingGuide[[#This Row],[DataType]],'[1]Squirrel SQL Export 1'!E:E,'[1]Squirrel SQL Export 1'!AF:AF),IF(_xlpm.r=0,"",_xlpm.r))</f>
        <v>No</v>
      </c>
      <c r="AM13" s="2" t="str">
        <f>_xlfn.LET(_xlpm.r, _xlfn.XLOOKUP(MappingGuide[[#This Row],[Length]],'[1]Squirrel SQL Export 1'!F:F,'[1]Squirrel SQL Export 1'!AG:AG),IF(_xlpm.r=0,"",_xlpm.r))</f>
        <v>Legal Name / Public Name</v>
      </c>
    </row>
    <row r="14" spans="1:40" x14ac:dyDescent="0.2">
      <c r="A14" s="2">
        <v>11</v>
      </c>
      <c r="B14" s="2" t="s">
        <v>51</v>
      </c>
      <c r="C14" s="2" t="s">
        <v>126</v>
      </c>
      <c r="D14" s="2" t="s">
        <v>127</v>
      </c>
      <c r="E14" s="2" t="s">
        <v>43</v>
      </c>
      <c r="F14" s="2" t="s">
        <v>109</v>
      </c>
      <c r="J14" s="2" t="s">
        <v>71</v>
      </c>
      <c r="K14" s="2" t="s">
        <v>72</v>
      </c>
      <c r="L14" s="2" t="s">
        <v>48</v>
      </c>
      <c r="O14" s="2" t="s">
        <v>45</v>
      </c>
      <c r="P14" s="2" t="s">
        <v>46</v>
      </c>
      <c r="Q14" s="2" t="s">
        <v>128</v>
      </c>
      <c r="T14" s="2" t="s">
        <v>118</v>
      </c>
      <c r="V14" s="2" t="s">
        <v>129</v>
      </c>
      <c r="W14" s="2" t="str">
        <f>_xlfn.LET(_xlpm.r, _xlfn.XLOOKUP(MappingGuide[[#This Row],[Description]],'[1]Squirrel SQL Export 1'!D:D,'[1]Squirrel SQL Export 1'!AC:AC),IF(_xlpm.r=0,"",_xlpm.r))</f>
        <v>WINCHESTER VA 22601</v>
      </c>
      <c r="AA14" s="2" t="s">
        <v>130</v>
      </c>
      <c r="AE14" s="2" t="str" cm="1">
        <f t="array" ref="AE14">_xlfn.LET(_xlpm.r, _xlfn.XLOOKUP(MappingGuide[[#This Row],[ColumnName]] &amp; "|" &amp; MappingGuide[[#This Row],[Description]],'[1]Squirrel SQL Export 1'!C:C &amp; "|" &amp;'[1]Squirrel SQL Export 1'!D:D,'[1]Squirrel SQL Export 1'!Z:Z),IF(_xlpm.r=0,"",_xlpm.r))</f>
        <v>no</v>
      </c>
      <c r="AF14" s="3" t="s">
        <v>1309</v>
      </c>
      <c r="AG14" s="3" t="s">
        <v>48</v>
      </c>
      <c r="AH14" s="2" t="s">
        <v>131</v>
      </c>
      <c r="AI14" s="2" t="str">
        <f>_xlfn.LET(_xlpm.r, _xlfn.XLOOKUP(MappingGuide[[#This Row],[Description]],'[1]Squirrel SQL Export 1'!D:D,'[1]Squirrel SQL Export 1'!Y:Y),IF(_xlpm.r=0,"",_xlpm.r))</f>
        <v>Depending on the address formating rule in M3 (CRS117) - If auto formatted you can't populate it manually.</v>
      </c>
      <c r="AK14" s="2" t="str">
        <f>_xlfn.LET(_xlpm.r, _xlfn.XLOOKUP(MappingGuide[[#This Row],[Description]],'[1]Squirrel SQL Export 1'!D:D,'[1]Squirrel SQL Export 1'!AE:AE),IF(_xlpm.r=0,"",_xlpm.r))</f>
        <v>Need to confirm which Address fields this appies we have a  Mail, Bill and Ship To</v>
      </c>
      <c r="AL14" s="3" t="str">
        <f>_xlfn.LET(_xlpm.r, _xlfn.XLOOKUP(MappingGuide[[#This Row],[DataType]],'[1]Squirrel SQL Export 1'!E:E,'[1]Squirrel SQL Export 1'!AF:AF),IF(_xlpm.r=0,"",_xlpm.r))</f>
        <v>No</v>
      </c>
      <c r="AM14" s="2" t="str">
        <f>_xlfn.LET(_xlpm.r, _xlfn.XLOOKUP(MappingGuide[[#This Row],[Length]],'[1]Squirrel SQL Export 1'!F:F,'[1]Squirrel SQL Export 1'!AG:AG),IF(_xlpm.r=0,"",_xlpm.r))</f>
        <v>Legal Name / Public Name</v>
      </c>
    </row>
    <row r="15" spans="1:40" x14ac:dyDescent="0.2">
      <c r="A15" s="2">
        <v>12</v>
      </c>
      <c r="B15" s="2" t="s">
        <v>51</v>
      </c>
      <c r="C15" s="2" t="s">
        <v>132</v>
      </c>
      <c r="D15" s="2" t="s">
        <v>133</v>
      </c>
      <c r="E15" s="2" t="s">
        <v>43</v>
      </c>
      <c r="F15" s="2" t="s">
        <v>109</v>
      </c>
      <c r="J15" s="2" t="s">
        <v>71</v>
      </c>
      <c r="K15" s="2" t="s">
        <v>72</v>
      </c>
      <c r="L15" s="2" t="s">
        <v>48</v>
      </c>
      <c r="O15" s="2" t="s">
        <v>45</v>
      </c>
      <c r="P15" s="2" t="s">
        <v>46</v>
      </c>
      <c r="Q15" s="2" t="s">
        <v>134</v>
      </c>
      <c r="T15" s="2" t="s">
        <v>118</v>
      </c>
      <c r="V15" s="2" t="s">
        <v>135</v>
      </c>
      <c r="W15" s="2" t="str">
        <f>_xlfn.LET(_xlpm.r, _xlfn.XLOOKUP(MappingGuide[[#This Row],[Description]],'[1]Squirrel SQL Export 1'!D:D,'[1]Squirrel SQL Export 1'!AC:AC),IF(_xlpm.r=0,"",_xlpm.r))</f>
        <v>United States</v>
      </c>
      <c r="AA15" s="2" t="s">
        <v>130</v>
      </c>
      <c r="AE15" s="2" t="str" cm="1">
        <f t="array" ref="AE15">_xlfn.LET(_xlpm.r, _xlfn.XLOOKUP(MappingGuide[[#This Row],[ColumnName]] &amp; "|" &amp; MappingGuide[[#This Row],[Description]],'[1]Squirrel SQL Export 1'!C:C &amp; "|" &amp;'[1]Squirrel SQL Export 1'!D:D,'[1]Squirrel SQL Export 1'!Z:Z),IF(_xlpm.r=0,"",_xlpm.r))</f>
        <v>no</v>
      </c>
      <c r="AF15" s="3" t="s">
        <v>1309</v>
      </c>
      <c r="AG15" s="3" t="s">
        <v>48</v>
      </c>
      <c r="AH15" s="2" t="s">
        <v>136</v>
      </c>
      <c r="AI15" s="2" t="str">
        <f>_xlfn.LET(_xlpm.r, _xlfn.XLOOKUP(MappingGuide[[#This Row],[Description]],'[1]Squirrel SQL Export 1'!D:D,'[1]Squirrel SQL Export 1'!Y:Y),IF(_xlpm.r=0,"",_xlpm.r))</f>
        <v>Depending on the address formating rule in M3 (CRS117) - If auto formatted you can't populate it manually.</v>
      </c>
      <c r="AK15" s="2" t="str">
        <f>_xlfn.LET(_xlpm.r, _xlfn.XLOOKUP(MappingGuide[[#This Row],[Description]],'[1]Squirrel SQL Export 1'!D:D,'[1]Squirrel SQL Export 1'!AE:AE),IF(_xlpm.r=0,"",_xlpm.r))</f>
        <v>Need to confirm which Address fields this appies we have a  Mail, Bill and Ship To</v>
      </c>
      <c r="AL15" s="3" t="str">
        <f>_xlfn.LET(_xlpm.r, _xlfn.XLOOKUP(MappingGuide[[#This Row],[DataType]],'[1]Squirrel SQL Export 1'!E:E,'[1]Squirrel SQL Export 1'!AF:AF),IF(_xlpm.r=0,"",_xlpm.r))</f>
        <v>No</v>
      </c>
      <c r="AM15" s="2" t="str">
        <f>_xlfn.LET(_xlpm.r, _xlfn.XLOOKUP(MappingGuide[[#This Row],[Length]],'[1]Squirrel SQL Export 1'!F:F,'[1]Squirrel SQL Export 1'!AG:AG),IF(_xlpm.r=0,"",_xlpm.r))</f>
        <v>Legal Name / Public Name</v>
      </c>
    </row>
    <row r="16" spans="1:40" x14ac:dyDescent="0.2">
      <c r="A16" s="2">
        <v>13</v>
      </c>
      <c r="B16" s="2" t="s">
        <v>51</v>
      </c>
      <c r="C16" s="2" t="s">
        <v>137</v>
      </c>
      <c r="D16" s="2" t="s">
        <v>138</v>
      </c>
      <c r="E16" s="2" t="s">
        <v>43</v>
      </c>
      <c r="F16" s="2" t="s">
        <v>139</v>
      </c>
      <c r="J16" s="2" t="s">
        <v>71</v>
      </c>
      <c r="K16" s="2" t="s">
        <v>140</v>
      </c>
      <c r="O16" s="2" t="s">
        <v>45</v>
      </c>
      <c r="P16" s="2" t="s">
        <v>88</v>
      </c>
      <c r="Q16" s="2" t="s">
        <v>141</v>
      </c>
      <c r="W16" s="2" t="str">
        <f>_xlfn.LET(_xlpm.r, _xlfn.XLOOKUP(MappingGuide[[#This Row],[Description]],'[1]Squirrel SQL Export 1'!D:D,'[1]Squirrel SQL Export 1'!AC:AC),IF(_xlpm.r=0,"",_xlpm.r))</f>
        <v/>
      </c>
      <c r="AA16" s="2" t="s">
        <v>142</v>
      </c>
      <c r="AC16" s="2" t="s">
        <v>143</v>
      </c>
      <c r="AE16" s="2" t="str" cm="1">
        <f t="array" ref="AE16">_xlfn.LET(_xlpm.r, _xlfn.XLOOKUP(MappingGuide[[#This Row],[ColumnName]] &amp; "|" &amp; MappingGuide[[#This Row],[Description]],'[1]Squirrel SQL Export 1'!C:C &amp; "|" &amp;'[1]Squirrel SQL Export 1'!D:D,'[1]Squirrel SQL Export 1'!Z:Z),IF(_xlpm.r=0,"",_xlpm.r))</f>
        <v>no</v>
      </c>
      <c r="AF16" s="3" t="s">
        <v>1309</v>
      </c>
      <c r="AG16" s="3" t="s">
        <v>101</v>
      </c>
      <c r="AI16" s="2" t="str">
        <f>_xlfn.LET(_xlpm.r, _xlfn.XLOOKUP(MappingGuide[[#This Row],[Description]],'[1]Squirrel SQL Export 1'!D:D,'[1]Squirrel SQL Export 1'!Y:Y),IF(_xlpm.r=0,"",_xlpm.r))</f>
        <v>Will be set as blank. Delivery address will be specified during CO creation. (If a default delivery address must be specified this field needs to be updated after address creation)</v>
      </c>
      <c r="AK16" s="2" t="str">
        <f>_xlfn.LET(_xlpm.r, _xlfn.XLOOKUP(MappingGuide[[#This Row],[Description]],'[1]Squirrel SQL Export 1'!D:D,'[1]Squirrel SQL Export 1'!AE:AE),IF(_xlpm.r=0,"",_xlpm.r))</f>
        <v/>
      </c>
      <c r="AL16" s="3" t="str">
        <f>_xlfn.LET(_xlpm.r, _xlfn.XLOOKUP(MappingGuide[[#This Row],[DataType]],'[1]Squirrel SQL Export 1'!E:E,'[1]Squirrel SQL Export 1'!AF:AF),IF(_xlpm.r=0,"",_xlpm.r))</f>
        <v>No</v>
      </c>
      <c r="AM16" s="2" t="str">
        <f>_xlfn.LET(_xlpm.r, _xlfn.XLOOKUP(MappingGuide[[#This Row],[Length]],'[1]Squirrel SQL Export 1'!F:F,'[1]Squirrel SQL Export 1'!AG:AG),IF(_xlpm.r=0,"",_xlpm.r))</f>
        <v/>
      </c>
    </row>
    <row r="17" spans="1:39" x14ac:dyDescent="0.2">
      <c r="A17" s="2">
        <v>14</v>
      </c>
      <c r="B17" s="2" t="s">
        <v>51</v>
      </c>
      <c r="C17" s="2" t="s">
        <v>144</v>
      </c>
      <c r="D17" s="2" t="s">
        <v>145</v>
      </c>
      <c r="E17" s="2" t="s">
        <v>54</v>
      </c>
      <c r="F17" s="2" t="s">
        <v>96</v>
      </c>
      <c r="J17" s="2" t="s">
        <v>71</v>
      </c>
      <c r="K17" s="2" t="s">
        <v>146</v>
      </c>
      <c r="O17" s="2" t="s">
        <v>45</v>
      </c>
      <c r="P17" s="2" t="s">
        <v>88</v>
      </c>
      <c r="Q17" s="2" t="s">
        <v>147</v>
      </c>
      <c r="W17" s="2" t="str">
        <f>_xlfn.LET(_xlpm.r, _xlfn.XLOOKUP(MappingGuide[[#This Row],[Description]],'[1]Squirrel SQL Export 1'!D:D,'[1]Squirrel SQL Export 1'!AC:AC),IF(_xlpm.r=0,"",_xlpm.r))</f>
        <v/>
      </c>
      <c r="AA17" s="2" t="s">
        <v>148</v>
      </c>
      <c r="AB17" s="2" t="s">
        <v>149</v>
      </c>
      <c r="AC17" s="2"/>
      <c r="AE17" s="2" t="str" cm="1">
        <f t="array" ref="AE17">_xlfn.LET(_xlpm.r, _xlfn.XLOOKUP(MappingGuide[[#This Row],[ColumnName]] &amp; "|" &amp; MappingGuide[[#This Row],[Description]],'[1]Squirrel SQL Export 1'!C:C &amp; "|" &amp;'[1]Squirrel SQL Export 1'!D:D,'[1]Squirrel SQL Export 1'!Z:Z),IF(_xlpm.r=0,"",_xlpm.r))</f>
        <v>yes</v>
      </c>
      <c r="AF17" s="3" t="s">
        <v>1309</v>
      </c>
      <c r="AG17" s="3" t="s">
        <v>101</v>
      </c>
      <c r="AI17" s="2" t="str">
        <f>_xlfn.LET(_xlpm.r, _xlfn.XLOOKUP(MappingGuide[[#This Row],[Description]],'[1]Squirrel SQL Export 1'!D:D,'[1]Squirrel SQL Export 1'!Y:Y),IF(_xlpm.r=0,"",_xlpm.r))</f>
        <v>This is self explanatory</v>
      </c>
      <c r="AK17" s="2" t="str">
        <f>_xlfn.LET(_xlpm.r, _xlfn.XLOOKUP(MappingGuide[[#This Row],[Description]],'[1]Squirrel SQL Export 1'!D:D,'[1]Squirrel SQL Export 1'!AE:AE),IF(_xlpm.r=0,"",_xlpm.r))</f>
        <v>There is not currently a field in MDM will need to discuss with Business</v>
      </c>
      <c r="AL17" s="3" t="str">
        <f>_xlfn.LET(_xlpm.r, _xlfn.XLOOKUP(MappingGuide[[#This Row],[DataType]],'[1]Squirrel SQL Export 1'!E:E,'[1]Squirrel SQL Export 1'!AF:AF),IF(_xlpm.r=0,"",_xlpm.r))</f>
        <v/>
      </c>
      <c r="AM17" s="2" t="str">
        <f>_xlfn.LET(_xlpm.r, _xlfn.XLOOKUP(MappingGuide[[#This Row],[Length]],'[1]Squirrel SQL Export 1'!F:F,'[1]Squirrel SQL Export 1'!AG:AG),IF(_xlpm.r=0,"",_xlpm.r))</f>
        <v>Type</v>
      </c>
    </row>
    <row r="18" spans="1:39" x14ac:dyDescent="0.2">
      <c r="A18" s="2">
        <v>15</v>
      </c>
      <c r="B18" s="2" t="s">
        <v>51</v>
      </c>
      <c r="C18" s="2" t="s">
        <v>150</v>
      </c>
      <c r="D18" s="2" t="s">
        <v>151</v>
      </c>
      <c r="E18" s="2" t="s">
        <v>43</v>
      </c>
      <c r="F18" s="2" t="s">
        <v>152</v>
      </c>
      <c r="J18" s="2" t="s">
        <v>71</v>
      </c>
      <c r="K18" s="2" t="s">
        <v>72</v>
      </c>
      <c r="L18" s="2" t="s">
        <v>48</v>
      </c>
      <c r="O18" s="2" t="s">
        <v>45</v>
      </c>
      <c r="P18" s="2" t="s">
        <v>46</v>
      </c>
      <c r="Q18" s="2" t="s">
        <v>153</v>
      </c>
      <c r="T18" s="2" t="s">
        <v>154</v>
      </c>
      <c r="W18" s="2" t="str">
        <f>_xlfn.LET(_xlpm.r, _xlfn.XLOOKUP(MappingGuide[[#This Row],[Description]],'[1]Squirrel SQL Export 1'!D:D,'[1]Squirrel SQL Export 1'!AC:AC),IF(_xlpm.r=0,"",_xlpm.r))</f>
        <v/>
      </c>
      <c r="AA18" s="2" t="s">
        <v>155</v>
      </c>
      <c r="AC18" s="2"/>
      <c r="AE18" s="2" t="str" cm="1">
        <f t="array" ref="AE18">_xlfn.LET(_xlpm.r, _xlfn.XLOOKUP(MappingGuide[[#This Row],[ColumnName]] &amp; "|" &amp; MappingGuide[[#This Row],[Description]],'[1]Squirrel SQL Export 1'!C:C &amp; "|" &amp;'[1]Squirrel SQL Export 1'!D:D,'[1]Squirrel SQL Export 1'!Z:Z),IF(_xlpm.r=0,"",_xlpm.r))</f>
        <v>yes</v>
      </c>
      <c r="AF18" s="3" t="s">
        <v>1309</v>
      </c>
      <c r="AG18" s="3" t="s">
        <v>101</v>
      </c>
      <c r="AI18" s="2" t="str">
        <f>_xlfn.LET(_xlpm.r, _xlfn.XLOOKUP(MappingGuide[[#This Row],[Description]],'[1]Squirrel SQL Export 1'!D:D,'[1]Squirrel SQL Export 1'!Y:Y),IF(_xlpm.r=0,"",_xlpm.r))</f>
        <v>If info needed in M3 it should be maintained in MDM</v>
      </c>
      <c r="AK18" s="2" t="str">
        <f>_xlfn.LET(_xlpm.r, _xlfn.XLOOKUP(MappingGuide[[#This Row],[Description]],'[1]Squirrel SQL Export 1'!D:D,'[1]Squirrel SQL Export 1'!AE:AE),IF(_xlpm.r=0,"",_xlpm.r))</f>
        <v/>
      </c>
      <c r="AL18" s="3" t="str">
        <f>_xlfn.LET(_xlpm.r, _xlfn.XLOOKUP(MappingGuide[[#This Row],[DataType]],'[1]Squirrel SQL Export 1'!E:E,'[1]Squirrel SQL Export 1'!AF:AF),IF(_xlpm.r=0,"",_xlpm.r))</f>
        <v>No</v>
      </c>
      <c r="AM18" s="2" t="str">
        <f>_xlfn.LET(_xlpm.r, _xlfn.XLOOKUP(MappingGuide[[#This Row],[Length]],'[1]Squirrel SQL Export 1'!F:F,'[1]Squirrel SQL Export 1'!AG:AG),IF(_xlpm.r=0,"",_xlpm.r))</f>
        <v>MDR NUMBER</v>
      </c>
    </row>
    <row r="19" spans="1:39" x14ac:dyDescent="0.2">
      <c r="A19" s="2">
        <v>16</v>
      </c>
      <c r="B19" s="2" t="s">
        <v>51</v>
      </c>
      <c r="C19" s="2" t="s">
        <v>156</v>
      </c>
      <c r="D19" s="2" t="s">
        <v>157</v>
      </c>
      <c r="E19" s="2" t="s">
        <v>43</v>
      </c>
      <c r="F19" s="2" t="s">
        <v>152</v>
      </c>
      <c r="J19" s="2" t="s">
        <v>71</v>
      </c>
      <c r="K19" s="2" t="s">
        <v>72</v>
      </c>
      <c r="L19" s="2" t="s">
        <v>48</v>
      </c>
      <c r="O19" s="2" t="s">
        <v>45</v>
      </c>
      <c r="P19" s="2" t="s">
        <v>46</v>
      </c>
      <c r="Q19" s="2" t="s">
        <v>158</v>
      </c>
      <c r="T19" s="2" t="s">
        <v>154</v>
      </c>
      <c r="W19" s="2" t="str">
        <f>_xlfn.LET(_xlpm.r, _xlfn.XLOOKUP(MappingGuide[[#This Row],[Description]],'[1]Squirrel SQL Export 1'!D:D,'[1]Squirrel SQL Export 1'!AC:AC),IF(_xlpm.r=0,"",_xlpm.r))</f>
        <v/>
      </c>
      <c r="AA19" s="2" t="s">
        <v>155</v>
      </c>
      <c r="AC19" s="2"/>
      <c r="AE19" s="2" t="str" cm="1">
        <f t="array" ref="AE19">_xlfn.LET(_xlpm.r, _xlfn.XLOOKUP(MappingGuide[[#This Row],[ColumnName]] &amp; "|" &amp; MappingGuide[[#This Row],[Description]],'[1]Squirrel SQL Export 1'!C:C &amp; "|" &amp;'[1]Squirrel SQL Export 1'!D:D,'[1]Squirrel SQL Export 1'!Z:Z),IF(_xlpm.r=0,"",_xlpm.r))</f>
        <v>yes</v>
      </c>
      <c r="AF19" s="3" t="s">
        <v>1309</v>
      </c>
      <c r="AG19" s="3" t="s">
        <v>101</v>
      </c>
      <c r="AI19" s="2" t="str">
        <f>_xlfn.LET(_xlpm.r, _xlfn.XLOOKUP(MappingGuide[[#This Row],[Description]],'[1]Squirrel SQL Export 1'!D:D,'[1]Squirrel SQL Export 1'!Y:Y),IF(_xlpm.r=0,"",_xlpm.r))</f>
        <v>If info needed in M3 it should be maintained in MDM</v>
      </c>
      <c r="AK19" s="2" t="str">
        <f>_xlfn.LET(_xlpm.r, _xlfn.XLOOKUP(MappingGuide[[#This Row],[Description]],'[1]Squirrel SQL Export 1'!D:D,'[1]Squirrel SQL Export 1'!AE:AE),IF(_xlpm.r=0,"",_xlpm.r))</f>
        <v>There is not currently a field in MDM, we can consider adding later if this will be leveraged by downstream teams but will hold off on adding at this time.</v>
      </c>
      <c r="AL19" s="3" t="str">
        <f>_xlfn.LET(_xlpm.r, _xlfn.XLOOKUP(MappingGuide[[#This Row],[DataType]],'[1]Squirrel SQL Export 1'!E:E,'[1]Squirrel SQL Export 1'!AF:AF),IF(_xlpm.r=0,"",_xlpm.r))</f>
        <v>No</v>
      </c>
      <c r="AM19" s="2" t="str">
        <f>_xlfn.LET(_xlpm.r, _xlfn.XLOOKUP(MappingGuide[[#This Row],[Length]],'[1]Squirrel SQL Export 1'!F:F,'[1]Squirrel SQL Export 1'!AG:AG),IF(_xlpm.r=0,"",_xlpm.r))</f>
        <v>MDR NUMBER</v>
      </c>
    </row>
    <row r="20" spans="1:39" x14ac:dyDescent="0.2">
      <c r="A20" s="2">
        <v>17</v>
      </c>
      <c r="B20" s="2" t="s">
        <v>51</v>
      </c>
      <c r="C20" s="2" t="s">
        <v>159</v>
      </c>
      <c r="D20" s="2" t="s">
        <v>160</v>
      </c>
      <c r="E20" s="2" t="s">
        <v>43</v>
      </c>
      <c r="F20" s="2" t="s">
        <v>152</v>
      </c>
      <c r="J20" s="2" t="s">
        <v>71</v>
      </c>
      <c r="K20" s="2" t="s">
        <v>72</v>
      </c>
      <c r="L20" s="2" t="s">
        <v>48</v>
      </c>
      <c r="O20" s="2" t="s">
        <v>45</v>
      </c>
      <c r="P20" s="2" t="s">
        <v>46</v>
      </c>
      <c r="Q20" s="2" t="s">
        <v>161</v>
      </c>
      <c r="T20" s="2" t="s">
        <v>162</v>
      </c>
      <c r="W20" s="2" t="str">
        <f>_xlfn.LET(_xlpm.r, _xlfn.XLOOKUP(MappingGuide[[#This Row],[Description]],'[1]Squirrel SQL Export 1'!D:D,'[1]Squirrel SQL Export 1'!AC:AC),IF(_xlpm.r=0,"",_xlpm.r))</f>
        <v/>
      </c>
      <c r="AA20" s="2" t="s">
        <v>163</v>
      </c>
      <c r="AC20" s="2"/>
      <c r="AE20" s="2" t="str" cm="1">
        <f t="array" ref="AE20">_xlfn.LET(_xlpm.r, _xlfn.XLOOKUP(MappingGuide[[#This Row],[ColumnName]] &amp; "|" &amp; MappingGuide[[#This Row],[Description]],'[1]Squirrel SQL Export 1'!C:C &amp; "|" &amp;'[1]Squirrel SQL Export 1'!D:D,'[1]Squirrel SQL Export 1'!Z:Z),IF(_xlpm.r=0,"",_xlpm.r))</f>
        <v>yes</v>
      </c>
      <c r="AF20" s="3" t="s">
        <v>1309</v>
      </c>
      <c r="AG20" s="3" t="s">
        <v>101</v>
      </c>
      <c r="AI20" s="2" t="str">
        <f>_xlfn.LET(_xlpm.r, _xlfn.XLOOKUP(MappingGuide[[#This Row],[Description]],'[1]Squirrel SQL Export 1'!D:D,'[1]Squirrel SQL Export 1'!Y:Y),IF(_xlpm.r=0,"",_xlpm.r))</f>
        <v>If info needed in M3 it should be maintained in MDM</v>
      </c>
      <c r="AK20" s="2" t="str">
        <f>_xlfn.LET(_xlpm.r, _xlfn.XLOOKUP(MappingGuide[[#This Row],[Description]],'[1]Squirrel SQL Export 1'!D:D,'[1]Squirrel SQL Export 1'!AE:AE),IF(_xlpm.r=0,"",_xlpm.r))</f>
        <v>There is a field in CCM Data but not currenlty in MDM we will need to discuss if we need to add</v>
      </c>
      <c r="AL20" s="3" t="str">
        <f>_xlfn.LET(_xlpm.r, _xlfn.XLOOKUP(MappingGuide[[#This Row],[DataType]],'[1]Squirrel SQL Export 1'!E:E,'[1]Squirrel SQL Export 1'!AF:AF),IF(_xlpm.r=0,"",_xlpm.r))</f>
        <v>No</v>
      </c>
      <c r="AM20" s="2" t="str">
        <f>_xlfn.LET(_xlpm.r, _xlfn.XLOOKUP(MappingGuide[[#This Row],[Length]],'[1]Squirrel SQL Export 1'!F:F,'[1]Squirrel SQL Export 1'!AG:AG),IF(_xlpm.r=0,"",_xlpm.r))</f>
        <v>MDR NUMBER</v>
      </c>
    </row>
    <row r="21" spans="1:39" x14ac:dyDescent="0.2">
      <c r="A21" s="2">
        <v>18</v>
      </c>
      <c r="B21" s="2" t="s">
        <v>51</v>
      </c>
      <c r="C21" s="2" t="s">
        <v>164</v>
      </c>
      <c r="D21" s="2" t="s">
        <v>165</v>
      </c>
      <c r="E21" s="2" t="s">
        <v>43</v>
      </c>
      <c r="F21" s="2" t="s">
        <v>166</v>
      </c>
      <c r="J21" s="2" t="s">
        <v>71</v>
      </c>
      <c r="K21" s="2" t="s">
        <v>167</v>
      </c>
      <c r="L21" s="2" t="s">
        <v>48</v>
      </c>
      <c r="O21" s="2" t="s">
        <v>45</v>
      </c>
      <c r="P21" s="2" t="s">
        <v>168</v>
      </c>
      <c r="Q21" s="2" t="s">
        <v>169</v>
      </c>
      <c r="T21" s="2" t="s">
        <v>170</v>
      </c>
      <c r="W21" s="2" t="str">
        <f>_xlfn.LET(_xlpm.r, _xlfn.XLOOKUP(MappingGuide[[#This Row],[Description]],'[1]Squirrel SQL Export 1'!D:D,'[1]Squirrel SQL Export 1'!AC:AC),IF(_xlpm.r=0,"",_xlpm.r))</f>
        <v/>
      </c>
      <c r="AA21" s="2" t="s">
        <v>171</v>
      </c>
      <c r="AC21" s="2"/>
      <c r="AE21" s="2" t="str" cm="1">
        <f t="array" ref="AE21">_xlfn.LET(_xlpm.r, _xlfn.XLOOKUP(MappingGuide[[#This Row],[ColumnName]] &amp; "|" &amp; MappingGuide[[#This Row],[Description]],'[1]Squirrel SQL Export 1'!C:C &amp; "|" &amp;'[1]Squirrel SQL Export 1'!D:D,'[1]Squirrel SQL Export 1'!Z:Z),IF(_xlpm.r=0,"",_xlpm.r))</f>
        <v>no</v>
      </c>
      <c r="AF21" s="3" t="s">
        <v>1309</v>
      </c>
      <c r="AG21" s="3" t="s">
        <v>101</v>
      </c>
      <c r="AI21" s="2" t="str">
        <f>_xlfn.LET(_xlpm.r, _xlfn.XLOOKUP(MappingGuide[[#This Row],[Description]],'[1]Squirrel SQL Export 1'!D:D,'[1]Squirrel SQL Export 1'!Y:Y),IF(_xlpm.r=0,"",_xlpm.r))</f>
        <v>CORG (Organization number 1) stores the primary legal entity registration number of a customer/supplier, as defined by the country’s company registry, and is used by Localization Services for banking and electronic invoicing identifiers (including EndPointID where applicable).
CORG is not used in US or Canada because these countries do not mandate a standardized legal organization registry number for invoicing or banking; therefore CORG/COR2 are typically left blank in M3.
Confirmed by Dee over email, this is not needed</v>
      </c>
      <c r="AK21" s="2" t="str">
        <f>_xlfn.LET(_xlpm.r, _xlfn.XLOOKUP(MappingGuide[[#This Row],[Description]],'[1]Squirrel SQL Export 1'!D:D,'[1]Squirrel SQL Export 1'!AE:AE),IF(_xlpm.r=0,"",_xlpm.r))</f>
        <v>There is not currently a field in MDM at the Organization level</v>
      </c>
      <c r="AL21" s="3" t="str">
        <f>_xlfn.LET(_xlpm.r, _xlfn.XLOOKUP(MappingGuide[[#This Row],[DataType]],'[1]Squirrel SQL Export 1'!E:E,'[1]Squirrel SQL Export 1'!AF:AF),IF(_xlpm.r=0,"",_xlpm.r))</f>
        <v>No</v>
      </c>
      <c r="AM21" s="2" t="str">
        <f>_xlfn.LET(_xlpm.r, _xlfn.XLOOKUP(MappingGuide[[#This Row],[Length]],'[1]Squirrel SQL Export 1'!F:F,'[1]Squirrel SQL Export 1'!AG:AG),IF(_xlpm.r=0,"",_xlpm.r))</f>
        <v/>
      </c>
    </row>
    <row r="22" spans="1:39" x14ac:dyDescent="0.2">
      <c r="A22" s="2">
        <v>19</v>
      </c>
      <c r="B22" s="2" t="s">
        <v>51</v>
      </c>
      <c r="C22" s="2" t="s">
        <v>172</v>
      </c>
      <c r="D22" s="2" t="s">
        <v>173</v>
      </c>
      <c r="E22" s="2" t="s">
        <v>43</v>
      </c>
      <c r="F22" s="2" t="s">
        <v>166</v>
      </c>
      <c r="J22" s="2" t="s">
        <v>71</v>
      </c>
      <c r="K22" s="2" t="s">
        <v>167</v>
      </c>
      <c r="O22" s="2" t="s">
        <v>45</v>
      </c>
      <c r="P22" s="2" t="s">
        <v>168</v>
      </c>
      <c r="Q22" s="2" t="s">
        <v>174</v>
      </c>
      <c r="T22" s="2" t="s">
        <v>175</v>
      </c>
      <c r="W22" s="2" t="str">
        <f>_xlfn.LET(_xlpm.r, _xlfn.XLOOKUP(MappingGuide[[#This Row],[Description]],'[1]Squirrel SQL Export 1'!D:D,'[1]Squirrel SQL Export 1'!AC:AC),IF(_xlpm.r=0,"",_xlpm.r))</f>
        <v/>
      </c>
      <c r="AA22" s="2" t="s">
        <v>176</v>
      </c>
      <c r="AC22" s="2"/>
      <c r="AE22" s="2" t="str" cm="1">
        <f t="array" ref="AE22">_xlfn.LET(_xlpm.r, _xlfn.XLOOKUP(MappingGuide[[#This Row],[ColumnName]] &amp; "|" &amp; MappingGuide[[#This Row],[Description]],'[1]Squirrel SQL Export 1'!C:C &amp; "|" &amp;'[1]Squirrel SQL Export 1'!D:D,'[1]Squirrel SQL Export 1'!Z:Z),IF(_xlpm.r=0,"",_xlpm.r))</f>
        <v>no</v>
      </c>
      <c r="AF22" s="3" t="s">
        <v>1309</v>
      </c>
      <c r="AG22" s="3" t="s">
        <v>101</v>
      </c>
      <c r="AI22" s="2" t="str">
        <f>_xlfn.LET(_xlpm.r, _xlfn.XLOOKUP(MappingGuide[[#This Row],[Description]],'[1]Squirrel SQL Export 1'!D:D,'[1]Squirrel SQL Export 1'!Y:Y),IF(_xlpm.r=0,"",_xlpm.r))</f>
        <v>COR2 (Secondary Organization number) stores the secondary legal entity registration number of a customer/supplier, as defined by the country’s company registry, and is used by Localization Services for banking and electronic invoicing identifiers (including EndPointID where applicable).
COR2 is not used in US or Canada because these countries do not mandate a standardized legal organization registry number for invoicing or banking; therefore CORG/COR2 are typically left blank in M3.
Confirmed by Dee over email, this is not needed</v>
      </c>
      <c r="AK22" s="2" t="str">
        <f>_xlfn.LET(_xlpm.r, _xlfn.XLOOKUP(MappingGuide[[#This Row],[Description]],'[1]Squirrel SQL Export 1'!D:D,'[1]Squirrel SQL Export 1'!AE:AE),IF(_xlpm.r=0,"",_xlpm.r))</f>
        <v>There is not currently a field in MDM at the Organization level</v>
      </c>
      <c r="AL22" s="3" t="str">
        <f>_xlfn.LET(_xlpm.r, _xlfn.XLOOKUP(MappingGuide[[#This Row],[DataType]],'[1]Squirrel SQL Export 1'!E:E,'[1]Squirrel SQL Export 1'!AF:AF),IF(_xlpm.r=0,"",_xlpm.r))</f>
        <v>No</v>
      </c>
      <c r="AM22" s="2" t="str">
        <f>_xlfn.LET(_xlpm.r, _xlfn.XLOOKUP(MappingGuide[[#This Row],[Length]],'[1]Squirrel SQL Export 1'!F:F,'[1]Squirrel SQL Export 1'!AG:AG),IF(_xlpm.r=0,"",_xlpm.r))</f>
        <v/>
      </c>
    </row>
    <row r="23" spans="1:39" x14ac:dyDescent="0.2">
      <c r="A23" s="2">
        <v>20</v>
      </c>
      <c r="B23" s="2" t="s">
        <v>51</v>
      </c>
      <c r="C23" s="2" t="s">
        <v>177</v>
      </c>
      <c r="D23" s="2" t="s">
        <v>178</v>
      </c>
      <c r="E23" s="2" t="s">
        <v>43</v>
      </c>
      <c r="F23" s="2" t="s">
        <v>179</v>
      </c>
      <c r="J23" s="2" t="s">
        <v>71</v>
      </c>
      <c r="K23" s="2" t="s">
        <v>72</v>
      </c>
      <c r="L23" s="2" t="s">
        <v>48</v>
      </c>
      <c r="O23" s="2" t="s">
        <v>45</v>
      </c>
      <c r="P23" s="2" t="s">
        <v>46</v>
      </c>
      <c r="Q23" s="2" t="s">
        <v>180</v>
      </c>
      <c r="T23" s="2" t="s">
        <v>181</v>
      </c>
      <c r="W23" s="2" t="str">
        <f>_xlfn.LET(_xlpm.r, _xlfn.XLOOKUP(MappingGuide[[#This Row],[Description]],'[1]Squirrel SQL Export 1'!D:D,'[1]Squirrel SQL Export 1'!AC:AC),IF(_xlpm.r=0,"",_xlpm.r))</f>
        <v/>
      </c>
      <c r="AA23" s="2" t="s">
        <v>182</v>
      </c>
      <c r="AC23" s="2"/>
      <c r="AE23" s="2" t="str" cm="1">
        <f t="array" ref="AE23">_xlfn.LET(_xlpm.r, _xlfn.XLOOKUP(MappingGuide[[#This Row],[ColumnName]] &amp; "|" &amp; MappingGuide[[#This Row],[Description]],'[1]Squirrel SQL Export 1'!C:C &amp; "|" &amp;'[1]Squirrel SQL Export 1'!D:D,'[1]Squirrel SQL Export 1'!Z:Z),IF(_xlpm.r=0,"",_xlpm.r))</f>
        <v>tbd</v>
      </c>
      <c r="AF23" s="3" t="s">
        <v>1309</v>
      </c>
      <c r="AG23" s="3" t="s">
        <v>101</v>
      </c>
      <c r="AI23" s="2" t="str">
        <f>_xlfn.LET(_xlpm.r, _xlfn.XLOOKUP(MappingGuide[[#This Row],[Description]],'[1]Squirrel SQL Export 1'!D:D,'[1]Squirrel SQL Export 1'!Y:Y),IF(_xlpm.r=0,"",_xlpm.r))</f>
        <v>The field indicates the customer's contact person.
Generally left blank, and used as a free field for saving some other info</v>
      </c>
      <c r="AK23" s="2" t="str">
        <f>_xlfn.LET(_xlpm.r, _xlfn.XLOOKUP(MappingGuide[[#This Row],[Description]],'[1]Squirrel SQL Export 1'!D:D,'[1]Squirrel SQL Export 1'!AE:AE),IF(_xlpm.r=0,"",_xlpm.r))</f>
        <v>There is not currently a field in MDM at the Organization level</v>
      </c>
      <c r="AL23" s="3" t="str">
        <f>_xlfn.LET(_xlpm.r, _xlfn.XLOOKUP(MappingGuide[[#This Row],[DataType]],'[1]Squirrel SQL Export 1'!E:E,'[1]Squirrel SQL Export 1'!AF:AF),IF(_xlpm.r=0,"",_xlpm.r))</f>
        <v>No</v>
      </c>
      <c r="AM23" s="2" t="str">
        <f>_xlfn.LET(_xlpm.r, _xlfn.XLOOKUP(MappingGuide[[#This Row],[Length]],'[1]Squirrel SQL Export 1'!F:F,'[1]Squirrel SQL Export 1'!AG:AG),IF(_xlpm.r=0,"",_xlpm.r))</f>
        <v/>
      </c>
    </row>
    <row r="24" spans="1:39" x14ac:dyDescent="0.2">
      <c r="A24" s="2">
        <v>21</v>
      </c>
      <c r="B24" s="2" t="s">
        <v>51</v>
      </c>
      <c r="C24" s="2" t="s">
        <v>183</v>
      </c>
      <c r="D24" s="2" t="s">
        <v>184</v>
      </c>
      <c r="E24" s="2" t="s">
        <v>43</v>
      </c>
      <c r="F24" s="2" t="s">
        <v>179</v>
      </c>
      <c r="J24" s="2" t="s">
        <v>71</v>
      </c>
      <c r="K24" s="2" t="s">
        <v>72</v>
      </c>
      <c r="O24" s="2" t="s">
        <v>45</v>
      </c>
      <c r="P24" s="2" t="s">
        <v>46</v>
      </c>
      <c r="Q24" s="2" t="s">
        <v>185</v>
      </c>
      <c r="W24" s="2" t="str">
        <f>_xlfn.LET(_xlpm.r, _xlfn.XLOOKUP(MappingGuide[[#This Row],[Description]],'[1]Squirrel SQL Export 1'!D:D,'[1]Squirrel SQL Export 1'!AC:AC),IF(_xlpm.r=0,"",_xlpm.r))</f>
        <v/>
      </c>
      <c r="AA24" s="2" t="s">
        <v>186</v>
      </c>
      <c r="AC24" s="2"/>
      <c r="AE24" s="2" t="str" cm="1">
        <f t="array" ref="AE24">_xlfn.LET(_xlpm.r, _xlfn.XLOOKUP(MappingGuide[[#This Row],[ColumnName]] &amp; "|" &amp; MappingGuide[[#This Row],[Description]],'[1]Squirrel SQL Export 1'!C:C &amp; "|" &amp;'[1]Squirrel SQL Export 1'!D:D,'[1]Squirrel SQL Export 1'!Z:Z),IF(_xlpm.r=0,"",_xlpm.r))</f>
        <v>tbd</v>
      </c>
      <c r="AF24" s="3" t="s">
        <v>1309</v>
      </c>
      <c r="AG24" s="3" t="s">
        <v>101</v>
      </c>
      <c r="AI24" s="2" t="str">
        <f>_xlfn.LET(_xlpm.r, _xlfn.XLOOKUP(MappingGuide[[#This Row],[Description]],'[1]Squirrel SQL Export 1'!D:D,'[1]Squirrel SQL Export 1'!Y:Y),IF(_xlpm.r=0,"",_xlpm.r))</f>
        <v>The field indicates the customer's contact person.
Generally left blank, and used as a free field for saving some other info</v>
      </c>
      <c r="AK24" s="2" t="str">
        <f>_xlfn.LET(_xlpm.r, _xlfn.XLOOKUP(MappingGuide[[#This Row],[Description]],'[1]Squirrel SQL Export 1'!D:D,'[1]Squirrel SQL Export 1'!AE:AE),IF(_xlpm.r=0,"",_xlpm.r))</f>
        <v>There is not currently a field in MDM at the Organization level</v>
      </c>
      <c r="AL24" s="3" t="str">
        <f>_xlfn.LET(_xlpm.r, _xlfn.XLOOKUP(MappingGuide[[#This Row],[DataType]],'[1]Squirrel SQL Export 1'!E:E,'[1]Squirrel SQL Export 1'!AF:AF),IF(_xlpm.r=0,"",_xlpm.r))</f>
        <v>No</v>
      </c>
      <c r="AM24" s="2" t="str">
        <f>_xlfn.LET(_xlpm.r, _xlfn.XLOOKUP(MappingGuide[[#This Row],[Length]],'[1]Squirrel SQL Export 1'!F:F,'[1]Squirrel SQL Export 1'!AG:AG),IF(_xlpm.r=0,"",_xlpm.r))</f>
        <v/>
      </c>
    </row>
    <row r="25" spans="1:39" x14ac:dyDescent="0.2">
      <c r="A25" s="2">
        <v>22</v>
      </c>
      <c r="B25" s="2" t="s">
        <v>51</v>
      </c>
      <c r="C25" s="2" t="s">
        <v>187</v>
      </c>
      <c r="D25" s="2" t="s">
        <v>188</v>
      </c>
      <c r="E25" s="2" t="s">
        <v>43</v>
      </c>
      <c r="F25" s="2" t="s">
        <v>179</v>
      </c>
      <c r="J25" s="2" t="s">
        <v>71</v>
      </c>
      <c r="K25" s="2" t="s">
        <v>87</v>
      </c>
      <c r="L25" s="2" t="s">
        <v>48</v>
      </c>
      <c r="O25" s="2" t="s">
        <v>45</v>
      </c>
      <c r="P25" s="2" t="s">
        <v>88</v>
      </c>
      <c r="Q25" s="2" t="s">
        <v>189</v>
      </c>
      <c r="W25" s="2" t="str">
        <f>_xlfn.LET(_xlpm.r, _xlfn.XLOOKUP(MappingGuide[[#This Row],[Description]],'[1]Squirrel SQL Export 1'!D:D,'[1]Squirrel SQL Export 1'!AC:AC),IF(_xlpm.r=0,"",_xlpm.r))</f>
        <v/>
      </c>
      <c r="AA25" s="2" t="s">
        <v>190</v>
      </c>
      <c r="AC25" s="2"/>
      <c r="AE25" s="2" t="str" cm="1">
        <f t="array" ref="AE25">_xlfn.LET(_xlpm.r, _xlfn.XLOOKUP(MappingGuide[[#This Row],[ColumnName]] &amp; "|" &amp; MappingGuide[[#This Row],[Description]],'[1]Squirrel SQL Export 1'!C:C &amp; "|" &amp;'[1]Squirrel SQL Export 1'!D:D,'[1]Squirrel SQL Export 1'!Z:Z),IF(_xlpm.r=0,"",_xlpm.r))</f>
        <v>tbd</v>
      </c>
      <c r="AF25" s="3" t="s">
        <v>1309</v>
      </c>
      <c r="AG25" s="3" t="s">
        <v>101</v>
      </c>
      <c r="AI25" s="2" t="str">
        <f>_xlfn.LET(_xlpm.r, _xlfn.XLOOKUP(MappingGuide[[#This Row],[Description]],'[1]Squirrel SQL Export 1'!D:D,'[1]Squirrel SQL Export 1'!Y:Y),IF(_xlpm.r=0,"",_xlpm.r))</f>
        <v>The field indicates the person who the customer or supplier may contact regarding customer/purchase orders.
Generally left blank, and used as a free field for saving some other info</v>
      </c>
      <c r="AK25" s="2" t="str">
        <f>_xlfn.LET(_xlpm.r, _xlfn.XLOOKUP(MappingGuide[[#This Row],[Description]],'[1]Squirrel SQL Export 1'!D:D,'[1]Squirrel SQL Export 1'!AE:AE),IF(_xlpm.r=0,"",_xlpm.r))</f>
        <v>There is not currently a field in MDM at the Organization level</v>
      </c>
      <c r="AL25" s="3" t="str">
        <f>_xlfn.LET(_xlpm.r, _xlfn.XLOOKUP(MappingGuide[[#This Row],[DataType]],'[1]Squirrel SQL Export 1'!E:E,'[1]Squirrel SQL Export 1'!AF:AF),IF(_xlpm.r=0,"",_xlpm.r))</f>
        <v>No</v>
      </c>
      <c r="AM25" s="2" t="str">
        <f>_xlfn.LET(_xlpm.r, _xlfn.XLOOKUP(MappingGuide[[#This Row],[Length]],'[1]Squirrel SQL Export 1'!F:F,'[1]Squirrel SQL Export 1'!AG:AG),IF(_xlpm.r=0,"",_xlpm.r))</f>
        <v/>
      </c>
    </row>
    <row r="26" spans="1:39" x14ac:dyDescent="0.2">
      <c r="A26" s="2">
        <v>23</v>
      </c>
      <c r="B26" s="2" t="s">
        <v>51</v>
      </c>
      <c r="C26" s="2" t="s">
        <v>191</v>
      </c>
      <c r="D26" s="2" t="s">
        <v>192</v>
      </c>
      <c r="E26" s="2" t="s">
        <v>43</v>
      </c>
      <c r="F26" s="2" t="s">
        <v>44</v>
      </c>
      <c r="J26" s="2" t="s">
        <v>71</v>
      </c>
      <c r="K26" s="2" t="s">
        <v>72</v>
      </c>
      <c r="L26" s="2" t="s">
        <v>48</v>
      </c>
      <c r="O26" s="2" t="s">
        <v>45</v>
      </c>
      <c r="P26" s="2" t="s">
        <v>46</v>
      </c>
      <c r="Q26" s="2" t="s">
        <v>193</v>
      </c>
      <c r="W26" s="2" t="str">
        <f>_xlfn.LET(_xlpm.r, _xlfn.XLOOKUP(MappingGuide[[#This Row],[Description]],'[1]Squirrel SQL Export 1'!D:D,'[1]Squirrel SQL Export 1'!AC:AC),IF(_xlpm.r=0,"",_xlpm.r))</f>
        <v/>
      </c>
      <c r="AA26" s="2" t="s">
        <v>194</v>
      </c>
      <c r="AC26" s="2"/>
      <c r="AE26" s="2" t="str" cm="1">
        <f t="array" ref="AE26">_xlfn.LET(_xlpm.r, _xlfn.XLOOKUP(MappingGuide[[#This Row],[ColumnName]] &amp; "|" &amp; MappingGuide[[#This Row],[Description]],'[1]Squirrel SQL Export 1'!C:C &amp; "|" &amp;'[1]Squirrel SQL Export 1'!D:D,'[1]Squirrel SQL Export 1'!Z:Z),IF(_xlpm.r=0,"",_xlpm.r))</f>
        <v>no</v>
      </c>
      <c r="AF26" s="3" t="s">
        <v>1309</v>
      </c>
      <c r="AG26" s="3" t="s">
        <v>101</v>
      </c>
      <c r="AI26" s="2" t="str">
        <f>_xlfn.LET(_xlpm.r, _xlfn.XLOOKUP(MappingGuide[[#This Row],[Description]],'[1]Squirrel SQL Export 1'!D:D,'[1]Squirrel SQL Export 1'!Y:Y),IF(_xlpm.r=0,"",_xlpm.r))</f>
        <v xml:space="preserve">Customer-assigned supplier numbers are often used in financial documents
Customers often require their own supplier number to appear on:
Invoices
Statements
Remittance advice
EDI invoices (e.g., 810)
Audit or compliance documents
So the review question is:
Does Herff Jones’ customer expect to see their supplier number on financial documents?
</v>
      </c>
      <c r="AK26" s="2" t="str">
        <f>_xlfn.LET(_xlpm.r, _xlfn.XLOOKUP(MappingGuide[[#This Row],[Description]],'[1]Squirrel SQL Export 1'!D:D,'[1]Squirrel SQL Export 1'!AE:AE),IF(_xlpm.r=0,"",_xlpm.r))</f>
        <v>There is not currently a field in MDM at the Organization level</v>
      </c>
      <c r="AL26" s="3" t="str">
        <f>_xlfn.LET(_xlpm.r, _xlfn.XLOOKUP(MappingGuide[[#This Row],[DataType]],'[1]Squirrel SQL Export 1'!E:E,'[1]Squirrel SQL Export 1'!AF:AF),IF(_xlpm.r=0,"",_xlpm.r))</f>
        <v>No</v>
      </c>
      <c r="AM26" s="2" t="str">
        <f>_xlfn.LET(_xlpm.r, _xlfn.XLOOKUP(MappingGuide[[#This Row],[Length]],'[1]Squirrel SQL Export 1'!F:F,'[1]Squirrel SQL Export 1'!AG:AG),IF(_xlpm.r=0,"",_xlpm.r))</f>
        <v/>
      </c>
    </row>
    <row r="27" spans="1:39" x14ac:dyDescent="0.2">
      <c r="A27" s="2">
        <v>24</v>
      </c>
      <c r="B27" s="2" t="s">
        <v>51</v>
      </c>
      <c r="C27" s="2" t="s">
        <v>195</v>
      </c>
      <c r="D27" s="2" t="s">
        <v>196</v>
      </c>
      <c r="E27" s="2" t="s">
        <v>43</v>
      </c>
      <c r="F27" s="2" t="s">
        <v>70</v>
      </c>
      <c r="J27" s="2" t="s">
        <v>71</v>
      </c>
      <c r="K27" s="2" t="s">
        <v>87</v>
      </c>
      <c r="O27" s="2" t="s">
        <v>45</v>
      </c>
      <c r="P27" s="2" t="s">
        <v>88</v>
      </c>
      <c r="Q27" s="2" t="s">
        <v>197</v>
      </c>
      <c r="W27" s="2" t="str">
        <f>_xlfn.LET(_xlpm.r, _xlfn.XLOOKUP(MappingGuide[[#This Row],[Description]],'[1]Squirrel SQL Export 1'!D:D,'[1]Squirrel SQL Export 1'!AC:AC),IF(_xlpm.r=0,"",_xlpm.r))</f>
        <v/>
      </c>
      <c r="AA27" s="2" t="s">
        <v>198</v>
      </c>
      <c r="AC27" s="2" t="s">
        <v>199</v>
      </c>
      <c r="AE27" s="2" t="str" cm="1">
        <f t="array" ref="AE27">_xlfn.LET(_xlpm.r, _xlfn.XLOOKUP(MappingGuide[[#This Row],[ColumnName]] &amp; "|" &amp; MappingGuide[[#This Row],[Description]],'[1]Squirrel SQL Export 1'!C:C &amp; "|" &amp;'[1]Squirrel SQL Export 1'!D:D,'[1]Squirrel SQL Export 1'!Z:Z),IF(_xlpm.r=0,"",_xlpm.r))</f>
        <v>no</v>
      </c>
      <c r="AF27" s="3" t="s">
        <v>1309</v>
      </c>
      <c r="AG27" s="3" t="s">
        <v>101</v>
      </c>
      <c r="AI27" s="2" t="str">
        <f>_xlfn.LET(_xlpm.r, _xlfn.XLOOKUP(MappingGuide[[#This Row],[Description]],'[1]Squirrel SQL Export 1'!D:D,'[1]Squirrel SQL Export 1'!Y:Y),IF(_xlpm.r=0,"",_xlpm.r))</f>
        <v>In Customer master this is a two-digit code specifying which service charge "model" in M3 that should be applied. Works as this: If order value is under a certain limit a specific charge amount will be applied.
Service charge also be specified during order entry - so CPQ might own this function.</v>
      </c>
      <c r="AK27" s="2" t="str">
        <f>_xlfn.LET(_xlpm.r, _xlfn.XLOOKUP(MappingGuide[[#This Row],[Description]],'[1]Squirrel SQL Export 1'!D:D,'[1]Squirrel SQL Export 1'!AE:AE),IF(_xlpm.r=0,"",_xlpm.r))</f>
        <v/>
      </c>
      <c r="AL27" s="3" t="str">
        <f>_xlfn.LET(_xlpm.r, _xlfn.XLOOKUP(MappingGuide[[#This Row],[DataType]],'[1]Squirrel SQL Export 1'!E:E,'[1]Squirrel SQL Export 1'!AF:AF),IF(_xlpm.r=0,"",_xlpm.r))</f>
        <v>No</v>
      </c>
      <c r="AM27" s="2" t="str">
        <f>_xlfn.LET(_xlpm.r, _xlfn.XLOOKUP(MappingGuide[[#This Row],[Length]],'[1]Squirrel SQL Export 1'!F:F,'[1]Squirrel SQL Export 1'!AG:AG),IF(_xlpm.r=0,"",_xlpm.r))</f>
        <v>Status</v>
      </c>
    </row>
    <row r="28" spans="1:39" x14ac:dyDescent="0.2">
      <c r="A28" s="2">
        <v>25</v>
      </c>
      <c r="B28" s="2" t="s">
        <v>51</v>
      </c>
      <c r="C28" s="2" t="s">
        <v>200</v>
      </c>
      <c r="D28" s="2" t="s">
        <v>201</v>
      </c>
      <c r="E28" s="2" t="s">
        <v>43</v>
      </c>
      <c r="F28" s="2" t="s">
        <v>55</v>
      </c>
      <c r="J28" s="2" t="s">
        <v>71</v>
      </c>
      <c r="K28" s="2" t="s">
        <v>167</v>
      </c>
      <c r="L28" s="2" t="s">
        <v>48</v>
      </c>
      <c r="O28" s="2" t="s">
        <v>45</v>
      </c>
      <c r="P28" s="2" t="s">
        <v>88</v>
      </c>
      <c r="Q28" s="2" t="s">
        <v>202</v>
      </c>
      <c r="T28" s="2" t="s">
        <v>203</v>
      </c>
      <c r="W28" s="2" t="str">
        <f>_xlfn.LET(_xlpm.r, _xlfn.XLOOKUP(MappingGuide[[#This Row],[Description]],'[1]Squirrel SQL Export 1'!D:D,'[1]Squirrel SQL Export 1'!AC:AC),IF(_xlpm.r=0,"",_xlpm.r))</f>
        <v>N30</v>
      </c>
      <c r="AA28" s="2" t="s">
        <v>204</v>
      </c>
      <c r="AC28" s="3" t="s">
        <v>205</v>
      </c>
      <c r="AE28" s="2" t="str" cm="1">
        <f t="array" ref="AE28">_xlfn.LET(_xlpm.r, _xlfn.XLOOKUP(MappingGuide[[#This Row],[ColumnName]] &amp; "|" &amp; MappingGuide[[#This Row],[Description]],'[1]Squirrel SQL Export 1'!C:C &amp; "|" &amp;'[1]Squirrel SQL Export 1'!D:D,'[1]Squirrel SQL Export 1'!Z:Z),IF(_xlpm.r=0,"",_xlpm.r))</f>
        <v>yes</v>
      </c>
      <c r="AF28" s="3" t="s">
        <v>1309</v>
      </c>
      <c r="AG28" s="3" t="s">
        <v>48</v>
      </c>
      <c r="AH28" s="2" t="s">
        <v>206</v>
      </c>
      <c r="AI28" s="2" t="str">
        <f>_xlfn.LET(_xlpm.r, _xlfn.XLOOKUP(MappingGuide[[#This Row],[Description]],'[1]Squirrel SQL Export 1'!D:D,'[1]Squirrel SQL Export 1'!Y:Y),IF(_xlpm.r=0,"",_xlpm.r))</f>
        <v>Normally dynamic, and should be maintained in MDM</v>
      </c>
      <c r="AK28" s="2" t="str">
        <f>_xlfn.LET(_xlpm.r, _xlfn.XLOOKUP(MappingGuide[[#This Row],[Description]],'[1]Squirrel SQL Export 1'!D:D,'[1]Squirrel SQL Export 1'!AE:AE),IF(_xlpm.r=0,"",_xlpm.r))</f>
        <v>This the field that we have the most questions about if it does not change can this be handled in the Template, if it is needed to be updated or seen then we can include in MDM.</v>
      </c>
      <c r="AL28" s="3" t="str">
        <f>_xlfn.LET(_xlpm.r, _xlfn.XLOOKUP(MappingGuide[[#This Row],[DataType]],'[1]Squirrel SQL Export 1'!E:E,'[1]Squirrel SQL Export 1'!AF:AF),IF(_xlpm.r=0,"",_xlpm.r))</f>
        <v>No</v>
      </c>
      <c r="AM28" s="2" t="str">
        <f>_xlfn.LET(_xlpm.r, _xlfn.XLOOKUP(MappingGuide[[#This Row],[Length]],'[1]Squirrel SQL Export 1'!F:F,'[1]Squirrel SQL Export 1'!AG:AG),IF(_xlpm.r=0,"",_xlpm.r))</f>
        <v/>
      </c>
    </row>
    <row r="29" spans="1:39" x14ac:dyDescent="0.2">
      <c r="A29" s="2">
        <v>26</v>
      </c>
      <c r="B29" s="2" t="s">
        <v>51</v>
      </c>
      <c r="C29" s="2" t="s">
        <v>207</v>
      </c>
      <c r="D29" s="2" t="s">
        <v>208</v>
      </c>
      <c r="E29" s="2" t="s">
        <v>54</v>
      </c>
      <c r="F29" s="2" t="s">
        <v>96</v>
      </c>
      <c r="J29" s="2" t="s">
        <v>71</v>
      </c>
      <c r="K29" s="2" t="s">
        <v>146</v>
      </c>
      <c r="W29" s="2" t="str">
        <f>_xlfn.LET(_xlpm.r, _xlfn.XLOOKUP(MappingGuide[[#This Row],[Description]],'[1]Squirrel SQL Export 1'!D:D,'[1]Squirrel SQL Export 1'!AC:AC),IF(_xlpm.r=0,"",_xlpm.r))</f>
        <v/>
      </c>
      <c r="AA29" s="2" t="s">
        <v>209</v>
      </c>
      <c r="AC29" s="2"/>
      <c r="AE29" s="2" t="str" cm="1">
        <f t="array" ref="AE29">_xlfn.LET(_xlpm.r, _xlfn.XLOOKUP(MappingGuide[[#This Row],[ColumnName]] &amp; "|" &amp; MappingGuide[[#This Row],[Description]],'[1]Squirrel SQL Export 1'!C:C &amp; "|" &amp;'[1]Squirrel SQL Export 1'!D:D,'[1]Squirrel SQL Export 1'!Z:Z),IF(_xlpm.r=0,"",_xlpm.r))</f>
        <v>no</v>
      </c>
      <c r="AF29" s="3" t="s">
        <v>1309</v>
      </c>
      <c r="AG29" s="3" t="s">
        <v>101</v>
      </c>
      <c r="AI29" s="2" t="str">
        <f>_xlfn.LET(_xlpm.r, _xlfn.XLOOKUP(MappingGuide[[#This Row],[Description]],'[1]Squirrel SQL Export 1'!D:D,'[1]Squirrel SQL Export 1'!Y:Y),IF(_xlpm.r=0,"",_xlpm.r))</f>
        <v>Not used</v>
      </c>
      <c r="AK29" s="2" t="str">
        <f>_xlfn.LET(_xlpm.r, _xlfn.XLOOKUP(MappingGuide[[#This Row],[Description]],'[1]Squirrel SQL Export 1'!D:D,'[1]Squirrel SQL Export 1'!AE:AE),IF(_xlpm.r=0,"",_xlpm.r))</f>
        <v/>
      </c>
      <c r="AL29" s="3" t="str">
        <f>_xlfn.LET(_xlpm.r, _xlfn.XLOOKUP(MappingGuide[[#This Row],[DataType]],'[1]Squirrel SQL Export 1'!E:E,'[1]Squirrel SQL Export 1'!AF:AF),IF(_xlpm.r=0,"",_xlpm.r))</f>
        <v/>
      </c>
      <c r="AM29" s="2" t="str">
        <f>_xlfn.LET(_xlpm.r, _xlfn.XLOOKUP(MappingGuide[[#This Row],[Length]],'[1]Squirrel SQL Export 1'!F:F,'[1]Squirrel SQL Export 1'!AG:AG),IF(_xlpm.r=0,"",_xlpm.r))</f>
        <v>Type</v>
      </c>
    </row>
    <row r="30" spans="1:39" x14ac:dyDescent="0.2">
      <c r="A30" s="2">
        <v>27</v>
      </c>
      <c r="B30" s="2" t="s">
        <v>51</v>
      </c>
      <c r="C30" s="2" t="s">
        <v>210</v>
      </c>
      <c r="D30" s="2" t="s">
        <v>211</v>
      </c>
      <c r="E30" s="2" t="s">
        <v>43</v>
      </c>
      <c r="F30" s="2" t="s">
        <v>55</v>
      </c>
      <c r="J30" s="2" t="s">
        <v>71</v>
      </c>
      <c r="K30" s="2" t="s">
        <v>167</v>
      </c>
      <c r="O30" s="2" t="s">
        <v>45</v>
      </c>
      <c r="P30" s="2" t="s">
        <v>168</v>
      </c>
      <c r="Q30" s="2" t="s">
        <v>212</v>
      </c>
      <c r="W30" s="2" t="str">
        <f>_xlfn.LET(_xlpm.r, _xlfn.XLOOKUP(MappingGuide[[#This Row],[Description]],'[1]Squirrel SQL Export 1'!D:D,'[1]Squirrel SQL Export 1'!AC:AC),IF(_xlpm.r=0,"",_xlpm.r))</f>
        <v/>
      </c>
      <c r="AA30" s="2" t="s">
        <v>213</v>
      </c>
      <c r="AC30" s="2" t="s">
        <v>214</v>
      </c>
      <c r="AE30" s="2" t="str" cm="1">
        <f t="array" ref="AE30">_xlfn.LET(_xlpm.r, _xlfn.XLOOKUP(MappingGuide[[#This Row],[ColumnName]] &amp; "|" &amp; MappingGuide[[#This Row],[Description]],'[1]Squirrel SQL Export 1'!C:C &amp; "|" &amp;'[1]Squirrel SQL Export 1'!D:D,'[1]Squirrel SQL Export 1'!Z:Z),IF(_xlpm.r=0,"",_xlpm.r))</f>
        <v>no</v>
      </c>
      <c r="AF30" s="3" t="s">
        <v>1309</v>
      </c>
      <c r="AG30" s="3" t="s">
        <v>101</v>
      </c>
      <c r="AI30" s="2" t="str">
        <f>_xlfn.LET(_xlpm.r, _xlfn.XLOOKUP(MappingGuide[[#This Row],[Description]],'[1]Squirrel SQL Export 1'!D:D,'[1]Squirrel SQL Export 1'!Y:Y),IF(_xlpm.r=0,"",_xlpm.r))</f>
        <v>Only used if "Cash discount" has been agreed with customer.
Ex:
Pay within 10 days → 3% discount
Pay within 20 days → 2% discount
Pay within 30 days → 1% discount
Up to 5 days late may still be accepted for discount calculation
As discussed with Dee/Angie on 01/07, this is not needed</v>
      </c>
      <c r="AK30" s="2" t="str">
        <f>_xlfn.LET(_xlpm.r, _xlfn.XLOOKUP(MappingGuide[[#This Row],[Description]],'[1]Squirrel SQL Export 1'!D:D,'[1]Squirrel SQL Export 1'!AE:AE),IF(_xlpm.r=0,"",_xlpm.r))</f>
        <v>There is not currently a field in MDM at the Organization level</v>
      </c>
      <c r="AL30" s="3" t="str">
        <f>_xlfn.LET(_xlpm.r, _xlfn.XLOOKUP(MappingGuide[[#This Row],[DataType]],'[1]Squirrel SQL Export 1'!E:E,'[1]Squirrel SQL Export 1'!AF:AF),IF(_xlpm.r=0,"",_xlpm.r))</f>
        <v>No</v>
      </c>
      <c r="AM30" s="2" t="str">
        <f>_xlfn.LET(_xlpm.r, _xlfn.XLOOKUP(MappingGuide[[#This Row],[Length]],'[1]Squirrel SQL Export 1'!F:F,'[1]Squirrel SQL Export 1'!AG:AG),IF(_xlpm.r=0,"",_xlpm.r))</f>
        <v/>
      </c>
    </row>
    <row r="31" spans="1:39" x14ac:dyDescent="0.2">
      <c r="A31" s="2">
        <v>28</v>
      </c>
      <c r="B31" s="2" t="s">
        <v>51</v>
      </c>
      <c r="C31" s="2" t="s">
        <v>215</v>
      </c>
      <c r="D31" s="2" t="s">
        <v>216</v>
      </c>
      <c r="E31" s="2" t="s">
        <v>43</v>
      </c>
      <c r="F31" s="2" t="s">
        <v>55</v>
      </c>
      <c r="J31" s="2" t="s">
        <v>71</v>
      </c>
      <c r="K31" s="2" t="s">
        <v>140</v>
      </c>
      <c r="O31" s="2" t="s">
        <v>45</v>
      </c>
      <c r="P31" s="2" t="s">
        <v>88</v>
      </c>
      <c r="Q31" s="2" t="s">
        <v>217</v>
      </c>
      <c r="W31" s="2" t="str">
        <f>_xlfn.LET(_xlpm.r, _xlfn.XLOOKUP(MappingGuide[[#This Row],[Description]],'[1]Squirrel SQL Export 1'!D:D,'[1]Squirrel SQL Export 1'!AC:AC),IF(_xlpm.r=0,"",_xlpm.r))</f>
        <v>CIF</v>
      </c>
      <c r="AA31" s="2" t="s">
        <v>218</v>
      </c>
      <c r="AC31" s="3" t="s">
        <v>219</v>
      </c>
      <c r="AE31" s="2" t="str" cm="1">
        <f t="array" ref="AE31">_xlfn.LET(_xlpm.r, _xlfn.XLOOKUP(MappingGuide[[#This Row],[ColumnName]] &amp; "|" &amp; MappingGuide[[#This Row],[Description]],'[1]Squirrel SQL Export 1'!C:C &amp; "|" &amp;'[1]Squirrel SQL Export 1'!D:D,'[1]Squirrel SQL Export 1'!Z:Z),IF(_xlpm.r=0,"",_xlpm.r))</f>
        <v>yes</v>
      </c>
      <c r="AF31" s="3" t="s">
        <v>1309</v>
      </c>
      <c r="AG31" s="3" t="s">
        <v>48</v>
      </c>
      <c r="AH31" s="2" t="s">
        <v>220</v>
      </c>
      <c r="AI31" s="2" t="str">
        <f>_xlfn.LET(_xlpm.r, _xlfn.XLOOKUP(MappingGuide[[#This Row],[Description]],'[1]Squirrel SQL Export 1'!D:D,'[1]Squirrel SQL Export 1'!Y:Y),IF(_xlpm.r=0,"",_xlpm.r))</f>
        <v>Normally dynamic, and should be maintained in MDM</v>
      </c>
      <c r="AK31" s="2" t="str">
        <f>_xlfn.LET(_xlpm.r, _xlfn.XLOOKUP(MappingGuide[[#This Row],[Description]],'[1]Squirrel SQL Export 1'!D:D,'[1]Squirrel SQL Export 1'!AE:AE),IF(_xlpm.r=0,"",_xlpm.r))</f>
        <v>This the field that we have the most questions about if it does not change can this be handled in the Template, if it is needed to be updated or seen then we can include in MDM.</v>
      </c>
      <c r="AL31" s="3" t="str">
        <f>_xlfn.LET(_xlpm.r, _xlfn.XLOOKUP(MappingGuide[[#This Row],[DataType]],'[1]Squirrel SQL Export 1'!E:E,'[1]Squirrel SQL Export 1'!AF:AF),IF(_xlpm.r=0,"",_xlpm.r))</f>
        <v>No</v>
      </c>
      <c r="AM31" s="2" t="str">
        <f>_xlfn.LET(_xlpm.r, _xlfn.XLOOKUP(MappingGuide[[#This Row],[Length]],'[1]Squirrel SQL Export 1'!F:F,'[1]Squirrel SQL Export 1'!AG:AG),IF(_xlpm.r=0,"",_xlpm.r))</f>
        <v/>
      </c>
    </row>
    <row r="32" spans="1:39" x14ac:dyDescent="0.2">
      <c r="A32" s="2">
        <v>29</v>
      </c>
      <c r="B32" s="2" t="s">
        <v>51</v>
      </c>
      <c r="C32" s="2" t="s">
        <v>221</v>
      </c>
      <c r="D32" s="2" t="s">
        <v>222</v>
      </c>
      <c r="E32" s="2" t="s">
        <v>43</v>
      </c>
      <c r="F32" s="2" t="s">
        <v>55</v>
      </c>
      <c r="J32" s="2" t="s">
        <v>71</v>
      </c>
      <c r="K32" s="2" t="s">
        <v>140</v>
      </c>
      <c r="O32" s="2" t="s">
        <v>45</v>
      </c>
      <c r="P32" s="2" t="s">
        <v>88</v>
      </c>
      <c r="Q32" s="2" t="s">
        <v>223</v>
      </c>
      <c r="W32" s="2" t="str">
        <f>_xlfn.LET(_xlpm.r, _xlfn.XLOOKUP(MappingGuide[[#This Row],[Description]],'[1]Squirrel SQL Export 1'!D:D,'[1]Squirrel SQL Export 1'!AC:AC),IF(_xlpm.r=0,"",_xlpm.r))</f>
        <v>3</v>
      </c>
      <c r="AA32" s="2" t="s">
        <v>224</v>
      </c>
      <c r="AC32" s="3" t="s">
        <v>225</v>
      </c>
      <c r="AE32" s="2" t="str" cm="1">
        <f t="array" ref="AE32">_xlfn.LET(_xlpm.r, _xlfn.XLOOKUP(MappingGuide[[#This Row],[ColumnName]] &amp; "|" &amp; MappingGuide[[#This Row],[Description]],'[1]Squirrel SQL Export 1'!C:C &amp; "|" &amp;'[1]Squirrel SQL Export 1'!D:D,'[1]Squirrel SQL Export 1'!Z:Z),IF(_xlpm.r=0,"",_xlpm.r))</f>
        <v>no</v>
      </c>
      <c r="AF32" s="3" t="s">
        <v>1309</v>
      </c>
      <c r="AG32" s="3" t="s">
        <v>48</v>
      </c>
      <c r="AH32" s="2" t="s">
        <v>55</v>
      </c>
      <c r="AI32" s="2" t="str">
        <f>_xlfn.LET(_xlpm.r, _xlfn.XLOOKUP(MappingGuide[[#This Row],[Description]],'[1]Squirrel SQL Export 1'!D:D,'[1]Squirrel SQL Export 1'!Y:Y),IF(_xlpm.r=0,"",_xlpm.r))</f>
        <v>Normally dynamic, and should be maintained in MDM</v>
      </c>
      <c r="AK32" s="2" t="str">
        <f>_xlfn.LET(_xlpm.r, _xlfn.XLOOKUP(MappingGuide[[#This Row],[Description]],'[1]Squirrel SQL Export 1'!D:D,'[1]Squirrel SQL Export 1'!AE:AE),IF(_xlpm.r=0,"",_xlpm.r))</f>
        <v>This the field that we have the most questions about if it does not change can this be handled in the Template, if it is needed to be updated or seen then we can include in MDM.</v>
      </c>
      <c r="AL32" s="3" t="str">
        <f>_xlfn.LET(_xlpm.r, _xlfn.XLOOKUP(MappingGuide[[#This Row],[DataType]],'[1]Squirrel SQL Export 1'!E:E,'[1]Squirrel SQL Export 1'!AF:AF),IF(_xlpm.r=0,"",_xlpm.r))</f>
        <v>No</v>
      </c>
      <c r="AM32" s="2" t="str">
        <f>_xlfn.LET(_xlpm.r, _xlfn.XLOOKUP(MappingGuide[[#This Row],[Length]],'[1]Squirrel SQL Export 1'!F:F,'[1]Squirrel SQL Export 1'!AG:AG),IF(_xlpm.r=0,"",_xlpm.r))</f>
        <v/>
      </c>
    </row>
    <row r="33" spans="1:39" x14ac:dyDescent="0.2">
      <c r="A33" s="2">
        <v>30</v>
      </c>
      <c r="B33" s="2" t="s">
        <v>51</v>
      </c>
      <c r="C33" s="2" t="s">
        <v>226</v>
      </c>
      <c r="D33" s="2" t="s">
        <v>227</v>
      </c>
      <c r="E33" s="2" t="s">
        <v>43</v>
      </c>
      <c r="F33" s="2" t="s">
        <v>44</v>
      </c>
      <c r="J33" s="2" t="s">
        <v>71</v>
      </c>
      <c r="K33" s="2" t="s">
        <v>87</v>
      </c>
      <c r="L33" s="2" t="s">
        <v>48</v>
      </c>
      <c r="O33" s="2" t="s">
        <v>45</v>
      </c>
      <c r="P33" s="2" t="s">
        <v>88</v>
      </c>
      <c r="Q33" s="2" t="s">
        <v>228</v>
      </c>
      <c r="V33" s="2" t="s">
        <v>229</v>
      </c>
      <c r="W33" s="2" t="str">
        <f>_xlfn.LET(_xlpm.r, _xlfn.XLOOKUP(MappingGuide[[#This Row],[Description]],'[1]Squirrel SQL Export 1'!D:D,'[1]Squirrel SQL Export 1'!AC:AC),IF(_xlpm.r=0,"",_xlpm.r))</f>
        <v/>
      </c>
      <c r="AA33" s="2" t="s">
        <v>230</v>
      </c>
      <c r="AC33" s="2" t="s">
        <v>231</v>
      </c>
      <c r="AE33" s="2" t="str" cm="1">
        <f t="array" ref="AE33">_xlfn.LET(_xlpm.r, _xlfn.XLOOKUP(MappingGuide[[#This Row],[ColumnName]] &amp; "|" &amp; MappingGuide[[#This Row],[Description]],'[1]Squirrel SQL Export 1'!C:C &amp; "|" &amp;'[1]Squirrel SQL Export 1'!D:D,'[1]Squirrel SQL Export 1'!Z:Z),IF(_xlpm.r=0,"",_xlpm.r))</f>
        <v>yes</v>
      </c>
      <c r="AF33" s="3" t="s">
        <v>1309</v>
      </c>
      <c r="AG33" s="3" t="s">
        <v>101</v>
      </c>
      <c r="AI33" s="2" t="str">
        <f>_xlfn.LET(_xlpm.r, _xlfn.XLOOKUP(MappingGuide[[#This Row],[Description]],'[1]Squirrel SQL Export 1'!D:D,'[1]Squirrel SQL Export 1'!Y:Y),IF(_xlpm.r=0,"",_xlpm.r))</f>
        <v>Sales person must be defined in M3 as a user, and can be connected to a sales department in M3</v>
      </c>
      <c r="AK33" s="2" t="str">
        <f>_xlfn.LET(_xlpm.r, _xlfn.XLOOKUP(MappingGuide[[#This Row],[Description]],'[1]Squirrel SQL Export 1'!D:D,'[1]Squirrel SQL Export 1'!AE:AE),IF(_xlpm.r=0,"",_xlpm.r))</f>
        <v>Will need to discuss, we have Sales Person as a Relationship. Need to confirm if this is the same attribute</v>
      </c>
      <c r="AL33" s="3" t="str">
        <f>_xlfn.LET(_xlpm.r, _xlfn.XLOOKUP(MappingGuide[[#This Row],[DataType]],'[1]Squirrel SQL Export 1'!E:E,'[1]Squirrel SQL Export 1'!AF:AF),IF(_xlpm.r=0,"",_xlpm.r))</f>
        <v>No</v>
      </c>
      <c r="AM33" s="2" t="str">
        <f>_xlfn.LET(_xlpm.r, _xlfn.XLOOKUP(MappingGuide[[#This Row],[Length]],'[1]Squirrel SQL Export 1'!F:F,'[1]Squirrel SQL Export 1'!AG:AG),IF(_xlpm.r=0,"",_xlpm.r))</f>
        <v/>
      </c>
    </row>
    <row r="34" spans="1:39" x14ac:dyDescent="0.2">
      <c r="A34" s="2">
        <v>31</v>
      </c>
      <c r="B34" s="2" t="s">
        <v>51</v>
      </c>
      <c r="C34" s="2" t="s">
        <v>232</v>
      </c>
      <c r="D34" s="2" t="s">
        <v>29</v>
      </c>
      <c r="E34" s="2" t="s">
        <v>43</v>
      </c>
      <c r="F34" s="2" t="s">
        <v>44</v>
      </c>
      <c r="J34" s="2" t="s">
        <v>71</v>
      </c>
      <c r="K34" s="2" t="s">
        <v>87</v>
      </c>
      <c r="O34" s="2" t="s">
        <v>45</v>
      </c>
      <c r="P34" s="2" t="s">
        <v>88</v>
      </c>
      <c r="Q34" s="2" t="s">
        <v>233</v>
      </c>
      <c r="W34" s="2" t="str">
        <f>_xlfn.LET(_xlpm.r, _xlfn.XLOOKUP(MappingGuide[[#This Row],[Description]],'[1]Squirrel SQL Export 1'!D:D,'[1]Squirrel SQL Export 1'!AC:AC),IF(_xlpm.r=0,"",_xlpm.r))</f>
        <v>DISADMIN</v>
      </c>
      <c r="AA34" s="2" t="s">
        <v>234</v>
      </c>
      <c r="AC34" s="3" t="s">
        <v>235</v>
      </c>
      <c r="AE34" s="2" t="str" cm="1">
        <f t="array" ref="AE34">_xlfn.LET(_xlpm.r, _xlfn.XLOOKUP(MappingGuide[[#This Row],[ColumnName]] &amp; "|" &amp; MappingGuide[[#This Row],[Description]],'[1]Squirrel SQL Export 1'!C:C &amp; "|" &amp;'[1]Squirrel SQL Export 1'!D:D,'[1]Squirrel SQL Export 1'!Z:Z),IF(_xlpm.r=0,"",_xlpm.r))</f>
        <v>yes</v>
      </c>
      <c r="AF34" s="3" t="s">
        <v>1309</v>
      </c>
      <c r="AG34" s="3" t="s">
        <v>48</v>
      </c>
      <c r="AH34" s="2" t="s">
        <v>236</v>
      </c>
      <c r="AI34" s="2" t="str">
        <f>_xlfn.LET(_xlpm.r, _xlfn.XLOOKUP(MappingGuide[[#This Row],[Description]],'[1]Squirrel SQL Export 1'!D:D,'[1]Squirrel SQL Export 1'!Y:Y),IF(_xlpm.r=0,"",_xlpm.r))</f>
        <v>Static or dynamic value?
If dynamic it should be maintained in MDM.</v>
      </c>
      <c r="AK34" s="2" t="str">
        <f>_xlfn.LET(_xlpm.r, _xlfn.XLOOKUP(MappingGuide[[#This Row],[Description]],'[1]Squirrel SQL Export 1'!D:D,'[1]Squirrel SQL Export 1'!AE:AE),IF(_xlpm.r=0,"",_xlpm.r))</f>
        <v>Will need to validate what values are needed for Responsible this might be added to the template.</v>
      </c>
      <c r="AL34" s="3" t="str">
        <f>_xlfn.LET(_xlpm.r, _xlfn.XLOOKUP(MappingGuide[[#This Row],[DataType]],'[1]Squirrel SQL Export 1'!E:E,'[1]Squirrel SQL Export 1'!AF:AF),IF(_xlpm.r=0,"",_xlpm.r))</f>
        <v>No</v>
      </c>
      <c r="AM34" s="2" t="str">
        <f>_xlfn.LET(_xlpm.r, _xlfn.XLOOKUP(MappingGuide[[#This Row],[Length]],'[1]Squirrel SQL Export 1'!F:F,'[1]Squirrel SQL Export 1'!AG:AG),IF(_xlpm.r=0,"",_xlpm.r))</f>
        <v/>
      </c>
    </row>
    <row r="35" spans="1:39" x14ac:dyDescent="0.2">
      <c r="A35" s="2">
        <v>32</v>
      </c>
      <c r="B35" s="2" t="s">
        <v>51</v>
      </c>
      <c r="C35" s="2" t="s">
        <v>237</v>
      </c>
      <c r="D35" s="2" t="s">
        <v>238</v>
      </c>
      <c r="E35" s="2" t="s">
        <v>43</v>
      </c>
      <c r="F35" s="2" t="s">
        <v>55</v>
      </c>
      <c r="W35" s="2" t="str">
        <f>_xlfn.LET(_xlpm.r, _xlfn.XLOOKUP(MappingGuide[[#This Row],[Description]],'[1]Squirrel SQL Export 1'!D:D,'[1]Squirrel SQL Export 1'!AC:AC),IF(_xlpm.r=0,"",_xlpm.r))</f>
        <v/>
      </c>
      <c r="AA35" s="2" t="s">
        <v>239</v>
      </c>
      <c r="AC35" s="2"/>
      <c r="AE35" s="2" t="str" cm="1">
        <f t="array" ref="AE35">_xlfn.LET(_xlpm.r, _xlfn.XLOOKUP(MappingGuide[[#This Row],[ColumnName]] &amp; "|" &amp; MappingGuide[[#This Row],[Description]],'[1]Squirrel SQL Export 1'!C:C &amp; "|" &amp;'[1]Squirrel SQL Export 1'!D:D,'[1]Squirrel SQL Export 1'!Z:Z),IF(_xlpm.r=0,"",_xlpm.r))</f>
        <v>no</v>
      </c>
      <c r="AF35" s="3" t="s">
        <v>1309</v>
      </c>
      <c r="AG35" s="3" t="s">
        <v>101</v>
      </c>
      <c r="AI35" s="2" t="str">
        <f>_xlfn.LET(_xlpm.r, _xlfn.XLOOKUP(MappingGuide[[#This Row],[Description]],'[1]Squirrel SQL Export 1'!D:D,'[1]Squirrel SQL Export 1'!Y:Y),IF(_xlpm.r=0,"",_xlpm.r))</f>
        <v>Not used (Relates to old functionality in M3)</v>
      </c>
      <c r="AK35" s="2" t="str">
        <f>_xlfn.LET(_xlpm.r, _xlfn.XLOOKUP(MappingGuide[[#This Row],[Description]],'[1]Squirrel SQL Export 1'!D:D,'[1]Squirrel SQL Export 1'!AE:AE),IF(_xlpm.r=0,"",_xlpm.r))</f>
        <v/>
      </c>
      <c r="AL35" s="3" t="str">
        <f>_xlfn.LET(_xlpm.r, _xlfn.XLOOKUP(MappingGuide[[#This Row],[DataType]],'[1]Squirrel SQL Export 1'!E:E,'[1]Squirrel SQL Export 1'!AF:AF),IF(_xlpm.r=0,"",_xlpm.r))</f>
        <v>No</v>
      </c>
      <c r="AM35" s="2" t="str">
        <f>_xlfn.LET(_xlpm.r, _xlfn.XLOOKUP(MappingGuide[[#This Row],[Length]],'[1]Squirrel SQL Export 1'!F:F,'[1]Squirrel SQL Export 1'!AG:AG),IF(_xlpm.r=0,"",_xlpm.r))</f>
        <v/>
      </c>
    </row>
    <row r="36" spans="1:39" x14ac:dyDescent="0.2">
      <c r="A36" s="2">
        <v>33</v>
      </c>
      <c r="B36" s="2" t="s">
        <v>51</v>
      </c>
      <c r="C36" s="2" t="s">
        <v>240</v>
      </c>
      <c r="D36" s="2" t="s">
        <v>241</v>
      </c>
      <c r="E36" s="2" t="s">
        <v>54</v>
      </c>
      <c r="F36" s="2" t="s">
        <v>242</v>
      </c>
      <c r="G36" s="2" t="s">
        <v>70</v>
      </c>
      <c r="O36" s="2" t="s">
        <v>45</v>
      </c>
      <c r="P36" s="2" t="s">
        <v>88</v>
      </c>
      <c r="Q36" s="2" t="s">
        <v>243</v>
      </c>
      <c r="W36" s="2" t="str">
        <f>_xlfn.LET(_xlpm.r, _xlfn.XLOOKUP(MappingGuide[[#This Row],[Description]],'[1]Squirrel SQL Export 1'!D:D,'[1]Squirrel SQL Export 1'!AC:AC),IF(_xlpm.r=0,"",_xlpm.r))</f>
        <v/>
      </c>
      <c r="AA36" s="2" t="s">
        <v>244</v>
      </c>
      <c r="AC36" s="2"/>
      <c r="AE36" s="2" t="str" cm="1">
        <f t="array" ref="AE36">_xlfn.LET(_xlpm.r, _xlfn.XLOOKUP(MappingGuide[[#This Row],[ColumnName]] &amp; "|" &amp; MappingGuide[[#This Row],[Description]],'[1]Squirrel SQL Export 1'!C:C &amp; "|" &amp;'[1]Squirrel SQL Export 1'!D:D,'[1]Squirrel SQL Export 1'!Z:Z),IF(_xlpm.r=0,"",_xlpm.r))</f>
        <v>no</v>
      </c>
      <c r="AF36" s="3" t="s">
        <v>1309</v>
      </c>
      <c r="AG36" s="3" t="s">
        <v>101</v>
      </c>
      <c r="AI36" s="2" t="str">
        <f>_xlfn.LET(_xlpm.r, _xlfn.XLOOKUP(MappingGuide[[#This Row],[Description]],'[1]Squirrel SQL Export 1'!D:D,'[1]Squirrel SQL Export 1'!Y:Y),IF(_xlpm.r=0,"",_xlpm.r))</f>
        <v>Not used</v>
      </c>
      <c r="AK36" s="2" t="str">
        <f>_xlfn.LET(_xlpm.r, _xlfn.XLOOKUP(MappingGuide[[#This Row],[Description]],'[1]Squirrel SQL Export 1'!D:D,'[1]Squirrel SQL Export 1'!AE:AE),IF(_xlpm.r=0,"",_xlpm.r))</f>
        <v/>
      </c>
      <c r="AL36" s="3" t="str">
        <f>_xlfn.LET(_xlpm.r, _xlfn.XLOOKUP(MappingGuide[[#This Row],[DataType]],'[1]Squirrel SQL Export 1'!E:E,'[1]Squirrel SQL Export 1'!AF:AF),IF(_xlpm.r=0,"",_xlpm.r))</f>
        <v/>
      </c>
      <c r="AM36" s="2" t="str">
        <f>_xlfn.LET(_xlpm.r, _xlfn.XLOOKUP(MappingGuide[[#This Row],[Length]],'[1]Squirrel SQL Export 1'!F:F,'[1]Squirrel SQL Export 1'!AG:AG),IF(_xlpm.r=0,"",_xlpm.r))</f>
        <v/>
      </c>
    </row>
    <row r="37" spans="1:39" x14ac:dyDescent="0.2">
      <c r="A37" s="2">
        <v>34</v>
      </c>
      <c r="B37" s="2" t="s">
        <v>51</v>
      </c>
      <c r="C37" s="2" t="s">
        <v>245</v>
      </c>
      <c r="D37" s="2" t="s">
        <v>246</v>
      </c>
      <c r="E37" s="2" t="s">
        <v>43</v>
      </c>
      <c r="F37" s="2" t="s">
        <v>44</v>
      </c>
      <c r="J37" s="2" t="s">
        <v>71</v>
      </c>
      <c r="K37" s="2" t="s">
        <v>140</v>
      </c>
      <c r="O37" s="2" t="s">
        <v>45</v>
      </c>
      <c r="P37" s="2" t="s">
        <v>88</v>
      </c>
      <c r="Q37" s="2" t="s">
        <v>247</v>
      </c>
      <c r="W37" s="2" t="str">
        <f>_xlfn.LET(_xlpm.r, _xlfn.XLOOKUP(MappingGuide[[#This Row],[Description]],'[1]Squirrel SQL Export 1'!D:D,'[1]Squirrel SQL Export 1'!AC:AC),IF(_xlpm.r=0,"",_xlpm.r))</f>
        <v>Y001</v>
      </c>
      <c r="AA37" s="2" t="s">
        <v>248</v>
      </c>
      <c r="AC37" s="3" t="s">
        <v>249</v>
      </c>
      <c r="AE37" s="2" t="str" cm="1">
        <f t="array" ref="AE37">_xlfn.LET(_xlpm.r, _xlfn.XLOOKUP(MappingGuide[[#This Row],[ColumnName]] &amp; "|" &amp; MappingGuide[[#This Row],[Description]],'[1]Squirrel SQL Export 1'!C:C &amp; "|" &amp;'[1]Squirrel SQL Export 1'!D:D,'[1]Squirrel SQL Export 1'!Z:Z),IF(_xlpm.r=0,"",_xlpm.r))</f>
        <v>no</v>
      </c>
      <c r="AF37" s="3" t="s">
        <v>1309</v>
      </c>
      <c r="AG37" s="3" t="s">
        <v>48</v>
      </c>
      <c r="AH37" s="2" t="s">
        <v>250</v>
      </c>
      <c r="AI37" s="2" t="str">
        <f>_xlfn.LET(_xlpm.r, _xlfn.XLOOKUP(MappingGuide[[#This Row],[Description]],'[1]Squirrel SQL Export 1'!D:D,'[1]Squirrel SQL Export 1'!Y:Y),IF(_xlpm.r=0,"",_xlpm.r))</f>
        <v>Define how discounts can be applied on CO
Defined on Template</v>
      </c>
      <c r="AK37" s="2" t="str">
        <f>_xlfn.LET(_xlpm.r, _xlfn.XLOOKUP(MappingGuide[[#This Row],[Description]],'[1]Squirrel SQL Export 1'!D:D,'[1]Squirrel SQL Export 1'!AE:AE),IF(_xlpm.r=0,"",_xlpm.r))</f>
        <v/>
      </c>
      <c r="AL37" s="3" t="str">
        <f>_xlfn.LET(_xlpm.r, _xlfn.XLOOKUP(MappingGuide[[#This Row],[DataType]],'[1]Squirrel SQL Export 1'!E:E,'[1]Squirrel SQL Export 1'!AF:AF),IF(_xlpm.r=0,"",_xlpm.r))</f>
        <v>No</v>
      </c>
      <c r="AM37" s="2" t="str">
        <f>_xlfn.LET(_xlpm.r, _xlfn.XLOOKUP(MappingGuide[[#This Row],[Length]],'[1]Squirrel SQL Export 1'!F:F,'[1]Squirrel SQL Export 1'!AG:AG),IF(_xlpm.r=0,"",_xlpm.r))</f>
        <v/>
      </c>
    </row>
    <row r="38" spans="1:39" x14ac:dyDescent="0.2">
      <c r="A38" s="2">
        <v>35</v>
      </c>
      <c r="B38" s="2" t="s">
        <v>51</v>
      </c>
      <c r="C38" s="2" t="s">
        <v>251</v>
      </c>
      <c r="D38" s="2" t="s">
        <v>252</v>
      </c>
      <c r="E38" s="2" t="s">
        <v>43</v>
      </c>
      <c r="F38" s="2" t="s">
        <v>70</v>
      </c>
      <c r="J38" s="2" t="s">
        <v>71</v>
      </c>
      <c r="K38" s="2" t="s">
        <v>140</v>
      </c>
      <c r="O38" s="2" t="s">
        <v>45</v>
      </c>
      <c r="P38" s="2" t="s">
        <v>88</v>
      </c>
      <c r="Q38" s="2" t="s">
        <v>253</v>
      </c>
      <c r="W38" s="2" t="str">
        <f>_xlfn.LET(_xlpm.r, _xlfn.XLOOKUP(MappingGuide[[#This Row],[Description]],'[1]Squirrel SQL Export 1'!D:D,'[1]Squirrel SQL Export 1'!AC:AC),IF(_xlpm.r=0,"",_xlpm.r))</f>
        <v/>
      </c>
      <c r="AA38" s="2" t="s">
        <v>254</v>
      </c>
      <c r="AC38" s="2" t="s">
        <v>255</v>
      </c>
      <c r="AE38" s="2" t="str" cm="1">
        <f t="array" ref="AE38">_xlfn.LET(_xlpm.r, _xlfn.XLOOKUP(MappingGuide[[#This Row],[ColumnName]] &amp; "|" &amp; MappingGuide[[#This Row],[Description]],'[1]Squirrel SQL Export 1'!C:C &amp; "|" &amp;'[1]Squirrel SQL Export 1'!D:D,'[1]Squirrel SQL Export 1'!Z:Z),IF(_xlpm.r=0,"",_xlpm.r))</f>
        <v>no</v>
      </c>
      <c r="AF38" s="3" t="s">
        <v>1309</v>
      </c>
      <c r="AG38" s="3" t="s">
        <v>101</v>
      </c>
      <c r="AI38" s="2" t="str">
        <f>_xlfn.LET(_xlpm.r, _xlfn.XLOOKUP(MappingGuide[[#This Row],[Description]],'[1]Squirrel SQL Export 1'!D:D,'[1]Squirrel SQL Export 1'!Y:Y),IF(_xlpm.r=0,"",_xlpm.r))</f>
        <v>Price and discounts should be calculated in CPQ</v>
      </c>
      <c r="AK38" s="2" t="str">
        <f>_xlfn.LET(_xlpm.r, _xlfn.XLOOKUP(MappingGuide[[#This Row],[Description]],'[1]Squirrel SQL Export 1'!D:D,'[1]Squirrel SQL Export 1'!AE:AE),IF(_xlpm.r=0,"",_xlpm.r))</f>
        <v/>
      </c>
      <c r="AL38" s="3" t="str">
        <f>_xlfn.LET(_xlpm.r, _xlfn.XLOOKUP(MappingGuide[[#This Row],[DataType]],'[1]Squirrel SQL Export 1'!E:E,'[1]Squirrel SQL Export 1'!AF:AF),IF(_xlpm.r=0,"",_xlpm.r))</f>
        <v>No</v>
      </c>
      <c r="AM38" s="2" t="str">
        <f>_xlfn.LET(_xlpm.r, _xlfn.XLOOKUP(MappingGuide[[#This Row],[Length]],'[1]Squirrel SQL Export 1'!F:F,'[1]Squirrel SQL Export 1'!AG:AG),IF(_xlpm.r=0,"",_xlpm.r))</f>
        <v>Status</v>
      </c>
    </row>
    <row r="39" spans="1:39" x14ac:dyDescent="0.2">
      <c r="A39" s="2">
        <v>36</v>
      </c>
      <c r="B39" s="2" t="s">
        <v>51</v>
      </c>
      <c r="C39" s="2" t="s">
        <v>256</v>
      </c>
      <c r="D39" s="2" t="s">
        <v>257</v>
      </c>
      <c r="E39" s="2" t="s">
        <v>54</v>
      </c>
      <c r="F39" s="2" t="s">
        <v>70</v>
      </c>
      <c r="J39" s="2" t="s">
        <v>71</v>
      </c>
      <c r="K39" s="2" t="s">
        <v>167</v>
      </c>
      <c r="O39" s="2" t="s">
        <v>45</v>
      </c>
      <c r="P39" s="2" t="s">
        <v>168</v>
      </c>
      <c r="Q39" s="2" t="s">
        <v>258</v>
      </c>
      <c r="T39" s="2" t="s">
        <v>259</v>
      </c>
      <c r="W39" s="2" t="str">
        <f>_xlfn.LET(_xlpm.r, _xlfn.XLOOKUP(MappingGuide[[#This Row],[Description]],'[1]Squirrel SQL Export 1'!D:D,'[1]Squirrel SQL Export 1'!AC:AC),IF(_xlpm.r=0,"",_xlpm.r))</f>
        <v>9</v>
      </c>
      <c r="AA39" s="2" t="s">
        <v>260</v>
      </c>
      <c r="AC39" s="3" t="s">
        <v>261</v>
      </c>
      <c r="AE39" s="2" t="str" cm="1">
        <f t="array" ref="AE39">_xlfn.LET(_xlpm.r, _xlfn.XLOOKUP(MappingGuide[[#This Row],[ColumnName]] &amp; "|" &amp; MappingGuide[[#This Row],[Description]],'[1]Squirrel SQL Export 1'!C:C &amp; "|" &amp;'[1]Squirrel SQL Export 1'!D:D,'[1]Squirrel SQL Export 1'!Z:Z),IF(_xlpm.r=0,"",_xlpm.r))</f>
        <v>no</v>
      </c>
      <c r="AF39" s="3" t="s">
        <v>1309</v>
      </c>
      <c r="AG39" s="3" t="s">
        <v>48</v>
      </c>
      <c r="AH39" s="2" t="s">
        <v>262</v>
      </c>
      <c r="AI39" s="2" t="str">
        <f>_xlfn.LET(_xlpm.r, _xlfn.XLOOKUP(MappingGuide[[#This Row],[Description]],'[1]Squirrel SQL Export 1'!D:D,'[1]Squirrel SQL Export 1'!Y:Y),IF(_xlpm.r=0,"",_xlpm.r))</f>
        <v>VAT not used in US (Default code on template if value needed)</v>
      </c>
      <c r="AK39" s="2" t="str">
        <f>_xlfn.LET(_xlpm.r, _xlfn.XLOOKUP(MappingGuide[[#This Row],[Description]],'[1]Squirrel SQL Export 1'!D:D,'[1]Squirrel SQL Export 1'!AE:AE),IF(_xlpm.r=0,"",_xlpm.r))</f>
        <v/>
      </c>
      <c r="AL39" s="3" t="str">
        <f>_xlfn.LET(_xlpm.r, _xlfn.XLOOKUP(MappingGuide[[#This Row],[DataType]],'[1]Squirrel SQL Export 1'!E:E,'[1]Squirrel SQL Export 1'!AF:AF),IF(_xlpm.r=0,"",_xlpm.r))</f>
        <v/>
      </c>
      <c r="AM39" s="2" t="str">
        <f>_xlfn.LET(_xlpm.r, _xlfn.XLOOKUP(MappingGuide[[#This Row],[Length]],'[1]Squirrel SQL Export 1'!F:F,'[1]Squirrel SQL Export 1'!AG:AG),IF(_xlpm.r=0,"",_xlpm.r))</f>
        <v>Status</v>
      </c>
    </row>
    <row r="40" spans="1:39" x14ac:dyDescent="0.2">
      <c r="A40" s="2">
        <v>37</v>
      </c>
      <c r="B40" s="2" t="s">
        <v>51</v>
      </c>
      <c r="C40" s="2" t="s">
        <v>263</v>
      </c>
      <c r="D40" s="2" t="s">
        <v>264</v>
      </c>
      <c r="E40" s="2" t="s">
        <v>54</v>
      </c>
      <c r="F40" s="2" t="s">
        <v>96</v>
      </c>
      <c r="J40" s="2" t="s">
        <v>71</v>
      </c>
      <c r="K40" s="2" t="s">
        <v>167</v>
      </c>
      <c r="O40" s="2" t="s">
        <v>45</v>
      </c>
      <c r="P40" s="2" t="s">
        <v>168</v>
      </c>
      <c r="Q40" s="2" t="s">
        <v>265</v>
      </c>
      <c r="T40" s="2" t="s">
        <v>266</v>
      </c>
      <c r="W40" s="2" t="str">
        <f>_xlfn.LET(_xlpm.r, _xlfn.XLOOKUP(MappingGuide[[#This Row],[Description]],'[1]Squirrel SQL Export 1'!D:D,'[1]Squirrel SQL Export 1'!AC:AC),IF(_xlpm.r=0,"",_xlpm.r))</f>
        <v>1</v>
      </c>
      <c r="AA40" s="2" t="s">
        <v>267</v>
      </c>
      <c r="AB40" s="2" t="s">
        <v>268</v>
      </c>
      <c r="AE40" s="2" t="str" cm="1">
        <f t="array" ref="AE40">_xlfn.LET(_xlpm.r, _xlfn.XLOOKUP(MappingGuide[[#This Row],[ColumnName]] &amp; "|" &amp; MappingGuide[[#This Row],[Description]],'[1]Squirrel SQL Export 1'!C:C &amp; "|" &amp;'[1]Squirrel SQL Export 1'!D:D,'[1]Squirrel SQL Export 1'!Z:Z),IF(_xlpm.r=0,"",_xlpm.r))</f>
        <v>yes</v>
      </c>
      <c r="AF40" s="3" t="s">
        <v>1309</v>
      </c>
      <c r="AG40" s="3" t="s">
        <v>48</v>
      </c>
      <c r="AH40" s="2" t="s">
        <v>96</v>
      </c>
      <c r="AI40" s="2" t="str">
        <f>_xlfn.LET(_xlpm.r, _xlfn.XLOOKUP(MappingGuide[[#This Row],[Description]],'[1]Squirrel SQL Export 1'!D:D,'[1]Squirrel SQL Export 1'!Y:Y),IF(_xlpm.r=0,"",_xlpm.r))</f>
        <v>Define if sales tax should be added for the customer. The possible options would be 0/1 only though. Option 2 shouldn't be shown.</v>
      </c>
      <c r="AK40"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40" s="3" t="str">
        <f>_xlfn.LET(_xlpm.r, _xlfn.XLOOKUP(MappingGuide[[#This Row],[DataType]],'[1]Squirrel SQL Export 1'!E:E,'[1]Squirrel SQL Export 1'!AF:AF),IF(_xlpm.r=0,"",_xlpm.r))</f>
        <v/>
      </c>
      <c r="AM40" s="2" t="str">
        <f>_xlfn.LET(_xlpm.r, _xlfn.XLOOKUP(MappingGuide[[#This Row],[Length]],'[1]Squirrel SQL Export 1'!F:F,'[1]Squirrel SQL Export 1'!AG:AG),IF(_xlpm.r=0,"",_xlpm.r))</f>
        <v>Type</v>
      </c>
    </row>
    <row r="41" spans="1:39" x14ac:dyDescent="0.2">
      <c r="A41" s="2">
        <v>38</v>
      </c>
      <c r="B41" s="2" t="s">
        <v>51</v>
      </c>
      <c r="C41" s="2" t="s">
        <v>269</v>
      </c>
      <c r="D41" s="2" t="s">
        <v>270</v>
      </c>
      <c r="E41" s="2" t="s">
        <v>43</v>
      </c>
      <c r="F41" s="2" t="s">
        <v>55</v>
      </c>
      <c r="J41" s="2" t="s">
        <v>71</v>
      </c>
      <c r="K41" s="2" t="s">
        <v>167</v>
      </c>
      <c r="O41" s="2" t="s">
        <v>45</v>
      </c>
      <c r="P41" s="2" t="s">
        <v>168</v>
      </c>
      <c r="Q41" s="2" t="s">
        <v>271</v>
      </c>
      <c r="W41" s="2" t="str">
        <f>_xlfn.LET(_xlpm.r, _xlfn.XLOOKUP(MappingGuide[[#This Row],[Description]],'[1]Squirrel SQL Export 1'!D:D,'[1]Squirrel SQL Export 1'!AC:AC),IF(_xlpm.r=0,"",_xlpm.r))</f>
        <v>USD</v>
      </c>
      <c r="AA41" s="2" t="s">
        <v>272</v>
      </c>
      <c r="AC41" s="3" t="s">
        <v>273</v>
      </c>
      <c r="AE41" s="2" t="str" cm="1">
        <f t="array" ref="AE41">_xlfn.LET(_xlpm.r, _xlfn.XLOOKUP(MappingGuide[[#This Row],[ColumnName]] &amp; "|" &amp; MappingGuide[[#This Row],[Description]],'[1]Squirrel SQL Export 1'!C:C &amp; "|" &amp;'[1]Squirrel SQL Export 1'!D:D,'[1]Squirrel SQL Export 1'!Z:Z),IF(_xlpm.r=0,"",_xlpm.r))</f>
        <v>yes</v>
      </c>
      <c r="AF41" s="3" t="s">
        <v>1309</v>
      </c>
      <c r="AG41" s="3" t="s">
        <v>48</v>
      </c>
      <c r="AH41" s="2" t="s">
        <v>274</v>
      </c>
      <c r="AI41" s="2" t="str">
        <f>_xlfn.LET(_xlpm.r, _xlfn.XLOOKUP(MappingGuide[[#This Row],[Description]],'[1]Squirrel SQL Export 1'!D:D,'[1]Squirrel SQL Export 1'!Y:Y),IF(_xlpm.r=0,"",_xlpm.r))</f>
        <v>If more than one currency used, maintain it in MDM.
Send USD/CAD</v>
      </c>
      <c r="AK41"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41" s="3" t="str">
        <f>_xlfn.LET(_xlpm.r, _xlfn.XLOOKUP(MappingGuide[[#This Row],[DataType]],'[1]Squirrel SQL Export 1'!E:E,'[1]Squirrel SQL Export 1'!AF:AF),IF(_xlpm.r=0,"",_xlpm.r))</f>
        <v>No</v>
      </c>
      <c r="AM41" s="2" t="str">
        <f>_xlfn.LET(_xlpm.r, _xlfn.XLOOKUP(MappingGuide[[#This Row],[Length]],'[1]Squirrel SQL Export 1'!F:F,'[1]Squirrel SQL Export 1'!AG:AG),IF(_xlpm.r=0,"",_xlpm.r))</f>
        <v/>
      </c>
    </row>
    <row r="42" spans="1:39" x14ac:dyDescent="0.2">
      <c r="A42" s="2">
        <v>39</v>
      </c>
      <c r="B42" s="2" t="s">
        <v>51</v>
      </c>
      <c r="C42" s="2" t="s">
        <v>275</v>
      </c>
      <c r="D42" s="2" t="s">
        <v>276</v>
      </c>
      <c r="E42" s="2" t="s">
        <v>54</v>
      </c>
      <c r="F42" s="2" t="s">
        <v>70</v>
      </c>
      <c r="J42" s="2" t="s">
        <v>71</v>
      </c>
      <c r="K42" s="2" t="s">
        <v>167</v>
      </c>
      <c r="O42" s="2" t="s">
        <v>45</v>
      </c>
      <c r="P42" s="2" t="s">
        <v>168</v>
      </c>
      <c r="Q42" s="2" t="s">
        <v>277</v>
      </c>
      <c r="W42" s="2" t="str">
        <f>_xlfn.LET(_xlpm.r, _xlfn.XLOOKUP(MappingGuide[[#This Row],[Description]],'[1]Squirrel SQL Export 1'!D:D,'[1]Squirrel SQL Export 1'!AC:AC),IF(_xlpm.r=0,"",_xlpm.r))</f>
        <v>1</v>
      </c>
      <c r="AA42" s="2" t="s">
        <v>278</v>
      </c>
      <c r="AB42" s="2" t="s">
        <v>279</v>
      </c>
      <c r="AC42" s="3" t="s">
        <v>280</v>
      </c>
      <c r="AE42" s="2" t="str" cm="1">
        <f t="array" ref="AE42">_xlfn.LET(_xlpm.r, _xlfn.XLOOKUP(MappingGuide[[#This Row],[ColumnName]] &amp; "|" &amp; MappingGuide[[#This Row],[Description]],'[1]Squirrel SQL Export 1'!C:C &amp; "|" &amp;'[1]Squirrel SQL Export 1'!D:D,'[1]Squirrel SQL Export 1'!Z:Z),IF(_xlpm.r=0,"",_xlpm.r))</f>
        <v>no</v>
      </c>
      <c r="AF42" s="3" t="s">
        <v>1309</v>
      </c>
      <c r="AG42" s="3" t="s">
        <v>48</v>
      </c>
      <c r="AH42" s="2" t="s">
        <v>96</v>
      </c>
      <c r="AI42" s="2" t="str">
        <f>_xlfn.LET(_xlpm.r, _xlfn.XLOOKUP(MappingGuide[[#This Row],[Description]],'[1]Squirrel SQL Export 1'!D:D,'[1]Squirrel SQL Export 1'!Y:Y),IF(_xlpm.r=0,"",_xlpm.r))</f>
        <v>This is needed in M3, but we will set value using template</v>
      </c>
      <c r="AK42" s="2" t="str">
        <f>_xlfn.LET(_xlpm.r, _xlfn.XLOOKUP(MappingGuide[[#This Row],[Description]],'[1]Squirrel SQL Export 1'!D:D,'[1]Squirrel SQL Export 1'!AE:AE),IF(_xlpm.r=0,"",_xlpm.r))</f>
        <v/>
      </c>
      <c r="AL42" s="3" t="str">
        <f>_xlfn.LET(_xlpm.r, _xlfn.XLOOKUP(MappingGuide[[#This Row],[DataType]],'[1]Squirrel SQL Export 1'!E:E,'[1]Squirrel SQL Export 1'!AF:AF),IF(_xlpm.r=0,"",_xlpm.r))</f>
        <v/>
      </c>
      <c r="AM42" s="2" t="str">
        <f>_xlfn.LET(_xlpm.r, _xlfn.XLOOKUP(MappingGuide[[#This Row],[Length]],'[1]Squirrel SQL Export 1'!F:F,'[1]Squirrel SQL Export 1'!AG:AG),IF(_xlpm.r=0,"",_xlpm.r))</f>
        <v>Status</v>
      </c>
    </row>
    <row r="43" spans="1:39" x14ac:dyDescent="0.2">
      <c r="A43" s="2">
        <v>40</v>
      </c>
      <c r="B43" s="2" t="s">
        <v>51</v>
      </c>
      <c r="C43" s="2" t="s">
        <v>281</v>
      </c>
      <c r="D43" s="2" t="s">
        <v>282</v>
      </c>
      <c r="E43" s="2" t="s">
        <v>43</v>
      </c>
      <c r="F43" s="2" t="s">
        <v>44</v>
      </c>
      <c r="J43" s="2" t="s">
        <v>71</v>
      </c>
      <c r="K43" s="2" t="s">
        <v>140</v>
      </c>
      <c r="O43" s="2" t="s">
        <v>45</v>
      </c>
      <c r="P43" s="2" t="s">
        <v>88</v>
      </c>
      <c r="Q43" s="2" t="s">
        <v>283</v>
      </c>
      <c r="W43" s="2" t="str">
        <f>_xlfn.LET(_xlpm.r, _xlfn.XLOOKUP(MappingGuide[[#This Row],[Description]],'[1]Squirrel SQL Export 1'!D:D,'[1]Squirrel SQL Export 1'!AC:AC),IF(_xlpm.r=0,"",_xlpm.r))</f>
        <v>Z0001</v>
      </c>
      <c r="AA43" s="2" t="s">
        <v>284</v>
      </c>
      <c r="AC43" s="3" t="s">
        <v>285</v>
      </c>
      <c r="AE43" s="2" t="str" cm="1">
        <f t="array" ref="AE43">_xlfn.LET(_xlpm.r, _xlfn.XLOOKUP(MappingGuide[[#This Row],[ColumnName]] &amp; "|" &amp; MappingGuide[[#This Row],[Description]],'[1]Squirrel SQL Export 1'!C:C &amp; "|" &amp;'[1]Squirrel SQL Export 1'!D:D,'[1]Squirrel SQL Export 1'!Z:Z),IF(_xlpm.r=0,"",_xlpm.r))</f>
        <v>no</v>
      </c>
      <c r="AF43" s="3" t="s">
        <v>1309</v>
      </c>
      <c r="AG43" s="3" t="s">
        <v>48</v>
      </c>
      <c r="AH43" s="2" t="s">
        <v>286</v>
      </c>
      <c r="AI43" s="2" t="str">
        <f>_xlfn.LET(_xlpm.r, _xlfn.XLOOKUP(MappingGuide[[#This Row],[Description]],'[1]Squirrel SQL Export 1'!D:D,'[1]Squirrel SQL Export 1'!Y:Y),IF(_xlpm.r=0,"",_xlpm.r))</f>
        <v>Price and discounts should be calculated in CPQ</v>
      </c>
      <c r="AK43" s="2" t="str">
        <f>_xlfn.LET(_xlpm.r, _xlfn.XLOOKUP(MappingGuide[[#This Row],[Description]],'[1]Squirrel SQL Export 1'!D:D,'[1]Squirrel SQL Export 1'!AE:AE),IF(_xlpm.r=0,"",_xlpm.r))</f>
        <v/>
      </c>
      <c r="AL43" s="3" t="str">
        <f>_xlfn.LET(_xlpm.r, _xlfn.XLOOKUP(MappingGuide[[#This Row],[DataType]],'[1]Squirrel SQL Export 1'!E:E,'[1]Squirrel SQL Export 1'!AF:AF),IF(_xlpm.r=0,"",_xlpm.r))</f>
        <v>No</v>
      </c>
      <c r="AM43" s="2" t="str">
        <f>_xlfn.LET(_xlpm.r, _xlfn.XLOOKUP(MappingGuide[[#This Row],[Length]],'[1]Squirrel SQL Export 1'!F:F,'[1]Squirrel SQL Export 1'!AG:AG),IF(_xlpm.r=0,"",_xlpm.r))</f>
        <v/>
      </c>
    </row>
    <row r="44" spans="1:39" x14ac:dyDescent="0.2">
      <c r="A44" s="2">
        <v>41</v>
      </c>
      <c r="B44" s="2" t="s">
        <v>51</v>
      </c>
      <c r="C44" s="2" t="s">
        <v>287</v>
      </c>
      <c r="D44" s="2" t="s">
        <v>288</v>
      </c>
      <c r="E44" s="2" t="s">
        <v>43</v>
      </c>
      <c r="F44" s="2" t="s">
        <v>70</v>
      </c>
      <c r="J44" s="2" t="s">
        <v>71</v>
      </c>
      <c r="K44" s="2" t="s">
        <v>146</v>
      </c>
      <c r="O44" s="2" t="s">
        <v>45</v>
      </c>
      <c r="P44" s="2" t="s">
        <v>88</v>
      </c>
      <c r="Q44" s="2" t="s">
        <v>289</v>
      </c>
      <c r="W44" s="2" t="str">
        <f>_xlfn.LET(_xlpm.r, _xlfn.XLOOKUP(MappingGuide[[#This Row],[Description]],'[1]Squirrel SQL Export 1'!D:D,'[1]Squirrel SQL Export 1'!AC:AC),IF(_xlpm.r=0,"",_xlpm.r))</f>
        <v/>
      </c>
      <c r="AA44" s="2" t="s">
        <v>290</v>
      </c>
      <c r="AC44" s="2" t="s">
        <v>291</v>
      </c>
      <c r="AE44" s="2" t="str" cm="1">
        <f t="array" ref="AE44">_xlfn.LET(_xlpm.r, _xlfn.XLOOKUP(MappingGuide[[#This Row],[ColumnName]] &amp; "|" &amp; MappingGuide[[#This Row],[Description]],'[1]Squirrel SQL Export 1'!C:C &amp; "|" &amp;'[1]Squirrel SQL Export 1'!D:D,'[1]Squirrel SQL Export 1'!Z:Z),IF(_xlpm.r=0,"",_xlpm.r))</f>
        <v>no</v>
      </c>
      <c r="AF44" s="3" t="s">
        <v>1309</v>
      </c>
      <c r="AG44" s="3" t="s">
        <v>101</v>
      </c>
      <c r="AI44" s="2" t="str">
        <f>_xlfn.LET(_xlpm.r, _xlfn.XLOOKUP(MappingGuide[[#This Row],[Description]],'[1]Squirrel SQL Export 1'!D:D,'[1]Squirrel SQL Export 1'!Y:Y),IF(_xlpm.r=0,"",_xlpm.r))</f>
        <v>Athar: This is needed in M3, but we will pass default value = BLANK using template.</v>
      </c>
      <c r="AK44" s="2" t="str">
        <f>_xlfn.LET(_xlpm.r, _xlfn.XLOOKUP(MappingGuide[[#This Row],[Description]],'[1]Squirrel SQL Export 1'!D:D,'[1]Squirrel SQL Export 1'!AE:AE),IF(_xlpm.r=0,"",_xlpm.r))</f>
        <v/>
      </c>
      <c r="AL44" s="3" t="str">
        <f>_xlfn.LET(_xlpm.r, _xlfn.XLOOKUP(MappingGuide[[#This Row],[DataType]],'[1]Squirrel SQL Export 1'!E:E,'[1]Squirrel SQL Export 1'!AF:AF),IF(_xlpm.r=0,"",_xlpm.r))</f>
        <v>No</v>
      </c>
      <c r="AM44" s="2" t="str">
        <f>_xlfn.LET(_xlpm.r, _xlfn.XLOOKUP(MappingGuide[[#This Row],[Length]],'[1]Squirrel SQL Export 1'!F:F,'[1]Squirrel SQL Export 1'!AG:AG),IF(_xlpm.r=0,"",_xlpm.r))</f>
        <v>Status</v>
      </c>
    </row>
    <row r="45" spans="1:39" x14ac:dyDescent="0.2">
      <c r="A45" s="2">
        <v>42</v>
      </c>
      <c r="B45" s="2" t="s">
        <v>51</v>
      </c>
      <c r="C45" s="2" t="s">
        <v>292</v>
      </c>
      <c r="D45" s="2" t="s">
        <v>293</v>
      </c>
      <c r="E45" s="2" t="s">
        <v>43</v>
      </c>
      <c r="F45" s="2" t="s">
        <v>44</v>
      </c>
      <c r="W45" s="2" t="str">
        <f>_xlfn.LET(_xlpm.r, _xlfn.XLOOKUP(MappingGuide[[#This Row],[Description]],'[1]Squirrel SQL Export 1'!D:D,'[1]Squirrel SQL Export 1'!AC:AC),IF(_xlpm.r=0,"",_xlpm.r))</f>
        <v/>
      </c>
      <c r="AA45" s="2" t="s">
        <v>294</v>
      </c>
      <c r="AC45" s="2"/>
      <c r="AE45" s="2" t="str" cm="1">
        <f t="array" ref="AE45">_xlfn.LET(_xlpm.r, _xlfn.XLOOKUP(MappingGuide[[#This Row],[ColumnName]] &amp; "|" &amp; MappingGuide[[#This Row],[Description]],'[1]Squirrel SQL Export 1'!C:C &amp; "|" &amp;'[1]Squirrel SQL Export 1'!D:D,'[1]Squirrel SQL Export 1'!Z:Z),IF(_xlpm.r=0,"",_xlpm.r))</f>
        <v>no</v>
      </c>
      <c r="AF45" s="3" t="s">
        <v>1309</v>
      </c>
      <c r="AG45" s="3" t="s">
        <v>101</v>
      </c>
      <c r="AI45" s="2" t="str">
        <f>_xlfn.LET(_xlpm.r, _xlfn.XLOOKUP(MappingGuide[[#This Row],[Description]],'[1]Squirrel SQL Export 1'!D:D,'[1]Squirrel SQL Export 1'!Y:Y),IF(_xlpm.r=0,"",_xlpm.r))</f>
        <v>Not used</v>
      </c>
      <c r="AK45" s="2" t="str">
        <f>_xlfn.LET(_xlpm.r, _xlfn.XLOOKUP(MappingGuide[[#This Row],[Description]],'[1]Squirrel SQL Export 1'!D:D,'[1]Squirrel SQL Export 1'!AE:AE),IF(_xlpm.r=0,"",_xlpm.r))</f>
        <v/>
      </c>
      <c r="AL45" s="3" t="str">
        <f>_xlfn.LET(_xlpm.r, _xlfn.XLOOKUP(MappingGuide[[#This Row],[DataType]],'[1]Squirrel SQL Export 1'!E:E,'[1]Squirrel SQL Export 1'!AF:AF),IF(_xlpm.r=0,"",_xlpm.r))</f>
        <v>No</v>
      </c>
      <c r="AM45" s="2" t="str">
        <f>_xlfn.LET(_xlpm.r, _xlfn.XLOOKUP(MappingGuide[[#This Row],[Length]],'[1]Squirrel SQL Export 1'!F:F,'[1]Squirrel SQL Export 1'!AG:AG),IF(_xlpm.r=0,"",_xlpm.r))</f>
        <v/>
      </c>
    </row>
    <row r="46" spans="1:39" x14ac:dyDescent="0.2">
      <c r="A46" s="2">
        <v>43</v>
      </c>
      <c r="B46" s="2" t="s">
        <v>51</v>
      </c>
      <c r="C46" s="2" t="s">
        <v>295</v>
      </c>
      <c r="D46" s="2" t="s">
        <v>296</v>
      </c>
      <c r="E46" s="2" t="s">
        <v>43</v>
      </c>
      <c r="F46" s="2" t="s">
        <v>55</v>
      </c>
      <c r="J46" s="2" t="s">
        <v>71</v>
      </c>
      <c r="K46" s="2" t="s">
        <v>146</v>
      </c>
      <c r="O46" s="2" t="s">
        <v>45</v>
      </c>
      <c r="P46" s="2" t="s">
        <v>88</v>
      </c>
      <c r="Q46" s="2" t="s">
        <v>297</v>
      </c>
      <c r="W46" s="2" t="str">
        <f>_xlfn.LET(_xlpm.r, _xlfn.XLOOKUP(MappingGuide[[#This Row],[Description]],'[1]Squirrel SQL Export 1'!D:D,'[1]Squirrel SQL Export 1'!AC:AC),IF(_xlpm.r=0,"",_xlpm.r))</f>
        <v>MDY</v>
      </c>
      <c r="AA46" s="2" t="s">
        <v>298</v>
      </c>
      <c r="AB46" s="2" t="s">
        <v>299</v>
      </c>
      <c r="AE46" s="2" t="str" cm="1">
        <f t="array" ref="AE46">_xlfn.LET(_xlpm.r, _xlfn.XLOOKUP(MappingGuide[[#This Row],[ColumnName]] &amp; "|" &amp; MappingGuide[[#This Row],[Description]],'[1]Squirrel SQL Export 1'!C:C &amp; "|" &amp;'[1]Squirrel SQL Export 1'!D:D,'[1]Squirrel SQL Export 1'!Z:Z),IF(_xlpm.r=0,"",_xlpm.r))</f>
        <v>no</v>
      </c>
      <c r="AF46" s="3" t="s">
        <v>1309</v>
      </c>
      <c r="AG46" s="3" t="s">
        <v>48</v>
      </c>
      <c r="AH46" s="2" t="s">
        <v>300</v>
      </c>
      <c r="AI46" s="2" t="str">
        <f>_xlfn.LET(_xlpm.r, _xlfn.XLOOKUP(MappingGuide[[#This Row],[Description]],'[1]Squirrel SQL Export 1'!D:D,'[1]Squirrel SQL Export 1'!Y:Y),IF(_xlpm.r=0,"",_xlpm.r))</f>
        <v>Not used for XML out.</v>
      </c>
      <c r="AK46" s="2" t="str">
        <f>_xlfn.LET(_xlpm.r, _xlfn.XLOOKUP(MappingGuide[[#This Row],[Description]],'[1]Squirrel SQL Export 1'!D:D,'[1]Squirrel SQL Export 1'!AE:AE),IF(_xlpm.r=0,"",_xlpm.r))</f>
        <v/>
      </c>
      <c r="AL46" s="3" t="str">
        <f>_xlfn.LET(_xlpm.r, _xlfn.XLOOKUP(MappingGuide[[#This Row],[DataType]],'[1]Squirrel SQL Export 1'!E:E,'[1]Squirrel SQL Export 1'!AF:AF),IF(_xlpm.r=0,"",_xlpm.r))</f>
        <v>No</v>
      </c>
      <c r="AM46" s="2" t="str">
        <f>_xlfn.LET(_xlpm.r, _xlfn.XLOOKUP(MappingGuide[[#This Row],[Length]],'[1]Squirrel SQL Export 1'!F:F,'[1]Squirrel SQL Export 1'!AG:AG),IF(_xlpm.r=0,"",_xlpm.r))</f>
        <v/>
      </c>
    </row>
    <row r="47" spans="1:39" x14ac:dyDescent="0.2">
      <c r="A47" s="2">
        <v>44</v>
      </c>
      <c r="B47" s="2" t="s">
        <v>51</v>
      </c>
      <c r="C47" s="2" t="s">
        <v>301</v>
      </c>
      <c r="D47" s="2" t="s">
        <v>302</v>
      </c>
      <c r="E47" s="2" t="s">
        <v>43</v>
      </c>
      <c r="F47" s="2" t="s">
        <v>96</v>
      </c>
      <c r="J47" s="2" t="s">
        <v>71</v>
      </c>
      <c r="K47" s="2" t="s">
        <v>146</v>
      </c>
      <c r="O47" s="2" t="s">
        <v>45</v>
      </c>
      <c r="P47" s="2" t="s">
        <v>88</v>
      </c>
      <c r="Q47" s="2" t="s">
        <v>303</v>
      </c>
      <c r="W47" s="2" t="str">
        <f>_xlfn.LET(_xlpm.r, _xlfn.XLOOKUP(MappingGuide[[#This Row],[Description]],'[1]Squirrel SQL Export 1'!D:D,'[1]Squirrel SQL Export 1'!AC:AC),IF(_xlpm.r=0,"",_xlpm.r))</f>
        <v>-</v>
      </c>
      <c r="AA47" s="2" t="s">
        <v>304</v>
      </c>
      <c r="AB47" s="2" t="s">
        <v>305</v>
      </c>
      <c r="AE47" s="2" t="str" cm="1">
        <f t="array" ref="AE47">_xlfn.LET(_xlpm.r, _xlfn.XLOOKUP(MappingGuide[[#This Row],[ColumnName]] &amp; "|" &amp; MappingGuide[[#This Row],[Description]],'[1]Squirrel SQL Export 1'!C:C &amp; "|" &amp;'[1]Squirrel SQL Export 1'!D:D,'[1]Squirrel SQL Export 1'!Z:Z),IF(_xlpm.r=0,"",_xlpm.r))</f>
        <v>no</v>
      </c>
      <c r="AF47" s="3" t="s">
        <v>1309</v>
      </c>
      <c r="AG47" s="3" t="s">
        <v>48</v>
      </c>
      <c r="AH47" s="2" t="s">
        <v>306</v>
      </c>
      <c r="AI47" s="2" t="str">
        <f>_xlfn.LET(_xlpm.r, _xlfn.XLOOKUP(MappingGuide[[#This Row],[Description]],'[1]Squirrel SQL Export 1'!D:D,'[1]Squirrel SQL Export 1'!Y:Y),IF(_xlpm.r=0,"",_xlpm.r))</f>
        <v>Not used for XML out.</v>
      </c>
      <c r="AK47" s="2" t="str">
        <f>_xlfn.LET(_xlpm.r, _xlfn.XLOOKUP(MappingGuide[[#This Row],[Description]],'[1]Squirrel SQL Export 1'!D:D,'[1]Squirrel SQL Export 1'!AE:AE),IF(_xlpm.r=0,"",_xlpm.r))</f>
        <v/>
      </c>
      <c r="AL47" s="3" t="str">
        <f>_xlfn.LET(_xlpm.r, _xlfn.XLOOKUP(MappingGuide[[#This Row],[DataType]],'[1]Squirrel SQL Export 1'!E:E,'[1]Squirrel SQL Export 1'!AF:AF),IF(_xlpm.r=0,"",_xlpm.r))</f>
        <v>No</v>
      </c>
      <c r="AM47" s="2" t="str">
        <f>_xlfn.LET(_xlpm.r, _xlfn.XLOOKUP(MappingGuide[[#This Row],[Length]],'[1]Squirrel SQL Export 1'!F:F,'[1]Squirrel SQL Export 1'!AG:AG),IF(_xlpm.r=0,"",_xlpm.r))</f>
        <v>Type</v>
      </c>
    </row>
    <row r="48" spans="1:39" x14ac:dyDescent="0.2">
      <c r="A48" s="2">
        <v>45</v>
      </c>
      <c r="B48" s="2" t="s">
        <v>51</v>
      </c>
      <c r="C48" s="2" t="s">
        <v>307</v>
      </c>
      <c r="D48" s="2" t="s">
        <v>308</v>
      </c>
      <c r="E48" s="2" t="s">
        <v>43</v>
      </c>
      <c r="F48" s="2" t="s">
        <v>55</v>
      </c>
      <c r="J48" s="2" t="s">
        <v>71</v>
      </c>
      <c r="K48" s="2" t="s">
        <v>87</v>
      </c>
      <c r="O48" s="2" t="s">
        <v>45</v>
      </c>
      <c r="P48" s="2" t="s">
        <v>88</v>
      </c>
      <c r="Q48" s="2" t="s">
        <v>309</v>
      </c>
      <c r="W48" s="2" t="str">
        <f>_xlfn.LET(_xlpm.r, _xlfn.XLOOKUP(MappingGuide[[#This Row],[Description]],'[1]Squirrel SQL Export 1'!D:D,'[1]Squirrel SQL Export 1'!AC:AC),IF(_xlpm.r=0,"",_xlpm.r))</f>
        <v>D01</v>
      </c>
      <c r="AA48" s="2" t="s">
        <v>310</v>
      </c>
      <c r="AC48" s="3" t="s">
        <v>311</v>
      </c>
      <c r="AE48" s="2" t="str" cm="1">
        <f t="array" ref="AE48">_xlfn.LET(_xlpm.r, _xlfn.XLOOKUP(MappingGuide[[#This Row],[ColumnName]] &amp; "|" &amp; MappingGuide[[#This Row],[Description]],'[1]Squirrel SQL Export 1'!C:C &amp; "|" &amp;'[1]Squirrel SQL Export 1'!D:D,'[1]Squirrel SQL Export 1'!Z:Z),IF(_xlpm.r=0,"",_xlpm.r))</f>
        <v>no</v>
      </c>
      <c r="AF48" s="3" t="s">
        <v>1309</v>
      </c>
      <c r="AG48" s="3" t="s">
        <v>48</v>
      </c>
      <c r="AH48" s="2" t="s">
        <v>312</v>
      </c>
      <c r="AI48" s="2" t="str">
        <f>_xlfn.LET(_xlpm.r, _xlfn.XLOOKUP(MappingGuide[[#This Row],[Description]],'[1]Squirrel SQL Export 1'!D:D,'[1]Squirrel SQL Export 1'!Y:Y),IF(_xlpm.r=0,"",_xlpm.r))</f>
        <v>Order type specified during CO creation.
Default value can be specified on template (or it can be blank)</v>
      </c>
      <c r="AK48" s="2" t="str">
        <f>_xlfn.LET(_xlpm.r, _xlfn.XLOOKUP(MappingGuide[[#This Row],[Description]],'[1]Squirrel SQL Export 1'!D:D,'[1]Squirrel SQL Export 1'!AE:AE),IF(_xlpm.r=0,"",_xlpm.r))</f>
        <v/>
      </c>
      <c r="AL48" s="3" t="str">
        <f>_xlfn.LET(_xlpm.r, _xlfn.XLOOKUP(MappingGuide[[#This Row],[DataType]],'[1]Squirrel SQL Export 1'!E:E,'[1]Squirrel SQL Export 1'!AF:AF),IF(_xlpm.r=0,"",_xlpm.r))</f>
        <v>No</v>
      </c>
      <c r="AM48" s="2" t="str">
        <f>_xlfn.LET(_xlpm.r, _xlfn.XLOOKUP(MappingGuide[[#This Row],[Length]],'[1]Squirrel SQL Export 1'!F:F,'[1]Squirrel SQL Export 1'!AG:AG),IF(_xlpm.r=0,"",_xlpm.r))</f>
        <v/>
      </c>
    </row>
    <row r="49" spans="1:39" x14ac:dyDescent="0.2">
      <c r="A49" s="2">
        <v>46</v>
      </c>
      <c r="B49" s="2" t="s">
        <v>51</v>
      </c>
      <c r="C49" s="2" t="s">
        <v>313</v>
      </c>
      <c r="D49" s="2" t="s">
        <v>314</v>
      </c>
      <c r="E49" s="2" t="s">
        <v>43</v>
      </c>
      <c r="F49" s="2" t="s">
        <v>55</v>
      </c>
      <c r="J49" s="2" t="s">
        <v>71</v>
      </c>
      <c r="K49" s="2" t="s">
        <v>140</v>
      </c>
      <c r="O49" s="2" t="s">
        <v>45</v>
      </c>
      <c r="P49" s="2" t="s">
        <v>88</v>
      </c>
      <c r="Q49" s="2" t="s">
        <v>315</v>
      </c>
      <c r="W49" s="2" t="str">
        <f>_xlfn.LET(_xlpm.r, _xlfn.XLOOKUP(MappingGuide[[#This Row],[Description]],'[1]Squirrel SQL Export 1'!D:D,'[1]Squirrel SQL Export 1'!AC:AC),IF(_xlpm.r=0,"",_xlpm.r))</f>
        <v>1</v>
      </c>
      <c r="AA49" s="2" t="s">
        <v>316</v>
      </c>
      <c r="AC49" s="3" t="s">
        <v>317</v>
      </c>
      <c r="AE49" s="2" t="str" cm="1">
        <f t="array" ref="AE49">_xlfn.LET(_xlpm.r, _xlfn.XLOOKUP(MappingGuide[[#This Row],[ColumnName]] &amp; "|" &amp; MappingGuide[[#This Row],[Description]],'[1]Squirrel SQL Export 1'!C:C &amp; "|" &amp;'[1]Squirrel SQL Export 1'!D:D,'[1]Squirrel SQL Export 1'!Z:Z),IF(_xlpm.r=0,"",_xlpm.r))</f>
        <v>no</v>
      </c>
      <c r="AF49" s="3" t="s">
        <v>1309</v>
      </c>
      <c r="AG49" s="3" t="s">
        <v>48</v>
      </c>
      <c r="AH49" s="2" t="s">
        <v>96</v>
      </c>
      <c r="AI49" s="2" t="str">
        <f>_xlfn.LET(_xlpm.r, _xlfn.XLOOKUP(MappingGuide[[#This Row],[Description]],'[1]Squirrel SQL Export 1'!D:D,'[1]Squirrel SQL Export 1'!Y:Y),IF(_xlpm.r=0,"",_xlpm.r))</f>
        <v>Warehouse specified during CO creation. By def from source system or via Supply model in M3.
Default value can be specified on template (or it can be blank)</v>
      </c>
      <c r="AK49" s="2" t="str">
        <f>_xlfn.LET(_xlpm.r, _xlfn.XLOOKUP(MappingGuide[[#This Row],[Description]],'[1]Squirrel SQL Export 1'!D:D,'[1]Squirrel SQL Export 1'!AE:AE),IF(_xlpm.r=0,"",_xlpm.r))</f>
        <v/>
      </c>
      <c r="AL49" s="3" t="str">
        <f>_xlfn.LET(_xlpm.r, _xlfn.XLOOKUP(MappingGuide[[#This Row],[DataType]],'[1]Squirrel SQL Export 1'!E:E,'[1]Squirrel SQL Export 1'!AF:AF),IF(_xlpm.r=0,"",_xlpm.r))</f>
        <v>No</v>
      </c>
      <c r="AM49" s="2" t="str">
        <f>_xlfn.LET(_xlpm.r, _xlfn.XLOOKUP(MappingGuide[[#This Row],[Length]],'[1]Squirrel SQL Export 1'!F:F,'[1]Squirrel SQL Export 1'!AG:AG),IF(_xlpm.r=0,"",_xlpm.r))</f>
        <v/>
      </c>
    </row>
    <row r="50" spans="1:39" x14ac:dyDescent="0.2">
      <c r="A50" s="2">
        <v>47</v>
      </c>
      <c r="B50" s="2" t="s">
        <v>51</v>
      </c>
      <c r="C50" s="2" t="s">
        <v>318</v>
      </c>
      <c r="D50" s="2" t="s">
        <v>319</v>
      </c>
      <c r="E50" s="2" t="s">
        <v>54</v>
      </c>
      <c r="F50" s="2" t="s">
        <v>96</v>
      </c>
      <c r="J50" s="2" t="s">
        <v>71</v>
      </c>
      <c r="K50" s="2" t="s">
        <v>146</v>
      </c>
      <c r="O50" s="2" t="s">
        <v>45</v>
      </c>
      <c r="P50" s="2" t="s">
        <v>88</v>
      </c>
      <c r="Q50" s="2" t="s">
        <v>320</v>
      </c>
      <c r="W50" s="2" t="str">
        <f>_xlfn.LET(_xlpm.r, _xlfn.XLOOKUP(MappingGuide[[#This Row],[Description]],'[1]Squirrel SQL Export 1'!D:D,'[1]Squirrel SQL Export 1'!AC:AC),IF(_xlpm.r=0,"",_xlpm.r))</f>
        <v>1</v>
      </c>
      <c r="AA50" s="2" t="s">
        <v>321</v>
      </c>
      <c r="AB50" s="2" t="s">
        <v>322</v>
      </c>
      <c r="AE50" s="2" t="str" cm="1">
        <f t="array" ref="AE50">_xlfn.LET(_xlpm.r, _xlfn.XLOOKUP(MappingGuide[[#This Row],[ColumnName]] &amp; "|" &amp; MappingGuide[[#This Row],[Description]],'[1]Squirrel SQL Export 1'!C:C &amp; "|" &amp;'[1]Squirrel SQL Export 1'!D:D,'[1]Squirrel SQL Export 1'!Z:Z),IF(_xlpm.r=0,"",_xlpm.r))</f>
        <v>no</v>
      </c>
      <c r="AF50" s="3" t="s">
        <v>1309</v>
      </c>
      <c r="AG50" s="3" t="s">
        <v>48</v>
      </c>
      <c r="AH50" s="2" t="s">
        <v>96</v>
      </c>
      <c r="AI50" s="2" t="str">
        <f>_xlfn.LET(_xlpm.r, _xlfn.XLOOKUP(MappingGuide[[#This Row],[Description]],'[1]Squirrel SQL Export 1'!D:D,'[1]Squirrel SQL Export 1'!Y:Y),IF(_xlpm.r=0,"",_xlpm.r))</f>
        <v>This is needed in M3, but we will set value using template</v>
      </c>
      <c r="AK50" s="2" t="str">
        <f>_xlfn.LET(_xlpm.r, _xlfn.XLOOKUP(MappingGuide[[#This Row],[Description]],'[1]Squirrel SQL Export 1'!D:D,'[1]Squirrel SQL Export 1'!AE:AE),IF(_xlpm.r=0,"",_xlpm.r))</f>
        <v/>
      </c>
      <c r="AL50" s="3" t="str">
        <f>_xlfn.LET(_xlpm.r, _xlfn.XLOOKUP(MappingGuide[[#This Row],[DataType]],'[1]Squirrel SQL Export 1'!E:E,'[1]Squirrel SQL Export 1'!AF:AF),IF(_xlpm.r=0,"",_xlpm.r))</f>
        <v/>
      </c>
      <c r="AM50" s="2" t="str">
        <f>_xlfn.LET(_xlpm.r, _xlfn.XLOOKUP(MappingGuide[[#This Row],[Length]],'[1]Squirrel SQL Export 1'!F:F,'[1]Squirrel SQL Export 1'!AG:AG),IF(_xlpm.r=0,"",_xlpm.r))</f>
        <v>Type</v>
      </c>
    </row>
    <row r="51" spans="1:39" x14ac:dyDescent="0.2">
      <c r="A51" s="2">
        <v>48</v>
      </c>
      <c r="B51" s="2" t="s">
        <v>51</v>
      </c>
      <c r="C51" s="2" t="s">
        <v>323</v>
      </c>
      <c r="D51" s="2" t="s">
        <v>324</v>
      </c>
      <c r="E51" s="2" t="s">
        <v>43</v>
      </c>
      <c r="F51" s="2" t="s">
        <v>55</v>
      </c>
      <c r="J51" s="2" t="s">
        <v>71</v>
      </c>
      <c r="K51" s="2" t="s">
        <v>87</v>
      </c>
      <c r="L51" s="2" t="s">
        <v>48</v>
      </c>
      <c r="O51" s="2" t="s">
        <v>45</v>
      </c>
      <c r="P51" s="2" t="s">
        <v>88</v>
      </c>
      <c r="Q51" s="2" t="s">
        <v>325</v>
      </c>
      <c r="T51" s="2" t="s">
        <v>326</v>
      </c>
      <c r="W51" s="2" t="str">
        <f>_xlfn.LET(_xlpm.r, _xlfn.XLOOKUP(MappingGuide[[#This Row],[Description]],'[1]Squirrel SQL Export 1'!D:D,'[1]Squirrel SQL Export 1'!AC:AC),IF(_xlpm.r=0,"",_xlpm.r))</f>
        <v>ZZZ</v>
      </c>
      <c r="AA51" s="2" t="s">
        <v>327</v>
      </c>
      <c r="AC51" s="3" t="s">
        <v>328</v>
      </c>
      <c r="AE51" s="2" t="str" cm="1">
        <f t="array" ref="AE51">_xlfn.LET(_xlpm.r, _xlfn.XLOOKUP(MappingGuide[[#This Row],[ColumnName]] &amp; "|" &amp; MappingGuide[[#This Row],[Description]],'[1]Squirrel SQL Export 1'!C:C &amp; "|" &amp;'[1]Squirrel SQL Export 1'!D:D,'[1]Squirrel SQL Export 1'!Z:Z),IF(_xlpm.r=0,"",_xlpm.r))</f>
        <v>no</v>
      </c>
      <c r="AF51" s="3" t="s">
        <v>1309</v>
      </c>
      <c r="AG51" s="3" t="s">
        <v>48</v>
      </c>
      <c r="AH51" s="2" t="s">
        <v>93</v>
      </c>
      <c r="AI51" s="2" t="str">
        <f>_xlfn.LET(_xlpm.r, _xlfn.XLOOKUP(MappingGuide[[#This Row],[Description]],'[1]Squirrel SQL Export 1'!D:D,'[1]Squirrel SQL Export 1'!Y:Y),IF(_xlpm.r=0,"",_xlpm.r))</f>
        <v>This is self explanatory.
As discussed with Dee/Angie on 01/07, this is not needed</v>
      </c>
      <c r="AK51" s="2" t="str">
        <f>_xlfn.LET(_xlpm.r, _xlfn.XLOOKUP(MappingGuide[[#This Row],[Description]],'[1]Squirrel SQL Export 1'!D:D,'[1]Squirrel SQL Export 1'!AE:AE),IF(_xlpm.r=0,"",_xlpm.r))</f>
        <v>This field may be part of MDR Data will need to confirm with Herff</v>
      </c>
      <c r="AL51" s="3" t="str">
        <f>_xlfn.LET(_xlpm.r, _xlfn.XLOOKUP(MappingGuide[[#This Row],[DataType]],'[1]Squirrel SQL Export 1'!E:E,'[1]Squirrel SQL Export 1'!AF:AF),IF(_xlpm.r=0,"",_xlpm.r))</f>
        <v>No</v>
      </c>
      <c r="AM51" s="2" t="str">
        <f>_xlfn.LET(_xlpm.r, _xlfn.XLOOKUP(MappingGuide[[#This Row],[Length]],'[1]Squirrel SQL Export 1'!F:F,'[1]Squirrel SQL Export 1'!AG:AG),IF(_xlpm.r=0,"",_xlpm.r))</f>
        <v/>
      </c>
    </row>
    <row r="52" spans="1:39" x14ac:dyDescent="0.2">
      <c r="A52" s="2">
        <v>49</v>
      </c>
      <c r="B52" s="2" t="s">
        <v>51</v>
      </c>
      <c r="C52" s="2" t="s">
        <v>329</v>
      </c>
      <c r="D52" s="2" t="s">
        <v>330</v>
      </c>
      <c r="E52" s="2" t="s">
        <v>43</v>
      </c>
      <c r="F52" s="2" t="s">
        <v>55</v>
      </c>
      <c r="J52" s="2" t="s">
        <v>71</v>
      </c>
      <c r="K52" s="2" t="s">
        <v>72</v>
      </c>
      <c r="L52" s="2" t="s">
        <v>48</v>
      </c>
      <c r="O52" s="2" t="s">
        <v>45</v>
      </c>
      <c r="P52" s="2" t="s">
        <v>46</v>
      </c>
      <c r="Q52" s="2" t="s">
        <v>331</v>
      </c>
      <c r="T52" s="2" t="s">
        <v>332</v>
      </c>
      <c r="V52" s="2" t="s">
        <v>333</v>
      </c>
      <c r="W52" s="2" t="str">
        <f>_xlfn.LET(_xlpm.r, _xlfn.XLOOKUP(MappingGuide[[#This Row],[Description]],'[1]Squirrel SQL Export 1'!D:D,'[1]Squirrel SQL Export 1'!AC:AC),IF(_xlpm.r=0,"",_xlpm.r))</f>
        <v>US</v>
      </c>
      <c r="AA52" s="2" t="s">
        <v>334</v>
      </c>
      <c r="AC52" s="3" t="s">
        <v>335</v>
      </c>
      <c r="AE52" s="2" t="str" cm="1">
        <f t="array" ref="AE52">_xlfn.LET(_xlpm.r, _xlfn.XLOOKUP(MappingGuide[[#This Row],[ColumnName]] &amp; "|" &amp; MappingGuide[[#This Row],[Description]],'[1]Squirrel SQL Export 1'!C:C &amp; "|" &amp;'[1]Squirrel SQL Export 1'!D:D,'[1]Squirrel SQL Export 1'!Z:Z),IF(_xlpm.r=0,"",_xlpm.r))</f>
        <v>yes</v>
      </c>
      <c r="AF52" s="3" t="s">
        <v>1309</v>
      </c>
      <c r="AG52" s="3" t="s">
        <v>48</v>
      </c>
      <c r="AH52" s="2" t="s">
        <v>336</v>
      </c>
      <c r="AI52" s="2" t="str">
        <f>_xlfn.LET(_xlpm.r, _xlfn.XLOOKUP(MappingGuide[[#This Row],[Description]],'[1]Squirrel SQL Export 1'!D:D,'[1]Squirrel SQL Export 1'!Y:Y),IF(_xlpm.r=0,"",_xlpm.r))</f>
        <v>Two digit code for country.</v>
      </c>
      <c r="AK52" s="2" t="str">
        <f>_xlfn.LET(_xlpm.r, _xlfn.XLOOKUP(MappingGuide[[#This Row],[Description]],'[1]Squirrel SQL Export 1'!D:D,'[1]Squirrel SQL Export 1'!AE:AE),IF(_xlpm.r=0,"",_xlpm.r))</f>
        <v>Not a field but we currently assumed this can be defaulted in the Template.</v>
      </c>
      <c r="AL52" s="3" t="str">
        <f>_xlfn.LET(_xlpm.r, _xlfn.XLOOKUP(MappingGuide[[#This Row],[DataType]],'[1]Squirrel SQL Export 1'!E:E,'[1]Squirrel SQL Export 1'!AF:AF),IF(_xlpm.r=0,"",_xlpm.r))</f>
        <v>No</v>
      </c>
      <c r="AM52" s="2" t="str">
        <f>_xlfn.LET(_xlpm.r, _xlfn.XLOOKUP(MappingGuide[[#This Row],[Length]],'[1]Squirrel SQL Export 1'!F:F,'[1]Squirrel SQL Export 1'!AG:AG),IF(_xlpm.r=0,"",_xlpm.r))</f>
        <v/>
      </c>
    </row>
    <row r="53" spans="1:39" x14ac:dyDescent="0.2">
      <c r="A53" s="2">
        <v>50</v>
      </c>
      <c r="B53" s="2" t="s">
        <v>51</v>
      </c>
      <c r="C53" s="2" t="s">
        <v>337</v>
      </c>
      <c r="D53" s="2" t="s">
        <v>338</v>
      </c>
      <c r="E53" s="2" t="s">
        <v>43</v>
      </c>
      <c r="F53" s="2" t="s">
        <v>44</v>
      </c>
      <c r="W53" s="2" t="str">
        <f>_xlfn.LET(_xlpm.r, _xlfn.XLOOKUP(MappingGuide[[#This Row],[Description]],'[1]Squirrel SQL Export 1'!D:D,'[1]Squirrel SQL Export 1'!AC:AC),IF(_xlpm.r=0,"",_xlpm.r))</f>
        <v/>
      </c>
      <c r="AA53" s="2" t="s">
        <v>339</v>
      </c>
      <c r="AC53" s="2"/>
      <c r="AE53" s="2" t="str" cm="1">
        <f t="array" ref="AE53">_xlfn.LET(_xlpm.r, _xlfn.XLOOKUP(MappingGuide[[#This Row],[ColumnName]] &amp; "|" &amp; MappingGuide[[#This Row],[Description]],'[1]Squirrel SQL Export 1'!C:C &amp; "|" &amp;'[1]Squirrel SQL Export 1'!D:D,'[1]Squirrel SQL Export 1'!Z:Z),IF(_xlpm.r=0,"",_xlpm.r))</f>
        <v>no</v>
      </c>
      <c r="AF53" s="3" t="s">
        <v>1309</v>
      </c>
      <c r="AG53" s="3" t="s">
        <v>101</v>
      </c>
      <c r="AI53" s="2" t="str">
        <f>_xlfn.LET(_xlpm.r, _xlfn.XLOOKUP(MappingGuide[[#This Row],[Description]],'[1]Squirrel SQL Export 1'!D:D,'[1]Squirrel SQL Export 1'!Y:Y),IF(_xlpm.r=0,"",_xlpm.r))</f>
        <v>Not used</v>
      </c>
      <c r="AK53" s="2" t="str">
        <f>_xlfn.LET(_xlpm.r, _xlfn.XLOOKUP(MappingGuide[[#This Row],[Description]],'[1]Squirrel SQL Export 1'!D:D,'[1]Squirrel SQL Export 1'!AE:AE),IF(_xlpm.r=0,"",_xlpm.r))</f>
        <v/>
      </c>
      <c r="AL53" s="3" t="str">
        <f>_xlfn.LET(_xlpm.r, _xlfn.XLOOKUP(MappingGuide[[#This Row],[DataType]],'[1]Squirrel SQL Export 1'!E:E,'[1]Squirrel SQL Export 1'!AF:AF),IF(_xlpm.r=0,"",_xlpm.r))</f>
        <v>No</v>
      </c>
      <c r="AM53" s="2" t="str">
        <f>_xlfn.LET(_xlpm.r, _xlfn.XLOOKUP(MappingGuide[[#This Row],[Length]],'[1]Squirrel SQL Export 1'!F:F,'[1]Squirrel SQL Export 1'!AG:AG),IF(_xlpm.r=0,"",_xlpm.r))</f>
        <v/>
      </c>
    </row>
    <row r="54" spans="1:39" x14ac:dyDescent="0.2">
      <c r="A54" s="2">
        <v>51</v>
      </c>
      <c r="B54" s="2" t="s">
        <v>51</v>
      </c>
      <c r="C54" s="2" t="s">
        <v>340</v>
      </c>
      <c r="D54" s="2" t="s">
        <v>341</v>
      </c>
      <c r="E54" s="2" t="s">
        <v>43</v>
      </c>
      <c r="F54" s="2" t="s">
        <v>44</v>
      </c>
      <c r="W54" s="2" t="str">
        <f>_xlfn.LET(_xlpm.r, _xlfn.XLOOKUP(MappingGuide[[#This Row],[Description]],'[1]Squirrel SQL Export 1'!D:D,'[1]Squirrel SQL Export 1'!AC:AC),IF(_xlpm.r=0,"",_xlpm.r))</f>
        <v/>
      </c>
      <c r="AA54" s="2" t="s">
        <v>342</v>
      </c>
      <c r="AC54" s="2"/>
      <c r="AE54" s="2" t="str" cm="1">
        <f t="array" ref="AE54">_xlfn.LET(_xlpm.r, _xlfn.XLOOKUP(MappingGuide[[#This Row],[ColumnName]] &amp; "|" &amp; MappingGuide[[#This Row],[Description]],'[1]Squirrel SQL Export 1'!C:C &amp; "|" &amp;'[1]Squirrel SQL Export 1'!D:D,'[1]Squirrel SQL Export 1'!Z:Z),IF(_xlpm.r=0,"",_xlpm.r))</f>
        <v>no</v>
      </c>
      <c r="AF54" s="3" t="s">
        <v>1309</v>
      </c>
      <c r="AG54" s="3" t="s">
        <v>101</v>
      </c>
      <c r="AI54" s="2" t="str">
        <f>_xlfn.LET(_xlpm.r, _xlfn.XLOOKUP(MappingGuide[[#This Row],[Description]],'[1]Squirrel SQL Export 1'!D:D,'[1]Squirrel SQL Export 1'!Y:Y),IF(_xlpm.r=0,"",_xlpm.r))</f>
        <v>Not used</v>
      </c>
      <c r="AK54" s="2" t="str">
        <f>_xlfn.LET(_xlpm.r, _xlfn.XLOOKUP(MappingGuide[[#This Row],[Description]],'[1]Squirrel SQL Export 1'!D:D,'[1]Squirrel SQL Export 1'!AE:AE),IF(_xlpm.r=0,"",_xlpm.r))</f>
        <v/>
      </c>
      <c r="AL54" s="3" t="str">
        <f>_xlfn.LET(_xlpm.r, _xlfn.XLOOKUP(MappingGuide[[#This Row],[DataType]],'[1]Squirrel SQL Export 1'!E:E,'[1]Squirrel SQL Export 1'!AF:AF),IF(_xlpm.r=0,"",_xlpm.r))</f>
        <v>No</v>
      </c>
      <c r="AM54" s="2" t="str">
        <f>_xlfn.LET(_xlpm.r, _xlfn.XLOOKUP(MappingGuide[[#This Row],[Length]],'[1]Squirrel SQL Export 1'!F:F,'[1]Squirrel SQL Export 1'!AG:AG),IF(_xlpm.r=0,"",_xlpm.r))</f>
        <v/>
      </c>
    </row>
    <row r="55" spans="1:39" x14ac:dyDescent="0.2">
      <c r="A55" s="2">
        <v>52</v>
      </c>
      <c r="B55" s="2" t="s">
        <v>51</v>
      </c>
      <c r="C55" s="2" t="s">
        <v>343</v>
      </c>
      <c r="D55" s="2" t="s">
        <v>344</v>
      </c>
      <c r="E55" s="2" t="s">
        <v>43</v>
      </c>
      <c r="F55" s="2" t="s">
        <v>44</v>
      </c>
      <c r="W55" s="2" t="str">
        <f>_xlfn.LET(_xlpm.r, _xlfn.XLOOKUP(MappingGuide[[#This Row],[Description]],'[1]Squirrel SQL Export 1'!D:D,'[1]Squirrel SQL Export 1'!AC:AC),IF(_xlpm.r=0,"",_xlpm.r))</f>
        <v/>
      </c>
      <c r="AA55" s="2" t="s">
        <v>342</v>
      </c>
      <c r="AC55" s="2"/>
      <c r="AE55" s="2" t="str" cm="1">
        <f t="array" ref="AE55">_xlfn.LET(_xlpm.r, _xlfn.XLOOKUP(MappingGuide[[#This Row],[ColumnName]] &amp; "|" &amp; MappingGuide[[#This Row],[Description]],'[1]Squirrel SQL Export 1'!C:C &amp; "|" &amp;'[1]Squirrel SQL Export 1'!D:D,'[1]Squirrel SQL Export 1'!Z:Z),IF(_xlpm.r=0,"",_xlpm.r))</f>
        <v>no</v>
      </c>
      <c r="AF55" s="3" t="s">
        <v>1309</v>
      </c>
      <c r="AG55" s="3" t="s">
        <v>101</v>
      </c>
      <c r="AI55" s="2" t="str">
        <f>_xlfn.LET(_xlpm.r, _xlfn.XLOOKUP(MappingGuide[[#This Row],[Description]],'[1]Squirrel SQL Export 1'!D:D,'[1]Squirrel SQL Export 1'!Y:Y),IF(_xlpm.r=0,"",_xlpm.r))</f>
        <v>Not used</v>
      </c>
      <c r="AK55" s="2" t="str">
        <f>_xlfn.LET(_xlpm.r, _xlfn.XLOOKUP(MappingGuide[[#This Row],[Description]],'[1]Squirrel SQL Export 1'!D:D,'[1]Squirrel SQL Export 1'!AE:AE),IF(_xlpm.r=0,"",_xlpm.r))</f>
        <v/>
      </c>
      <c r="AL55" s="3" t="str">
        <f>_xlfn.LET(_xlpm.r, _xlfn.XLOOKUP(MappingGuide[[#This Row],[DataType]],'[1]Squirrel SQL Export 1'!E:E,'[1]Squirrel SQL Export 1'!AF:AF),IF(_xlpm.r=0,"",_xlpm.r))</f>
        <v>No</v>
      </c>
      <c r="AM55" s="2" t="str">
        <f>_xlfn.LET(_xlpm.r, _xlfn.XLOOKUP(MappingGuide[[#This Row],[Length]],'[1]Squirrel SQL Export 1'!F:F,'[1]Squirrel SQL Export 1'!AG:AG),IF(_xlpm.r=0,"",_xlpm.r))</f>
        <v/>
      </c>
    </row>
    <row r="56" spans="1:39" x14ac:dyDescent="0.2">
      <c r="A56" s="2">
        <v>53</v>
      </c>
      <c r="B56" s="2" t="s">
        <v>51</v>
      </c>
      <c r="C56" s="2" t="s">
        <v>345</v>
      </c>
      <c r="D56" s="2" t="s">
        <v>346</v>
      </c>
      <c r="E56" s="2" t="s">
        <v>43</v>
      </c>
      <c r="F56" s="2" t="s">
        <v>44</v>
      </c>
      <c r="W56" s="2" t="str">
        <f>_xlfn.LET(_xlpm.r, _xlfn.XLOOKUP(MappingGuide[[#This Row],[Description]],'[1]Squirrel SQL Export 1'!D:D,'[1]Squirrel SQL Export 1'!AC:AC),IF(_xlpm.r=0,"",_xlpm.r))</f>
        <v/>
      </c>
      <c r="AA56" s="2" t="s">
        <v>342</v>
      </c>
      <c r="AC56" s="2"/>
      <c r="AE56" s="2" t="str" cm="1">
        <f t="array" ref="AE56">_xlfn.LET(_xlpm.r, _xlfn.XLOOKUP(MappingGuide[[#This Row],[ColumnName]] &amp; "|" &amp; MappingGuide[[#This Row],[Description]],'[1]Squirrel SQL Export 1'!C:C &amp; "|" &amp;'[1]Squirrel SQL Export 1'!D:D,'[1]Squirrel SQL Export 1'!Z:Z),IF(_xlpm.r=0,"",_xlpm.r))</f>
        <v>no</v>
      </c>
      <c r="AF56" s="3" t="s">
        <v>1309</v>
      </c>
      <c r="AG56" s="3" t="s">
        <v>101</v>
      </c>
      <c r="AI56" s="2" t="str">
        <f>_xlfn.LET(_xlpm.r, _xlfn.XLOOKUP(MappingGuide[[#This Row],[Description]],'[1]Squirrel SQL Export 1'!D:D,'[1]Squirrel SQL Export 1'!Y:Y),IF(_xlpm.r=0,"",_xlpm.r))</f>
        <v>Not used</v>
      </c>
      <c r="AK56" s="2" t="str">
        <f>_xlfn.LET(_xlpm.r, _xlfn.XLOOKUP(MappingGuide[[#This Row],[Description]],'[1]Squirrel SQL Export 1'!D:D,'[1]Squirrel SQL Export 1'!AE:AE),IF(_xlpm.r=0,"",_xlpm.r))</f>
        <v/>
      </c>
      <c r="AL56" s="3" t="str">
        <f>_xlfn.LET(_xlpm.r, _xlfn.XLOOKUP(MappingGuide[[#This Row],[DataType]],'[1]Squirrel SQL Export 1'!E:E,'[1]Squirrel SQL Export 1'!AF:AF),IF(_xlpm.r=0,"",_xlpm.r))</f>
        <v>No</v>
      </c>
      <c r="AM56" s="2" t="str">
        <f>_xlfn.LET(_xlpm.r, _xlfn.XLOOKUP(MappingGuide[[#This Row],[Length]],'[1]Squirrel SQL Export 1'!F:F,'[1]Squirrel SQL Export 1'!AG:AG),IF(_xlpm.r=0,"",_xlpm.r))</f>
        <v/>
      </c>
    </row>
    <row r="57" spans="1:39" x14ac:dyDescent="0.2">
      <c r="A57" s="2">
        <v>54</v>
      </c>
      <c r="B57" s="2" t="s">
        <v>51</v>
      </c>
      <c r="C57" s="2" t="s">
        <v>347</v>
      </c>
      <c r="D57" s="2" t="s">
        <v>348</v>
      </c>
      <c r="E57" s="2" t="s">
        <v>43</v>
      </c>
      <c r="F57" s="2" t="s">
        <v>44</v>
      </c>
      <c r="W57" s="2" t="str">
        <f>_xlfn.LET(_xlpm.r, _xlfn.XLOOKUP(MappingGuide[[#This Row],[Description]],'[1]Squirrel SQL Export 1'!D:D,'[1]Squirrel SQL Export 1'!AC:AC),IF(_xlpm.r=0,"",_xlpm.r))</f>
        <v/>
      </c>
      <c r="AA57" s="2" t="s">
        <v>342</v>
      </c>
      <c r="AC57" s="2"/>
      <c r="AE57" s="2" t="str" cm="1">
        <f t="array" ref="AE57">_xlfn.LET(_xlpm.r, _xlfn.XLOOKUP(MappingGuide[[#This Row],[ColumnName]] &amp; "|" &amp; MappingGuide[[#This Row],[Description]],'[1]Squirrel SQL Export 1'!C:C &amp; "|" &amp;'[1]Squirrel SQL Export 1'!D:D,'[1]Squirrel SQL Export 1'!Z:Z),IF(_xlpm.r=0,"",_xlpm.r))</f>
        <v>no</v>
      </c>
      <c r="AF57" s="3" t="s">
        <v>1309</v>
      </c>
      <c r="AG57" s="3" t="s">
        <v>101</v>
      </c>
      <c r="AI57" s="2" t="str">
        <f>_xlfn.LET(_xlpm.r, _xlfn.XLOOKUP(MappingGuide[[#This Row],[Description]],'[1]Squirrel SQL Export 1'!D:D,'[1]Squirrel SQL Export 1'!Y:Y),IF(_xlpm.r=0,"",_xlpm.r))</f>
        <v>Not used</v>
      </c>
      <c r="AK57" s="2" t="str">
        <f>_xlfn.LET(_xlpm.r, _xlfn.XLOOKUP(MappingGuide[[#This Row],[Description]],'[1]Squirrel SQL Export 1'!D:D,'[1]Squirrel SQL Export 1'!AE:AE),IF(_xlpm.r=0,"",_xlpm.r))</f>
        <v/>
      </c>
      <c r="AL57" s="3" t="str">
        <f>_xlfn.LET(_xlpm.r, _xlfn.XLOOKUP(MappingGuide[[#This Row],[DataType]],'[1]Squirrel SQL Export 1'!E:E,'[1]Squirrel SQL Export 1'!AF:AF),IF(_xlpm.r=0,"",_xlpm.r))</f>
        <v>No</v>
      </c>
      <c r="AM57" s="2" t="str">
        <f>_xlfn.LET(_xlpm.r, _xlfn.XLOOKUP(MappingGuide[[#This Row],[Length]],'[1]Squirrel SQL Export 1'!F:F,'[1]Squirrel SQL Export 1'!AG:AG),IF(_xlpm.r=0,"",_xlpm.r))</f>
        <v/>
      </c>
    </row>
    <row r="58" spans="1:39" x14ac:dyDescent="0.2">
      <c r="A58" s="2">
        <v>55</v>
      </c>
      <c r="B58" s="2" t="s">
        <v>51</v>
      </c>
      <c r="C58" s="2" t="s">
        <v>349</v>
      </c>
      <c r="D58" s="2" t="s">
        <v>350</v>
      </c>
      <c r="E58" s="2" t="s">
        <v>43</v>
      </c>
      <c r="F58" s="2" t="s">
        <v>44</v>
      </c>
      <c r="W58" s="2" t="str">
        <f>_xlfn.LET(_xlpm.r, _xlfn.XLOOKUP(MappingGuide[[#This Row],[Description]],'[1]Squirrel SQL Export 1'!D:D,'[1]Squirrel SQL Export 1'!AC:AC),IF(_xlpm.r=0,"",_xlpm.r))</f>
        <v/>
      </c>
      <c r="AA58" s="2" t="s">
        <v>342</v>
      </c>
      <c r="AC58" s="2"/>
      <c r="AE58" s="2" t="str" cm="1">
        <f t="array" ref="AE58">_xlfn.LET(_xlpm.r, _xlfn.XLOOKUP(MappingGuide[[#This Row],[ColumnName]] &amp; "|" &amp; MappingGuide[[#This Row],[Description]],'[1]Squirrel SQL Export 1'!C:C &amp; "|" &amp;'[1]Squirrel SQL Export 1'!D:D,'[1]Squirrel SQL Export 1'!Z:Z),IF(_xlpm.r=0,"",_xlpm.r))</f>
        <v>no</v>
      </c>
      <c r="AF58" s="3" t="s">
        <v>1309</v>
      </c>
      <c r="AG58" s="3" t="s">
        <v>101</v>
      </c>
      <c r="AI58" s="2" t="str">
        <f>_xlfn.LET(_xlpm.r, _xlfn.XLOOKUP(MappingGuide[[#This Row],[Description]],'[1]Squirrel SQL Export 1'!D:D,'[1]Squirrel SQL Export 1'!Y:Y),IF(_xlpm.r=0,"",_xlpm.r))</f>
        <v>Not used</v>
      </c>
      <c r="AK58" s="2" t="str">
        <f>_xlfn.LET(_xlpm.r, _xlfn.XLOOKUP(MappingGuide[[#This Row],[Description]],'[1]Squirrel SQL Export 1'!D:D,'[1]Squirrel SQL Export 1'!AE:AE),IF(_xlpm.r=0,"",_xlpm.r))</f>
        <v/>
      </c>
      <c r="AL58" s="3" t="str">
        <f>_xlfn.LET(_xlpm.r, _xlfn.XLOOKUP(MappingGuide[[#This Row],[DataType]],'[1]Squirrel SQL Export 1'!E:E,'[1]Squirrel SQL Export 1'!AF:AF),IF(_xlpm.r=0,"",_xlpm.r))</f>
        <v>No</v>
      </c>
      <c r="AM58" s="2" t="str">
        <f>_xlfn.LET(_xlpm.r, _xlfn.XLOOKUP(MappingGuide[[#This Row],[Length]],'[1]Squirrel SQL Export 1'!F:F,'[1]Squirrel SQL Export 1'!AG:AG),IF(_xlpm.r=0,"",_xlpm.r))</f>
        <v/>
      </c>
    </row>
    <row r="59" spans="1:39" x14ac:dyDescent="0.2">
      <c r="A59" s="2">
        <v>56</v>
      </c>
      <c r="B59" s="2" t="s">
        <v>51</v>
      </c>
      <c r="C59" s="2" t="s">
        <v>351</v>
      </c>
      <c r="D59" s="2" t="s">
        <v>352</v>
      </c>
      <c r="E59" s="2" t="s">
        <v>43</v>
      </c>
      <c r="F59" s="2" t="s">
        <v>44</v>
      </c>
      <c r="W59" s="2" t="str">
        <f>_xlfn.LET(_xlpm.r, _xlfn.XLOOKUP(MappingGuide[[#This Row],[Description]],'[1]Squirrel SQL Export 1'!D:D,'[1]Squirrel SQL Export 1'!AC:AC),IF(_xlpm.r=0,"",_xlpm.r))</f>
        <v/>
      </c>
      <c r="AA59" s="2" t="s">
        <v>342</v>
      </c>
      <c r="AC59" s="2"/>
      <c r="AE59" s="2" t="str" cm="1">
        <f t="array" ref="AE59">_xlfn.LET(_xlpm.r, _xlfn.XLOOKUP(MappingGuide[[#This Row],[ColumnName]] &amp; "|" &amp; MappingGuide[[#This Row],[Description]],'[1]Squirrel SQL Export 1'!C:C &amp; "|" &amp;'[1]Squirrel SQL Export 1'!D:D,'[1]Squirrel SQL Export 1'!Z:Z),IF(_xlpm.r=0,"",_xlpm.r))</f>
        <v>no</v>
      </c>
      <c r="AF59" s="3" t="s">
        <v>1309</v>
      </c>
      <c r="AG59" s="3" t="s">
        <v>101</v>
      </c>
      <c r="AI59" s="2" t="str">
        <f>_xlfn.LET(_xlpm.r, _xlfn.XLOOKUP(MappingGuide[[#This Row],[Description]],'[1]Squirrel SQL Export 1'!D:D,'[1]Squirrel SQL Export 1'!Y:Y),IF(_xlpm.r=0,"",_xlpm.r))</f>
        <v>Not used</v>
      </c>
      <c r="AK59" s="2" t="str">
        <f>_xlfn.LET(_xlpm.r, _xlfn.XLOOKUP(MappingGuide[[#This Row],[Description]],'[1]Squirrel SQL Export 1'!D:D,'[1]Squirrel SQL Export 1'!AE:AE),IF(_xlpm.r=0,"",_xlpm.r))</f>
        <v/>
      </c>
      <c r="AL59" s="3" t="str">
        <f>_xlfn.LET(_xlpm.r, _xlfn.XLOOKUP(MappingGuide[[#This Row],[DataType]],'[1]Squirrel SQL Export 1'!E:E,'[1]Squirrel SQL Export 1'!AF:AF),IF(_xlpm.r=0,"",_xlpm.r))</f>
        <v>No</v>
      </c>
      <c r="AM59" s="2" t="str">
        <f>_xlfn.LET(_xlpm.r, _xlfn.XLOOKUP(MappingGuide[[#This Row],[Length]],'[1]Squirrel SQL Export 1'!F:F,'[1]Squirrel SQL Export 1'!AG:AG),IF(_xlpm.r=0,"",_xlpm.r))</f>
        <v/>
      </c>
    </row>
    <row r="60" spans="1:39" x14ac:dyDescent="0.2">
      <c r="A60" s="2">
        <v>57</v>
      </c>
      <c r="B60" s="2" t="s">
        <v>51</v>
      </c>
      <c r="C60" s="2" t="s">
        <v>353</v>
      </c>
      <c r="D60" s="2" t="s">
        <v>354</v>
      </c>
      <c r="E60" s="2" t="s">
        <v>43</v>
      </c>
      <c r="F60" s="2" t="s">
        <v>44</v>
      </c>
      <c r="W60" s="2" t="str">
        <f>_xlfn.LET(_xlpm.r, _xlfn.XLOOKUP(MappingGuide[[#This Row],[Description]],'[1]Squirrel SQL Export 1'!D:D,'[1]Squirrel SQL Export 1'!AC:AC),IF(_xlpm.r=0,"",_xlpm.r))</f>
        <v/>
      </c>
      <c r="AC60" s="2"/>
      <c r="AE60" s="2" t="str" cm="1">
        <f t="array" ref="AE60">_xlfn.LET(_xlpm.r, _xlfn.XLOOKUP(MappingGuide[[#This Row],[ColumnName]] &amp; "|" &amp; MappingGuide[[#This Row],[Description]],'[1]Squirrel SQL Export 1'!C:C &amp; "|" &amp;'[1]Squirrel SQL Export 1'!D:D,'[1]Squirrel SQL Export 1'!Z:Z),IF(_xlpm.r=0,"",_xlpm.r))</f>
        <v>no</v>
      </c>
      <c r="AF60" s="3" t="s">
        <v>1309</v>
      </c>
      <c r="AG60" s="3" t="s">
        <v>101</v>
      </c>
      <c r="AI60" s="2" t="str">
        <f>_xlfn.LET(_xlpm.r, _xlfn.XLOOKUP(MappingGuide[[#This Row],[Description]],'[1]Squirrel SQL Export 1'!D:D,'[1]Squirrel SQL Export 1'!Y:Y),IF(_xlpm.r=0,"",_xlpm.r))</f>
        <v>As discussed with Dee/Angie on 01/07, this is not needed</v>
      </c>
      <c r="AK60" s="2" t="str">
        <f>_xlfn.LET(_xlpm.r, _xlfn.XLOOKUP(MappingGuide[[#This Row],[Description]],'[1]Squirrel SQL Export 1'!D:D,'[1]Squirrel SQL Export 1'!AE:AE),IF(_xlpm.r=0,"",_xlpm.r))</f>
        <v>M3 Only</v>
      </c>
      <c r="AL60" s="3" t="str">
        <f>_xlfn.LET(_xlpm.r, _xlfn.XLOOKUP(MappingGuide[[#This Row],[DataType]],'[1]Squirrel SQL Export 1'!E:E,'[1]Squirrel SQL Export 1'!AF:AF),IF(_xlpm.r=0,"",_xlpm.r))</f>
        <v>No</v>
      </c>
      <c r="AM60" s="2" t="str">
        <f>_xlfn.LET(_xlpm.r, _xlfn.XLOOKUP(MappingGuide[[#This Row],[Length]],'[1]Squirrel SQL Export 1'!F:F,'[1]Squirrel SQL Export 1'!AG:AG),IF(_xlpm.r=0,"",_xlpm.r))</f>
        <v/>
      </c>
    </row>
    <row r="61" spans="1:39" x14ac:dyDescent="0.2">
      <c r="A61" s="2">
        <v>58</v>
      </c>
      <c r="B61" s="2" t="s">
        <v>51</v>
      </c>
      <c r="C61" s="2" t="s">
        <v>355</v>
      </c>
      <c r="D61" s="2" t="s">
        <v>356</v>
      </c>
      <c r="E61" s="2" t="s">
        <v>43</v>
      </c>
      <c r="F61" s="2" t="s">
        <v>44</v>
      </c>
      <c r="J61" s="2" t="s">
        <v>71</v>
      </c>
      <c r="K61" s="2" t="s">
        <v>167</v>
      </c>
      <c r="L61" s="2" t="s">
        <v>48</v>
      </c>
      <c r="O61" s="2" t="s">
        <v>45</v>
      </c>
      <c r="P61" s="2" t="s">
        <v>88</v>
      </c>
      <c r="Q61" s="2" t="s">
        <v>357</v>
      </c>
      <c r="W61" s="2" t="str">
        <f>_xlfn.LET(_xlpm.r, _xlfn.XLOOKUP(MappingGuide[[#This Row],[Description]],'[1]Squirrel SQL Export 1'!D:D,'[1]Squirrel SQL Export 1'!AC:AC),IF(_xlpm.r=0,"",_xlpm.r))</f>
        <v/>
      </c>
      <c r="AA61" s="2" t="s">
        <v>358</v>
      </c>
      <c r="AC61" s="2" t="s">
        <v>359</v>
      </c>
      <c r="AE61" s="2" t="str" cm="1">
        <f t="array" ref="AE61">_xlfn.LET(_xlpm.r, _xlfn.XLOOKUP(MappingGuide[[#This Row],[ColumnName]] &amp; "|" &amp; MappingGuide[[#This Row],[Description]],'[1]Squirrel SQL Export 1'!C:C &amp; "|" &amp;'[1]Squirrel SQL Export 1'!D:D,'[1]Squirrel SQL Export 1'!Z:Z),IF(_xlpm.r=0,"",_xlpm.r))</f>
        <v>yes</v>
      </c>
      <c r="AF61" s="3" t="s">
        <v>1309</v>
      </c>
      <c r="AG61" s="3" t="s">
        <v>101</v>
      </c>
      <c r="AI61" s="2" t="str">
        <f>_xlfn.LET(_xlpm.r, _xlfn.XLOOKUP(MappingGuide[[#This Row],[Description]],'[1]Squirrel SQL Export 1'!D:D,'[1]Squirrel SQL Export 1'!Y:Y),IF(_xlpm.r=0,"",_xlpm.r))</f>
        <v>The M3 customer number which act as Payer (Bill to) for the actual customer.
If customer is also the payer this field doesn't need to be populated.</v>
      </c>
      <c r="AK61" s="2" t="str">
        <f>_xlfn.LET(_xlpm.r, _xlfn.XLOOKUP(MappingGuide[[#This Row],[Description]],'[1]Squirrel SQL Export 1'!D:D,'[1]Squirrel SQL Export 1'!AE:AE),IF(_xlpm.r=0,"",_xlpm.r))</f>
        <v>No MDM field captured to represent this. Unsure if this is needed in MDM.</v>
      </c>
      <c r="AL61" s="3" t="str">
        <f>_xlfn.LET(_xlpm.r, _xlfn.XLOOKUP(MappingGuide[[#This Row],[DataType]],'[1]Squirrel SQL Export 1'!E:E,'[1]Squirrel SQL Export 1'!AF:AF),IF(_xlpm.r=0,"",_xlpm.r))</f>
        <v>No</v>
      </c>
      <c r="AM61" s="2" t="str">
        <f>_xlfn.LET(_xlpm.r, _xlfn.XLOOKUP(MappingGuide[[#This Row],[Length]],'[1]Squirrel SQL Export 1'!F:F,'[1]Squirrel SQL Export 1'!AG:AG),IF(_xlpm.r=0,"",_xlpm.r))</f>
        <v/>
      </c>
    </row>
    <row r="62" spans="1:39" x14ac:dyDescent="0.2">
      <c r="A62" s="2">
        <v>59</v>
      </c>
      <c r="B62" s="2" t="s">
        <v>51</v>
      </c>
      <c r="C62" s="2" t="s">
        <v>360</v>
      </c>
      <c r="D62" s="2" t="s">
        <v>361</v>
      </c>
      <c r="E62" s="2" t="s">
        <v>43</v>
      </c>
      <c r="F62" s="2" t="s">
        <v>44</v>
      </c>
      <c r="J62" s="2" t="s">
        <v>71</v>
      </c>
      <c r="K62" s="2" t="s">
        <v>146</v>
      </c>
      <c r="O62" s="2" t="s">
        <v>45</v>
      </c>
      <c r="P62" s="2" t="s">
        <v>88</v>
      </c>
      <c r="Q62" s="2" t="s">
        <v>362</v>
      </c>
      <c r="W62" s="2" t="str">
        <f>_xlfn.LET(_xlpm.r, _xlfn.XLOOKUP(MappingGuide[[#This Row],[Description]],'[1]Squirrel SQL Export 1'!D:D,'[1]Squirrel SQL Export 1'!AC:AC),IF(_xlpm.r=0,"",_xlpm.r))</f>
        <v/>
      </c>
      <c r="AA62" s="2" t="s">
        <v>363</v>
      </c>
      <c r="AC62" s="2"/>
      <c r="AE62" s="2" t="str" cm="1">
        <f t="array" ref="AE62">_xlfn.LET(_xlpm.r, _xlfn.XLOOKUP(MappingGuide[[#This Row],[ColumnName]] &amp; "|" &amp; MappingGuide[[#This Row],[Description]],'[1]Squirrel SQL Export 1'!C:C &amp; "|" &amp;'[1]Squirrel SQL Export 1'!D:D,'[1]Squirrel SQL Export 1'!Z:Z),IF(_xlpm.r=0,"",_xlpm.r))</f>
        <v>no</v>
      </c>
      <c r="AF62" s="3" t="s">
        <v>1309</v>
      </c>
      <c r="AG62" s="3" t="s">
        <v>101</v>
      </c>
      <c r="AI62" s="2" t="str">
        <f>_xlfn.LET(_xlpm.r, _xlfn.XLOOKUP(MappingGuide[[#This Row],[Description]],'[1]Squirrel SQL Export 1'!D:D,'[1]Squirrel SQL Export 1'!Y:Y),IF(_xlpm.r=0,"",_xlpm.r))</f>
        <v>An M3 customer number used for statistic purpose. (Leave blank in M3)</v>
      </c>
      <c r="AK62" s="2" t="str">
        <f>_xlfn.LET(_xlpm.r, _xlfn.XLOOKUP(MappingGuide[[#This Row],[Description]],'[1]Squirrel SQL Export 1'!D:D,'[1]Squirrel SQL Export 1'!AE:AE),IF(_xlpm.r=0,"",_xlpm.r))</f>
        <v/>
      </c>
      <c r="AL62" s="3" t="str">
        <f>_xlfn.LET(_xlpm.r, _xlfn.XLOOKUP(MappingGuide[[#This Row],[DataType]],'[1]Squirrel SQL Export 1'!E:E,'[1]Squirrel SQL Export 1'!AF:AF),IF(_xlpm.r=0,"",_xlpm.r))</f>
        <v>No</v>
      </c>
      <c r="AM62" s="2" t="str">
        <f>_xlfn.LET(_xlpm.r, _xlfn.XLOOKUP(MappingGuide[[#This Row],[Length]],'[1]Squirrel SQL Export 1'!F:F,'[1]Squirrel SQL Export 1'!AG:AG),IF(_xlpm.r=0,"",_xlpm.r))</f>
        <v/>
      </c>
    </row>
    <row r="63" spans="1:39" x14ac:dyDescent="0.2">
      <c r="A63" s="2">
        <v>60</v>
      </c>
      <c r="B63" s="2" t="s">
        <v>51</v>
      </c>
      <c r="C63" s="2" t="s">
        <v>364</v>
      </c>
      <c r="D63" s="2" t="s">
        <v>365</v>
      </c>
      <c r="E63" s="2" t="s">
        <v>43</v>
      </c>
      <c r="F63" s="2" t="s">
        <v>55</v>
      </c>
      <c r="J63" s="2" t="s">
        <v>71</v>
      </c>
      <c r="K63" s="2" t="s">
        <v>140</v>
      </c>
      <c r="O63" s="2" t="s">
        <v>45</v>
      </c>
      <c r="P63" s="2" t="s">
        <v>88</v>
      </c>
      <c r="Q63" s="2" t="s">
        <v>366</v>
      </c>
      <c r="W63" s="2" t="str">
        <f>_xlfn.LET(_xlpm.r, _xlfn.XLOOKUP(MappingGuide[[#This Row],[Description]],'[1]Squirrel SQL Export 1'!D:D,'[1]Squirrel SQL Export 1'!AC:AC),IF(_xlpm.r=0,"",_xlpm.r))</f>
        <v>1</v>
      </c>
      <c r="AA63" s="2" t="s">
        <v>367</v>
      </c>
      <c r="AC63" s="3" t="s">
        <v>368</v>
      </c>
      <c r="AE63" s="2" t="str" cm="1">
        <f t="array" ref="AE63">_xlfn.LET(_xlpm.r, _xlfn.XLOOKUP(MappingGuide[[#This Row],[ColumnName]] &amp; "|" &amp; MappingGuide[[#This Row],[Description]],'[1]Squirrel SQL Export 1'!C:C &amp; "|" &amp;'[1]Squirrel SQL Export 1'!D:D,'[1]Squirrel SQL Export 1'!Z:Z),IF(_xlpm.r=0,"",_xlpm.r))</f>
        <v>no</v>
      </c>
      <c r="AF63" s="3" t="s">
        <v>1309</v>
      </c>
      <c r="AG63" s="3" t="s">
        <v>48</v>
      </c>
      <c r="AH63" s="2" t="s">
        <v>96</v>
      </c>
      <c r="AI63" s="2" t="str">
        <f>_xlfn.LET(_xlpm.r, _xlfn.XLOOKUP(MappingGuide[[#This Row],[Description]],'[1]Squirrel SQL Export 1'!D:D,'[1]Squirrel SQL Export 1'!Y:Y),IF(_xlpm.r=0,"",_xlpm.r))</f>
        <v>Special terms for packing. List of terms can be specified in M3.
This is needed in M3, but we will set value using template</v>
      </c>
      <c r="AK63" s="2" t="str">
        <f>_xlfn.LET(_xlpm.r, _xlfn.XLOOKUP(MappingGuide[[#This Row],[Description]],'[1]Squirrel SQL Export 1'!D:D,'[1]Squirrel SQL Export 1'!AE:AE),IF(_xlpm.r=0,"",_xlpm.r))</f>
        <v/>
      </c>
      <c r="AL63" s="3" t="str">
        <f>_xlfn.LET(_xlpm.r, _xlfn.XLOOKUP(MappingGuide[[#This Row],[DataType]],'[1]Squirrel SQL Export 1'!E:E,'[1]Squirrel SQL Export 1'!AF:AF),IF(_xlpm.r=0,"",_xlpm.r))</f>
        <v>No</v>
      </c>
      <c r="AM63" s="2" t="str">
        <f>_xlfn.LET(_xlpm.r, _xlfn.XLOOKUP(MappingGuide[[#This Row],[Length]],'[1]Squirrel SQL Export 1'!F:F,'[1]Squirrel SQL Export 1'!AG:AG),IF(_xlpm.r=0,"",_xlpm.r))</f>
        <v/>
      </c>
    </row>
    <row r="64" spans="1:39" x14ac:dyDescent="0.2">
      <c r="A64" s="2">
        <v>61</v>
      </c>
      <c r="B64" s="2" t="s">
        <v>51</v>
      </c>
      <c r="C64" s="2" t="s">
        <v>369</v>
      </c>
      <c r="D64" s="2" t="s">
        <v>370</v>
      </c>
      <c r="E64" s="2" t="s">
        <v>43</v>
      </c>
      <c r="F64" s="2" t="s">
        <v>70</v>
      </c>
      <c r="J64" s="2" t="s">
        <v>71</v>
      </c>
      <c r="K64" s="2" t="s">
        <v>72</v>
      </c>
      <c r="O64" s="2" t="s">
        <v>45</v>
      </c>
      <c r="P64" s="2" t="s">
        <v>46</v>
      </c>
      <c r="Q64" s="2" t="s">
        <v>371</v>
      </c>
      <c r="W64" s="2" t="str">
        <f>_xlfn.LET(_xlpm.r, _xlfn.XLOOKUP(MappingGuide[[#This Row],[Description]],'[1]Squirrel SQL Export 1'!D:D,'[1]Squirrel SQL Export 1'!AC:AC),IF(_xlpm.r=0,"",_xlpm.r))</f>
        <v>GB</v>
      </c>
      <c r="AA64" s="2" t="s">
        <v>373</v>
      </c>
      <c r="AC64" s="3" t="s">
        <v>374</v>
      </c>
      <c r="AE64" s="2" t="str" cm="1">
        <f t="array" ref="AE64">_xlfn.LET(_xlpm.r, _xlfn.XLOOKUP(MappingGuide[[#This Row],[ColumnName]] &amp; "|" &amp; MappingGuide[[#This Row],[Description]],'[1]Squirrel SQL Export 1'!C:C &amp; "|" &amp;'[1]Squirrel SQL Export 1'!D:D,'[1]Squirrel SQL Export 1'!Z:Z),IF(_xlpm.r=0,"",_xlpm.r))</f>
        <v>yes</v>
      </c>
      <c r="AF64" s="3" t="s">
        <v>1309</v>
      </c>
      <c r="AG64" s="3" t="s">
        <v>48</v>
      </c>
      <c r="AH64" s="2" t="s">
        <v>372</v>
      </c>
      <c r="AI64" s="2" t="str">
        <f>_xlfn.LET(_xlpm.r, _xlfn.XLOOKUP(MappingGuide[[#This Row],[Description]],'[1]Squirrel SQL Export 1'!D:D,'[1]Squirrel SQL Export 1'!Y:Y),IF(_xlpm.r=0,"",_xlpm.r))</f>
        <v>If only one language should be used, no need to maintain it in MDM. Use default from template (GB).</v>
      </c>
      <c r="AK64"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64" s="3" t="str">
        <f>_xlfn.LET(_xlpm.r, _xlfn.XLOOKUP(MappingGuide[[#This Row],[DataType]],'[1]Squirrel SQL Export 1'!E:E,'[1]Squirrel SQL Export 1'!AF:AF),IF(_xlpm.r=0,"",_xlpm.r))</f>
        <v>No</v>
      </c>
      <c r="AM64" s="2" t="str">
        <f>_xlfn.LET(_xlpm.r, _xlfn.XLOOKUP(MappingGuide[[#This Row],[Length]],'[1]Squirrel SQL Export 1'!F:F,'[1]Squirrel SQL Export 1'!AG:AG),IF(_xlpm.r=0,"",_xlpm.r))</f>
        <v>Status</v>
      </c>
    </row>
    <row r="65" spans="1:39" x14ac:dyDescent="0.2">
      <c r="A65" s="2">
        <v>62</v>
      </c>
      <c r="B65" s="2" t="s">
        <v>51</v>
      </c>
      <c r="C65" s="2" t="s">
        <v>375</v>
      </c>
      <c r="D65" s="2" t="s">
        <v>376</v>
      </c>
      <c r="E65" s="2" t="s">
        <v>54</v>
      </c>
      <c r="F65" s="2" t="s">
        <v>377</v>
      </c>
      <c r="G65" s="2" t="s">
        <v>70</v>
      </c>
      <c r="J65" s="2" t="s">
        <v>71</v>
      </c>
      <c r="K65" s="2" t="s">
        <v>167</v>
      </c>
      <c r="O65" s="2" t="s">
        <v>45</v>
      </c>
      <c r="P65" s="2" t="s">
        <v>168</v>
      </c>
      <c r="Q65" s="2" t="s">
        <v>378</v>
      </c>
      <c r="W65" s="2" t="str">
        <f>_xlfn.LET(_xlpm.r, _xlfn.XLOOKUP(MappingGuide[[#This Row],[Description]],'[1]Squirrel SQL Export 1'!D:D,'[1]Squirrel SQL Export 1'!AC:AC),IF(_xlpm.r=0,"",_xlpm.r))</f>
        <v/>
      </c>
      <c r="AA65" s="2" t="s">
        <v>379</v>
      </c>
      <c r="AC65" s="2"/>
      <c r="AE65" s="2" t="str" cm="1">
        <f t="array" ref="AE65">_xlfn.LET(_xlpm.r, _xlfn.XLOOKUP(MappingGuide[[#This Row],[ColumnName]] &amp; "|" &amp; MappingGuide[[#This Row],[Description]],'[1]Squirrel SQL Export 1'!C:C &amp; "|" &amp;'[1]Squirrel SQL Export 1'!D:D,'[1]Squirrel SQL Export 1'!Z:Z),IF(_xlpm.r=0,"",_xlpm.r))</f>
        <v>yes</v>
      </c>
      <c r="AF65" s="3" t="s">
        <v>1309</v>
      </c>
      <c r="AG65" s="3" t="s">
        <v>101</v>
      </c>
      <c r="AI65" s="2" t="str">
        <f>_xlfn.LET(_xlpm.r, _xlfn.XLOOKUP(MappingGuide[[#This Row],[Description]],'[1]Squirrel SQL Export 1'!D:D,'[1]Squirrel SQL Export 1'!Y:Y),IF(_xlpm.r=0,"",_xlpm.r))</f>
        <v>This is needed</v>
      </c>
      <c r="AK65"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65" s="3" t="str">
        <f>_xlfn.LET(_xlpm.r, _xlfn.XLOOKUP(MappingGuide[[#This Row],[DataType]],'[1]Squirrel SQL Export 1'!E:E,'[1]Squirrel SQL Export 1'!AF:AF),IF(_xlpm.r=0,"",_xlpm.r))</f>
        <v/>
      </c>
      <c r="AM65" s="2" t="str">
        <f>_xlfn.LET(_xlpm.r, _xlfn.XLOOKUP(MappingGuide[[#This Row],[Length]],'[1]Squirrel SQL Export 1'!F:F,'[1]Squirrel SQL Export 1'!AG:AG),IF(_xlpm.r=0,"",_xlpm.r))</f>
        <v/>
      </c>
    </row>
    <row r="66" spans="1:39" x14ac:dyDescent="0.2">
      <c r="A66" s="2">
        <v>63</v>
      </c>
      <c r="B66" s="2" t="s">
        <v>51</v>
      </c>
      <c r="C66" s="2" t="s">
        <v>380</v>
      </c>
      <c r="D66" s="2" t="s">
        <v>381</v>
      </c>
      <c r="E66" s="2" t="s">
        <v>54</v>
      </c>
      <c r="F66" s="2" t="s">
        <v>377</v>
      </c>
      <c r="G66" s="2" t="s">
        <v>70</v>
      </c>
      <c r="J66" s="2" t="s">
        <v>71</v>
      </c>
      <c r="K66" s="2" t="s">
        <v>167</v>
      </c>
      <c r="O66" s="2" t="s">
        <v>45</v>
      </c>
      <c r="P66" s="2" t="s">
        <v>168</v>
      </c>
      <c r="Q66" s="2" t="s">
        <v>382</v>
      </c>
      <c r="W66" s="2" t="str">
        <f>_xlfn.LET(_xlpm.r, _xlfn.XLOOKUP(MappingGuide[[#This Row],[Description]],'[1]Squirrel SQL Export 1'!D:D,'[1]Squirrel SQL Export 1'!AC:AC),IF(_xlpm.r=0,"",_xlpm.r))</f>
        <v/>
      </c>
      <c r="AA66" s="2" t="s">
        <v>383</v>
      </c>
      <c r="AC66" s="2"/>
      <c r="AE66" s="2" t="str" cm="1">
        <f t="array" ref="AE66">_xlfn.LET(_xlpm.r, _xlfn.XLOOKUP(MappingGuide[[#This Row],[ColumnName]] &amp; "|" &amp; MappingGuide[[#This Row],[Description]],'[1]Squirrel SQL Export 1'!C:C &amp; "|" &amp;'[1]Squirrel SQL Export 1'!D:D,'[1]Squirrel SQL Export 1'!Z:Z),IF(_xlpm.r=0,"",_xlpm.r))</f>
        <v>yes</v>
      </c>
      <c r="AF66" s="3" t="s">
        <v>1309</v>
      </c>
      <c r="AG66" s="3" t="s">
        <v>101</v>
      </c>
      <c r="AI66" s="2" t="str">
        <f>_xlfn.LET(_xlpm.r, _xlfn.XLOOKUP(MappingGuide[[#This Row],[Description]],'[1]Squirrel SQL Export 1'!D:D,'[1]Squirrel SQL Export 1'!Y:Y),IF(_xlpm.r=0,"",_xlpm.r))</f>
        <v>This is needed</v>
      </c>
      <c r="AK66"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66" s="3" t="str">
        <f>_xlfn.LET(_xlpm.r, _xlfn.XLOOKUP(MappingGuide[[#This Row],[DataType]],'[1]Squirrel SQL Export 1'!E:E,'[1]Squirrel SQL Export 1'!AF:AF),IF(_xlpm.r=0,"",_xlpm.r))</f>
        <v/>
      </c>
      <c r="AM66" s="2" t="str">
        <f>_xlfn.LET(_xlpm.r, _xlfn.XLOOKUP(MappingGuide[[#This Row],[Length]],'[1]Squirrel SQL Export 1'!F:F,'[1]Squirrel SQL Export 1'!AG:AG),IF(_xlpm.r=0,"",_xlpm.r))</f>
        <v/>
      </c>
    </row>
    <row r="67" spans="1:39" x14ac:dyDescent="0.2">
      <c r="A67" s="2">
        <v>64</v>
      </c>
      <c r="B67" s="2" t="s">
        <v>51</v>
      </c>
      <c r="C67" s="2" t="s">
        <v>384</v>
      </c>
      <c r="D67" s="2" t="s">
        <v>385</v>
      </c>
      <c r="E67" s="2" t="s">
        <v>54</v>
      </c>
      <c r="F67" s="2" t="s">
        <v>377</v>
      </c>
      <c r="G67" s="2" t="s">
        <v>70</v>
      </c>
      <c r="J67" s="2" t="s">
        <v>71</v>
      </c>
      <c r="K67" s="2" t="s">
        <v>167</v>
      </c>
      <c r="O67" s="2" t="s">
        <v>45</v>
      </c>
      <c r="P67" s="2" t="s">
        <v>168</v>
      </c>
      <c r="Q67" s="2" t="s">
        <v>386</v>
      </c>
      <c r="T67" s="2" t="s">
        <v>387</v>
      </c>
      <c r="W67" s="2" t="str">
        <f>_xlfn.LET(_xlpm.r, _xlfn.XLOOKUP(MappingGuide[[#This Row],[Description]],'[1]Squirrel SQL Export 1'!D:D,'[1]Squirrel SQL Export 1'!AC:AC),IF(_xlpm.r=0,"",_xlpm.r))</f>
        <v/>
      </c>
      <c r="AA67" s="2" t="s">
        <v>388</v>
      </c>
      <c r="AC67" s="2"/>
      <c r="AE67" s="2" t="str" cm="1">
        <f t="array" ref="AE67">_xlfn.LET(_xlpm.r, _xlfn.XLOOKUP(MappingGuide[[#This Row],[ColumnName]] &amp; "|" &amp; MappingGuide[[#This Row],[Description]],'[1]Squirrel SQL Export 1'!C:C &amp; "|" &amp;'[1]Squirrel SQL Export 1'!D:D,'[1]Squirrel SQL Export 1'!Z:Z),IF(_xlpm.r=0,"",_xlpm.r))</f>
        <v>yes</v>
      </c>
      <c r="AF67" s="3" t="s">
        <v>1309</v>
      </c>
      <c r="AG67" s="3" t="s">
        <v>101</v>
      </c>
      <c r="AI67" s="2" t="str">
        <f>_xlfn.LET(_xlpm.r, _xlfn.XLOOKUP(MappingGuide[[#This Row],[Description]],'[1]Squirrel SQL Export 1'!D:D,'[1]Squirrel SQL Export 1'!Y:Y),IF(_xlpm.r=0,"",_xlpm.r))</f>
        <v>This is needed</v>
      </c>
      <c r="AK67"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67" s="3" t="str">
        <f>_xlfn.LET(_xlpm.r, _xlfn.XLOOKUP(MappingGuide[[#This Row],[DataType]],'[1]Squirrel SQL Export 1'!E:E,'[1]Squirrel SQL Export 1'!AF:AF),IF(_xlpm.r=0,"",_xlpm.r))</f>
        <v/>
      </c>
      <c r="AM67" s="2" t="str">
        <f>_xlfn.LET(_xlpm.r, _xlfn.XLOOKUP(MappingGuide[[#This Row],[Length]],'[1]Squirrel SQL Export 1'!F:F,'[1]Squirrel SQL Export 1'!AG:AG),IF(_xlpm.r=0,"",_xlpm.r))</f>
        <v/>
      </c>
    </row>
    <row r="68" spans="1:39" x14ac:dyDescent="0.2">
      <c r="A68" s="2">
        <v>65</v>
      </c>
      <c r="B68" s="2" t="s">
        <v>51</v>
      </c>
      <c r="C68" s="2" t="s">
        <v>389</v>
      </c>
      <c r="D68" s="2" t="s">
        <v>390</v>
      </c>
      <c r="E68" s="2" t="s">
        <v>54</v>
      </c>
      <c r="F68" s="2" t="s">
        <v>96</v>
      </c>
      <c r="J68" s="2" t="s">
        <v>71</v>
      </c>
      <c r="K68" s="2" t="s">
        <v>167</v>
      </c>
      <c r="L68" s="2" t="s">
        <v>48</v>
      </c>
      <c r="O68" s="2" t="s">
        <v>45</v>
      </c>
      <c r="P68" s="2" t="s">
        <v>168</v>
      </c>
      <c r="Q68" s="2" t="s">
        <v>391</v>
      </c>
      <c r="W68" s="2" t="str">
        <f>_xlfn.LET(_xlpm.r, _xlfn.XLOOKUP(MappingGuide[[#This Row],[Description]],'[1]Squirrel SQL Export 1'!D:D,'[1]Squirrel SQL Export 1'!AC:AC),IF(_xlpm.r=0,"",_xlpm.r))</f>
        <v/>
      </c>
      <c r="AA68" s="2" t="s">
        <v>392</v>
      </c>
      <c r="AB68" s="2" t="s">
        <v>393</v>
      </c>
      <c r="AC68" s="2"/>
      <c r="AE68" s="2" t="str" cm="1">
        <f t="array" ref="AE68">_xlfn.LET(_xlpm.r, _xlfn.XLOOKUP(MappingGuide[[#This Row],[ColumnName]] &amp; "|" &amp; MappingGuide[[#This Row],[Description]],'[1]Squirrel SQL Export 1'!C:C &amp; "|" &amp;'[1]Squirrel SQL Export 1'!D:D,'[1]Squirrel SQL Export 1'!Z:Z),IF(_xlpm.r=0,"",_xlpm.r))</f>
        <v>yes</v>
      </c>
      <c r="AF68" s="3" t="s">
        <v>1309</v>
      </c>
      <c r="AG68" s="3" t="s">
        <v>101</v>
      </c>
      <c r="AI68" s="2" t="str">
        <f>_xlfn.LET(_xlpm.r, _xlfn.XLOOKUP(MappingGuide[[#This Row],[Description]],'[1]Squirrel SQL Export 1'!D:D,'[1]Squirrel SQL Export 1'!Y:Y),IF(_xlpm.r=0,"",_xlpm.r))</f>
        <v>At the time of customer creation, it would be set up as 0 always. But, later on, we might need to block the customer in M3, and that value should be synced back to MDM</v>
      </c>
      <c r="AK68" s="2" t="str">
        <f>_xlfn.LET(_xlpm.r, _xlfn.XLOOKUP(MappingGuide[[#This Row],[Description]],'[1]Squirrel SQL Export 1'!D:D,'[1]Squirrel SQL Export 1'!AE:AE),IF(_xlpm.r=0,"",_xlpm.r))</f>
        <v>Further discussion is needed, this field seems like it would need a well defined Business Process to make sure all systems are being updated on this Status Change.</v>
      </c>
      <c r="AL68" s="3" t="str">
        <f>_xlfn.LET(_xlpm.r, _xlfn.XLOOKUP(MappingGuide[[#This Row],[DataType]],'[1]Squirrel SQL Export 1'!E:E,'[1]Squirrel SQL Export 1'!AF:AF),IF(_xlpm.r=0,"",_xlpm.r))</f>
        <v/>
      </c>
      <c r="AM68" s="2" t="str">
        <f>_xlfn.LET(_xlpm.r, _xlfn.XLOOKUP(MappingGuide[[#This Row],[Length]],'[1]Squirrel SQL Export 1'!F:F,'[1]Squirrel SQL Export 1'!AG:AG),IF(_xlpm.r=0,"",_xlpm.r))</f>
        <v>Type</v>
      </c>
    </row>
    <row r="69" spans="1:39" x14ac:dyDescent="0.2">
      <c r="A69" s="2">
        <v>66</v>
      </c>
      <c r="B69" s="2" t="s">
        <v>51</v>
      </c>
      <c r="C69" s="2" t="s">
        <v>394</v>
      </c>
      <c r="D69" s="2" t="s">
        <v>395</v>
      </c>
      <c r="E69" s="2" t="s">
        <v>54</v>
      </c>
      <c r="F69" s="2" t="s">
        <v>96</v>
      </c>
      <c r="J69" s="2" t="s">
        <v>71</v>
      </c>
      <c r="K69" s="2" t="s">
        <v>87</v>
      </c>
      <c r="O69" s="2" t="s">
        <v>45</v>
      </c>
      <c r="P69" s="2" t="s">
        <v>88</v>
      </c>
      <c r="Q69" s="2" t="s">
        <v>396</v>
      </c>
      <c r="W69" s="2" t="str">
        <f>_xlfn.LET(_xlpm.r, _xlfn.XLOOKUP(MappingGuide[[#This Row],[Description]],'[1]Squirrel SQL Export 1'!D:D,'[1]Squirrel SQL Export 1'!AC:AC),IF(_xlpm.r=0,"",_xlpm.r))</f>
        <v>5</v>
      </c>
      <c r="AA69" s="2" t="s">
        <v>397</v>
      </c>
      <c r="AE69" s="2" t="str" cm="1">
        <f t="array" ref="AE69">_xlfn.LET(_xlpm.r, _xlfn.XLOOKUP(MappingGuide[[#This Row],[ColumnName]] &amp; "|" &amp; MappingGuide[[#This Row],[Description]],'[1]Squirrel SQL Export 1'!C:C &amp; "|" &amp;'[1]Squirrel SQL Export 1'!D:D,'[1]Squirrel SQL Export 1'!Z:Z),IF(_xlpm.r=0,"",_xlpm.r))</f>
        <v>no</v>
      </c>
      <c r="AF69" s="3" t="s">
        <v>1309</v>
      </c>
      <c r="AG69" s="3" t="s">
        <v>48</v>
      </c>
      <c r="AH69" s="2" t="s">
        <v>242</v>
      </c>
      <c r="AI69" s="2" t="str">
        <f>_xlfn.LET(_xlpm.r, _xlfn.XLOOKUP(MappingGuide[[#This Row],[Description]],'[1]Squirrel SQL Export 1'!D:D,'[1]Squirrel SQL Export 1'!Y:Y),IF(_xlpm.r=0,"",_xlpm.r))</f>
        <v>This is needed in M3, but we will set value using template</v>
      </c>
      <c r="AK69" s="2" t="str">
        <f>_xlfn.LET(_xlpm.r, _xlfn.XLOOKUP(MappingGuide[[#This Row],[Description]],'[1]Squirrel SQL Export 1'!D:D,'[1]Squirrel SQL Export 1'!AE:AE),IF(_xlpm.r=0,"",_xlpm.r))</f>
        <v/>
      </c>
      <c r="AL69" s="3" t="str">
        <f>_xlfn.LET(_xlpm.r, _xlfn.XLOOKUP(MappingGuide[[#This Row],[DataType]],'[1]Squirrel SQL Export 1'!E:E,'[1]Squirrel SQL Export 1'!AF:AF),IF(_xlpm.r=0,"",_xlpm.r))</f>
        <v/>
      </c>
      <c r="AM69" s="2" t="str">
        <f>_xlfn.LET(_xlpm.r, _xlfn.XLOOKUP(MappingGuide[[#This Row],[Length]],'[1]Squirrel SQL Export 1'!F:F,'[1]Squirrel SQL Export 1'!AG:AG),IF(_xlpm.r=0,"",_xlpm.r))</f>
        <v>Type</v>
      </c>
    </row>
    <row r="70" spans="1:39" x14ac:dyDescent="0.2">
      <c r="A70" s="2">
        <v>67</v>
      </c>
      <c r="B70" s="2" t="s">
        <v>51</v>
      </c>
      <c r="C70" s="2" t="s">
        <v>398</v>
      </c>
      <c r="D70" s="2" t="s">
        <v>399</v>
      </c>
      <c r="E70" s="2" t="s">
        <v>54</v>
      </c>
      <c r="F70" s="2" t="s">
        <v>377</v>
      </c>
      <c r="G70" s="2" t="s">
        <v>70</v>
      </c>
      <c r="W70" s="2" t="str">
        <f>_xlfn.LET(_xlpm.r, _xlfn.XLOOKUP(MappingGuide[[#This Row],[Description]],'[1]Squirrel SQL Export 1'!D:D,'[1]Squirrel SQL Export 1'!AC:AC),IF(_xlpm.r=0,"",_xlpm.r))</f>
        <v/>
      </c>
      <c r="AA70" s="2" t="s">
        <v>400</v>
      </c>
      <c r="AC70" s="2"/>
      <c r="AE70" s="2" t="str" cm="1">
        <f t="array" ref="AE70">_xlfn.LET(_xlpm.r, _xlfn.XLOOKUP(MappingGuide[[#This Row],[ColumnName]] &amp; "|" &amp; MappingGuide[[#This Row],[Description]],'[1]Squirrel SQL Export 1'!C:C &amp; "|" &amp;'[1]Squirrel SQL Export 1'!D:D,'[1]Squirrel SQL Export 1'!Z:Z),IF(_xlpm.r=0,"",_xlpm.r))</f>
        <v>no</v>
      </c>
      <c r="AF70" s="3" t="s">
        <v>1309</v>
      </c>
      <c r="AG70" s="3" t="s">
        <v>101</v>
      </c>
      <c r="AI70" s="2" t="str">
        <f>_xlfn.LET(_xlpm.r, _xlfn.XLOOKUP(MappingGuide[[#This Row],[Description]],'[1]Squirrel SQL Export 1'!D:D,'[1]Squirrel SQL Export 1'!Y:Y),IF(_xlpm.r=0,"",_xlpm.r))</f>
        <v>Calculated value inside M3</v>
      </c>
      <c r="AK70" s="2" t="str">
        <f>_xlfn.LET(_xlpm.r, _xlfn.XLOOKUP(MappingGuide[[#This Row],[Description]],'[1]Squirrel SQL Export 1'!D:D,'[1]Squirrel SQL Export 1'!AE:AE),IF(_xlpm.r=0,"",_xlpm.r))</f>
        <v/>
      </c>
      <c r="AL70" s="3" t="str">
        <f>_xlfn.LET(_xlpm.r, _xlfn.XLOOKUP(MappingGuide[[#This Row],[DataType]],'[1]Squirrel SQL Export 1'!E:E,'[1]Squirrel SQL Export 1'!AF:AF),IF(_xlpm.r=0,"",_xlpm.r))</f>
        <v/>
      </c>
      <c r="AM70" s="2" t="str">
        <f>_xlfn.LET(_xlpm.r, _xlfn.XLOOKUP(MappingGuide[[#This Row],[Length]],'[1]Squirrel SQL Export 1'!F:F,'[1]Squirrel SQL Export 1'!AG:AG),IF(_xlpm.r=0,"",_xlpm.r))</f>
        <v/>
      </c>
    </row>
    <row r="71" spans="1:39" x14ac:dyDescent="0.2">
      <c r="A71" s="2">
        <v>68</v>
      </c>
      <c r="B71" s="2" t="s">
        <v>51</v>
      </c>
      <c r="C71" s="2" t="s">
        <v>401</v>
      </c>
      <c r="D71" s="2" t="s">
        <v>399</v>
      </c>
      <c r="E71" s="2" t="s">
        <v>54</v>
      </c>
      <c r="F71" s="2" t="s">
        <v>377</v>
      </c>
      <c r="G71" s="2" t="s">
        <v>70</v>
      </c>
      <c r="W71" s="2" t="str">
        <f>_xlfn.LET(_xlpm.r, _xlfn.XLOOKUP(MappingGuide[[#This Row],[Description]],'[1]Squirrel SQL Export 1'!D:D,'[1]Squirrel SQL Export 1'!AC:AC),IF(_xlpm.r=0,"",_xlpm.r))</f>
        <v/>
      </c>
      <c r="AA71" s="2" t="s">
        <v>402</v>
      </c>
      <c r="AC71" s="2"/>
      <c r="AE71" s="2" t="str" cm="1">
        <f t="array" ref="AE71">_xlfn.LET(_xlpm.r, _xlfn.XLOOKUP(MappingGuide[[#This Row],[ColumnName]] &amp; "|" &amp; MappingGuide[[#This Row],[Description]],'[1]Squirrel SQL Export 1'!C:C &amp; "|" &amp;'[1]Squirrel SQL Export 1'!D:D,'[1]Squirrel SQL Export 1'!Z:Z),IF(_xlpm.r=0,"",_xlpm.r))</f>
        <v>no</v>
      </c>
      <c r="AF71" s="3" t="s">
        <v>1309</v>
      </c>
      <c r="AG71" s="3" t="s">
        <v>101</v>
      </c>
      <c r="AI71" s="2" t="str">
        <f>_xlfn.LET(_xlpm.r, _xlfn.XLOOKUP(MappingGuide[[#This Row],[Description]],'[1]Squirrel SQL Export 1'!D:D,'[1]Squirrel SQL Export 1'!Y:Y),IF(_xlpm.r=0,"",_xlpm.r))</f>
        <v>Calculated value inside M3</v>
      </c>
      <c r="AK71" s="2" t="str">
        <f>_xlfn.LET(_xlpm.r, _xlfn.XLOOKUP(MappingGuide[[#This Row],[Description]],'[1]Squirrel SQL Export 1'!D:D,'[1]Squirrel SQL Export 1'!AE:AE),IF(_xlpm.r=0,"",_xlpm.r))</f>
        <v/>
      </c>
      <c r="AL71" s="3" t="str">
        <f>_xlfn.LET(_xlpm.r, _xlfn.XLOOKUP(MappingGuide[[#This Row],[DataType]],'[1]Squirrel SQL Export 1'!E:E,'[1]Squirrel SQL Export 1'!AF:AF),IF(_xlpm.r=0,"",_xlpm.r))</f>
        <v/>
      </c>
      <c r="AM71" s="2" t="str">
        <f>_xlfn.LET(_xlpm.r, _xlfn.XLOOKUP(MappingGuide[[#This Row],[Length]],'[1]Squirrel SQL Export 1'!F:F,'[1]Squirrel SQL Export 1'!AG:AG),IF(_xlpm.r=0,"",_xlpm.r))</f>
        <v/>
      </c>
    </row>
    <row r="72" spans="1:39" x14ac:dyDescent="0.2">
      <c r="A72" s="2">
        <v>69</v>
      </c>
      <c r="B72" s="2" t="s">
        <v>51</v>
      </c>
      <c r="C72" s="2" t="s">
        <v>403</v>
      </c>
      <c r="D72" s="2" t="s">
        <v>399</v>
      </c>
      <c r="E72" s="2" t="s">
        <v>54</v>
      </c>
      <c r="F72" s="2" t="s">
        <v>377</v>
      </c>
      <c r="G72" s="2" t="s">
        <v>70</v>
      </c>
      <c r="J72" s="2" t="s">
        <v>71</v>
      </c>
      <c r="K72" s="2" t="s">
        <v>167</v>
      </c>
      <c r="O72" s="2" t="s">
        <v>45</v>
      </c>
      <c r="P72" s="2" t="s">
        <v>168</v>
      </c>
      <c r="Q72" s="2" t="s">
        <v>404</v>
      </c>
      <c r="W72" s="2" t="str">
        <f>_xlfn.LET(_xlpm.r, _xlfn.XLOOKUP(MappingGuide[[#This Row],[Description]],'[1]Squirrel SQL Export 1'!D:D,'[1]Squirrel SQL Export 1'!AC:AC),IF(_xlpm.r=0,"",_xlpm.r))</f>
        <v/>
      </c>
      <c r="AA72" s="2" t="s">
        <v>405</v>
      </c>
      <c r="AC72" s="2"/>
      <c r="AE72" s="2" t="str" cm="1">
        <f t="array" ref="AE72">_xlfn.LET(_xlpm.r, _xlfn.XLOOKUP(MappingGuide[[#This Row],[ColumnName]] &amp; "|" &amp; MappingGuide[[#This Row],[Description]],'[1]Squirrel SQL Export 1'!C:C &amp; "|" &amp;'[1]Squirrel SQL Export 1'!D:D,'[1]Squirrel SQL Export 1'!Z:Z),IF(_xlpm.r=0,"",_xlpm.r))</f>
        <v>no</v>
      </c>
      <c r="AF72" s="3" t="s">
        <v>1309</v>
      </c>
      <c r="AG72" s="3" t="s">
        <v>101</v>
      </c>
      <c r="AI72" s="2" t="str">
        <f>_xlfn.LET(_xlpm.r, _xlfn.XLOOKUP(MappingGuide[[#This Row],[Description]],'[1]Squirrel SQL Export 1'!D:D,'[1]Squirrel SQL Export 1'!Y:Y),IF(_xlpm.r=0,"",_xlpm.r))</f>
        <v>Calculated value inside M3</v>
      </c>
      <c r="AK72" s="2" t="str">
        <f>_xlfn.LET(_xlpm.r, _xlfn.XLOOKUP(MappingGuide[[#This Row],[Description]],'[1]Squirrel SQL Export 1'!D:D,'[1]Squirrel SQL Export 1'!AE:AE),IF(_xlpm.r=0,"",_xlpm.r))</f>
        <v/>
      </c>
      <c r="AL72" s="3" t="str">
        <f>_xlfn.LET(_xlpm.r, _xlfn.XLOOKUP(MappingGuide[[#This Row],[DataType]],'[1]Squirrel SQL Export 1'!E:E,'[1]Squirrel SQL Export 1'!AF:AF),IF(_xlpm.r=0,"",_xlpm.r))</f>
        <v/>
      </c>
      <c r="AM72" s="2" t="str">
        <f>_xlfn.LET(_xlpm.r, _xlfn.XLOOKUP(MappingGuide[[#This Row],[Length]],'[1]Squirrel SQL Export 1'!F:F,'[1]Squirrel SQL Export 1'!AG:AG),IF(_xlpm.r=0,"",_xlpm.r))</f>
        <v/>
      </c>
    </row>
    <row r="73" spans="1:39" x14ac:dyDescent="0.2">
      <c r="A73" s="2">
        <v>70</v>
      </c>
      <c r="B73" s="2" t="s">
        <v>51</v>
      </c>
      <c r="C73" s="2" t="s">
        <v>406</v>
      </c>
      <c r="D73" s="2" t="s">
        <v>399</v>
      </c>
      <c r="E73" s="2" t="s">
        <v>54</v>
      </c>
      <c r="F73" s="2" t="s">
        <v>407</v>
      </c>
      <c r="W73" s="2" t="str">
        <f>_xlfn.LET(_xlpm.r, _xlfn.XLOOKUP(MappingGuide[[#This Row],[Description]],'[1]Squirrel SQL Export 1'!D:D,'[1]Squirrel SQL Export 1'!AC:AC),IF(_xlpm.r=0,"",_xlpm.r))</f>
        <v/>
      </c>
      <c r="AA73" s="2" t="s">
        <v>408</v>
      </c>
      <c r="AC73" s="2"/>
      <c r="AE73" s="2" t="str" cm="1">
        <f t="array" ref="AE73">_xlfn.LET(_xlpm.r, _xlfn.XLOOKUP(MappingGuide[[#This Row],[ColumnName]] &amp; "|" &amp; MappingGuide[[#This Row],[Description]],'[1]Squirrel SQL Export 1'!C:C &amp; "|" &amp;'[1]Squirrel SQL Export 1'!D:D,'[1]Squirrel SQL Export 1'!Z:Z),IF(_xlpm.r=0,"",_xlpm.r))</f>
        <v>no</v>
      </c>
      <c r="AF73" s="3" t="s">
        <v>1309</v>
      </c>
      <c r="AG73" s="3" t="s">
        <v>101</v>
      </c>
      <c r="AI73" s="2" t="str">
        <f>_xlfn.LET(_xlpm.r, _xlfn.XLOOKUP(MappingGuide[[#This Row],[Description]],'[1]Squirrel SQL Export 1'!D:D,'[1]Squirrel SQL Export 1'!Y:Y),IF(_xlpm.r=0,"",_xlpm.r))</f>
        <v>Calculated value inside M3</v>
      </c>
      <c r="AK73" s="2" t="str">
        <f>_xlfn.LET(_xlpm.r, _xlfn.XLOOKUP(MappingGuide[[#This Row],[Description]],'[1]Squirrel SQL Export 1'!D:D,'[1]Squirrel SQL Export 1'!AE:AE),IF(_xlpm.r=0,"",_xlpm.r))</f>
        <v/>
      </c>
      <c r="AL73" s="3" t="str">
        <f>_xlfn.LET(_xlpm.r, _xlfn.XLOOKUP(MappingGuide[[#This Row],[DataType]],'[1]Squirrel SQL Export 1'!E:E,'[1]Squirrel SQL Export 1'!AF:AF),IF(_xlpm.r=0,"",_xlpm.r))</f>
        <v/>
      </c>
      <c r="AM73" s="2" t="str">
        <f>_xlfn.LET(_xlpm.r, _xlfn.XLOOKUP(MappingGuide[[#This Row],[Length]],'[1]Squirrel SQL Export 1'!F:F,'[1]Squirrel SQL Export 1'!AG:AG),IF(_xlpm.r=0,"",_xlpm.r))</f>
        <v/>
      </c>
    </row>
    <row r="74" spans="1:39" x14ac:dyDescent="0.2">
      <c r="A74" s="2">
        <v>71</v>
      </c>
      <c r="B74" s="2" t="s">
        <v>51</v>
      </c>
      <c r="C74" s="2" t="s">
        <v>409</v>
      </c>
      <c r="D74" s="2" t="s">
        <v>410</v>
      </c>
      <c r="E74" s="2" t="s">
        <v>54</v>
      </c>
      <c r="F74" s="2" t="s">
        <v>55</v>
      </c>
      <c r="J74" s="2" t="s">
        <v>71</v>
      </c>
      <c r="K74" s="2" t="s">
        <v>146</v>
      </c>
      <c r="O74" s="2" t="s">
        <v>45</v>
      </c>
      <c r="P74" s="2" t="s">
        <v>88</v>
      </c>
      <c r="Q74" s="2" t="s">
        <v>411</v>
      </c>
      <c r="W74" s="2" t="str">
        <f>_xlfn.LET(_xlpm.r, _xlfn.XLOOKUP(MappingGuide[[#This Row],[Description]],'[1]Squirrel SQL Export 1'!D:D,'[1]Squirrel SQL Export 1'!AC:AC),IF(_xlpm.r=0,"",_xlpm.r))</f>
        <v/>
      </c>
      <c r="AA74" s="2" t="s">
        <v>412</v>
      </c>
      <c r="AC74" s="2"/>
      <c r="AE74" s="2" t="str" cm="1">
        <f t="array" ref="AE74">_xlfn.LET(_xlpm.r, _xlfn.XLOOKUP(MappingGuide[[#This Row],[ColumnName]] &amp; "|" &amp; MappingGuide[[#This Row],[Description]],'[1]Squirrel SQL Export 1'!C:C &amp; "|" &amp;'[1]Squirrel SQL Export 1'!D:D,'[1]Squirrel SQL Export 1'!Z:Z),IF(_xlpm.r=0,"",_xlpm.r))</f>
        <v>no</v>
      </c>
      <c r="AF74" s="3" t="s">
        <v>1309</v>
      </c>
      <c r="AG74" s="3" t="s">
        <v>101</v>
      </c>
      <c r="AI74" s="2" t="str">
        <f>_xlfn.LET(_xlpm.r, _xlfn.XLOOKUP(MappingGuide[[#This Row],[Description]],'[1]Squirrel SQL Export 1'!D:D,'[1]Squirrel SQL Export 1'!Y:Y),IF(_xlpm.r=0,"",_xlpm.r))</f>
        <v>As discussed with Dee/Angie on 01/07, this is not needed</v>
      </c>
      <c r="AK74" s="2" t="str">
        <f>_xlfn.LET(_xlpm.r, _xlfn.XLOOKUP(MappingGuide[[#This Row],[Description]],'[1]Squirrel SQL Export 1'!D:D,'[1]Squirrel SQL Export 1'!AE:AE),IF(_xlpm.r=0,"",_xlpm.r))</f>
        <v>This appears to be an M3 only attribute.</v>
      </c>
      <c r="AL74" s="3" t="str">
        <f>_xlfn.LET(_xlpm.r, _xlfn.XLOOKUP(MappingGuide[[#This Row],[DataType]],'[1]Squirrel SQL Export 1'!E:E,'[1]Squirrel SQL Export 1'!AF:AF),IF(_xlpm.r=0,"",_xlpm.r))</f>
        <v/>
      </c>
      <c r="AM74" s="2" t="str">
        <f>_xlfn.LET(_xlpm.r, _xlfn.XLOOKUP(MappingGuide[[#This Row],[Length]],'[1]Squirrel SQL Export 1'!F:F,'[1]Squirrel SQL Export 1'!AG:AG),IF(_xlpm.r=0,"",_xlpm.r))</f>
        <v/>
      </c>
    </row>
    <row r="75" spans="1:39" x14ac:dyDescent="0.2">
      <c r="A75" s="2">
        <v>72</v>
      </c>
      <c r="B75" s="2" t="s">
        <v>51</v>
      </c>
      <c r="C75" s="2" t="s">
        <v>413</v>
      </c>
      <c r="D75" s="2" t="s">
        <v>414</v>
      </c>
      <c r="E75" s="2" t="s">
        <v>43</v>
      </c>
      <c r="F75" s="2" t="s">
        <v>407</v>
      </c>
      <c r="J75" s="2" t="s">
        <v>71</v>
      </c>
      <c r="K75" s="2" t="s">
        <v>146</v>
      </c>
      <c r="O75" s="2" t="s">
        <v>45</v>
      </c>
      <c r="P75" s="2" t="s">
        <v>88</v>
      </c>
      <c r="Q75" s="2" t="s">
        <v>415</v>
      </c>
      <c r="W75" s="2" t="str">
        <f>_xlfn.LET(_xlpm.r, _xlfn.XLOOKUP(MappingGuide[[#This Row],[Description]],'[1]Squirrel SQL Export 1'!D:D,'[1]Squirrel SQL Export 1'!AC:AC),IF(_xlpm.r=0,"",_xlpm.r))</f>
        <v/>
      </c>
      <c r="AA75" s="2" t="s">
        <v>416</v>
      </c>
      <c r="AC75" s="2" t="s">
        <v>417</v>
      </c>
      <c r="AE75" s="2" t="str" cm="1">
        <f t="array" ref="AE75">_xlfn.LET(_xlpm.r, _xlfn.XLOOKUP(MappingGuide[[#This Row],[ColumnName]] &amp; "|" &amp; MappingGuide[[#This Row],[Description]],'[1]Squirrel SQL Export 1'!C:C &amp; "|" &amp;'[1]Squirrel SQL Export 1'!D:D,'[1]Squirrel SQL Export 1'!Z:Z),IF(_xlpm.r=0,"",_xlpm.r))</f>
        <v>no</v>
      </c>
      <c r="AF75" s="3" t="s">
        <v>1309</v>
      </c>
      <c r="AG75" s="3" t="s">
        <v>101</v>
      </c>
      <c r="AI75" s="2" t="str">
        <f>_xlfn.LET(_xlpm.r, _xlfn.XLOOKUP(MappingGuide[[#This Row],[Description]],'[1]Squirrel SQL Export 1'!D:D,'[1]Squirrel SQL Export 1'!Y:Y),IF(_xlpm.r=0,"",_xlpm.r))</f>
        <v>Not used</v>
      </c>
      <c r="AK75" s="2" t="str">
        <f>_xlfn.LET(_xlpm.r, _xlfn.XLOOKUP(MappingGuide[[#This Row],[Description]],'[1]Squirrel SQL Export 1'!D:D,'[1]Squirrel SQL Export 1'!AE:AE),IF(_xlpm.r=0,"",_xlpm.r))</f>
        <v/>
      </c>
      <c r="AL75" s="3" t="str">
        <f>_xlfn.LET(_xlpm.r, _xlfn.XLOOKUP(MappingGuide[[#This Row],[DataType]],'[1]Squirrel SQL Export 1'!E:E,'[1]Squirrel SQL Export 1'!AF:AF),IF(_xlpm.r=0,"",_xlpm.r))</f>
        <v>No</v>
      </c>
      <c r="AM75" s="2" t="str">
        <f>_xlfn.LET(_xlpm.r, _xlfn.XLOOKUP(MappingGuide[[#This Row],[Length]],'[1]Squirrel SQL Export 1'!F:F,'[1]Squirrel SQL Export 1'!AG:AG),IF(_xlpm.r=0,"",_xlpm.r))</f>
        <v/>
      </c>
    </row>
    <row r="76" spans="1:39" x14ac:dyDescent="0.2">
      <c r="A76" s="2">
        <v>73</v>
      </c>
      <c r="B76" s="2" t="s">
        <v>51</v>
      </c>
      <c r="C76" s="2" t="s">
        <v>418</v>
      </c>
      <c r="D76" s="2" t="s">
        <v>419</v>
      </c>
      <c r="E76" s="2" t="s">
        <v>54</v>
      </c>
      <c r="F76" s="2" t="s">
        <v>96</v>
      </c>
      <c r="J76" s="2" t="s">
        <v>71</v>
      </c>
      <c r="K76" s="2" t="s">
        <v>146</v>
      </c>
      <c r="O76" s="2" t="s">
        <v>45</v>
      </c>
      <c r="P76" s="2" t="s">
        <v>88</v>
      </c>
      <c r="Q76" s="2" t="s">
        <v>420</v>
      </c>
      <c r="W76" s="2" t="str">
        <f>_xlfn.LET(_xlpm.r, _xlfn.XLOOKUP(MappingGuide[[#This Row],[Description]],'[1]Squirrel SQL Export 1'!D:D,'[1]Squirrel SQL Export 1'!AC:AC),IF(_xlpm.r=0,"",_xlpm.r))</f>
        <v/>
      </c>
      <c r="AA76" s="2" t="s">
        <v>421</v>
      </c>
      <c r="AB76" s="2" t="s">
        <v>422</v>
      </c>
      <c r="AC76" s="2"/>
      <c r="AE76" s="2" t="str" cm="1">
        <f t="array" ref="AE76">_xlfn.LET(_xlpm.r, _xlfn.XLOOKUP(MappingGuide[[#This Row],[ColumnName]] &amp; "|" &amp; MappingGuide[[#This Row],[Description]],'[1]Squirrel SQL Export 1'!C:C &amp; "|" &amp;'[1]Squirrel SQL Export 1'!D:D,'[1]Squirrel SQL Export 1'!Z:Z),IF(_xlpm.r=0,"",_xlpm.r))</f>
        <v>yes</v>
      </c>
      <c r="AF76" s="3" t="s">
        <v>1309</v>
      </c>
      <c r="AG76" s="3" t="s">
        <v>101</v>
      </c>
      <c r="AI76" s="2" t="str">
        <f>_xlfn.LET(_xlpm.r, _xlfn.XLOOKUP(MappingGuide[[#This Row],[Description]],'[1]Squirrel SQL Export 1'!D:D,'[1]Squirrel SQL Export 1'!Y:Y),IF(_xlpm.r=0,"",_xlpm.r))</f>
        <v>This is self explanatory</v>
      </c>
      <c r="AK76" s="2" t="str">
        <f>_xlfn.LET(_xlpm.r, _xlfn.XLOOKUP(MappingGuide[[#This Row],[Description]],'[1]Squirrel SQL Export 1'!D:D,'[1]Squirrel SQL Export 1'!AE:AE),IF(_xlpm.r=0,"",_xlpm.r))</f>
        <v>This appears to be an M3 only attribute.</v>
      </c>
      <c r="AL76" s="3" t="str">
        <f>_xlfn.LET(_xlpm.r, _xlfn.XLOOKUP(MappingGuide[[#This Row],[DataType]],'[1]Squirrel SQL Export 1'!E:E,'[1]Squirrel SQL Export 1'!AF:AF),IF(_xlpm.r=0,"",_xlpm.r))</f>
        <v/>
      </c>
      <c r="AM76" s="2" t="str">
        <f>_xlfn.LET(_xlpm.r, _xlfn.XLOOKUP(MappingGuide[[#This Row],[Length]],'[1]Squirrel SQL Export 1'!F:F,'[1]Squirrel SQL Export 1'!AG:AG),IF(_xlpm.r=0,"",_xlpm.r))</f>
        <v>Type</v>
      </c>
    </row>
    <row r="77" spans="1:39" x14ac:dyDescent="0.2">
      <c r="A77" s="2">
        <v>74</v>
      </c>
      <c r="B77" s="2" t="s">
        <v>51</v>
      </c>
      <c r="C77" s="2" t="s">
        <v>423</v>
      </c>
      <c r="D77" s="2" t="s">
        <v>424</v>
      </c>
      <c r="E77" s="2" t="s">
        <v>54</v>
      </c>
      <c r="F77" s="2" t="s">
        <v>96</v>
      </c>
      <c r="W77" s="2" t="str">
        <f>_xlfn.LET(_xlpm.r, _xlfn.XLOOKUP(MappingGuide[[#This Row],[Description]],'[1]Squirrel SQL Export 1'!D:D,'[1]Squirrel SQL Export 1'!AC:AC),IF(_xlpm.r=0,"",_xlpm.r))</f>
        <v/>
      </c>
      <c r="AC77" s="2"/>
      <c r="AE77" s="2" t="str" cm="1">
        <f t="array" ref="AE77">_xlfn.LET(_xlpm.r, _xlfn.XLOOKUP(MappingGuide[[#This Row],[ColumnName]] &amp; "|" &amp; MappingGuide[[#This Row],[Description]],'[1]Squirrel SQL Export 1'!C:C &amp; "|" &amp;'[1]Squirrel SQL Export 1'!D:D,'[1]Squirrel SQL Export 1'!Z:Z),IF(_xlpm.r=0,"",_xlpm.r))</f>
        <v>no</v>
      </c>
      <c r="AF77" s="3" t="s">
        <v>1309</v>
      </c>
      <c r="AG77" s="3" t="s">
        <v>101</v>
      </c>
      <c r="AI77" s="2" t="str">
        <f>_xlfn.LET(_xlpm.r, _xlfn.XLOOKUP(MappingGuide[[#This Row],[Description]],'[1]Squirrel SQL Export 1'!D:D,'[1]Squirrel SQL Export 1'!Y:Y),IF(_xlpm.r=0,"",_xlpm.r))</f>
        <v>As discussed with Kyle: Backorder is permitted for all, and hence, will be set up as template value
Default Value = 1</v>
      </c>
      <c r="AK77" s="2" t="str">
        <f>_xlfn.LET(_xlpm.r, _xlfn.XLOOKUP(MappingGuide[[#This Row],[Description]],'[1]Squirrel SQL Export 1'!D:D,'[1]Squirrel SQL Export 1'!AE:AE),IF(_xlpm.r=0,"",_xlpm.r))</f>
        <v>This appears to be an M3 only attribute.</v>
      </c>
      <c r="AL77" s="3" t="str">
        <f>_xlfn.LET(_xlpm.r, _xlfn.XLOOKUP(MappingGuide[[#This Row],[DataType]],'[1]Squirrel SQL Export 1'!E:E,'[1]Squirrel SQL Export 1'!AF:AF),IF(_xlpm.r=0,"",_xlpm.r))</f>
        <v/>
      </c>
      <c r="AM77" s="2" t="str">
        <f>_xlfn.LET(_xlpm.r, _xlfn.XLOOKUP(MappingGuide[[#This Row],[Length]],'[1]Squirrel SQL Export 1'!F:F,'[1]Squirrel SQL Export 1'!AG:AG),IF(_xlpm.r=0,"",_xlpm.r))</f>
        <v>Type</v>
      </c>
    </row>
    <row r="78" spans="1:39" x14ac:dyDescent="0.2">
      <c r="A78" s="2">
        <v>75</v>
      </c>
      <c r="B78" s="2" t="s">
        <v>51</v>
      </c>
      <c r="C78" s="2" t="s">
        <v>425</v>
      </c>
      <c r="D78" s="2" t="s">
        <v>426</v>
      </c>
      <c r="E78" s="2" t="s">
        <v>43</v>
      </c>
      <c r="F78" s="2" t="s">
        <v>242</v>
      </c>
      <c r="J78" s="2" t="s">
        <v>71</v>
      </c>
      <c r="K78" s="2" t="s">
        <v>146</v>
      </c>
      <c r="O78" s="2" t="s">
        <v>45</v>
      </c>
      <c r="P78" s="2" t="s">
        <v>88</v>
      </c>
      <c r="Q78" s="2" t="s">
        <v>427</v>
      </c>
      <c r="W78" s="2" t="str">
        <f>_xlfn.LET(_xlpm.r, _xlfn.XLOOKUP(MappingGuide[[#This Row],[Description]],'[1]Squirrel SQL Export 1'!D:D,'[1]Squirrel SQL Export 1'!AC:AC),IF(_xlpm.r=0,"",_xlpm.r))</f>
        <v/>
      </c>
      <c r="AA78" s="2" t="s">
        <v>428</v>
      </c>
      <c r="AC78" s="2" t="s">
        <v>429</v>
      </c>
      <c r="AE78" s="2" t="str" cm="1">
        <f t="array" ref="AE78">_xlfn.LET(_xlpm.r, _xlfn.XLOOKUP(MappingGuide[[#This Row],[ColumnName]] &amp; "|" &amp; MappingGuide[[#This Row],[Description]],'[1]Squirrel SQL Export 1'!C:C &amp; "|" &amp;'[1]Squirrel SQL Export 1'!D:D,'[1]Squirrel SQL Export 1'!Z:Z),IF(_xlpm.r=0,"",_xlpm.r))</f>
        <v>no</v>
      </c>
      <c r="AF78" s="3" t="s">
        <v>1309</v>
      </c>
      <c r="AG78" s="3" t="s">
        <v>101</v>
      </c>
      <c r="AI78" s="2" t="str">
        <f>_xlfn.LET(_xlpm.r, _xlfn.XLOOKUP(MappingGuide[[#This Row],[Description]],'[1]Squirrel SQL Export 1'!D:D,'[1]Squirrel SQL Export 1'!Y:Y),IF(_xlpm.r=0,"",_xlpm.r))</f>
        <v>Not used</v>
      </c>
      <c r="AK78" s="2" t="str">
        <f>_xlfn.LET(_xlpm.r, _xlfn.XLOOKUP(MappingGuide[[#This Row],[Description]],'[1]Squirrel SQL Export 1'!D:D,'[1]Squirrel SQL Export 1'!AE:AE),IF(_xlpm.r=0,"",_xlpm.r))</f>
        <v/>
      </c>
      <c r="AL78" s="3" t="str">
        <f>_xlfn.LET(_xlpm.r, _xlfn.XLOOKUP(MappingGuide[[#This Row],[DataType]],'[1]Squirrel SQL Export 1'!E:E,'[1]Squirrel SQL Export 1'!AF:AF),IF(_xlpm.r=0,"",_xlpm.r))</f>
        <v>No</v>
      </c>
      <c r="AM78" s="2" t="str">
        <f>_xlfn.LET(_xlpm.r, _xlfn.XLOOKUP(MappingGuide[[#This Row],[Length]],'[1]Squirrel SQL Export 1'!F:F,'[1]Squirrel SQL Export 1'!AG:AG),IF(_xlpm.r=0,"",_xlpm.r))</f>
        <v/>
      </c>
    </row>
    <row r="79" spans="1:39" x14ac:dyDescent="0.2">
      <c r="A79" s="2">
        <v>76</v>
      </c>
      <c r="B79" s="2" t="s">
        <v>51</v>
      </c>
      <c r="C79" s="2" t="s">
        <v>430</v>
      </c>
      <c r="D79" s="2" t="s">
        <v>431</v>
      </c>
      <c r="E79" s="2" t="s">
        <v>43</v>
      </c>
      <c r="F79" s="2" t="s">
        <v>242</v>
      </c>
      <c r="J79" s="2" t="s">
        <v>71</v>
      </c>
      <c r="K79" s="2" t="s">
        <v>146</v>
      </c>
      <c r="O79" s="2" t="s">
        <v>45</v>
      </c>
      <c r="P79" s="2" t="s">
        <v>88</v>
      </c>
      <c r="Q79" s="2" t="s">
        <v>432</v>
      </c>
      <c r="W79" s="2" t="str">
        <f>_xlfn.LET(_xlpm.r, _xlfn.XLOOKUP(MappingGuide[[#This Row],[Description]],'[1]Squirrel SQL Export 1'!D:D,'[1]Squirrel SQL Export 1'!AC:AC),IF(_xlpm.r=0,"",_xlpm.r))</f>
        <v/>
      </c>
      <c r="AA79" s="2" t="s">
        <v>428</v>
      </c>
      <c r="AC79" s="2"/>
      <c r="AE79" s="2" t="str" cm="1">
        <f t="array" ref="AE79">_xlfn.LET(_xlpm.r, _xlfn.XLOOKUP(MappingGuide[[#This Row],[ColumnName]] &amp; "|" &amp; MappingGuide[[#This Row],[Description]],'[1]Squirrel SQL Export 1'!C:C &amp; "|" &amp;'[1]Squirrel SQL Export 1'!D:D,'[1]Squirrel SQL Export 1'!Z:Z),IF(_xlpm.r=0,"",_xlpm.r))</f>
        <v>no</v>
      </c>
      <c r="AF79" s="3" t="s">
        <v>1309</v>
      </c>
      <c r="AG79" s="3" t="s">
        <v>101</v>
      </c>
      <c r="AI79" s="2" t="str">
        <f>_xlfn.LET(_xlpm.r, _xlfn.XLOOKUP(MappingGuide[[#This Row],[Description]],'[1]Squirrel SQL Export 1'!D:D,'[1]Squirrel SQL Export 1'!Y:Y),IF(_xlpm.r=0,"",_xlpm.r))</f>
        <v>Not used</v>
      </c>
      <c r="AK79" s="2" t="str">
        <f>_xlfn.LET(_xlpm.r, _xlfn.XLOOKUP(MappingGuide[[#This Row],[Description]],'[1]Squirrel SQL Export 1'!D:D,'[1]Squirrel SQL Export 1'!AE:AE),IF(_xlpm.r=0,"",_xlpm.r))</f>
        <v/>
      </c>
      <c r="AL79" s="3" t="str">
        <f>_xlfn.LET(_xlpm.r, _xlfn.XLOOKUP(MappingGuide[[#This Row],[DataType]],'[1]Squirrel SQL Export 1'!E:E,'[1]Squirrel SQL Export 1'!AF:AF),IF(_xlpm.r=0,"",_xlpm.r))</f>
        <v>No</v>
      </c>
      <c r="AM79" s="2" t="str">
        <f>_xlfn.LET(_xlpm.r, _xlfn.XLOOKUP(MappingGuide[[#This Row],[Length]],'[1]Squirrel SQL Export 1'!F:F,'[1]Squirrel SQL Export 1'!AG:AG),IF(_xlpm.r=0,"",_xlpm.r))</f>
        <v/>
      </c>
    </row>
    <row r="80" spans="1:39" x14ac:dyDescent="0.2">
      <c r="A80" s="2">
        <v>77</v>
      </c>
      <c r="B80" s="2" t="s">
        <v>51</v>
      </c>
      <c r="C80" s="2" t="s">
        <v>433</v>
      </c>
      <c r="D80" s="2" t="s">
        <v>434</v>
      </c>
      <c r="E80" s="2" t="s">
        <v>43</v>
      </c>
      <c r="F80" s="2" t="s">
        <v>70</v>
      </c>
      <c r="J80" s="2" t="s">
        <v>71</v>
      </c>
      <c r="K80" s="2" t="s">
        <v>146</v>
      </c>
      <c r="O80" s="2" t="s">
        <v>45</v>
      </c>
      <c r="P80" s="2" t="s">
        <v>88</v>
      </c>
      <c r="Q80" s="2" t="s">
        <v>435</v>
      </c>
      <c r="W80" s="2" t="str">
        <f>_xlfn.LET(_xlpm.r, _xlfn.XLOOKUP(MappingGuide[[#This Row],[Description]],'[1]Squirrel SQL Export 1'!D:D,'[1]Squirrel SQL Export 1'!AC:AC),IF(_xlpm.r=0,"",_xlpm.r))</f>
        <v/>
      </c>
      <c r="AA80" s="2" t="s">
        <v>290</v>
      </c>
      <c r="AC80" s="2" t="s">
        <v>436</v>
      </c>
      <c r="AE80" s="2" t="str" cm="1">
        <f t="array" ref="AE80">_xlfn.LET(_xlpm.r, _xlfn.XLOOKUP(MappingGuide[[#This Row],[ColumnName]] &amp; "|" &amp; MappingGuide[[#This Row],[Description]],'[1]Squirrel SQL Export 1'!C:C &amp; "|" &amp;'[1]Squirrel SQL Export 1'!D:D,'[1]Squirrel SQL Export 1'!Z:Z),IF(_xlpm.r=0,"",_xlpm.r))</f>
        <v>no</v>
      </c>
      <c r="AF80" s="3" t="s">
        <v>1309</v>
      </c>
      <c r="AG80" s="3" t="s">
        <v>101</v>
      </c>
      <c r="AI80" s="2" t="str">
        <f>_xlfn.LET(_xlpm.r, _xlfn.XLOOKUP(MappingGuide[[#This Row],[Description]],'[1]Squirrel SQL Export 1'!D:D,'[1]Squirrel SQL Export 1'!Y:Y),IF(_xlpm.r=0,"",_xlpm.r))</f>
        <v>Athar: This is needed in M3, but we will pass default value = BLANK using template.</v>
      </c>
      <c r="AK80" s="2" t="str">
        <f>_xlfn.LET(_xlpm.r, _xlfn.XLOOKUP(MappingGuide[[#This Row],[Description]],'[1]Squirrel SQL Export 1'!D:D,'[1]Squirrel SQL Export 1'!AE:AE),IF(_xlpm.r=0,"",_xlpm.r))</f>
        <v/>
      </c>
      <c r="AL80" s="3" t="str">
        <f>_xlfn.LET(_xlpm.r, _xlfn.XLOOKUP(MappingGuide[[#This Row],[DataType]],'[1]Squirrel SQL Export 1'!E:E,'[1]Squirrel SQL Export 1'!AF:AF),IF(_xlpm.r=0,"",_xlpm.r))</f>
        <v>No</v>
      </c>
      <c r="AM80" s="2" t="str">
        <f>_xlfn.LET(_xlpm.r, _xlfn.XLOOKUP(MappingGuide[[#This Row],[Length]],'[1]Squirrel SQL Export 1'!F:F,'[1]Squirrel SQL Export 1'!AG:AG),IF(_xlpm.r=0,"",_xlpm.r))</f>
        <v>Status</v>
      </c>
    </row>
    <row r="81" spans="1:39" x14ac:dyDescent="0.2">
      <c r="A81" s="2">
        <v>78</v>
      </c>
      <c r="B81" s="2" t="s">
        <v>51</v>
      </c>
      <c r="C81" s="2" t="s">
        <v>437</v>
      </c>
      <c r="D81" s="2" t="s">
        <v>438</v>
      </c>
      <c r="E81" s="2" t="s">
        <v>43</v>
      </c>
      <c r="F81" s="2" t="s">
        <v>55</v>
      </c>
      <c r="J81" s="2" t="s">
        <v>71</v>
      </c>
      <c r="K81" s="2" t="s">
        <v>146</v>
      </c>
      <c r="O81" s="2" t="s">
        <v>45</v>
      </c>
      <c r="P81" s="2" t="s">
        <v>88</v>
      </c>
      <c r="Q81" s="2" t="s">
        <v>439</v>
      </c>
      <c r="W81" s="2" t="str">
        <f>_xlfn.LET(_xlpm.r, _xlfn.XLOOKUP(MappingGuide[[#This Row],[Description]],'[1]Squirrel SQL Export 1'!D:D,'[1]Squirrel SQL Export 1'!AC:AC),IF(_xlpm.r=0,"",_xlpm.r))</f>
        <v/>
      </c>
      <c r="AA81" s="2" t="s">
        <v>440</v>
      </c>
      <c r="AC81" s="2" t="s">
        <v>441</v>
      </c>
      <c r="AE81" s="2" t="str" cm="1">
        <f t="array" ref="AE81">_xlfn.LET(_xlpm.r, _xlfn.XLOOKUP(MappingGuide[[#This Row],[ColumnName]] &amp; "|" &amp; MappingGuide[[#This Row],[Description]],'[1]Squirrel SQL Export 1'!C:C &amp; "|" &amp;'[1]Squirrel SQL Export 1'!D:D,'[1]Squirrel SQL Export 1'!Z:Z),IF(_xlpm.r=0,"",_xlpm.r))</f>
        <v>yes</v>
      </c>
      <c r="AF81" s="3" t="s">
        <v>1309</v>
      </c>
      <c r="AG81" s="3" t="s">
        <v>101</v>
      </c>
      <c r="AI81" s="2" t="str">
        <f>_xlfn.LET(_xlpm.r, _xlfn.XLOOKUP(MappingGuide[[#This Row],[Description]],'[1]Squirrel SQL Export 1'!D:D,'[1]Squirrel SQL Export 1'!Y:Y),IF(_xlpm.r=0,"",_xlpm.r))</f>
        <v>This helps maintain what all documents does a customer get</v>
      </c>
      <c r="AK81" s="2" t="str">
        <f>_xlfn.LET(_xlpm.r, _xlfn.XLOOKUP(MappingGuide[[#This Row],[Description]],'[1]Squirrel SQL Export 1'!D:D,'[1]Squirrel SQL Export 1'!AE:AE),IF(_xlpm.r=0,"",_xlpm.r))</f>
        <v>Need further discussions on what data is required for this attribute</v>
      </c>
      <c r="AL81" s="3" t="str">
        <f>_xlfn.LET(_xlpm.r, _xlfn.XLOOKUP(MappingGuide[[#This Row],[DataType]],'[1]Squirrel SQL Export 1'!E:E,'[1]Squirrel SQL Export 1'!AF:AF),IF(_xlpm.r=0,"",_xlpm.r))</f>
        <v>No</v>
      </c>
      <c r="AM81" s="2" t="str">
        <f>_xlfn.LET(_xlpm.r, _xlfn.XLOOKUP(MappingGuide[[#This Row],[Length]],'[1]Squirrel SQL Export 1'!F:F,'[1]Squirrel SQL Export 1'!AG:AG),IF(_xlpm.r=0,"",_xlpm.r))</f>
        <v/>
      </c>
    </row>
    <row r="82" spans="1:39" x14ac:dyDescent="0.2">
      <c r="A82" s="2">
        <v>79</v>
      </c>
      <c r="B82" s="2" t="s">
        <v>51</v>
      </c>
      <c r="C82" s="2" t="s">
        <v>442</v>
      </c>
      <c r="D82" s="2" t="s">
        <v>443</v>
      </c>
      <c r="E82" s="2" t="s">
        <v>54</v>
      </c>
      <c r="F82" s="2" t="s">
        <v>96</v>
      </c>
      <c r="J82" s="2" t="s">
        <v>71</v>
      </c>
      <c r="K82" s="2" t="s">
        <v>444</v>
      </c>
      <c r="O82" s="2" t="s">
        <v>45</v>
      </c>
      <c r="P82" s="2" t="s">
        <v>168</v>
      </c>
      <c r="Q82" s="2" t="s">
        <v>445</v>
      </c>
      <c r="W82" s="2" t="str">
        <f>_xlfn.LET(_xlpm.r, _xlfn.XLOOKUP(MappingGuide[[#This Row],[Description]],'[1]Squirrel SQL Export 1'!D:D,'[1]Squirrel SQL Export 1'!AC:AC),IF(_xlpm.r=0,"",_xlpm.r))</f>
        <v/>
      </c>
      <c r="AA82" s="2" t="s">
        <v>446</v>
      </c>
      <c r="AC82" s="2"/>
      <c r="AE82" s="2" t="str" cm="1">
        <f t="array" ref="AE82">_xlfn.LET(_xlpm.r, _xlfn.XLOOKUP(MappingGuide[[#This Row],[ColumnName]] &amp; "|" &amp; MappingGuide[[#This Row],[Description]],'[1]Squirrel SQL Export 1'!C:C &amp; "|" &amp;'[1]Squirrel SQL Export 1'!D:D,'[1]Squirrel SQL Export 1'!Z:Z),IF(_xlpm.r=0,"",_xlpm.r))</f>
        <v>no</v>
      </c>
      <c r="AF82" s="3" t="s">
        <v>1309</v>
      </c>
      <c r="AG82" s="3" t="s">
        <v>101</v>
      </c>
      <c r="AI82" s="2" t="str">
        <f>_xlfn.LET(_xlpm.r, _xlfn.XLOOKUP(MappingGuide[[#This Row],[Description]],'[1]Squirrel SQL Export 1'!D:D,'[1]Squirrel SQL Export 1'!Y:Y),IF(_xlpm.r=0,"",_xlpm.r))</f>
        <v>This is needed in M3, but we will set value using template</v>
      </c>
      <c r="AK82" s="2" t="str">
        <f>_xlfn.LET(_xlpm.r, _xlfn.XLOOKUP(MappingGuide[[#This Row],[Description]],'[1]Squirrel SQL Export 1'!D:D,'[1]Squirrel SQL Export 1'!AE:AE),IF(_xlpm.r=0,"",_xlpm.r))</f>
        <v/>
      </c>
      <c r="AL82" s="3" t="str">
        <f>_xlfn.LET(_xlpm.r, _xlfn.XLOOKUP(MappingGuide[[#This Row],[DataType]],'[1]Squirrel SQL Export 1'!E:E,'[1]Squirrel SQL Export 1'!AF:AF),IF(_xlpm.r=0,"",_xlpm.r))</f>
        <v/>
      </c>
      <c r="AM82" s="2" t="str">
        <f>_xlfn.LET(_xlpm.r, _xlfn.XLOOKUP(MappingGuide[[#This Row],[Length]],'[1]Squirrel SQL Export 1'!F:F,'[1]Squirrel SQL Export 1'!AG:AG),IF(_xlpm.r=0,"",_xlpm.r))</f>
        <v>Type</v>
      </c>
    </row>
    <row r="83" spans="1:39" x14ac:dyDescent="0.2">
      <c r="A83" s="2">
        <v>80</v>
      </c>
      <c r="B83" s="2" t="s">
        <v>51</v>
      </c>
      <c r="C83" s="2" t="s">
        <v>447</v>
      </c>
      <c r="D83" s="2" t="s">
        <v>448</v>
      </c>
      <c r="E83" s="2" t="s">
        <v>43</v>
      </c>
      <c r="F83" s="2" t="s">
        <v>55</v>
      </c>
      <c r="J83" s="2" t="s">
        <v>71</v>
      </c>
      <c r="K83" s="2" t="s">
        <v>444</v>
      </c>
      <c r="L83" s="2" t="s">
        <v>48</v>
      </c>
      <c r="O83" s="2" t="s">
        <v>45</v>
      </c>
      <c r="P83" s="2" t="s">
        <v>168</v>
      </c>
      <c r="Q83" s="2" t="s">
        <v>449</v>
      </c>
      <c r="W83" s="2" t="str">
        <f>_xlfn.LET(_xlpm.r, _xlfn.XLOOKUP(MappingGuide[[#This Row],[Description]],'[1]Squirrel SQL Export 1'!D:D,'[1]Squirrel SQL Export 1'!AC:AC),IF(_xlpm.r=0,"",_xlpm.r))</f>
        <v/>
      </c>
      <c r="AA83" s="2" t="s">
        <v>450</v>
      </c>
      <c r="AC83" s="2" t="s">
        <v>451</v>
      </c>
      <c r="AE83" s="2" t="str" cm="1">
        <f t="array" ref="AE83">_xlfn.LET(_xlpm.r, _xlfn.XLOOKUP(MappingGuide[[#This Row],[ColumnName]] &amp; "|" &amp; MappingGuide[[#This Row],[Description]],'[1]Squirrel SQL Export 1'!C:C &amp; "|" &amp;'[1]Squirrel SQL Export 1'!D:D,'[1]Squirrel SQL Export 1'!Z:Z),IF(_xlpm.r=0,"",_xlpm.r))</f>
        <v>no</v>
      </c>
      <c r="AF83" s="3" t="s">
        <v>1309</v>
      </c>
      <c r="AG83" s="3" t="s">
        <v>101</v>
      </c>
      <c r="AI83" s="2" t="str">
        <f>_xlfn.LET(_xlpm.r, _xlfn.XLOOKUP(MappingGuide[[#This Row],[Description]],'[1]Squirrel SQL Export 1'!D:D,'[1]Squirrel SQL Export 1'!Y:Y),IF(_xlpm.r=0,"",_xlpm.r))</f>
        <v>This is needed in M3, but we will set value using template</v>
      </c>
      <c r="AK83" s="2" t="str">
        <f>_xlfn.LET(_xlpm.r, _xlfn.XLOOKUP(MappingGuide[[#This Row],[Description]],'[1]Squirrel SQL Export 1'!D:D,'[1]Squirrel SQL Export 1'!AE:AE),IF(_xlpm.r=0,"",_xlpm.r))</f>
        <v/>
      </c>
      <c r="AL83" s="3" t="str">
        <f>_xlfn.LET(_xlpm.r, _xlfn.XLOOKUP(MappingGuide[[#This Row],[DataType]],'[1]Squirrel SQL Export 1'!E:E,'[1]Squirrel SQL Export 1'!AF:AF),IF(_xlpm.r=0,"",_xlpm.r))</f>
        <v>No</v>
      </c>
      <c r="AM83" s="2" t="str">
        <f>_xlfn.LET(_xlpm.r, _xlfn.XLOOKUP(MappingGuide[[#This Row],[Length]],'[1]Squirrel SQL Export 1'!F:F,'[1]Squirrel SQL Export 1'!AG:AG),IF(_xlpm.r=0,"",_xlpm.r))</f>
        <v/>
      </c>
    </row>
    <row r="84" spans="1:39" x14ac:dyDescent="0.2">
      <c r="A84" s="2">
        <v>81</v>
      </c>
      <c r="B84" s="2" t="s">
        <v>51</v>
      </c>
      <c r="C84" s="2" t="s">
        <v>452</v>
      </c>
      <c r="D84" s="2" t="s">
        <v>453</v>
      </c>
      <c r="E84" s="2" t="s">
        <v>54</v>
      </c>
      <c r="F84" s="2" t="s">
        <v>96</v>
      </c>
      <c r="J84" s="2" t="s">
        <v>71</v>
      </c>
      <c r="K84" s="2" t="s">
        <v>444</v>
      </c>
      <c r="L84" s="2" t="s">
        <v>48</v>
      </c>
      <c r="O84" s="2" t="s">
        <v>45</v>
      </c>
      <c r="P84" s="2" t="s">
        <v>168</v>
      </c>
      <c r="Q84" s="2" t="s">
        <v>454</v>
      </c>
      <c r="W84" s="2" t="str">
        <f>_xlfn.LET(_xlpm.r, _xlfn.XLOOKUP(MappingGuide[[#This Row],[Description]],'[1]Squirrel SQL Export 1'!D:D,'[1]Squirrel SQL Export 1'!AC:AC),IF(_xlpm.r=0,"",_xlpm.r))</f>
        <v/>
      </c>
      <c r="AA84" s="2" t="s">
        <v>455</v>
      </c>
      <c r="AC84" s="2"/>
      <c r="AE84" s="2" t="str" cm="1">
        <f t="array" ref="AE84">_xlfn.LET(_xlpm.r, _xlfn.XLOOKUP(MappingGuide[[#This Row],[ColumnName]] &amp; "|" &amp; MappingGuide[[#This Row],[Description]],'[1]Squirrel SQL Export 1'!C:C &amp; "|" &amp;'[1]Squirrel SQL Export 1'!D:D,'[1]Squirrel SQL Export 1'!Z:Z),IF(_xlpm.r=0,"",_xlpm.r))</f>
        <v>no</v>
      </c>
      <c r="AF84" s="3" t="s">
        <v>1309</v>
      </c>
      <c r="AG84" s="3" t="s">
        <v>101</v>
      </c>
      <c r="AI84" s="2" t="str">
        <f>_xlfn.LET(_xlpm.r, _xlfn.XLOOKUP(MappingGuide[[#This Row],[Description]],'[1]Squirrel SQL Export 1'!D:D,'[1]Squirrel SQL Export 1'!Y:Y),IF(_xlpm.r=0,"",_xlpm.r))</f>
        <v>Not used</v>
      </c>
      <c r="AK84" s="2" t="str">
        <f>_xlfn.LET(_xlpm.r, _xlfn.XLOOKUP(MappingGuide[[#This Row],[Description]],'[1]Squirrel SQL Export 1'!D:D,'[1]Squirrel SQL Export 1'!AE:AE),IF(_xlpm.r=0,"",_xlpm.r))</f>
        <v/>
      </c>
      <c r="AL84" s="3" t="str">
        <f>_xlfn.LET(_xlpm.r, _xlfn.XLOOKUP(MappingGuide[[#This Row],[DataType]],'[1]Squirrel SQL Export 1'!E:E,'[1]Squirrel SQL Export 1'!AF:AF),IF(_xlpm.r=0,"",_xlpm.r))</f>
        <v/>
      </c>
      <c r="AM84" s="2" t="str">
        <f>_xlfn.LET(_xlpm.r, _xlfn.XLOOKUP(MappingGuide[[#This Row],[Length]],'[1]Squirrel SQL Export 1'!F:F,'[1]Squirrel SQL Export 1'!AG:AG),IF(_xlpm.r=0,"",_xlpm.r))</f>
        <v>Type</v>
      </c>
    </row>
    <row r="85" spans="1:39" x14ac:dyDescent="0.2">
      <c r="A85" s="2">
        <v>82</v>
      </c>
      <c r="B85" s="2" t="s">
        <v>51</v>
      </c>
      <c r="C85" s="2" t="s">
        <v>456</v>
      </c>
      <c r="D85" s="2" t="s">
        <v>457</v>
      </c>
      <c r="E85" s="2" t="s">
        <v>54</v>
      </c>
      <c r="F85" s="2" t="s">
        <v>96</v>
      </c>
      <c r="J85" s="2" t="s">
        <v>71</v>
      </c>
      <c r="K85" s="2" t="s">
        <v>444</v>
      </c>
      <c r="O85" s="2" t="s">
        <v>45</v>
      </c>
      <c r="P85" s="2" t="s">
        <v>168</v>
      </c>
      <c r="Q85" s="2" t="s">
        <v>458</v>
      </c>
      <c r="W85" s="2" t="str">
        <f>_xlfn.LET(_xlpm.r, _xlfn.XLOOKUP(MappingGuide[[#This Row],[Description]],'[1]Squirrel SQL Export 1'!D:D,'[1]Squirrel SQL Export 1'!AC:AC),IF(_xlpm.r=0,"",_xlpm.r))</f>
        <v>1</v>
      </c>
      <c r="AA85" s="2" t="s">
        <v>459</v>
      </c>
      <c r="AE85" s="2" t="str" cm="1">
        <f t="array" ref="AE85">_xlfn.LET(_xlpm.r, _xlfn.XLOOKUP(MappingGuide[[#This Row],[ColumnName]] &amp; "|" &amp; MappingGuide[[#This Row],[Description]],'[1]Squirrel SQL Export 1'!C:C &amp; "|" &amp;'[1]Squirrel SQL Export 1'!D:D,'[1]Squirrel SQL Export 1'!Z:Z),IF(_xlpm.r=0,"",_xlpm.r))</f>
        <v>no</v>
      </c>
      <c r="AF85" s="3" t="s">
        <v>1309</v>
      </c>
      <c r="AG85" s="3" t="s">
        <v>48</v>
      </c>
      <c r="AH85" s="2" t="s">
        <v>96</v>
      </c>
      <c r="AI85" s="2" t="str">
        <f>_xlfn.LET(_xlpm.r, _xlfn.XLOOKUP(MappingGuide[[#This Row],[Description]],'[1]Squirrel SQL Export 1'!D:D,'[1]Squirrel SQL Export 1'!Y:Y),IF(_xlpm.r=0,"",_xlpm.r))</f>
        <v>This is needed in M3, but we will set value using template</v>
      </c>
      <c r="AK85" s="2" t="str">
        <f>_xlfn.LET(_xlpm.r, _xlfn.XLOOKUP(MappingGuide[[#This Row],[Description]],'[1]Squirrel SQL Export 1'!D:D,'[1]Squirrel SQL Export 1'!AE:AE),IF(_xlpm.r=0,"",_xlpm.r))</f>
        <v/>
      </c>
      <c r="AL85" s="3" t="str">
        <f>_xlfn.LET(_xlpm.r, _xlfn.XLOOKUP(MappingGuide[[#This Row],[DataType]],'[1]Squirrel SQL Export 1'!E:E,'[1]Squirrel SQL Export 1'!AF:AF),IF(_xlpm.r=0,"",_xlpm.r))</f>
        <v/>
      </c>
      <c r="AM85" s="2" t="str">
        <f>_xlfn.LET(_xlpm.r, _xlfn.XLOOKUP(MappingGuide[[#This Row],[Length]],'[1]Squirrel SQL Export 1'!F:F,'[1]Squirrel SQL Export 1'!AG:AG),IF(_xlpm.r=0,"",_xlpm.r))</f>
        <v>Type</v>
      </c>
    </row>
    <row r="86" spans="1:39" x14ac:dyDescent="0.2">
      <c r="A86" s="2">
        <v>83</v>
      </c>
      <c r="B86" s="2" t="s">
        <v>51</v>
      </c>
      <c r="C86" s="2" t="s">
        <v>460</v>
      </c>
      <c r="D86" s="2" t="s">
        <v>461</v>
      </c>
      <c r="E86" s="2" t="s">
        <v>43</v>
      </c>
      <c r="F86" s="2" t="s">
        <v>55</v>
      </c>
      <c r="J86" s="2" t="s">
        <v>71</v>
      </c>
      <c r="K86" s="2" t="s">
        <v>444</v>
      </c>
      <c r="L86" s="2" t="s">
        <v>48</v>
      </c>
      <c r="O86" s="2" t="s">
        <v>45</v>
      </c>
      <c r="P86" s="2" t="s">
        <v>168</v>
      </c>
      <c r="Q86" s="2" t="s">
        <v>462</v>
      </c>
      <c r="W86" s="2" t="str">
        <f>_xlfn.LET(_xlpm.r, _xlfn.XLOOKUP(MappingGuide[[#This Row],[Description]],'[1]Squirrel SQL Export 1'!D:D,'[1]Squirrel SQL Export 1'!AC:AC),IF(_xlpm.r=0,"",_xlpm.r))</f>
        <v>Z01</v>
      </c>
      <c r="AA86" s="2" t="s">
        <v>463</v>
      </c>
      <c r="AC86" s="3" t="s">
        <v>464</v>
      </c>
      <c r="AE86" s="2" t="str" cm="1">
        <f t="array" ref="AE86">_xlfn.LET(_xlpm.r, _xlfn.XLOOKUP(MappingGuide[[#This Row],[ColumnName]] &amp; "|" &amp; MappingGuide[[#This Row],[Description]],'[1]Squirrel SQL Export 1'!C:C &amp; "|" &amp;'[1]Squirrel SQL Export 1'!D:D,'[1]Squirrel SQL Export 1'!Z:Z),IF(_xlpm.r=0,"",_xlpm.r))</f>
        <v>no</v>
      </c>
      <c r="AF86" s="3" t="s">
        <v>1309</v>
      </c>
      <c r="AG86" s="3" t="s">
        <v>48</v>
      </c>
      <c r="AH86" s="2" t="s">
        <v>465</v>
      </c>
      <c r="AI86" s="2" t="str">
        <f>_xlfn.LET(_xlpm.r, _xlfn.XLOOKUP(MappingGuide[[#This Row],[Description]],'[1]Squirrel SQL Export 1'!D:D,'[1]Squirrel SQL Export 1'!Y:Y),IF(_xlpm.r=0,"",_xlpm.r))</f>
        <v>This is needed in M3, but we will set value using template</v>
      </c>
      <c r="AK86" s="2" t="str">
        <f>_xlfn.LET(_xlpm.r, _xlfn.XLOOKUP(MappingGuide[[#This Row],[Description]],'[1]Squirrel SQL Export 1'!D:D,'[1]Squirrel SQL Export 1'!AE:AE),IF(_xlpm.r=0,"",_xlpm.r))</f>
        <v/>
      </c>
      <c r="AL86" s="3" t="str">
        <f>_xlfn.LET(_xlpm.r, _xlfn.XLOOKUP(MappingGuide[[#This Row],[DataType]],'[1]Squirrel SQL Export 1'!E:E,'[1]Squirrel SQL Export 1'!AF:AF),IF(_xlpm.r=0,"",_xlpm.r))</f>
        <v>No</v>
      </c>
      <c r="AM86" s="2" t="str">
        <f>_xlfn.LET(_xlpm.r, _xlfn.XLOOKUP(MappingGuide[[#This Row],[Length]],'[1]Squirrel SQL Export 1'!F:F,'[1]Squirrel SQL Export 1'!AG:AG),IF(_xlpm.r=0,"",_xlpm.r))</f>
        <v/>
      </c>
    </row>
    <row r="87" spans="1:39" x14ac:dyDescent="0.2">
      <c r="A87" s="2">
        <v>84</v>
      </c>
      <c r="B87" s="2" t="s">
        <v>51</v>
      </c>
      <c r="C87" s="2" t="s">
        <v>466</v>
      </c>
      <c r="D87" s="2" t="s">
        <v>467</v>
      </c>
      <c r="E87" s="2" t="s">
        <v>54</v>
      </c>
      <c r="F87" s="2" t="s">
        <v>96</v>
      </c>
      <c r="J87" s="2" t="s">
        <v>71</v>
      </c>
      <c r="K87" s="2" t="s">
        <v>444</v>
      </c>
      <c r="O87" s="2" t="s">
        <v>45</v>
      </c>
      <c r="P87" s="2" t="s">
        <v>168</v>
      </c>
      <c r="Q87" s="2" t="s">
        <v>468</v>
      </c>
      <c r="W87" s="2" t="str">
        <f>_xlfn.LET(_xlpm.r, _xlfn.XLOOKUP(MappingGuide[[#This Row],[Description]],'[1]Squirrel SQL Export 1'!D:D,'[1]Squirrel SQL Export 1'!AC:AC),IF(_xlpm.r=0,"",_xlpm.r))</f>
        <v/>
      </c>
      <c r="AA87" s="2" t="s">
        <v>469</v>
      </c>
      <c r="AC87" s="2"/>
      <c r="AE87" s="2" t="str" cm="1">
        <f t="array" ref="AE87">_xlfn.LET(_xlpm.r, _xlfn.XLOOKUP(MappingGuide[[#This Row],[ColumnName]] &amp; "|" &amp; MappingGuide[[#This Row],[Description]],'[1]Squirrel SQL Export 1'!C:C &amp; "|" &amp;'[1]Squirrel SQL Export 1'!D:D,'[1]Squirrel SQL Export 1'!Z:Z),IF(_xlpm.r=0,"",_xlpm.r))</f>
        <v>no</v>
      </c>
      <c r="AF87" s="3" t="s">
        <v>1309</v>
      </c>
      <c r="AG87" s="3" t="s">
        <v>101</v>
      </c>
      <c r="AI87" s="2" t="str">
        <f>_xlfn.LET(_xlpm.r, _xlfn.XLOOKUP(MappingGuide[[#This Row],[Description]],'[1]Squirrel SQL Export 1'!D:D,'[1]Squirrel SQL Export 1'!Y:Y),IF(_xlpm.r=0,"",_xlpm.r))</f>
        <v>This is needed in M3, but we will set value using template</v>
      </c>
      <c r="AK87" s="2" t="str">
        <f>_xlfn.LET(_xlpm.r, _xlfn.XLOOKUP(MappingGuide[[#This Row],[Description]],'[1]Squirrel SQL Export 1'!D:D,'[1]Squirrel SQL Export 1'!AE:AE),IF(_xlpm.r=0,"",_xlpm.r))</f>
        <v/>
      </c>
      <c r="AL87" s="3" t="str">
        <f>_xlfn.LET(_xlpm.r, _xlfn.XLOOKUP(MappingGuide[[#This Row],[DataType]],'[1]Squirrel SQL Export 1'!E:E,'[1]Squirrel SQL Export 1'!AF:AF),IF(_xlpm.r=0,"",_xlpm.r))</f>
        <v/>
      </c>
      <c r="AM87" s="2" t="str">
        <f>_xlfn.LET(_xlpm.r, _xlfn.XLOOKUP(MappingGuide[[#This Row],[Length]],'[1]Squirrel SQL Export 1'!F:F,'[1]Squirrel SQL Export 1'!AG:AG),IF(_xlpm.r=0,"",_xlpm.r))</f>
        <v>Type</v>
      </c>
    </row>
    <row r="88" spans="1:39" x14ac:dyDescent="0.2">
      <c r="A88" s="2">
        <v>85</v>
      </c>
      <c r="B88" s="2" t="s">
        <v>51</v>
      </c>
      <c r="C88" s="2" t="s">
        <v>470</v>
      </c>
      <c r="D88" s="2" t="s">
        <v>471</v>
      </c>
      <c r="E88" s="2" t="s">
        <v>43</v>
      </c>
      <c r="F88" s="2" t="s">
        <v>55</v>
      </c>
      <c r="J88" s="2" t="s">
        <v>71</v>
      </c>
      <c r="K88" s="2" t="s">
        <v>444</v>
      </c>
      <c r="O88" s="2" t="s">
        <v>45</v>
      </c>
      <c r="P88" s="2" t="s">
        <v>168</v>
      </c>
      <c r="Q88" s="2" t="s">
        <v>472</v>
      </c>
      <c r="W88" s="2" t="str">
        <f>_xlfn.LET(_xlpm.r, _xlfn.XLOOKUP(MappingGuide[[#This Row],[Description]],'[1]Squirrel SQL Export 1'!D:D,'[1]Squirrel SQL Export 1'!AC:AC),IF(_xlpm.r=0,"",_xlpm.r))</f>
        <v/>
      </c>
      <c r="AA88" s="2" t="s">
        <v>473</v>
      </c>
      <c r="AC88" s="2" t="s">
        <v>474</v>
      </c>
      <c r="AE88" s="2" t="str" cm="1">
        <f t="array" ref="AE88">_xlfn.LET(_xlpm.r, _xlfn.XLOOKUP(MappingGuide[[#This Row],[ColumnName]] &amp; "|" &amp; MappingGuide[[#This Row],[Description]],'[1]Squirrel SQL Export 1'!C:C &amp; "|" &amp;'[1]Squirrel SQL Export 1'!D:D,'[1]Squirrel SQL Export 1'!Z:Z),IF(_xlpm.r=0,"",_xlpm.r))</f>
        <v>no</v>
      </c>
      <c r="AF88" s="3" t="s">
        <v>1309</v>
      </c>
      <c r="AG88" s="3" t="s">
        <v>101</v>
      </c>
      <c r="AI88" s="2" t="str">
        <f>_xlfn.LET(_xlpm.r, _xlfn.XLOOKUP(MappingGuide[[#This Row],[Description]],'[1]Squirrel SQL Export 1'!D:D,'[1]Squirrel SQL Export 1'!Y:Y),IF(_xlpm.r=0,"",_xlpm.r))</f>
        <v>This is needed in M3, but we will set value using template</v>
      </c>
      <c r="AK88" s="2" t="str">
        <f>_xlfn.LET(_xlpm.r, _xlfn.XLOOKUP(MappingGuide[[#This Row],[Description]],'[1]Squirrel SQL Export 1'!D:D,'[1]Squirrel SQL Export 1'!AE:AE),IF(_xlpm.r=0,"",_xlpm.r))</f>
        <v/>
      </c>
      <c r="AL88" s="3" t="str">
        <f>_xlfn.LET(_xlpm.r, _xlfn.XLOOKUP(MappingGuide[[#This Row],[DataType]],'[1]Squirrel SQL Export 1'!E:E,'[1]Squirrel SQL Export 1'!AF:AF),IF(_xlpm.r=0,"",_xlpm.r))</f>
        <v>No</v>
      </c>
      <c r="AM88" s="2" t="str">
        <f>_xlfn.LET(_xlpm.r, _xlfn.XLOOKUP(MappingGuide[[#This Row],[Length]],'[1]Squirrel SQL Export 1'!F:F,'[1]Squirrel SQL Export 1'!AG:AG),IF(_xlpm.r=0,"",_xlpm.r))</f>
        <v/>
      </c>
    </row>
    <row r="89" spans="1:39" x14ac:dyDescent="0.2">
      <c r="A89" s="2">
        <v>86</v>
      </c>
      <c r="B89" s="2" t="s">
        <v>51</v>
      </c>
      <c r="C89" s="2" t="s">
        <v>475</v>
      </c>
      <c r="D89" s="2" t="s">
        <v>476</v>
      </c>
      <c r="E89" s="2" t="s">
        <v>43</v>
      </c>
      <c r="F89" s="2" t="s">
        <v>55</v>
      </c>
      <c r="J89" s="2" t="s">
        <v>71</v>
      </c>
      <c r="K89" s="2" t="s">
        <v>444</v>
      </c>
      <c r="L89" s="2" t="s">
        <v>48</v>
      </c>
      <c r="O89" s="2" t="s">
        <v>45</v>
      </c>
      <c r="P89" s="2" t="s">
        <v>168</v>
      </c>
      <c r="Q89" s="2" t="s">
        <v>477</v>
      </c>
      <c r="W89" s="2" t="str">
        <f>_xlfn.LET(_xlpm.r, _xlfn.XLOOKUP(MappingGuide[[#This Row],[Description]],'[1]Squirrel SQL Export 1'!D:D,'[1]Squirrel SQL Export 1'!AC:AC),IF(_xlpm.r=0,"",_xlpm.r))</f>
        <v/>
      </c>
      <c r="AA89" s="2" t="s">
        <v>478</v>
      </c>
      <c r="AC89" s="2" t="s">
        <v>479</v>
      </c>
      <c r="AE89" s="2" t="str" cm="1">
        <f t="array" ref="AE89">_xlfn.LET(_xlpm.r, _xlfn.XLOOKUP(MappingGuide[[#This Row],[ColumnName]] &amp; "|" &amp; MappingGuide[[#This Row],[Description]],'[1]Squirrel SQL Export 1'!C:C &amp; "|" &amp;'[1]Squirrel SQL Export 1'!D:D,'[1]Squirrel SQL Export 1'!Z:Z),IF(_xlpm.r=0,"",_xlpm.r))</f>
        <v>no</v>
      </c>
      <c r="AF89" s="3" t="s">
        <v>1309</v>
      </c>
      <c r="AG89" s="3" t="s">
        <v>101</v>
      </c>
      <c r="AI89" s="2" t="str">
        <f>_xlfn.LET(_xlpm.r, _xlfn.XLOOKUP(MappingGuide[[#This Row],[Description]],'[1]Squirrel SQL Export 1'!D:D,'[1]Squirrel SQL Export 1'!Y:Y),IF(_xlpm.r=0,"",_xlpm.r))</f>
        <v>Not used</v>
      </c>
      <c r="AK89" s="2" t="str">
        <f>_xlfn.LET(_xlpm.r, _xlfn.XLOOKUP(MappingGuide[[#This Row],[Description]],'[1]Squirrel SQL Export 1'!D:D,'[1]Squirrel SQL Export 1'!AE:AE),IF(_xlpm.r=0,"",_xlpm.r))</f>
        <v/>
      </c>
      <c r="AL89" s="3" t="str">
        <f>_xlfn.LET(_xlpm.r, _xlfn.XLOOKUP(MappingGuide[[#This Row],[DataType]],'[1]Squirrel SQL Export 1'!E:E,'[1]Squirrel SQL Export 1'!AF:AF),IF(_xlpm.r=0,"",_xlpm.r))</f>
        <v>No</v>
      </c>
      <c r="AM89" s="2" t="str">
        <f>_xlfn.LET(_xlpm.r, _xlfn.XLOOKUP(MappingGuide[[#This Row],[Length]],'[1]Squirrel SQL Export 1'!F:F,'[1]Squirrel SQL Export 1'!AG:AG),IF(_xlpm.r=0,"",_xlpm.r))</f>
        <v/>
      </c>
    </row>
    <row r="90" spans="1:39" x14ac:dyDescent="0.2">
      <c r="A90" s="2">
        <v>87</v>
      </c>
      <c r="B90" s="2" t="s">
        <v>51</v>
      </c>
      <c r="C90" s="2" t="s">
        <v>480</v>
      </c>
      <c r="D90" s="2" t="s">
        <v>481</v>
      </c>
      <c r="E90" s="2" t="s">
        <v>43</v>
      </c>
      <c r="F90" s="2" t="s">
        <v>44</v>
      </c>
      <c r="J90" s="2" t="s">
        <v>71</v>
      </c>
      <c r="K90" s="2" t="s">
        <v>72</v>
      </c>
      <c r="O90" s="2" t="s">
        <v>45</v>
      </c>
      <c r="P90" s="2" t="s">
        <v>46</v>
      </c>
      <c r="Q90" s="2" t="s">
        <v>482</v>
      </c>
      <c r="T90" s="2" t="s">
        <v>483</v>
      </c>
      <c r="V90" s="2" t="s">
        <v>484</v>
      </c>
      <c r="W90" s="2" t="str">
        <f>_xlfn.LET(_xlpm.r, _xlfn.XLOOKUP(MappingGuide[[#This Row],[Description]],'[1]Squirrel SQL Export 1'!D:D,'[1]Squirrel SQL Export 1'!AC:AC),IF(_xlpm.r=0,"",_xlpm.r))</f>
        <v>22601</v>
      </c>
      <c r="AA90" s="2" t="s">
        <v>485</v>
      </c>
      <c r="AC90" s="3" t="s">
        <v>486</v>
      </c>
      <c r="AE90" s="2" t="str" cm="1">
        <f t="array" ref="AE90">_xlfn.LET(_xlpm.r, _xlfn.XLOOKUP(MappingGuide[[#This Row],[ColumnName]] &amp; "|" &amp; MappingGuide[[#This Row],[Description]],'[1]Squirrel SQL Export 1'!C:C &amp; "|" &amp;'[1]Squirrel SQL Export 1'!D:D,'[1]Squirrel SQL Export 1'!Z:Z),IF(_xlpm.r=0,"",_xlpm.r))</f>
        <v>yes</v>
      </c>
      <c r="AF90" s="3" t="s">
        <v>1309</v>
      </c>
      <c r="AG90" s="3" t="s">
        <v>48</v>
      </c>
      <c r="AH90" s="2" t="s">
        <v>487</v>
      </c>
      <c r="AI90" s="2" t="str">
        <f>_xlfn.LET(_xlpm.r, _xlfn.XLOOKUP(MappingGuide[[#This Row],[Description]],'[1]Squirrel SQL Export 1'!D:D,'[1]Squirrel SQL Export 1'!Y:Y),IF(_xlpm.r=0,"",_xlpm.r))</f>
        <v>Postal code</v>
      </c>
      <c r="AK90" s="2" t="str">
        <f>_xlfn.LET(_xlpm.r, _xlfn.XLOOKUP(MappingGuide[[#This Row],[Description]],'[1]Squirrel SQL Export 1'!D:D,'[1]Squirrel SQL Export 1'!AE:AE),IF(_xlpm.r=0,"",_xlpm.r))</f>
        <v>Need to discuss if this is mailing, shipping or billing (That goes for all Address fields).</v>
      </c>
      <c r="AL90" s="3" t="str">
        <f>_xlfn.LET(_xlpm.r, _xlfn.XLOOKUP(MappingGuide[[#This Row],[DataType]],'[1]Squirrel SQL Export 1'!E:E,'[1]Squirrel SQL Export 1'!AF:AF),IF(_xlpm.r=0,"",_xlpm.r))</f>
        <v>No</v>
      </c>
      <c r="AM90" s="2" t="str">
        <f>_xlfn.LET(_xlpm.r, _xlfn.XLOOKUP(MappingGuide[[#This Row],[Length]],'[1]Squirrel SQL Export 1'!F:F,'[1]Squirrel SQL Export 1'!AG:AG),IF(_xlpm.r=0,"",_xlpm.r))</f>
        <v/>
      </c>
    </row>
    <row r="91" spans="1:39" x14ac:dyDescent="0.2">
      <c r="A91" s="2">
        <v>88</v>
      </c>
      <c r="B91" s="2" t="s">
        <v>51</v>
      </c>
      <c r="C91" s="2" t="s">
        <v>488</v>
      </c>
      <c r="D91" s="2" t="s">
        <v>489</v>
      </c>
      <c r="E91" s="2" t="s">
        <v>54</v>
      </c>
      <c r="F91" s="2" t="s">
        <v>96</v>
      </c>
      <c r="W91" s="2" t="str">
        <f>_xlfn.LET(_xlpm.r, _xlfn.XLOOKUP(MappingGuide[[#This Row],[Description]],'[1]Squirrel SQL Export 1'!D:D,'[1]Squirrel SQL Export 1'!AC:AC),IF(_xlpm.r=0,"",_xlpm.r))</f>
        <v/>
      </c>
      <c r="AC91" s="2"/>
      <c r="AE91" s="2" t="str" cm="1">
        <f t="array" ref="AE91">_xlfn.LET(_xlpm.r, _xlfn.XLOOKUP(MappingGuide[[#This Row],[ColumnName]] &amp; "|" &amp; MappingGuide[[#This Row],[Description]],'[1]Squirrel SQL Export 1'!C:C &amp; "|" &amp;'[1]Squirrel SQL Export 1'!D:D,'[1]Squirrel SQL Export 1'!Z:Z),IF(_xlpm.r=0,"",_xlpm.r))</f>
        <v>no</v>
      </c>
      <c r="AF91" s="3" t="s">
        <v>1309</v>
      </c>
      <c r="AG91" s="3" t="s">
        <v>101</v>
      </c>
      <c r="AI91" s="2" t="str">
        <f>_xlfn.LET(_xlpm.r, _xlfn.XLOOKUP(MappingGuide[[#This Row],[Description]],'[1]Squirrel SQL Export 1'!D:D,'[1]Squirrel SQL Export 1'!Y:Y),IF(_xlpm.r=0,"",_xlpm.r))</f>
        <v>Not used</v>
      </c>
      <c r="AK91" s="2" t="str">
        <f>_xlfn.LET(_xlpm.r, _xlfn.XLOOKUP(MappingGuide[[#This Row],[Description]],'[1]Squirrel SQL Export 1'!D:D,'[1]Squirrel SQL Export 1'!AE:AE),IF(_xlpm.r=0,"",_xlpm.r))</f>
        <v/>
      </c>
      <c r="AL91" s="3" t="str">
        <f>_xlfn.LET(_xlpm.r, _xlfn.XLOOKUP(MappingGuide[[#This Row],[DataType]],'[1]Squirrel SQL Export 1'!E:E,'[1]Squirrel SQL Export 1'!AF:AF),IF(_xlpm.r=0,"",_xlpm.r))</f>
        <v/>
      </c>
      <c r="AM91" s="2" t="str">
        <f>_xlfn.LET(_xlpm.r, _xlfn.XLOOKUP(MappingGuide[[#This Row],[Length]],'[1]Squirrel SQL Export 1'!F:F,'[1]Squirrel SQL Export 1'!AG:AG),IF(_xlpm.r=0,"",_xlpm.r))</f>
        <v>Type</v>
      </c>
    </row>
    <row r="92" spans="1:39" x14ac:dyDescent="0.2">
      <c r="A92" s="2">
        <v>89</v>
      </c>
      <c r="B92" s="2" t="s">
        <v>51</v>
      </c>
      <c r="C92" s="2" t="s">
        <v>490</v>
      </c>
      <c r="D92" s="2" t="s">
        <v>491</v>
      </c>
      <c r="E92" s="2" t="s">
        <v>54</v>
      </c>
      <c r="F92" s="2" t="s">
        <v>96</v>
      </c>
      <c r="W92" s="2" t="str">
        <f>_xlfn.LET(_xlpm.r, _xlfn.XLOOKUP(MappingGuide[[#This Row],[Description]],'[1]Squirrel SQL Export 1'!D:D,'[1]Squirrel SQL Export 1'!AC:AC),IF(_xlpm.r=0,"",_xlpm.r))</f>
        <v/>
      </c>
      <c r="AC92" s="2"/>
      <c r="AE92" s="2" t="str" cm="1">
        <f t="array" ref="AE92">_xlfn.LET(_xlpm.r, _xlfn.XLOOKUP(MappingGuide[[#This Row],[ColumnName]] &amp; "|" &amp; MappingGuide[[#This Row],[Description]],'[1]Squirrel SQL Export 1'!C:C &amp; "|" &amp;'[1]Squirrel SQL Export 1'!D:D,'[1]Squirrel SQL Export 1'!Z:Z),IF(_xlpm.r=0,"",_xlpm.r))</f>
        <v>no</v>
      </c>
      <c r="AF92" s="3" t="s">
        <v>1309</v>
      </c>
      <c r="AG92" s="3" t="s">
        <v>101</v>
      </c>
      <c r="AI92" s="2" t="str">
        <f>_xlfn.LET(_xlpm.r, _xlfn.XLOOKUP(MappingGuide[[#This Row],[Description]],'[1]Squirrel SQL Export 1'!D:D,'[1]Squirrel SQL Export 1'!Y:Y),IF(_xlpm.r=0,"",_xlpm.r))</f>
        <v>Not used</v>
      </c>
      <c r="AK92" s="2" t="str">
        <f>_xlfn.LET(_xlpm.r, _xlfn.XLOOKUP(MappingGuide[[#This Row],[Description]],'[1]Squirrel SQL Export 1'!D:D,'[1]Squirrel SQL Export 1'!AE:AE),IF(_xlpm.r=0,"",_xlpm.r))</f>
        <v/>
      </c>
      <c r="AL92" s="3" t="str">
        <f>_xlfn.LET(_xlpm.r, _xlfn.XLOOKUP(MappingGuide[[#This Row],[DataType]],'[1]Squirrel SQL Export 1'!E:E,'[1]Squirrel SQL Export 1'!AF:AF),IF(_xlpm.r=0,"",_xlpm.r))</f>
        <v/>
      </c>
      <c r="AM92" s="2" t="str">
        <f>_xlfn.LET(_xlpm.r, _xlfn.XLOOKUP(MappingGuide[[#This Row],[Length]],'[1]Squirrel SQL Export 1'!F:F,'[1]Squirrel SQL Export 1'!AG:AG),IF(_xlpm.r=0,"",_xlpm.r))</f>
        <v>Type</v>
      </c>
    </row>
    <row r="93" spans="1:39" x14ac:dyDescent="0.2">
      <c r="A93" s="2">
        <v>90</v>
      </c>
      <c r="B93" s="2" t="s">
        <v>51</v>
      </c>
      <c r="C93" s="2" t="s">
        <v>492</v>
      </c>
      <c r="D93" s="2" t="s">
        <v>493</v>
      </c>
      <c r="E93" s="2" t="s">
        <v>43</v>
      </c>
      <c r="F93" s="2" t="s">
        <v>44</v>
      </c>
      <c r="J93" s="2" t="s">
        <v>71</v>
      </c>
      <c r="K93" s="2" t="s">
        <v>444</v>
      </c>
      <c r="O93" s="2" t="s">
        <v>45</v>
      </c>
      <c r="P93" s="2" t="s">
        <v>168</v>
      </c>
      <c r="Q93" s="2" t="s">
        <v>494</v>
      </c>
      <c r="W93" s="2" t="str">
        <f>_xlfn.LET(_xlpm.r, _xlfn.XLOOKUP(MappingGuide[[#This Row],[Description]],'[1]Squirrel SQL Export 1'!D:D,'[1]Squirrel SQL Export 1'!AC:AC),IF(_xlpm.r=0,"",_xlpm.r))</f>
        <v/>
      </c>
      <c r="AA93" s="2" t="s">
        <v>495</v>
      </c>
      <c r="AC93" s="2"/>
      <c r="AE93" s="2" t="str" cm="1">
        <f t="array" ref="AE93">_xlfn.LET(_xlpm.r, _xlfn.XLOOKUP(MappingGuide[[#This Row],[ColumnName]] &amp; "|" &amp; MappingGuide[[#This Row],[Description]],'[1]Squirrel SQL Export 1'!C:C &amp; "|" &amp;'[1]Squirrel SQL Export 1'!D:D,'[1]Squirrel SQL Export 1'!Z:Z),IF(_xlpm.r=0,"",_xlpm.r))</f>
        <v>no</v>
      </c>
      <c r="AF93" s="3" t="s">
        <v>1309</v>
      </c>
      <c r="AG93" s="3" t="s">
        <v>101</v>
      </c>
      <c r="AI93" s="2" t="str">
        <f>_xlfn.LET(_xlpm.r, _xlfn.XLOOKUP(MappingGuide[[#This Row],[Description]],'[1]Squirrel SQL Export 1'!D:D,'[1]Squirrel SQL Export 1'!Y:Y),IF(_xlpm.r=0,"",_xlpm.r))</f>
        <v>Not used</v>
      </c>
      <c r="AK93" s="2" t="str">
        <f>_xlfn.LET(_xlpm.r, _xlfn.XLOOKUP(MappingGuide[[#This Row],[Description]],'[1]Squirrel SQL Export 1'!D:D,'[1]Squirrel SQL Export 1'!AE:AE),IF(_xlpm.r=0,"",_xlpm.r))</f>
        <v/>
      </c>
      <c r="AL93" s="3" t="str">
        <f>_xlfn.LET(_xlpm.r, _xlfn.XLOOKUP(MappingGuide[[#This Row],[DataType]],'[1]Squirrel SQL Export 1'!E:E,'[1]Squirrel SQL Export 1'!AF:AF),IF(_xlpm.r=0,"",_xlpm.r))</f>
        <v>No</v>
      </c>
      <c r="AM93" s="2" t="str">
        <f>_xlfn.LET(_xlpm.r, _xlfn.XLOOKUP(MappingGuide[[#This Row],[Length]],'[1]Squirrel SQL Export 1'!F:F,'[1]Squirrel SQL Export 1'!AG:AG),IF(_xlpm.r=0,"",_xlpm.r))</f>
        <v/>
      </c>
    </row>
    <row r="94" spans="1:39" x14ac:dyDescent="0.2">
      <c r="A94" s="2">
        <v>91</v>
      </c>
      <c r="B94" s="2" t="s">
        <v>51</v>
      </c>
      <c r="C94" s="2" t="s">
        <v>496</v>
      </c>
      <c r="D94" s="2" t="s">
        <v>497</v>
      </c>
      <c r="E94" s="2" t="s">
        <v>54</v>
      </c>
      <c r="F94" s="2" t="s">
        <v>96</v>
      </c>
      <c r="W94" s="2" t="str">
        <f>_xlfn.LET(_xlpm.r, _xlfn.XLOOKUP(MappingGuide[[#This Row],[Description]],'[1]Squirrel SQL Export 1'!D:D,'[1]Squirrel SQL Export 1'!AC:AC),IF(_xlpm.r=0,"",_xlpm.r))</f>
        <v/>
      </c>
      <c r="AC94" s="2"/>
      <c r="AE94" s="2" t="str" cm="1">
        <f t="array" ref="AE94">_xlfn.LET(_xlpm.r, _xlfn.XLOOKUP(MappingGuide[[#This Row],[ColumnName]] &amp; "|" &amp; MappingGuide[[#This Row],[Description]],'[1]Squirrel SQL Export 1'!C:C &amp; "|" &amp;'[1]Squirrel SQL Export 1'!D:D,'[1]Squirrel SQL Export 1'!Z:Z),IF(_xlpm.r=0,"",_xlpm.r))</f>
        <v>no</v>
      </c>
      <c r="AF94" s="3" t="s">
        <v>1309</v>
      </c>
      <c r="AG94" s="3" t="s">
        <v>101</v>
      </c>
      <c r="AI94" s="2" t="str">
        <f>_xlfn.LET(_xlpm.r, _xlfn.XLOOKUP(MappingGuide[[#This Row],[Description]],'[1]Squirrel SQL Export 1'!D:D,'[1]Squirrel SQL Export 1'!Y:Y),IF(_xlpm.r=0,"",_xlpm.r))</f>
        <v>Not used</v>
      </c>
      <c r="AK94" s="2" t="str">
        <f>_xlfn.LET(_xlpm.r, _xlfn.XLOOKUP(MappingGuide[[#This Row],[Description]],'[1]Squirrel SQL Export 1'!D:D,'[1]Squirrel SQL Export 1'!AE:AE),IF(_xlpm.r=0,"",_xlpm.r))</f>
        <v/>
      </c>
      <c r="AL94" s="3" t="str">
        <f>_xlfn.LET(_xlpm.r, _xlfn.XLOOKUP(MappingGuide[[#This Row],[DataType]],'[1]Squirrel SQL Export 1'!E:E,'[1]Squirrel SQL Export 1'!AF:AF),IF(_xlpm.r=0,"",_xlpm.r))</f>
        <v/>
      </c>
      <c r="AM94" s="2" t="str">
        <f>_xlfn.LET(_xlpm.r, _xlfn.XLOOKUP(MappingGuide[[#This Row],[Length]],'[1]Squirrel SQL Export 1'!F:F,'[1]Squirrel SQL Export 1'!AG:AG),IF(_xlpm.r=0,"",_xlpm.r))</f>
        <v>Type</v>
      </c>
    </row>
    <row r="95" spans="1:39" x14ac:dyDescent="0.2">
      <c r="A95" s="2">
        <v>92</v>
      </c>
      <c r="B95" s="2" t="s">
        <v>51</v>
      </c>
      <c r="C95" s="2" t="s">
        <v>498</v>
      </c>
      <c r="D95" s="2" t="s">
        <v>499</v>
      </c>
      <c r="E95" s="2" t="s">
        <v>54</v>
      </c>
      <c r="F95" s="2" t="s">
        <v>96</v>
      </c>
      <c r="W95" s="2" t="str">
        <f>_xlfn.LET(_xlpm.r, _xlfn.XLOOKUP(MappingGuide[[#This Row],[Description]],'[1]Squirrel SQL Export 1'!D:D,'[1]Squirrel SQL Export 1'!AC:AC),IF(_xlpm.r=0,"",_xlpm.r))</f>
        <v/>
      </c>
      <c r="AC95" s="2"/>
      <c r="AE95" s="2" t="str" cm="1">
        <f t="array" ref="AE95">_xlfn.LET(_xlpm.r, _xlfn.XLOOKUP(MappingGuide[[#This Row],[ColumnName]] &amp; "|" &amp; MappingGuide[[#This Row],[Description]],'[1]Squirrel SQL Export 1'!C:C &amp; "|" &amp;'[1]Squirrel SQL Export 1'!D:D,'[1]Squirrel SQL Export 1'!Z:Z),IF(_xlpm.r=0,"",_xlpm.r))</f>
        <v>no</v>
      </c>
      <c r="AF95" s="3" t="s">
        <v>1309</v>
      </c>
      <c r="AG95" s="3" t="s">
        <v>101</v>
      </c>
      <c r="AI95" s="2" t="str">
        <f>_xlfn.LET(_xlpm.r, _xlfn.XLOOKUP(MappingGuide[[#This Row],[Description]],'[1]Squirrel SQL Export 1'!D:D,'[1]Squirrel SQL Export 1'!Y:Y),IF(_xlpm.r=0,"",_xlpm.r))</f>
        <v>Not used</v>
      </c>
      <c r="AK95" s="2" t="str">
        <f>_xlfn.LET(_xlpm.r, _xlfn.XLOOKUP(MappingGuide[[#This Row],[Description]],'[1]Squirrel SQL Export 1'!D:D,'[1]Squirrel SQL Export 1'!AE:AE),IF(_xlpm.r=0,"",_xlpm.r))</f>
        <v/>
      </c>
      <c r="AL95" s="3" t="str">
        <f>_xlfn.LET(_xlpm.r, _xlfn.XLOOKUP(MappingGuide[[#This Row],[DataType]],'[1]Squirrel SQL Export 1'!E:E,'[1]Squirrel SQL Export 1'!AF:AF),IF(_xlpm.r=0,"",_xlpm.r))</f>
        <v/>
      </c>
      <c r="AM95" s="2" t="str">
        <f>_xlfn.LET(_xlpm.r, _xlfn.XLOOKUP(MappingGuide[[#This Row],[Length]],'[1]Squirrel SQL Export 1'!F:F,'[1]Squirrel SQL Export 1'!AG:AG),IF(_xlpm.r=0,"",_xlpm.r))</f>
        <v>Type</v>
      </c>
    </row>
    <row r="96" spans="1:39" x14ac:dyDescent="0.2">
      <c r="A96" s="2">
        <v>93</v>
      </c>
      <c r="B96" s="2" t="s">
        <v>51</v>
      </c>
      <c r="C96" s="2" t="s">
        <v>500</v>
      </c>
      <c r="D96" s="2" t="s">
        <v>501</v>
      </c>
      <c r="E96" s="2" t="s">
        <v>54</v>
      </c>
      <c r="F96" s="2" t="s">
        <v>96</v>
      </c>
      <c r="W96" s="2" t="str">
        <f>_xlfn.LET(_xlpm.r, _xlfn.XLOOKUP(MappingGuide[[#This Row],[Description]],'[1]Squirrel SQL Export 1'!D:D,'[1]Squirrel SQL Export 1'!AC:AC),IF(_xlpm.r=0,"",_xlpm.r))</f>
        <v/>
      </c>
      <c r="AC96" s="2"/>
      <c r="AE96" s="2" t="str" cm="1">
        <f t="array" ref="AE96">_xlfn.LET(_xlpm.r, _xlfn.XLOOKUP(MappingGuide[[#This Row],[ColumnName]] &amp; "|" &amp; MappingGuide[[#This Row],[Description]],'[1]Squirrel SQL Export 1'!C:C &amp; "|" &amp;'[1]Squirrel SQL Export 1'!D:D,'[1]Squirrel SQL Export 1'!Z:Z),IF(_xlpm.r=0,"",_xlpm.r))</f>
        <v>no</v>
      </c>
      <c r="AF96" s="3" t="s">
        <v>1309</v>
      </c>
      <c r="AG96" s="3" t="s">
        <v>101</v>
      </c>
      <c r="AI96" s="2" t="str">
        <f>_xlfn.LET(_xlpm.r, _xlfn.XLOOKUP(MappingGuide[[#This Row],[Description]],'[1]Squirrel SQL Export 1'!D:D,'[1]Squirrel SQL Export 1'!Y:Y),IF(_xlpm.r=0,"",_xlpm.r))</f>
        <v>Not used</v>
      </c>
      <c r="AK96" s="2" t="str">
        <f>_xlfn.LET(_xlpm.r, _xlfn.XLOOKUP(MappingGuide[[#This Row],[Description]],'[1]Squirrel SQL Export 1'!D:D,'[1]Squirrel SQL Export 1'!AE:AE),IF(_xlpm.r=0,"",_xlpm.r))</f>
        <v/>
      </c>
      <c r="AL96" s="3" t="str">
        <f>_xlfn.LET(_xlpm.r, _xlfn.XLOOKUP(MappingGuide[[#This Row],[DataType]],'[1]Squirrel SQL Export 1'!E:E,'[1]Squirrel SQL Export 1'!AF:AF),IF(_xlpm.r=0,"",_xlpm.r))</f>
        <v/>
      </c>
      <c r="AM96" s="2" t="str">
        <f>_xlfn.LET(_xlpm.r, _xlfn.XLOOKUP(MappingGuide[[#This Row],[Length]],'[1]Squirrel SQL Export 1'!F:F,'[1]Squirrel SQL Export 1'!AG:AG),IF(_xlpm.r=0,"",_xlpm.r))</f>
        <v>Type</v>
      </c>
    </row>
    <row r="97" spans="1:39" x14ac:dyDescent="0.2">
      <c r="A97" s="2">
        <v>94</v>
      </c>
      <c r="B97" s="2" t="s">
        <v>51</v>
      </c>
      <c r="C97" s="2" t="s">
        <v>502</v>
      </c>
      <c r="D97" s="2" t="s">
        <v>503</v>
      </c>
      <c r="E97" s="2" t="s">
        <v>54</v>
      </c>
      <c r="F97" s="2" t="s">
        <v>96</v>
      </c>
      <c r="O97" s="2" t="s">
        <v>45</v>
      </c>
      <c r="P97" s="2" t="s">
        <v>46</v>
      </c>
      <c r="Q97" s="2" t="s">
        <v>504</v>
      </c>
      <c r="T97" s="2" t="s">
        <v>505</v>
      </c>
      <c r="W97" s="2" t="str">
        <f>_xlfn.LET(_xlpm.r, _xlfn.XLOOKUP(MappingGuide[[#This Row],[Description]],'[1]Squirrel SQL Export 1'!D:D,'[1]Squirrel SQL Export 1'!AC:AC),IF(_xlpm.r=0,"",_xlpm.r))</f>
        <v/>
      </c>
      <c r="AC97" s="2" t="s">
        <v>506</v>
      </c>
      <c r="AE97" s="2" t="str" cm="1">
        <f t="array" ref="AE97">_xlfn.LET(_xlpm.r, _xlfn.XLOOKUP(MappingGuide[[#This Row],[ColumnName]] &amp; "|" &amp; MappingGuide[[#This Row],[Description]],'[1]Squirrel SQL Export 1'!C:C &amp; "|" &amp;'[1]Squirrel SQL Export 1'!D:D,'[1]Squirrel SQL Export 1'!Z:Z),IF(_xlpm.r=0,"",_xlpm.r))</f>
        <v>no</v>
      </c>
      <c r="AF97" s="3" t="s">
        <v>1309</v>
      </c>
      <c r="AG97" s="3" t="s">
        <v>101</v>
      </c>
      <c r="AI97" s="2" t="str">
        <f>_xlfn.LET(_xlpm.r, _xlfn.XLOOKUP(MappingGuide[[#This Row],[Description]],'[1]Squirrel SQL Export 1'!D:D,'[1]Squirrel SQL Export 1'!Y:Y),IF(_xlpm.r=0,"",_xlpm.r))</f>
        <v>Not used</v>
      </c>
      <c r="AK97" s="2" t="str">
        <f>_xlfn.LET(_xlpm.r, _xlfn.XLOOKUP(MappingGuide[[#This Row],[Description]],'[1]Squirrel SQL Export 1'!D:D,'[1]Squirrel SQL Export 1'!AE:AE),IF(_xlpm.r=0,"",_xlpm.r))</f>
        <v/>
      </c>
      <c r="AL97" s="3" t="str">
        <f>_xlfn.LET(_xlpm.r, _xlfn.XLOOKUP(MappingGuide[[#This Row],[DataType]],'[1]Squirrel SQL Export 1'!E:E,'[1]Squirrel SQL Export 1'!AF:AF),IF(_xlpm.r=0,"",_xlpm.r))</f>
        <v/>
      </c>
      <c r="AM97" s="2" t="str">
        <f>_xlfn.LET(_xlpm.r, _xlfn.XLOOKUP(MappingGuide[[#This Row],[Length]],'[1]Squirrel SQL Export 1'!F:F,'[1]Squirrel SQL Export 1'!AG:AG),IF(_xlpm.r=0,"",_xlpm.r))</f>
        <v>Type</v>
      </c>
    </row>
    <row r="98" spans="1:39" x14ac:dyDescent="0.2">
      <c r="A98" s="2">
        <v>95</v>
      </c>
      <c r="B98" s="2" t="s">
        <v>51</v>
      </c>
      <c r="C98" s="2" t="s">
        <v>507</v>
      </c>
      <c r="D98" s="2" t="s">
        <v>508</v>
      </c>
      <c r="E98" s="2" t="s">
        <v>54</v>
      </c>
      <c r="F98" s="2" t="s">
        <v>96</v>
      </c>
      <c r="W98" s="2" t="str">
        <f>_xlfn.LET(_xlpm.r, _xlfn.XLOOKUP(MappingGuide[[#This Row],[Description]],'[1]Squirrel SQL Export 1'!D:D,'[1]Squirrel SQL Export 1'!AC:AC),IF(_xlpm.r=0,"",_xlpm.r))</f>
        <v/>
      </c>
      <c r="AC98" s="2"/>
      <c r="AE98" s="2" t="str" cm="1">
        <f t="array" ref="AE98">_xlfn.LET(_xlpm.r, _xlfn.XLOOKUP(MappingGuide[[#This Row],[ColumnName]] &amp; "|" &amp; MappingGuide[[#This Row],[Description]],'[1]Squirrel SQL Export 1'!C:C &amp; "|" &amp;'[1]Squirrel SQL Export 1'!D:D,'[1]Squirrel SQL Export 1'!Z:Z),IF(_xlpm.r=0,"",_xlpm.r))</f>
        <v>no</v>
      </c>
      <c r="AF98" s="3" t="s">
        <v>1309</v>
      </c>
      <c r="AG98" s="3" t="s">
        <v>101</v>
      </c>
      <c r="AI98" s="2" t="str">
        <f>_xlfn.LET(_xlpm.r, _xlfn.XLOOKUP(MappingGuide[[#This Row],[Description]],'[1]Squirrel SQL Export 1'!D:D,'[1]Squirrel SQL Export 1'!Y:Y),IF(_xlpm.r=0,"",_xlpm.r))</f>
        <v>Not used</v>
      </c>
      <c r="AK98" s="2" t="str">
        <f>_xlfn.LET(_xlpm.r, _xlfn.XLOOKUP(MappingGuide[[#This Row],[Description]],'[1]Squirrel SQL Export 1'!D:D,'[1]Squirrel SQL Export 1'!AE:AE),IF(_xlpm.r=0,"",_xlpm.r))</f>
        <v/>
      </c>
      <c r="AL98" s="3" t="str">
        <f>_xlfn.LET(_xlpm.r, _xlfn.XLOOKUP(MappingGuide[[#This Row],[DataType]],'[1]Squirrel SQL Export 1'!E:E,'[1]Squirrel SQL Export 1'!AF:AF),IF(_xlpm.r=0,"",_xlpm.r))</f>
        <v/>
      </c>
      <c r="AM98" s="2" t="str">
        <f>_xlfn.LET(_xlpm.r, _xlfn.XLOOKUP(MappingGuide[[#This Row],[Length]],'[1]Squirrel SQL Export 1'!F:F,'[1]Squirrel SQL Export 1'!AG:AG),IF(_xlpm.r=0,"",_xlpm.r))</f>
        <v>Type</v>
      </c>
    </row>
    <row r="99" spans="1:39" x14ac:dyDescent="0.2">
      <c r="A99" s="2">
        <v>96</v>
      </c>
      <c r="B99" s="2" t="s">
        <v>51</v>
      </c>
      <c r="C99" s="2" t="s">
        <v>509</v>
      </c>
      <c r="D99" s="2" t="s">
        <v>510</v>
      </c>
      <c r="E99" s="2" t="s">
        <v>54</v>
      </c>
      <c r="F99" s="2" t="s">
        <v>96</v>
      </c>
      <c r="W99" s="2" t="str">
        <f>_xlfn.LET(_xlpm.r, _xlfn.XLOOKUP(MappingGuide[[#This Row],[Description]],'[1]Squirrel SQL Export 1'!D:D,'[1]Squirrel SQL Export 1'!AC:AC),IF(_xlpm.r=0,"",_xlpm.r))</f>
        <v/>
      </c>
      <c r="AC99" s="2"/>
      <c r="AE99" s="2" t="str" cm="1">
        <f t="array" ref="AE99">_xlfn.LET(_xlpm.r, _xlfn.XLOOKUP(MappingGuide[[#This Row],[ColumnName]] &amp; "|" &amp; MappingGuide[[#This Row],[Description]],'[1]Squirrel SQL Export 1'!C:C &amp; "|" &amp;'[1]Squirrel SQL Export 1'!D:D,'[1]Squirrel SQL Export 1'!Z:Z),IF(_xlpm.r=0,"",_xlpm.r))</f>
        <v>no</v>
      </c>
      <c r="AF99" s="3" t="s">
        <v>1309</v>
      </c>
      <c r="AG99" s="3" t="s">
        <v>101</v>
      </c>
      <c r="AI99" s="2" t="str">
        <f>_xlfn.LET(_xlpm.r, _xlfn.XLOOKUP(MappingGuide[[#This Row],[Description]],'[1]Squirrel SQL Export 1'!D:D,'[1]Squirrel SQL Export 1'!Y:Y),IF(_xlpm.r=0,"",_xlpm.r))</f>
        <v>Not used</v>
      </c>
      <c r="AK99" s="2" t="str">
        <f>_xlfn.LET(_xlpm.r, _xlfn.XLOOKUP(MappingGuide[[#This Row],[Description]],'[1]Squirrel SQL Export 1'!D:D,'[1]Squirrel SQL Export 1'!AE:AE),IF(_xlpm.r=0,"",_xlpm.r))</f>
        <v/>
      </c>
      <c r="AL99" s="3" t="str">
        <f>_xlfn.LET(_xlpm.r, _xlfn.XLOOKUP(MappingGuide[[#This Row],[DataType]],'[1]Squirrel SQL Export 1'!E:E,'[1]Squirrel SQL Export 1'!AF:AF),IF(_xlpm.r=0,"",_xlpm.r))</f>
        <v/>
      </c>
      <c r="AM99" s="2" t="str">
        <f>_xlfn.LET(_xlpm.r, _xlfn.XLOOKUP(MappingGuide[[#This Row],[Length]],'[1]Squirrel SQL Export 1'!F:F,'[1]Squirrel SQL Export 1'!AG:AG),IF(_xlpm.r=0,"",_xlpm.r))</f>
        <v>Type</v>
      </c>
    </row>
    <row r="100" spans="1:39" x14ac:dyDescent="0.2">
      <c r="A100" s="2">
        <v>97</v>
      </c>
      <c r="B100" s="2" t="s">
        <v>51</v>
      </c>
      <c r="C100" s="2" t="s">
        <v>511</v>
      </c>
      <c r="D100" s="2" t="s">
        <v>512</v>
      </c>
      <c r="E100" s="2" t="s">
        <v>54</v>
      </c>
      <c r="F100" s="2" t="s">
        <v>96</v>
      </c>
      <c r="W100" s="2" t="str">
        <f>_xlfn.LET(_xlpm.r, _xlfn.XLOOKUP(MappingGuide[[#This Row],[Description]],'[1]Squirrel SQL Export 1'!D:D,'[1]Squirrel SQL Export 1'!AC:AC),IF(_xlpm.r=0,"",_xlpm.r))</f>
        <v/>
      </c>
      <c r="AC100" s="2"/>
      <c r="AE100" s="2" t="str" cm="1">
        <f t="array" ref="AE100">_xlfn.LET(_xlpm.r, _xlfn.XLOOKUP(MappingGuide[[#This Row],[ColumnName]] &amp; "|" &amp; MappingGuide[[#This Row],[Description]],'[1]Squirrel SQL Export 1'!C:C &amp; "|" &amp;'[1]Squirrel SQL Export 1'!D:D,'[1]Squirrel SQL Export 1'!Z:Z),IF(_xlpm.r=0,"",_xlpm.r))</f>
        <v>no</v>
      </c>
      <c r="AF100" s="3" t="s">
        <v>1309</v>
      </c>
      <c r="AG100" s="3" t="s">
        <v>101</v>
      </c>
      <c r="AI100" s="2" t="str">
        <f>_xlfn.LET(_xlpm.r, _xlfn.XLOOKUP(MappingGuide[[#This Row],[Description]],'[1]Squirrel SQL Export 1'!D:D,'[1]Squirrel SQL Export 1'!Y:Y),IF(_xlpm.r=0,"",_xlpm.r))</f>
        <v>Not used</v>
      </c>
      <c r="AK100" s="2" t="str">
        <f>_xlfn.LET(_xlpm.r, _xlfn.XLOOKUP(MappingGuide[[#This Row],[Description]],'[1]Squirrel SQL Export 1'!D:D,'[1]Squirrel SQL Export 1'!AE:AE),IF(_xlpm.r=0,"",_xlpm.r))</f>
        <v/>
      </c>
      <c r="AL100" s="3" t="str">
        <f>_xlfn.LET(_xlpm.r, _xlfn.XLOOKUP(MappingGuide[[#This Row],[DataType]],'[1]Squirrel SQL Export 1'!E:E,'[1]Squirrel SQL Export 1'!AF:AF),IF(_xlpm.r=0,"",_xlpm.r))</f>
        <v/>
      </c>
      <c r="AM100" s="2" t="str">
        <f>_xlfn.LET(_xlpm.r, _xlfn.XLOOKUP(MappingGuide[[#This Row],[Length]],'[1]Squirrel SQL Export 1'!F:F,'[1]Squirrel SQL Export 1'!AG:AG),IF(_xlpm.r=0,"",_xlpm.r))</f>
        <v>Type</v>
      </c>
    </row>
    <row r="101" spans="1:39" x14ac:dyDescent="0.2">
      <c r="A101" s="2">
        <v>98</v>
      </c>
      <c r="B101" s="2" t="s">
        <v>51</v>
      </c>
      <c r="C101" s="2" t="s">
        <v>513</v>
      </c>
      <c r="D101" s="2" t="s">
        <v>514</v>
      </c>
      <c r="E101" s="2" t="s">
        <v>43</v>
      </c>
      <c r="F101" s="2" t="s">
        <v>44</v>
      </c>
      <c r="J101" s="2" t="s">
        <v>71</v>
      </c>
      <c r="K101" s="2" t="s">
        <v>515</v>
      </c>
      <c r="O101" s="2" t="s">
        <v>45</v>
      </c>
      <c r="P101" s="2" t="s">
        <v>46</v>
      </c>
      <c r="Q101" s="2" t="s">
        <v>516</v>
      </c>
      <c r="T101" s="2" t="s">
        <v>517</v>
      </c>
      <c r="W101" s="2" t="str">
        <f>_xlfn.LET(_xlpm.r, _xlfn.XLOOKUP(MappingGuide[[#This Row],[Description]],'[1]Squirrel SQL Export 1'!D:D,'[1]Squirrel SQL Export 1'!AC:AC),IF(_xlpm.r=0,"",_xlpm.r))</f>
        <v/>
      </c>
      <c r="AA101" s="2" t="s">
        <v>518</v>
      </c>
      <c r="AC101" s="2" t="s">
        <v>519</v>
      </c>
      <c r="AE101" s="2" t="str" cm="1">
        <f t="array" ref="AE101">_xlfn.LET(_xlpm.r, _xlfn.XLOOKUP(MappingGuide[[#This Row],[ColumnName]] &amp; "|" &amp; MappingGuide[[#This Row],[Description]],'[1]Squirrel SQL Export 1'!C:C &amp; "|" &amp;'[1]Squirrel SQL Export 1'!D:D,'[1]Squirrel SQL Export 1'!Z:Z),IF(_xlpm.r=0,"",_xlpm.r))</f>
        <v>no</v>
      </c>
      <c r="AF101" s="3" t="s">
        <v>1309</v>
      </c>
      <c r="AG101" s="3" t="s">
        <v>101</v>
      </c>
      <c r="AI101" s="2" t="str">
        <f>_xlfn.LET(_xlpm.r, _xlfn.XLOOKUP(MappingGuide[[#This Row],[Description]],'[1]Squirrel SQL Export 1'!D:D,'[1]Squirrel SQL Export 1'!Y:Y),IF(_xlpm.r=0,"",_xlpm.r))</f>
        <v>We would most probably use this field for saving Legacy AR number</v>
      </c>
      <c r="AK101" s="2" t="str">
        <f>_xlfn.LET(_xlpm.r, _xlfn.XLOOKUP(MappingGuide[[#This Row],[Description]],'[1]Squirrel SQL Export 1'!D:D,'[1]Squirrel SQL Export 1'!AE:AE),IF(_xlpm.r=0,"",_xlpm.r))</f>
        <v/>
      </c>
      <c r="AL101" s="3" t="str">
        <f>_xlfn.LET(_xlpm.r, _xlfn.XLOOKUP(MappingGuide[[#This Row],[DataType]],'[1]Squirrel SQL Export 1'!E:E,'[1]Squirrel SQL Export 1'!AF:AF),IF(_xlpm.r=0,"",_xlpm.r))</f>
        <v>No</v>
      </c>
      <c r="AM101" s="2" t="str">
        <f>_xlfn.LET(_xlpm.r, _xlfn.XLOOKUP(MappingGuide[[#This Row],[Length]],'[1]Squirrel SQL Export 1'!F:F,'[1]Squirrel SQL Export 1'!AG:AG),IF(_xlpm.r=0,"",_xlpm.r))</f>
        <v/>
      </c>
    </row>
    <row r="102" spans="1:39" x14ac:dyDescent="0.2">
      <c r="A102" s="2">
        <v>99</v>
      </c>
      <c r="B102" s="2" t="s">
        <v>51</v>
      </c>
      <c r="C102" s="2" t="s">
        <v>520</v>
      </c>
      <c r="D102" s="2" t="s">
        <v>521</v>
      </c>
      <c r="E102" s="2" t="s">
        <v>54</v>
      </c>
      <c r="F102" s="2" t="s">
        <v>377</v>
      </c>
      <c r="G102" s="2" t="s">
        <v>70</v>
      </c>
      <c r="J102" s="2" t="s">
        <v>71</v>
      </c>
      <c r="K102" s="2" t="s">
        <v>515</v>
      </c>
      <c r="O102" s="2" t="s">
        <v>45</v>
      </c>
      <c r="P102" s="2" t="s">
        <v>46</v>
      </c>
      <c r="Q102" s="2" t="s">
        <v>522</v>
      </c>
      <c r="T102" s="2" t="s">
        <v>523</v>
      </c>
      <c r="W102" s="2" t="str">
        <f>_xlfn.LET(_xlpm.r, _xlfn.XLOOKUP(MappingGuide[[#This Row],[Description]],'[1]Squirrel SQL Export 1'!D:D,'[1]Squirrel SQL Export 1'!AC:AC),IF(_xlpm.r=0,"",_xlpm.r))</f>
        <v/>
      </c>
      <c r="AA102" s="2" t="s">
        <v>518</v>
      </c>
      <c r="AC102" s="2"/>
      <c r="AE102" s="2" t="str" cm="1">
        <f t="array" ref="AE102">_xlfn.LET(_xlpm.r, _xlfn.XLOOKUP(MappingGuide[[#This Row],[ColumnName]] &amp; "|" &amp; MappingGuide[[#This Row],[Description]],'[1]Squirrel SQL Export 1'!C:C &amp; "|" &amp;'[1]Squirrel SQL Export 1'!D:D,'[1]Squirrel SQL Export 1'!Z:Z),IF(_xlpm.r=0,"",_xlpm.r))</f>
        <v>no</v>
      </c>
      <c r="AF102" s="3" t="s">
        <v>1309</v>
      </c>
      <c r="AG102" s="3" t="s">
        <v>101</v>
      </c>
      <c r="AI102" s="2" t="str">
        <f>_xlfn.LET(_xlpm.r, _xlfn.XLOOKUP(MappingGuide[[#This Row],[Description]],'[1]Squirrel SQL Export 1'!D:D,'[1]Squirrel SQL Export 1'!Y:Y),IF(_xlpm.r=0,"",_xlpm.r))</f>
        <v>Not used</v>
      </c>
      <c r="AK102" s="2" t="str">
        <f>_xlfn.LET(_xlpm.r, _xlfn.XLOOKUP(MappingGuide[[#This Row],[Description]],'[1]Squirrel SQL Export 1'!D:D,'[1]Squirrel SQL Export 1'!AE:AE),IF(_xlpm.r=0,"",_xlpm.r))</f>
        <v/>
      </c>
      <c r="AL102" s="3" t="str">
        <f>_xlfn.LET(_xlpm.r, _xlfn.XLOOKUP(MappingGuide[[#This Row],[DataType]],'[1]Squirrel SQL Export 1'!E:E,'[1]Squirrel SQL Export 1'!AF:AF),IF(_xlpm.r=0,"",_xlpm.r))</f>
        <v/>
      </c>
      <c r="AM102" s="2" t="str">
        <f>_xlfn.LET(_xlpm.r, _xlfn.XLOOKUP(MappingGuide[[#This Row],[Length]],'[1]Squirrel SQL Export 1'!F:F,'[1]Squirrel SQL Export 1'!AG:AG),IF(_xlpm.r=0,"",_xlpm.r))</f>
        <v/>
      </c>
    </row>
    <row r="103" spans="1:39" x14ac:dyDescent="0.2">
      <c r="A103" s="2">
        <v>100</v>
      </c>
      <c r="B103" s="2" t="s">
        <v>51</v>
      </c>
      <c r="C103" s="2" t="s">
        <v>524</v>
      </c>
      <c r="D103" s="2" t="s">
        <v>525</v>
      </c>
      <c r="E103" s="2" t="s">
        <v>43</v>
      </c>
      <c r="F103" s="2" t="s">
        <v>55</v>
      </c>
      <c r="J103" s="2" t="s">
        <v>71</v>
      </c>
      <c r="K103" s="2" t="s">
        <v>515</v>
      </c>
      <c r="O103" s="2" t="s">
        <v>45</v>
      </c>
      <c r="P103" s="2" t="s">
        <v>46</v>
      </c>
      <c r="Q103" s="2" t="s">
        <v>526</v>
      </c>
      <c r="T103" s="2" t="s">
        <v>527</v>
      </c>
      <c r="W103" s="2" t="str">
        <f>_xlfn.LET(_xlpm.r, _xlfn.XLOOKUP(MappingGuide[[#This Row],[Description]],'[1]Squirrel SQL Export 1'!D:D,'[1]Squirrel SQL Export 1'!AC:AC),IF(_xlpm.r=0,"",_xlpm.r))</f>
        <v/>
      </c>
      <c r="AA103" s="2" t="s">
        <v>518</v>
      </c>
      <c r="AC103" s="2" t="s">
        <v>528</v>
      </c>
      <c r="AE103" s="2" t="str" cm="1">
        <f t="array" ref="AE103">_xlfn.LET(_xlpm.r, _xlfn.XLOOKUP(MappingGuide[[#This Row],[ColumnName]] &amp; "|" &amp; MappingGuide[[#This Row],[Description]],'[1]Squirrel SQL Export 1'!C:C &amp; "|" &amp;'[1]Squirrel SQL Export 1'!D:D,'[1]Squirrel SQL Export 1'!Z:Z),IF(_xlpm.r=0,"",_xlpm.r))</f>
        <v>no</v>
      </c>
      <c r="AF103" s="3" t="s">
        <v>1309</v>
      </c>
      <c r="AG103" s="3" t="s">
        <v>101</v>
      </c>
      <c r="AI103" s="2" t="str">
        <f>_xlfn.LET(_xlpm.r, _xlfn.XLOOKUP(MappingGuide[[#This Row],[Description]],'[1]Squirrel SQL Export 1'!D:D,'[1]Squirrel SQL Export 1'!Y:Y),IF(_xlpm.r=0,"",_xlpm.r))</f>
        <v>Not used</v>
      </c>
      <c r="AK103" s="2" t="str">
        <f>_xlfn.LET(_xlpm.r, _xlfn.XLOOKUP(MappingGuide[[#This Row],[Description]],'[1]Squirrel SQL Export 1'!D:D,'[1]Squirrel SQL Export 1'!AE:AE),IF(_xlpm.r=0,"",_xlpm.r))</f>
        <v/>
      </c>
      <c r="AL103" s="3" t="str">
        <f>_xlfn.LET(_xlpm.r, _xlfn.XLOOKUP(MappingGuide[[#This Row],[DataType]],'[1]Squirrel SQL Export 1'!E:E,'[1]Squirrel SQL Export 1'!AF:AF),IF(_xlpm.r=0,"",_xlpm.r))</f>
        <v>No</v>
      </c>
      <c r="AM103" s="2" t="str">
        <f>_xlfn.LET(_xlpm.r, _xlfn.XLOOKUP(MappingGuide[[#This Row],[Length]],'[1]Squirrel SQL Export 1'!F:F,'[1]Squirrel SQL Export 1'!AG:AG),IF(_xlpm.r=0,"",_xlpm.r))</f>
        <v/>
      </c>
    </row>
    <row r="104" spans="1:39" x14ac:dyDescent="0.2">
      <c r="A104" s="2">
        <v>101</v>
      </c>
      <c r="B104" s="2" t="s">
        <v>51</v>
      </c>
      <c r="C104" s="2" t="s">
        <v>529</v>
      </c>
      <c r="D104" s="2" t="s">
        <v>530</v>
      </c>
      <c r="E104" s="2" t="s">
        <v>43</v>
      </c>
      <c r="F104" s="2" t="s">
        <v>242</v>
      </c>
      <c r="J104" s="2" t="s">
        <v>71</v>
      </c>
      <c r="K104" s="2" t="s">
        <v>515</v>
      </c>
      <c r="O104" s="2" t="s">
        <v>45</v>
      </c>
      <c r="P104" s="2" t="s">
        <v>46</v>
      </c>
      <c r="Q104" s="2" t="s">
        <v>531</v>
      </c>
      <c r="T104" s="2" t="s">
        <v>532</v>
      </c>
      <c r="W104" s="2" t="str">
        <f>_xlfn.LET(_xlpm.r, _xlfn.XLOOKUP(MappingGuide[[#This Row],[Description]],'[1]Squirrel SQL Export 1'!D:D,'[1]Squirrel SQL Export 1'!AC:AC),IF(_xlpm.r=0,"",_xlpm.r))</f>
        <v/>
      </c>
      <c r="AA104" s="2" t="s">
        <v>518</v>
      </c>
      <c r="AC104" s="2" t="s">
        <v>533</v>
      </c>
      <c r="AE104" s="2" t="str" cm="1">
        <f t="array" ref="AE104">_xlfn.LET(_xlpm.r, _xlfn.XLOOKUP(MappingGuide[[#This Row],[ColumnName]] &amp; "|" &amp; MappingGuide[[#This Row],[Description]],'[1]Squirrel SQL Export 1'!C:C &amp; "|" &amp;'[1]Squirrel SQL Export 1'!D:D,'[1]Squirrel SQL Export 1'!Z:Z),IF(_xlpm.r=0,"",_xlpm.r))</f>
        <v>no</v>
      </c>
      <c r="AF104" s="3" t="s">
        <v>1309</v>
      </c>
      <c r="AG104" s="3" t="s">
        <v>101</v>
      </c>
      <c r="AI104" s="2" t="str">
        <f>_xlfn.LET(_xlpm.r, _xlfn.XLOOKUP(MappingGuide[[#This Row],[Description]],'[1]Squirrel SQL Export 1'!D:D,'[1]Squirrel SQL Export 1'!Y:Y),IF(_xlpm.r=0,"",_xlpm.r))</f>
        <v>Not used</v>
      </c>
      <c r="AK104" s="2" t="str">
        <f>_xlfn.LET(_xlpm.r, _xlfn.XLOOKUP(MappingGuide[[#This Row],[Description]],'[1]Squirrel SQL Export 1'!D:D,'[1]Squirrel SQL Export 1'!AE:AE),IF(_xlpm.r=0,"",_xlpm.r))</f>
        <v/>
      </c>
      <c r="AL104" s="3" t="str">
        <f>_xlfn.LET(_xlpm.r, _xlfn.XLOOKUP(MappingGuide[[#This Row],[DataType]],'[1]Squirrel SQL Export 1'!E:E,'[1]Squirrel SQL Export 1'!AF:AF),IF(_xlpm.r=0,"",_xlpm.r))</f>
        <v>No</v>
      </c>
      <c r="AM104" s="2" t="str">
        <f>_xlfn.LET(_xlpm.r, _xlfn.XLOOKUP(MappingGuide[[#This Row],[Length]],'[1]Squirrel SQL Export 1'!F:F,'[1]Squirrel SQL Export 1'!AG:AG),IF(_xlpm.r=0,"",_xlpm.r))</f>
        <v/>
      </c>
    </row>
    <row r="105" spans="1:39" x14ac:dyDescent="0.2">
      <c r="A105" s="2">
        <v>102</v>
      </c>
      <c r="B105" s="2" t="s">
        <v>51</v>
      </c>
      <c r="C105" s="2" t="s">
        <v>534</v>
      </c>
      <c r="D105" s="2" t="s">
        <v>535</v>
      </c>
      <c r="E105" s="2" t="s">
        <v>43</v>
      </c>
      <c r="F105" s="2" t="s">
        <v>96</v>
      </c>
      <c r="J105" s="2" t="s">
        <v>71</v>
      </c>
      <c r="K105" s="2" t="s">
        <v>515</v>
      </c>
      <c r="O105" s="2" t="s">
        <v>45</v>
      </c>
      <c r="P105" s="2" t="s">
        <v>46</v>
      </c>
      <c r="Q105" s="2" t="s">
        <v>536</v>
      </c>
      <c r="T105" s="2" t="s">
        <v>537</v>
      </c>
      <c r="W105" s="2" t="str">
        <f>_xlfn.LET(_xlpm.r, _xlfn.XLOOKUP(MappingGuide[[#This Row],[Description]],'[1]Squirrel SQL Export 1'!D:D,'[1]Squirrel SQL Export 1'!AC:AC),IF(_xlpm.r=0,"",_xlpm.r))</f>
        <v/>
      </c>
      <c r="AA105" s="2" t="s">
        <v>518</v>
      </c>
      <c r="AC105" s="2" t="s">
        <v>538</v>
      </c>
      <c r="AE105" s="2" t="str" cm="1">
        <f t="array" ref="AE105">_xlfn.LET(_xlpm.r, _xlfn.XLOOKUP(MappingGuide[[#This Row],[ColumnName]] &amp; "|" &amp; MappingGuide[[#This Row],[Description]],'[1]Squirrel SQL Export 1'!C:C &amp; "|" &amp;'[1]Squirrel SQL Export 1'!D:D,'[1]Squirrel SQL Export 1'!Z:Z),IF(_xlpm.r=0,"",_xlpm.r))</f>
        <v>no</v>
      </c>
      <c r="AF105" s="3" t="s">
        <v>1309</v>
      </c>
      <c r="AG105" s="3" t="s">
        <v>101</v>
      </c>
      <c r="AI105" s="2" t="str">
        <f>_xlfn.LET(_xlpm.r, _xlfn.XLOOKUP(MappingGuide[[#This Row],[Description]],'[1]Squirrel SQL Export 1'!D:D,'[1]Squirrel SQL Export 1'!Y:Y),IF(_xlpm.r=0,"",_xlpm.r))</f>
        <v>Not used</v>
      </c>
      <c r="AK105" s="2" t="str">
        <f>_xlfn.LET(_xlpm.r, _xlfn.XLOOKUP(MappingGuide[[#This Row],[Description]],'[1]Squirrel SQL Export 1'!D:D,'[1]Squirrel SQL Export 1'!AE:AE),IF(_xlpm.r=0,"",_xlpm.r))</f>
        <v/>
      </c>
      <c r="AL105" s="3" t="str">
        <f>_xlfn.LET(_xlpm.r, _xlfn.XLOOKUP(MappingGuide[[#This Row],[DataType]],'[1]Squirrel SQL Export 1'!E:E,'[1]Squirrel SQL Export 1'!AF:AF),IF(_xlpm.r=0,"",_xlpm.r))</f>
        <v>No</v>
      </c>
      <c r="AM105" s="2" t="str">
        <f>_xlfn.LET(_xlpm.r, _xlfn.XLOOKUP(MappingGuide[[#This Row],[Length]],'[1]Squirrel SQL Export 1'!F:F,'[1]Squirrel SQL Export 1'!AG:AG),IF(_xlpm.r=0,"",_xlpm.r))</f>
        <v>Type</v>
      </c>
    </row>
    <row r="106" spans="1:39" x14ac:dyDescent="0.2">
      <c r="A106" s="2">
        <v>103</v>
      </c>
      <c r="B106" s="2" t="s">
        <v>51</v>
      </c>
      <c r="C106" s="2" t="s">
        <v>539</v>
      </c>
      <c r="D106" s="2" t="s">
        <v>540</v>
      </c>
      <c r="E106" s="2" t="s">
        <v>43</v>
      </c>
      <c r="F106" s="2" t="s">
        <v>44</v>
      </c>
      <c r="J106" s="2" t="s">
        <v>71</v>
      </c>
      <c r="K106" s="2" t="s">
        <v>515</v>
      </c>
      <c r="O106" s="2" t="s">
        <v>45</v>
      </c>
      <c r="P106" s="2" t="s">
        <v>46</v>
      </c>
      <c r="Q106" s="2" t="s">
        <v>541</v>
      </c>
      <c r="T106" s="2" t="s">
        <v>542</v>
      </c>
      <c r="W106" s="2" t="str">
        <f>_xlfn.LET(_xlpm.r, _xlfn.XLOOKUP(MappingGuide[[#This Row],[Description]],'[1]Squirrel SQL Export 1'!D:D,'[1]Squirrel SQL Export 1'!AC:AC),IF(_xlpm.r=0,"",_xlpm.r))</f>
        <v/>
      </c>
      <c r="AA106" s="2" t="s">
        <v>518</v>
      </c>
      <c r="AC106" s="2" t="s">
        <v>543</v>
      </c>
      <c r="AE106" s="2" t="str" cm="1">
        <f t="array" ref="AE106">_xlfn.LET(_xlpm.r, _xlfn.XLOOKUP(MappingGuide[[#This Row],[ColumnName]] &amp; "|" &amp; MappingGuide[[#This Row],[Description]],'[1]Squirrel SQL Export 1'!C:C &amp; "|" &amp;'[1]Squirrel SQL Export 1'!D:D,'[1]Squirrel SQL Export 1'!Z:Z),IF(_xlpm.r=0,"",_xlpm.r))</f>
        <v>no</v>
      </c>
      <c r="AF106" s="3" t="s">
        <v>1309</v>
      </c>
      <c r="AG106" s="3" t="s">
        <v>101</v>
      </c>
      <c r="AI106" s="2" t="str">
        <f>_xlfn.LET(_xlpm.r, _xlfn.XLOOKUP(MappingGuide[[#This Row],[Description]],'[1]Squirrel SQL Export 1'!D:D,'[1]Squirrel SQL Export 1'!Y:Y),IF(_xlpm.r=0,"",_xlpm.r))</f>
        <v>Not used</v>
      </c>
      <c r="AK106" s="2" t="str">
        <f>_xlfn.LET(_xlpm.r, _xlfn.XLOOKUP(MappingGuide[[#This Row],[Description]],'[1]Squirrel SQL Export 1'!D:D,'[1]Squirrel SQL Export 1'!AE:AE),IF(_xlpm.r=0,"",_xlpm.r))</f>
        <v/>
      </c>
      <c r="AL106" s="3" t="str">
        <f>_xlfn.LET(_xlpm.r, _xlfn.XLOOKUP(MappingGuide[[#This Row],[DataType]],'[1]Squirrel SQL Export 1'!E:E,'[1]Squirrel SQL Export 1'!AF:AF),IF(_xlpm.r=0,"",_xlpm.r))</f>
        <v>No</v>
      </c>
      <c r="AM106" s="2" t="str">
        <f>_xlfn.LET(_xlpm.r, _xlfn.XLOOKUP(MappingGuide[[#This Row],[Length]],'[1]Squirrel SQL Export 1'!F:F,'[1]Squirrel SQL Export 1'!AG:AG),IF(_xlpm.r=0,"",_xlpm.r))</f>
        <v/>
      </c>
    </row>
    <row r="107" spans="1:39" x14ac:dyDescent="0.2">
      <c r="A107" s="2">
        <v>104</v>
      </c>
      <c r="B107" s="2" t="s">
        <v>51</v>
      </c>
      <c r="C107" s="2" t="s">
        <v>544</v>
      </c>
      <c r="D107" s="2" t="s">
        <v>545</v>
      </c>
      <c r="E107" s="2" t="s">
        <v>54</v>
      </c>
      <c r="F107" s="2" t="s">
        <v>377</v>
      </c>
      <c r="G107" s="2" t="s">
        <v>70</v>
      </c>
      <c r="J107" s="2" t="s">
        <v>71</v>
      </c>
      <c r="K107" s="2" t="s">
        <v>515</v>
      </c>
      <c r="O107" s="2" t="s">
        <v>45</v>
      </c>
      <c r="P107" s="2" t="s">
        <v>46</v>
      </c>
      <c r="Q107" s="2" t="s">
        <v>546</v>
      </c>
      <c r="T107" s="2" t="s">
        <v>547</v>
      </c>
      <c r="W107" s="2" t="str">
        <f>_xlfn.LET(_xlpm.r, _xlfn.XLOOKUP(MappingGuide[[#This Row],[Description]],'[1]Squirrel SQL Export 1'!D:D,'[1]Squirrel SQL Export 1'!AC:AC),IF(_xlpm.r=0,"",_xlpm.r))</f>
        <v/>
      </c>
      <c r="AA107" s="2" t="s">
        <v>518</v>
      </c>
      <c r="AC107" s="2"/>
      <c r="AE107" s="2" t="str" cm="1">
        <f t="array" ref="AE107">_xlfn.LET(_xlpm.r, _xlfn.XLOOKUP(MappingGuide[[#This Row],[ColumnName]] &amp; "|" &amp; MappingGuide[[#This Row],[Description]],'[1]Squirrel SQL Export 1'!C:C &amp; "|" &amp;'[1]Squirrel SQL Export 1'!D:D,'[1]Squirrel SQL Export 1'!Z:Z),IF(_xlpm.r=0,"",_xlpm.r))</f>
        <v>no</v>
      </c>
      <c r="AF107" s="3" t="s">
        <v>1309</v>
      </c>
      <c r="AG107" s="3" t="s">
        <v>101</v>
      </c>
      <c r="AI107" s="2" t="str">
        <f>_xlfn.LET(_xlpm.r, _xlfn.XLOOKUP(MappingGuide[[#This Row],[Description]],'[1]Squirrel SQL Export 1'!D:D,'[1]Squirrel SQL Export 1'!Y:Y),IF(_xlpm.r=0,"",_xlpm.r))</f>
        <v>Not used</v>
      </c>
      <c r="AK107" s="2" t="str">
        <f>_xlfn.LET(_xlpm.r, _xlfn.XLOOKUP(MappingGuide[[#This Row],[Description]],'[1]Squirrel SQL Export 1'!D:D,'[1]Squirrel SQL Export 1'!AE:AE),IF(_xlpm.r=0,"",_xlpm.r))</f>
        <v/>
      </c>
      <c r="AL107" s="3" t="str">
        <f>_xlfn.LET(_xlpm.r, _xlfn.XLOOKUP(MappingGuide[[#This Row],[DataType]],'[1]Squirrel SQL Export 1'!E:E,'[1]Squirrel SQL Export 1'!AF:AF),IF(_xlpm.r=0,"",_xlpm.r))</f>
        <v/>
      </c>
      <c r="AM107" s="2" t="str">
        <f>_xlfn.LET(_xlpm.r, _xlfn.XLOOKUP(MappingGuide[[#This Row],[Length]],'[1]Squirrel SQL Export 1'!F:F,'[1]Squirrel SQL Export 1'!AG:AG),IF(_xlpm.r=0,"",_xlpm.r))</f>
        <v/>
      </c>
    </row>
    <row r="108" spans="1:39" x14ac:dyDescent="0.2">
      <c r="A108" s="2">
        <v>105</v>
      </c>
      <c r="B108" s="2" t="s">
        <v>51</v>
      </c>
      <c r="C108" s="2" t="s">
        <v>548</v>
      </c>
      <c r="D108" s="2" t="s">
        <v>549</v>
      </c>
      <c r="E108" s="2" t="s">
        <v>43</v>
      </c>
      <c r="F108" s="2" t="s">
        <v>55</v>
      </c>
      <c r="J108" s="2" t="s">
        <v>71</v>
      </c>
      <c r="K108" s="2" t="s">
        <v>515</v>
      </c>
      <c r="O108" s="2" t="s">
        <v>45</v>
      </c>
      <c r="P108" s="2" t="s">
        <v>46</v>
      </c>
      <c r="Q108" s="2" t="s">
        <v>550</v>
      </c>
      <c r="T108" s="2" t="s">
        <v>551</v>
      </c>
      <c r="W108" s="2" t="str">
        <f>_xlfn.LET(_xlpm.r, _xlfn.XLOOKUP(MappingGuide[[#This Row],[Description]],'[1]Squirrel SQL Export 1'!D:D,'[1]Squirrel SQL Export 1'!AC:AC),IF(_xlpm.r=0,"",_xlpm.r))</f>
        <v/>
      </c>
      <c r="AA108" s="2" t="s">
        <v>518</v>
      </c>
      <c r="AC108" s="2" t="s">
        <v>552</v>
      </c>
      <c r="AE108" s="2" t="str" cm="1">
        <f t="array" ref="AE108">_xlfn.LET(_xlpm.r, _xlfn.XLOOKUP(MappingGuide[[#This Row],[ColumnName]] &amp; "|" &amp; MappingGuide[[#This Row],[Description]],'[1]Squirrel SQL Export 1'!C:C &amp; "|" &amp;'[1]Squirrel SQL Export 1'!D:D,'[1]Squirrel SQL Export 1'!Z:Z),IF(_xlpm.r=0,"",_xlpm.r))</f>
        <v>no</v>
      </c>
      <c r="AF108" s="3" t="s">
        <v>1309</v>
      </c>
      <c r="AG108" s="3" t="s">
        <v>101</v>
      </c>
      <c r="AI108" s="2" t="str">
        <f>_xlfn.LET(_xlpm.r, _xlfn.XLOOKUP(MappingGuide[[#This Row],[Description]],'[1]Squirrel SQL Export 1'!D:D,'[1]Squirrel SQL Export 1'!Y:Y),IF(_xlpm.r=0,"",_xlpm.r))</f>
        <v>Not used</v>
      </c>
      <c r="AK108" s="2" t="str">
        <f>_xlfn.LET(_xlpm.r, _xlfn.XLOOKUP(MappingGuide[[#This Row],[Description]],'[1]Squirrel SQL Export 1'!D:D,'[1]Squirrel SQL Export 1'!AE:AE),IF(_xlpm.r=0,"",_xlpm.r))</f>
        <v/>
      </c>
      <c r="AL108" s="3" t="str">
        <f>_xlfn.LET(_xlpm.r, _xlfn.XLOOKUP(MappingGuide[[#This Row],[DataType]],'[1]Squirrel SQL Export 1'!E:E,'[1]Squirrel SQL Export 1'!AF:AF),IF(_xlpm.r=0,"",_xlpm.r))</f>
        <v>No</v>
      </c>
      <c r="AM108" s="2" t="str">
        <f>_xlfn.LET(_xlpm.r, _xlfn.XLOOKUP(MappingGuide[[#This Row],[Length]],'[1]Squirrel SQL Export 1'!F:F,'[1]Squirrel SQL Export 1'!AG:AG),IF(_xlpm.r=0,"",_xlpm.r))</f>
        <v/>
      </c>
    </row>
    <row r="109" spans="1:39" x14ac:dyDescent="0.2">
      <c r="A109" s="2">
        <v>106</v>
      </c>
      <c r="B109" s="2" t="s">
        <v>51</v>
      </c>
      <c r="C109" s="2" t="s">
        <v>553</v>
      </c>
      <c r="D109" s="2" t="s">
        <v>554</v>
      </c>
      <c r="E109" s="2" t="s">
        <v>43</v>
      </c>
      <c r="F109" s="2" t="s">
        <v>242</v>
      </c>
      <c r="J109" s="2" t="s">
        <v>71</v>
      </c>
      <c r="K109" s="2" t="s">
        <v>515</v>
      </c>
      <c r="O109" s="2" t="s">
        <v>45</v>
      </c>
      <c r="P109" s="2" t="s">
        <v>46</v>
      </c>
      <c r="Q109" s="2" t="s">
        <v>555</v>
      </c>
      <c r="T109" s="2" t="s">
        <v>556</v>
      </c>
      <c r="W109" s="2" t="str">
        <f>_xlfn.LET(_xlpm.r, _xlfn.XLOOKUP(MappingGuide[[#This Row],[Description]],'[1]Squirrel SQL Export 1'!D:D,'[1]Squirrel SQL Export 1'!AC:AC),IF(_xlpm.r=0,"",_xlpm.r))</f>
        <v/>
      </c>
      <c r="AA109" s="2" t="s">
        <v>518</v>
      </c>
      <c r="AC109" s="2" t="s">
        <v>557</v>
      </c>
      <c r="AE109" s="2" t="str" cm="1">
        <f t="array" ref="AE109">_xlfn.LET(_xlpm.r, _xlfn.XLOOKUP(MappingGuide[[#This Row],[ColumnName]] &amp; "|" &amp; MappingGuide[[#This Row],[Description]],'[1]Squirrel SQL Export 1'!C:C &amp; "|" &amp;'[1]Squirrel SQL Export 1'!D:D,'[1]Squirrel SQL Export 1'!Z:Z),IF(_xlpm.r=0,"",_xlpm.r))</f>
        <v>no</v>
      </c>
      <c r="AF109" s="3" t="s">
        <v>1309</v>
      </c>
      <c r="AG109" s="3" t="s">
        <v>101</v>
      </c>
      <c r="AI109" s="2" t="str">
        <f>_xlfn.LET(_xlpm.r, _xlfn.XLOOKUP(MappingGuide[[#This Row],[Description]],'[1]Squirrel SQL Export 1'!D:D,'[1]Squirrel SQL Export 1'!Y:Y),IF(_xlpm.r=0,"",_xlpm.r))</f>
        <v>Not used</v>
      </c>
      <c r="AK109" s="2" t="str">
        <f>_xlfn.LET(_xlpm.r, _xlfn.XLOOKUP(MappingGuide[[#This Row],[Description]],'[1]Squirrel SQL Export 1'!D:D,'[1]Squirrel SQL Export 1'!AE:AE),IF(_xlpm.r=0,"",_xlpm.r))</f>
        <v/>
      </c>
      <c r="AL109" s="3" t="str">
        <f>_xlfn.LET(_xlpm.r, _xlfn.XLOOKUP(MappingGuide[[#This Row],[DataType]],'[1]Squirrel SQL Export 1'!E:E,'[1]Squirrel SQL Export 1'!AF:AF),IF(_xlpm.r=0,"",_xlpm.r))</f>
        <v>No</v>
      </c>
      <c r="AM109" s="2" t="str">
        <f>_xlfn.LET(_xlpm.r, _xlfn.XLOOKUP(MappingGuide[[#This Row],[Length]],'[1]Squirrel SQL Export 1'!F:F,'[1]Squirrel SQL Export 1'!AG:AG),IF(_xlpm.r=0,"",_xlpm.r))</f>
        <v/>
      </c>
    </row>
    <row r="110" spans="1:39" x14ac:dyDescent="0.2">
      <c r="A110" s="2">
        <v>107</v>
      </c>
      <c r="B110" s="2" t="s">
        <v>51</v>
      </c>
      <c r="C110" s="2" t="s">
        <v>558</v>
      </c>
      <c r="D110" s="2" t="s">
        <v>559</v>
      </c>
      <c r="E110" s="2" t="s">
        <v>43</v>
      </c>
      <c r="F110" s="2" t="s">
        <v>96</v>
      </c>
      <c r="J110" s="2" t="s">
        <v>71</v>
      </c>
      <c r="K110" s="2" t="s">
        <v>515</v>
      </c>
      <c r="O110" s="2" t="s">
        <v>45</v>
      </c>
      <c r="P110" s="2" t="s">
        <v>46</v>
      </c>
      <c r="Q110" s="2" t="s">
        <v>560</v>
      </c>
      <c r="T110" s="2" t="s">
        <v>561</v>
      </c>
      <c r="W110" s="2" t="str">
        <f>_xlfn.LET(_xlpm.r, _xlfn.XLOOKUP(MappingGuide[[#This Row],[Description]],'[1]Squirrel SQL Export 1'!D:D,'[1]Squirrel SQL Export 1'!AC:AC),IF(_xlpm.r=0,"",_xlpm.r))</f>
        <v/>
      </c>
      <c r="AA110" s="2" t="s">
        <v>518</v>
      </c>
      <c r="AC110" s="2" t="s">
        <v>562</v>
      </c>
      <c r="AE110" s="2" t="str" cm="1">
        <f t="array" ref="AE110">_xlfn.LET(_xlpm.r, _xlfn.XLOOKUP(MappingGuide[[#This Row],[ColumnName]] &amp; "|" &amp; MappingGuide[[#This Row],[Description]],'[1]Squirrel SQL Export 1'!C:C &amp; "|" &amp;'[1]Squirrel SQL Export 1'!D:D,'[1]Squirrel SQL Export 1'!Z:Z),IF(_xlpm.r=0,"",_xlpm.r))</f>
        <v>no</v>
      </c>
      <c r="AF110" s="3" t="s">
        <v>1309</v>
      </c>
      <c r="AG110" s="3" t="s">
        <v>101</v>
      </c>
      <c r="AI110" s="2" t="str">
        <f>_xlfn.LET(_xlpm.r, _xlfn.XLOOKUP(MappingGuide[[#This Row],[Description]],'[1]Squirrel SQL Export 1'!D:D,'[1]Squirrel SQL Export 1'!Y:Y),IF(_xlpm.r=0,"",_xlpm.r))</f>
        <v>Not used</v>
      </c>
      <c r="AK110" s="2" t="str">
        <f>_xlfn.LET(_xlpm.r, _xlfn.XLOOKUP(MappingGuide[[#This Row],[Description]],'[1]Squirrel SQL Export 1'!D:D,'[1]Squirrel SQL Export 1'!AE:AE),IF(_xlpm.r=0,"",_xlpm.r))</f>
        <v/>
      </c>
      <c r="AL110" s="3" t="str">
        <f>_xlfn.LET(_xlpm.r, _xlfn.XLOOKUP(MappingGuide[[#This Row],[DataType]],'[1]Squirrel SQL Export 1'!E:E,'[1]Squirrel SQL Export 1'!AF:AF),IF(_xlpm.r=0,"",_xlpm.r))</f>
        <v>No</v>
      </c>
      <c r="AM110" s="2" t="str">
        <f>_xlfn.LET(_xlpm.r, _xlfn.XLOOKUP(MappingGuide[[#This Row],[Length]],'[1]Squirrel SQL Export 1'!F:F,'[1]Squirrel SQL Export 1'!AG:AG),IF(_xlpm.r=0,"",_xlpm.r))</f>
        <v>Type</v>
      </c>
    </row>
    <row r="111" spans="1:39" x14ac:dyDescent="0.2">
      <c r="A111" s="2">
        <v>108</v>
      </c>
      <c r="B111" s="2" t="s">
        <v>51</v>
      </c>
      <c r="C111" s="2" t="s">
        <v>563</v>
      </c>
      <c r="D111" s="2" t="s">
        <v>564</v>
      </c>
      <c r="E111" s="2" t="s">
        <v>43</v>
      </c>
      <c r="F111" s="2" t="s">
        <v>407</v>
      </c>
      <c r="J111" s="2" t="s">
        <v>71</v>
      </c>
      <c r="K111" s="2" t="s">
        <v>72</v>
      </c>
      <c r="O111" s="2" t="s">
        <v>45</v>
      </c>
      <c r="P111" s="2" t="s">
        <v>565</v>
      </c>
      <c r="Q111" s="2" t="s">
        <v>566</v>
      </c>
      <c r="W111" s="2" t="str">
        <f>_xlfn.LET(_xlpm.r, _xlfn.XLOOKUP(MappingGuide[[#This Row],[Description]],'[1]Squirrel SQL Export 1'!D:D,'[1]Squirrel SQL Export 1'!AC:AC),IF(_xlpm.r=0,"",_xlpm.r))</f>
        <v/>
      </c>
      <c r="AA111" s="2" t="s">
        <v>567</v>
      </c>
      <c r="AC111" s="2"/>
      <c r="AE111" s="2" t="str" cm="1">
        <f t="array" ref="AE111">_xlfn.LET(_xlpm.r, _xlfn.XLOOKUP(MappingGuide[[#This Row],[ColumnName]] &amp; "|" &amp; MappingGuide[[#This Row],[Description]],'[1]Squirrel SQL Export 1'!C:C &amp; "|" &amp;'[1]Squirrel SQL Export 1'!D:D,'[1]Squirrel SQL Export 1'!Z:Z),IF(_xlpm.r=0,"",_xlpm.r))</f>
        <v>no</v>
      </c>
      <c r="AF111" s="3" t="s">
        <v>1309</v>
      </c>
      <c r="AG111" s="3" t="s">
        <v>101</v>
      </c>
      <c r="AI111" s="2" t="str">
        <f>_xlfn.LET(_xlpm.r, _xlfn.XLOOKUP(MappingGuide[[#This Row],[Description]],'[1]Squirrel SQL Export 1'!D:D,'[1]Squirrel SQL Export 1'!Y:Y),IF(_xlpm.r=0,"",_xlpm.r))</f>
        <v>Not used</v>
      </c>
      <c r="AK111" s="2" t="str">
        <f>_xlfn.LET(_xlpm.r, _xlfn.XLOOKUP(MappingGuide[[#This Row],[Description]],'[1]Squirrel SQL Export 1'!D:D,'[1]Squirrel SQL Export 1'!AE:AE),IF(_xlpm.r=0,"",_xlpm.r))</f>
        <v/>
      </c>
      <c r="AL111" s="3" t="str">
        <f>_xlfn.LET(_xlpm.r, _xlfn.XLOOKUP(MappingGuide[[#This Row],[DataType]],'[1]Squirrel SQL Export 1'!E:E,'[1]Squirrel SQL Export 1'!AF:AF),IF(_xlpm.r=0,"",_xlpm.r))</f>
        <v>No</v>
      </c>
      <c r="AM111" s="2" t="str">
        <f>_xlfn.LET(_xlpm.r, _xlfn.XLOOKUP(MappingGuide[[#This Row],[Length]],'[1]Squirrel SQL Export 1'!F:F,'[1]Squirrel SQL Export 1'!AG:AG),IF(_xlpm.r=0,"",_xlpm.r))</f>
        <v/>
      </c>
    </row>
    <row r="112" spans="1:39" x14ac:dyDescent="0.2">
      <c r="A112" s="2">
        <v>109</v>
      </c>
      <c r="B112" s="2" t="s">
        <v>51</v>
      </c>
      <c r="C112" s="2" t="s">
        <v>568</v>
      </c>
      <c r="D112" s="2" t="s">
        <v>569</v>
      </c>
      <c r="E112" s="2" t="s">
        <v>43</v>
      </c>
      <c r="F112" s="2" t="s">
        <v>407</v>
      </c>
      <c r="J112" s="2" t="s">
        <v>71</v>
      </c>
      <c r="K112" s="2" t="s">
        <v>72</v>
      </c>
      <c r="O112" s="2" t="s">
        <v>45</v>
      </c>
      <c r="P112" s="2" t="s">
        <v>565</v>
      </c>
      <c r="Q112" s="2" t="s">
        <v>570</v>
      </c>
      <c r="W112" s="2" t="str">
        <f>_xlfn.LET(_xlpm.r, _xlfn.XLOOKUP(MappingGuide[[#This Row],[Description]],'[1]Squirrel SQL Export 1'!D:D,'[1]Squirrel SQL Export 1'!AC:AC),IF(_xlpm.r=0,"",_xlpm.r))</f>
        <v/>
      </c>
      <c r="AA112" s="2" t="s">
        <v>571</v>
      </c>
      <c r="AC112" s="2"/>
      <c r="AE112" s="2" t="str" cm="1">
        <f t="array" ref="AE112">_xlfn.LET(_xlpm.r, _xlfn.XLOOKUP(MappingGuide[[#This Row],[ColumnName]] &amp; "|" &amp; MappingGuide[[#This Row],[Description]],'[1]Squirrel SQL Export 1'!C:C &amp; "|" &amp;'[1]Squirrel SQL Export 1'!D:D,'[1]Squirrel SQL Export 1'!Z:Z),IF(_xlpm.r=0,"",_xlpm.r))</f>
        <v>no</v>
      </c>
      <c r="AF112" s="3" t="s">
        <v>1309</v>
      </c>
      <c r="AG112" s="3" t="s">
        <v>101</v>
      </c>
      <c r="AI112" s="2" t="str">
        <f>_xlfn.LET(_xlpm.r, _xlfn.XLOOKUP(MappingGuide[[#This Row],[Description]],'[1]Squirrel SQL Export 1'!D:D,'[1]Squirrel SQL Export 1'!Y:Y),IF(_xlpm.r=0,"",_xlpm.r))</f>
        <v>Not used</v>
      </c>
      <c r="AK112" s="2" t="str">
        <f>_xlfn.LET(_xlpm.r, _xlfn.XLOOKUP(MappingGuide[[#This Row],[Description]],'[1]Squirrel SQL Export 1'!D:D,'[1]Squirrel SQL Export 1'!AE:AE),IF(_xlpm.r=0,"",_xlpm.r))</f>
        <v/>
      </c>
      <c r="AL112" s="3" t="str">
        <f>_xlfn.LET(_xlpm.r, _xlfn.XLOOKUP(MappingGuide[[#This Row],[DataType]],'[1]Squirrel SQL Export 1'!E:E,'[1]Squirrel SQL Export 1'!AF:AF),IF(_xlpm.r=0,"",_xlpm.r))</f>
        <v>No</v>
      </c>
      <c r="AM112" s="2" t="str">
        <f>_xlfn.LET(_xlpm.r, _xlfn.XLOOKUP(MappingGuide[[#This Row],[Length]],'[1]Squirrel SQL Export 1'!F:F,'[1]Squirrel SQL Export 1'!AG:AG),IF(_xlpm.r=0,"",_xlpm.r))</f>
        <v/>
      </c>
    </row>
    <row r="113" spans="1:39" x14ac:dyDescent="0.2">
      <c r="A113" s="2">
        <v>110</v>
      </c>
      <c r="B113" s="2" t="s">
        <v>51</v>
      </c>
      <c r="C113" s="2" t="s">
        <v>572</v>
      </c>
      <c r="D113" s="2" t="s">
        <v>573</v>
      </c>
      <c r="E113" s="2" t="s">
        <v>43</v>
      </c>
      <c r="F113" s="2" t="s">
        <v>44</v>
      </c>
      <c r="J113" s="2" t="s">
        <v>71</v>
      </c>
      <c r="K113" s="2" t="s">
        <v>72</v>
      </c>
      <c r="O113" s="2" t="s">
        <v>45</v>
      </c>
      <c r="P113" s="2" t="s">
        <v>565</v>
      </c>
      <c r="Q113" s="2" t="s">
        <v>574</v>
      </c>
      <c r="W113" s="2" t="str">
        <f>_xlfn.LET(_xlpm.r, _xlfn.XLOOKUP(MappingGuide[[#This Row],[Description]],'[1]Squirrel SQL Export 1'!D:D,'[1]Squirrel SQL Export 1'!AC:AC),IF(_xlpm.r=0,"",_xlpm.r))</f>
        <v>1</v>
      </c>
      <c r="AA113" s="2" t="s">
        <v>575</v>
      </c>
      <c r="AB113" s="2" t="s">
        <v>576</v>
      </c>
      <c r="AE113" s="2" t="str" cm="1">
        <f t="array" ref="AE113">_xlfn.LET(_xlpm.r, _xlfn.XLOOKUP(MappingGuide[[#This Row],[ColumnName]] &amp; "|" &amp; MappingGuide[[#This Row],[Description]],'[1]Squirrel SQL Export 1'!C:C &amp; "|" &amp;'[1]Squirrel SQL Export 1'!D:D,'[1]Squirrel SQL Export 1'!Z:Z),IF(_xlpm.r=0,"",_xlpm.r))</f>
        <v>no</v>
      </c>
      <c r="AF113" s="3" t="s">
        <v>1309</v>
      </c>
      <c r="AG113" s="3" t="s">
        <v>48</v>
      </c>
      <c r="AH113" s="2" t="s">
        <v>96</v>
      </c>
      <c r="AI113" s="2" t="str">
        <f>_xlfn.LET(_xlpm.r, _xlfn.XLOOKUP(MappingGuide[[#This Row],[Description]],'[1]Squirrel SQL Export 1'!D:D,'[1]Squirrel SQL Export 1'!Y:Y),IF(_xlpm.r=0,"",_xlpm.r))</f>
        <v>Not used</v>
      </c>
      <c r="AK113" s="2" t="str">
        <f>_xlfn.LET(_xlpm.r, _xlfn.XLOOKUP(MappingGuide[[#This Row],[Description]],'[1]Squirrel SQL Export 1'!D:D,'[1]Squirrel SQL Export 1'!AE:AE),IF(_xlpm.r=0,"",_xlpm.r))</f>
        <v/>
      </c>
      <c r="AL113" s="3" t="str">
        <f>_xlfn.LET(_xlpm.r, _xlfn.XLOOKUP(MappingGuide[[#This Row],[DataType]],'[1]Squirrel SQL Export 1'!E:E,'[1]Squirrel SQL Export 1'!AF:AF),IF(_xlpm.r=0,"",_xlpm.r))</f>
        <v>No</v>
      </c>
      <c r="AM113" s="2" t="str">
        <f>_xlfn.LET(_xlpm.r, _xlfn.XLOOKUP(MappingGuide[[#This Row],[Length]],'[1]Squirrel SQL Export 1'!F:F,'[1]Squirrel SQL Export 1'!AG:AG),IF(_xlpm.r=0,"",_xlpm.r))</f>
        <v/>
      </c>
    </row>
    <row r="114" spans="1:39" x14ac:dyDescent="0.2">
      <c r="A114" s="2">
        <v>111</v>
      </c>
      <c r="B114" s="2" t="s">
        <v>51</v>
      </c>
      <c r="C114" s="2" t="s">
        <v>577</v>
      </c>
      <c r="D114" s="2" t="s">
        <v>578</v>
      </c>
      <c r="E114" s="2" t="s">
        <v>43</v>
      </c>
      <c r="F114" s="2" t="s">
        <v>152</v>
      </c>
      <c r="J114" s="2" t="s">
        <v>71</v>
      </c>
      <c r="K114" s="2" t="s">
        <v>167</v>
      </c>
      <c r="L114" s="2" t="s">
        <v>48</v>
      </c>
      <c r="O114" s="2" t="s">
        <v>45</v>
      </c>
      <c r="P114" s="2" t="s">
        <v>168</v>
      </c>
      <c r="Q114" s="2" t="s">
        <v>579</v>
      </c>
      <c r="W114" s="2" t="str">
        <f>_xlfn.LET(_xlpm.r, _xlfn.XLOOKUP(MappingGuide[[#This Row],[Description]],'[1]Squirrel SQL Export 1'!D:D,'[1]Squirrel SQL Export 1'!AC:AC),IF(_xlpm.r=0,"",_xlpm.r))</f>
        <v/>
      </c>
      <c r="AA114" s="2" t="s">
        <v>580</v>
      </c>
      <c r="AC114" s="2" t="s">
        <v>581</v>
      </c>
      <c r="AE114" s="2" t="str" cm="1">
        <f t="array" ref="AE114">_xlfn.LET(_xlpm.r, _xlfn.XLOOKUP(MappingGuide[[#This Row],[ColumnName]] &amp; "|" &amp; MappingGuide[[#This Row],[Description]],'[1]Squirrel SQL Export 1'!C:C &amp; "|" &amp;'[1]Squirrel SQL Export 1'!D:D,'[1]Squirrel SQL Export 1'!Z:Z),IF(_xlpm.r=0,"",_xlpm.r))</f>
        <v>no</v>
      </c>
      <c r="AF114" s="3" t="s">
        <v>1309</v>
      </c>
      <c r="AG114" s="3" t="s">
        <v>101</v>
      </c>
      <c r="AI114" s="2" t="str">
        <f>_xlfn.LET(_xlpm.r, _xlfn.XLOOKUP(MappingGuide[[#This Row],[Description]],'[1]Squirrel SQL Export 1'!D:D,'[1]Squirrel SQL Export 1'!Y:Y),IF(_xlpm.r=0,"",_xlpm.r))</f>
        <v>Not used</v>
      </c>
      <c r="AK114" s="2" t="str">
        <f>_xlfn.LET(_xlpm.r, _xlfn.XLOOKUP(MappingGuide[[#This Row],[Description]],'[1]Squirrel SQL Export 1'!D:D,'[1]Squirrel SQL Export 1'!AE:AE),IF(_xlpm.r=0,"",_xlpm.r))</f>
        <v/>
      </c>
      <c r="AL114" s="3" t="str">
        <f>_xlfn.LET(_xlpm.r, _xlfn.XLOOKUP(MappingGuide[[#This Row],[DataType]],'[1]Squirrel SQL Export 1'!E:E,'[1]Squirrel SQL Export 1'!AF:AF),IF(_xlpm.r=0,"",_xlpm.r))</f>
        <v>No</v>
      </c>
      <c r="AM114" s="2" t="str">
        <f>_xlfn.LET(_xlpm.r, _xlfn.XLOOKUP(MappingGuide[[#This Row],[Length]],'[1]Squirrel SQL Export 1'!F:F,'[1]Squirrel SQL Export 1'!AG:AG),IF(_xlpm.r=0,"",_xlpm.r))</f>
        <v>MDR NUMBER</v>
      </c>
    </row>
    <row r="115" spans="1:39" x14ac:dyDescent="0.2">
      <c r="A115" s="2">
        <v>112</v>
      </c>
      <c r="B115" s="2" t="s">
        <v>51</v>
      </c>
      <c r="C115" s="2" t="s">
        <v>582</v>
      </c>
      <c r="D115" s="2" t="s">
        <v>583</v>
      </c>
      <c r="E115" s="2" t="s">
        <v>54</v>
      </c>
      <c r="F115" s="2" t="s">
        <v>96</v>
      </c>
      <c r="J115" s="2" t="s">
        <v>71</v>
      </c>
      <c r="K115" s="2" t="s">
        <v>87</v>
      </c>
      <c r="O115" s="2" t="s">
        <v>45</v>
      </c>
      <c r="P115" s="2" t="s">
        <v>88</v>
      </c>
      <c r="Q115" s="2" t="s">
        <v>584</v>
      </c>
      <c r="W115" s="2" t="str">
        <f>_xlfn.LET(_xlpm.r, _xlfn.XLOOKUP(MappingGuide[[#This Row],[Description]],'[1]Squirrel SQL Export 1'!D:D,'[1]Squirrel SQL Export 1'!AC:AC),IF(_xlpm.r=0,"",_xlpm.r))</f>
        <v>3</v>
      </c>
      <c r="AA115" s="2" t="s">
        <v>585</v>
      </c>
      <c r="AB115" s="2" t="s">
        <v>586</v>
      </c>
      <c r="AE115" s="2" t="str" cm="1">
        <f t="array" ref="AE115">_xlfn.LET(_xlpm.r, _xlfn.XLOOKUP(MappingGuide[[#This Row],[ColumnName]] &amp; "|" &amp; MappingGuide[[#This Row],[Description]],'[1]Squirrel SQL Export 1'!C:C &amp; "|" &amp;'[1]Squirrel SQL Export 1'!D:D,'[1]Squirrel SQL Export 1'!Z:Z),IF(_xlpm.r=0,"",_xlpm.r))</f>
        <v>no</v>
      </c>
      <c r="AF115" s="3" t="s">
        <v>1309</v>
      </c>
      <c r="AG115" s="3" t="s">
        <v>48</v>
      </c>
      <c r="AH115" s="2" t="s">
        <v>55</v>
      </c>
      <c r="AI115" s="2" t="str">
        <f>_xlfn.LET(_xlpm.r, _xlfn.XLOOKUP(MappingGuide[[#This Row],[Description]],'[1]Squirrel SQL Export 1'!D:D,'[1]Squirrel SQL Export 1'!Y:Y),IF(_xlpm.r=0,"",_xlpm.r))</f>
        <v>This is needed in M3, but we will set value using template</v>
      </c>
      <c r="AK115" s="2" t="str">
        <f>_xlfn.LET(_xlpm.r, _xlfn.XLOOKUP(MappingGuide[[#This Row],[Description]],'[1]Squirrel SQL Export 1'!D:D,'[1]Squirrel SQL Export 1'!AE:AE),IF(_xlpm.r=0,"",_xlpm.r))</f>
        <v/>
      </c>
      <c r="AL115" s="3" t="str">
        <f>_xlfn.LET(_xlpm.r, _xlfn.XLOOKUP(MappingGuide[[#This Row],[DataType]],'[1]Squirrel SQL Export 1'!E:E,'[1]Squirrel SQL Export 1'!AF:AF),IF(_xlpm.r=0,"",_xlpm.r))</f>
        <v/>
      </c>
      <c r="AM115" s="2" t="str">
        <f>_xlfn.LET(_xlpm.r, _xlfn.XLOOKUP(MappingGuide[[#This Row],[Length]],'[1]Squirrel SQL Export 1'!F:F,'[1]Squirrel SQL Export 1'!AG:AG),IF(_xlpm.r=0,"",_xlpm.r))</f>
        <v>Type</v>
      </c>
    </row>
    <row r="116" spans="1:39" x14ac:dyDescent="0.2">
      <c r="A116" s="2">
        <v>113</v>
      </c>
      <c r="B116" s="2" t="s">
        <v>51</v>
      </c>
      <c r="C116" s="2" t="s">
        <v>587</v>
      </c>
      <c r="D116" s="2" t="s">
        <v>588</v>
      </c>
      <c r="E116" s="2" t="s">
        <v>54</v>
      </c>
      <c r="F116" s="2" t="s">
        <v>96</v>
      </c>
      <c r="J116" s="2" t="s">
        <v>71</v>
      </c>
      <c r="K116" s="2" t="s">
        <v>87</v>
      </c>
      <c r="O116" s="2" t="s">
        <v>45</v>
      </c>
      <c r="P116" s="2" t="s">
        <v>88</v>
      </c>
      <c r="Q116" s="2" t="s">
        <v>589</v>
      </c>
      <c r="W116" s="2" t="str">
        <f>_xlfn.LET(_xlpm.r, _xlfn.XLOOKUP(MappingGuide[[#This Row],[Description]],'[1]Squirrel SQL Export 1'!D:D,'[1]Squirrel SQL Export 1'!AC:AC),IF(_xlpm.r=0,"",_xlpm.r))</f>
        <v>2</v>
      </c>
      <c r="AA116" s="2" t="s">
        <v>590</v>
      </c>
      <c r="AB116" s="2" t="s">
        <v>591</v>
      </c>
      <c r="AE116" s="2" t="str" cm="1">
        <f t="array" ref="AE116">_xlfn.LET(_xlpm.r, _xlfn.XLOOKUP(MappingGuide[[#This Row],[ColumnName]] &amp; "|" &amp; MappingGuide[[#This Row],[Description]],'[1]Squirrel SQL Export 1'!C:C &amp; "|" &amp;'[1]Squirrel SQL Export 1'!D:D,'[1]Squirrel SQL Export 1'!Z:Z),IF(_xlpm.r=0,"",_xlpm.r))</f>
        <v>no</v>
      </c>
      <c r="AF116" s="3" t="s">
        <v>1309</v>
      </c>
      <c r="AG116" s="3" t="s">
        <v>48</v>
      </c>
      <c r="AH116" s="2" t="s">
        <v>70</v>
      </c>
      <c r="AI116" s="2" t="str">
        <f>_xlfn.LET(_xlpm.r, _xlfn.XLOOKUP(MappingGuide[[#This Row],[Description]],'[1]Squirrel SQL Export 1'!D:D,'[1]Squirrel SQL Export 1'!Y:Y),IF(_xlpm.r=0,"",_xlpm.r))</f>
        <v>This is needed in M3, but we will set value using template</v>
      </c>
      <c r="AK116" s="2" t="str">
        <f>_xlfn.LET(_xlpm.r, _xlfn.XLOOKUP(MappingGuide[[#This Row],[Description]],'[1]Squirrel SQL Export 1'!D:D,'[1]Squirrel SQL Export 1'!AE:AE),IF(_xlpm.r=0,"",_xlpm.r))</f>
        <v/>
      </c>
      <c r="AL116" s="3" t="str">
        <f>_xlfn.LET(_xlpm.r, _xlfn.XLOOKUP(MappingGuide[[#This Row],[DataType]],'[1]Squirrel SQL Export 1'!E:E,'[1]Squirrel SQL Export 1'!AF:AF),IF(_xlpm.r=0,"",_xlpm.r))</f>
        <v/>
      </c>
      <c r="AM116" s="2" t="str">
        <f>_xlfn.LET(_xlpm.r, _xlfn.XLOOKUP(MappingGuide[[#This Row],[Length]],'[1]Squirrel SQL Export 1'!F:F,'[1]Squirrel SQL Export 1'!AG:AG),IF(_xlpm.r=0,"",_xlpm.r))</f>
        <v>Type</v>
      </c>
    </row>
    <row r="117" spans="1:39" x14ac:dyDescent="0.2">
      <c r="A117" s="2">
        <v>114</v>
      </c>
      <c r="B117" s="2" t="s">
        <v>51</v>
      </c>
      <c r="C117" s="2" t="s">
        <v>592</v>
      </c>
      <c r="D117" s="2" t="s">
        <v>593</v>
      </c>
      <c r="E117" s="2" t="s">
        <v>54</v>
      </c>
      <c r="F117" s="2" t="s">
        <v>96</v>
      </c>
      <c r="J117" s="2" t="s">
        <v>71</v>
      </c>
      <c r="K117" s="2" t="s">
        <v>167</v>
      </c>
      <c r="O117" s="2" t="s">
        <v>45</v>
      </c>
      <c r="P117" s="2" t="s">
        <v>168</v>
      </c>
      <c r="Q117" s="2" t="s">
        <v>594</v>
      </c>
      <c r="W117" s="2" t="str">
        <f>_xlfn.LET(_xlpm.r, _xlfn.XLOOKUP(MappingGuide[[#This Row],[Description]],'[1]Squirrel SQL Export 1'!D:D,'[1]Squirrel SQL Export 1'!AC:AC),IF(_xlpm.r=0,"",_xlpm.r))</f>
        <v>1</v>
      </c>
      <c r="AA117" s="2" t="s">
        <v>595</v>
      </c>
      <c r="AB117" s="2" t="s">
        <v>596</v>
      </c>
      <c r="AE117" s="2" t="str" cm="1">
        <f t="array" ref="AE117">_xlfn.LET(_xlpm.r, _xlfn.XLOOKUP(MappingGuide[[#This Row],[ColumnName]] &amp; "|" &amp; MappingGuide[[#This Row],[Description]],'[1]Squirrel SQL Export 1'!C:C &amp; "|" &amp;'[1]Squirrel SQL Export 1'!D:D,'[1]Squirrel SQL Export 1'!Z:Z),IF(_xlpm.r=0,"",_xlpm.r))</f>
        <v>no</v>
      </c>
      <c r="AF117" s="3" t="s">
        <v>1309</v>
      </c>
      <c r="AG117" s="3" t="s">
        <v>48</v>
      </c>
      <c r="AH117" s="2" t="s">
        <v>96</v>
      </c>
      <c r="AI117" s="2" t="str">
        <f>_xlfn.LET(_xlpm.r, _xlfn.XLOOKUP(MappingGuide[[#This Row],[Description]],'[1]Squirrel SQL Export 1'!D:D,'[1]Squirrel SQL Export 1'!Y:Y),IF(_xlpm.r=0,"",_xlpm.r))</f>
        <v>This is needed in M3, but we will set value using template</v>
      </c>
      <c r="AK117" s="2" t="str">
        <f>_xlfn.LET(_xlpm.r, _xlfn.XLOOKUP(MappingGuide[[#This Row],[Description]],'[1]Squirrel SQL Export 1'!D:D,'[1]Squirrel SQL Export 1'!AE:AE),IF(_xlpm.r=0,"",_xlpm.r))</f>
        <v/>
      </c>
      <c r="AL117" s="3" t="str">
        <f>_xlfn.LET(_xlpm.r, _xlfn.XLOOKUP(MappingGuide[[#This Row],[DataType]],'[1]Squirrel SQL Export 1'!E:E,'[1]Squirrel SQL Export 1'!AF:AF),IF(_xlpm.r=0,"",_xlpm.r))</f>
        <v/>
      </c>
      <c r="AM117" s="2" t="str">
        <f>_xlfn.LET(_xlpm.r, _xlfn.XLOOKUP(MappingGuide[[#This Row],[Length]],'[1]Squirrel SQL Export 1'!F:F,'[1]Squirrel SQL Export 1'!AG:AG),IF(_xlpm.r=0,"",_xlpm.r))</f>
        <v>Type</v>
      </c>
    </row>
    <row r="118" spans="1:39" x14ac:dyDescent="0.2">
      <c r="A118" s="2">
        <v>115</v>
      </c>
      <c r="B118" s="2" t="s">
        <v>51</v>
      </c>
      <c r="C118" s="2" t="s">
        <v>597</v>
      </c>
      <c r="D118" s="2" t="s">
        <v>598</v>
      </c>
      <c r="E118" s="2" t="s">
        <v>43</v>
      </c>
      <c r="F118" s="2" t="s">
        <v>44</v>
      </c>
      <c r="J118" s="2" t="s">
        <v>71</v>
      </c>
      <c r="K118" s="2" t="s">
        <v>167</v>
      </c>
      <c r="W118" s="2" t="str">
        <f>_xlfn.LET(_xlpm.r, _xlfn.XLOOKUP(MappingGuide[[#This Row],[Description]],'[1]Squirrel SQL Export 1'!D:D,'[1]Squirrel SQL Export 1'!AC:AC),IF(_xlpm.r=0,"",_xlpm.r))</f>
        <v/>
      </c>
      <c r="AA118" s="2" t="s">
        <v>599</v>
      </c>
      <c r="AC118" s="2"/>
      <c r="AE118" s="2" t="str" cm="1">
        <f t="array" ref="AE118">_xlfn.LET(_xlpm.r, _xlfn.XLOOKUP(MappingGuide[[#This Row],[ColumnName]] &amp; "|" &amp; MappingGuide[[#This Row],[Description]],'[1]Squirrel SQL Export 1'!C:C &amp; "|" &amp;'[1]Squirrel SQL Export 1'!D:D,'[1]Squirrel SQL Export 1'!Z:Z),IF(_xlpm.r=0,"",_xlpm.r))</f>
        <v>no</v>
      </c>
      <c r="AF118" s="3" t="s">
        <v>1309</v>
      </c>
      <c r="AG118" s="3" t="s">
        <v>101</v>
      </c>
      <c r="AI118" s="2" t="str">
        <f>_xlfn.LET(_xlpm.r, _xlfn.XLOOKUP(MappingGuide[[#This Row],[Description]],'[1]Squirrel SQL Export 1'!D:D,'[1]Squirrel SQL Export 1'!Y:Y),IF(_xlpm.r=0,"",_xlpm.r))</f>
        <v>Calculated value inside M3</v>
      </c>
      <c r="AK118" s="2" t="str">
        <f>_xlfn.LET(_xlpm.r, _xlfn.XLOOKUP(MappingGuide[[#This Row],[Description]],'[1]Squirrel SQL Export 1'!D:D,'[1]Squirrel SQL Export 1'!AE:AE),IF(_xlpm.r=0,"",_xlpm.r))</f>
        <v/>
      </c>
      <c r="AL118" s="3" t="str">
        <f>_xlfn.LET(_xlpm.r, _xlfn.XLOOKUP(MappingGuide[[#This Row],[DataType]],'[1]Squirrel SQL Export 1'!E:E,'[1]Squirrel SQL Export 1'!AF:AF),IF(_xlpm.r=0,"",_xlpm.r))</f>
        <v>No</v>
      </c>
      <c r="AM118" s="2" t="str">
        <f>_xlfn.LET(_xlpm.r, _xlfn.XLOOKUP(MappingGuide[[#This Row],[Length]],'[1]Squirrel SQL Export 1'!F:F,'[1]Squirrel SQL Export 1'!AG:AG),IF(_xlpm.r=0,"",_xlpm.r))</f>
        <v/>
      </c>
    </row>
    <row r="119" spans="1:39" x14ac:dyDescent="0.2">
      <c r="A119" s="2">
        <v>116</v>
      </c>
      <c r="B119" s="2" t="s">
        <v>51</v>
      </c>
      <c r="C119" s="2" t="s">
        <v>600</v>
      </c>
      <c r="D119" s="2" t="s">
        <v>601</v>
      </c>
      <c r="E119" s="2" t="s">
        <v>43</v>
      </c>
      <c r="F119" s="2" t="s">
        <v>44</v>
      </c>
      <c r="J119" s="2" t="s">
        <v>71</v>
      </c>
      <c r="K119" s="2" t="s">
        <v>167</v>
      </c>
      <c r="W119" s="2" t="str">
        <f>_xlfn.LET(_xlpm.r, _xlfn.XLOOKUP(MappingGuide[[#This Row],[Description]],'[1]Squirrel SQL Export 1'!D:D,'[1]Squirrel SQL Export 1'!AC:AC),IF(_xlpm.r=0,"",_xlpm.r))</f>
        <v/>
      </c>
      <c r="AA119" s="2" t="s">
        <v>599</v>
      </c>
      <c r="AC119" s="2"/>
      <c r="AE119" s="2" t="str" cm="1">
        <f t="array" ref="AE119">_xlfn.LET(_xlpm.r, _xlfn.XLOOKUP(MappingGuide[[#This Row],[ColumnName]] &amp; "|" &amp; MappingGuide[[#This Row],[Description]],'[1]Squirrel SQL Export 1'!C:C &amp; "|" &amp;'[1]Squirrel SQL Export 1'!D:D,'[1]Squirrel SQL Export 1'!Z:Z),IF(_xlpm.r=0,"",_xlpm.r))</f>
        <v>no</v>
      </c>
      <c r="AF119" s="3" t="s">
        <v>1309</v>
      </c>
      <c r="AG119" s="3" t="s">
        <v>101</v>
      </c>
      <c r="AI119" s="2" t="str">
        <f>_xlfn.LET(_xlpm.r, _xlfn.XLOOKUP(MappingGuide[[#This Row],[Description]],'[1]Squirrel SQL Export 1'!D:D,'[1]Squirrel SQL Export 1'!Y:Y),IF(_xlpm.r=0,"",_xlpm.r))</f>
        <v>Calculated value inside M3</v>
      </c>
      <c r="AK119" s="2" t="str">
        <f>_xlfn.LET(_xlpm.r, _xlfn.XLOOKUP(MappingGuide[[#This Row],[Description]],'[1]Squirrel SQL Export 1'!D:D,'[1]Squirrel SQL Export 1'!AE:AE),IF(_xlpm.r=0,"",_xlpm.r))</f>
        <v/>
      </c>
      <c r="AL119" s="3" t="str">
        <f>_xlfn.LET(_xlpm.r, _xlfn.XLOOKUP(MappingGuide[[#This Row],[DataType]],'[1]Squirrel SQL Export 1'!E:E,'[1]Squirrel SQL Export 1'!AF:AF),IF(_xlpm.r=0,"",_xlpm.r))</f>
        <v>No</v>
      </c>
      <c r="AM119" s="2" t="str">
        <f>_xlfn.LET(_xlpm.r, _xlfn.XLOOKUP(MappingGuide[[#This Row],[Length]],'[1]Squirrel SQL Export 1'!F:F,'[1]Squirrel SQL Export 1'!AG:AG),IF(_xlpm.r=0,"",_xlpm.r))</f>
        <v/>
      </c>
    </row>
    <row r="120" spans="1:39" x14ac:dyDescent="0.2">
      <c r="A120" s="2">
        <v>117</v>
      </c>
      <c r="B120" s="2" t="s">
        <v>51</v>
      </c>
      <c r="C120" s="2" t="s">
        <v>602</v>
      </c>
      <c r="D120" s="2" t="s">
        <v>603</v>
      </c>
      <c r="E120" s="2" t="s">
        <v>43</v>
      </c>
      <c r="F120" s="2" t="s">
        <v>44</v>
      </c>
      <c r="J120" s="2" t="s">
        <v>71</v>
      </c>
      <c r="K120" s="2" t="s">
        <v>167</v>
      </c>
      <c r="W120" s="2" t="str">
        <f>_xlfn.LET(_xlpm.r, _xlfn.XLOOKUP(MappingGuide[[#This Row],[Description]],'[1]Squirrel SQL Export 1'!D:D,'[1]Squirrel SQL Export 1'!AC:AC),IF(_xlpm.r=0,"",_xlpm.r))</f>
        <v/>
      </c>
      <c r="AA120" s="2" t="s">
        <v>599</v>
      </c>
      <c r="AC120" s="2"/>
      <c r="AE120" s="2" t="str" cm="1">
        <f t="array" ref="AE120">_xlfn.LET(_xlpm.r, _xlfn.XLOOKUP(MappingGuide[[#This Row],[ColumnName]] &amp; "|" &amp; MappingGuide[[#This Row],[Description]],'[1]Squirrel SQL Export 1'!C:C &amp; "|" &amp;'[1]Squirrel SQL Export 1'!D:D,'[1]Squirrel SQL Export 1'!Z:Z),IF(_xlpm.r=0,"",_xlpm.r))</f>
        <v>no</v>
      </c>
      <c r="AF120" s="3" t="s">
        <v>1309</v>
      </c>
      <c r="AG120" s="3" t="s">
        <v>101</v>
      </c>
      <c r="AI120" s="2" t="str">
        <f>_xlfn.LET(_xlpm.r, _xlfn.XLOOKUP(MappingGuide[[#This Row],[Description]],'[1]Squirrel SQL Export 1'!D:D,'[1]Squirrel SQL Export 1'!Y:Y),IF(_xlpm.r=0,"",_xlpm.r))</f>
        <v>Calculated value inside M3</v>
      </c>
      <c r="AK120" s="2" t="str">
        <f>_xlfn.LET(_xlpm.r, _xlfn.XLOOKUP(MappingGuide[[#This Row],[Description]],'[1]Squirrel SQL Export 1'!D:D,'[1]Squirrel SQL Export 1'!AE:AE),IF(_xlpm.r=0,"",_xlpm.r))</f>
        <v/>
      </c>
      <c r="AL120" s="3" t="str">
        <f>_xlfn.LET(_xlpm.r, _xlfn.XLOOKUP(MappingGuide[[#This Row],[DataType]],'[1]Squirrel SQL Export 1'!E:E,'[1]Squirrel SQL Export 1'!AF:AF),IF(_xlpm.r=0,"",_xlpm.r))</f>
        <v>No</v>
      </c>
      <c r="AM120" s="2" t="str">
        <f>_xlfn.LET(_xlpm.r, _xlfn.XLOOKUP(MappingGuide[[#This Row],[Length]],'[1]Squirrel SQL Export 1'!F:F,'[1]Squirrel SQL Export 1'!AG:AG),IF(_xlpm.r=0,"",_xlpm.r))</f>
        <v/>
      </c>
    </row>
    <row r="121" spans="1:39" x14ac:dyDescent="0.2">
      <c r="A121" s="2">
        <v>118</v>
      </c>
      <c r="B121" s="2" t="s">
        <v>51</v>
      </c>
      <c r="C121" s="2" t="s">
        <v>604</v>
      </c>
      <c r="D121" s="2" t="s">
        <v>605</v>
      </c>
      <c r="E121" s="2" t="s">
        <v>54</v>
      </c>
      <c r="F121" s="2" t="s">
        <v>407</v>
      </c>
      <c r="J121" s="2" t="s">
        <v>71</v>
      </c>
      <c r="K121" s="2" t="s">
        <v>167</v>
      </c>
      <c r="W121" s="2" t="str">
        <f>_xlfn.LET(_xlpm.r, _xlfn.XLOOKUP(MappingGuide[[#This Row],[Description]],'[1]Squirrel SQL Export 1'!D:D,'[1]Squirrel SQL Export 1'!AC:AC),IF(_xlpm.r=0,"",_xlpm.r))</f>
        <v/>
      </c>
      <c r="AA121" s="2" t="s">
        <v>606</v>
      </c>
      <c r="AC121" s="2"/>
      <c r="AE121" s="2" t="str" cm="1">
        <f t="array" ref="AE121">_xlfn.LET(_xlpm.r, _xlfn.XLOOKUP(MappingGuide[[#This Row],[ColumnName]] &amp; "|" &amp; MappingGuide[[#This Row],[Description]],'[1]Squirrel SQL Export 1'!C:C &amp; "|" &amp;'[1]Squirrel SQL Export 1'!D:D,'[1]Squirrel SQL Export 1'!Z:Z),IF(_xlpm.r=0,"",_xlpm.r))</f>
        <v>no</v>
      </c>
      <c r="AF121" s="3" t="s">
        <v>1309</v>
      </c>
      <c r="AG121" s="3" t="s">
        <v>101</v>
      </c>
      <c r="AI121" s="2" t="str">
        <f>_xlfn.LET(_xlpm.r, _xlfn.XLOOKUP(MappingGuide[[#This Row],[Description]],'[1]Squirrel SQL Export 1'!D:D,'[1]Squirrel SQL Export 1'!Y:Y),IF(_xlpm.r=0,"",_xlpm.r))</f>
        <v>Calculated value inside M3</v>
      </c>
      <c r="AK121" s="2" t="str">
        <f>_xlfn.LET(_xlpm.r, _xlfn.XLOOKUP(MappingGuide[[#This Row],[Description]],'[1]Squirrel SQL Export 1'!D:D,'[1]Squirrel SQL Export 1'!AE:AE),IF(_xlpm.r=0,"",_xlpm.r))</f>
        <v/>
      </c>
      <c r="AL121" s="3" t="str">
        <f>_xlfn.LET(_xlpm.r, _xlfn.XLOOKUP(MappingGuide[[#This Row],[DataType]],'[1]Squirrel SQL Export 1'!E:E,'[1]Squirrel SQL Export 1'!AF:AF),IF(_xlpm.r=0,"",_xlpm.r))</f>
        <v/>
      </c>
      <c r="AM121" s="2" t="str">
        <f>_xlfn.LET(_xlpm.r, _xlfn.XLOOKUP(MappingGuide[[#This Row],[Length]],'[1]Squirrel SQL Export 1'!F:F,'[1]Squirrel SQL Export 1'!AG:AG),IF(_xlpm.r=0,"",_xlpm.r))</f>
        <v/>
      </c>
    </row>
    <row r="122" spans="1:39" x14ac:dyDescent="0.2">
      <c r="A122" s="2">
        <v>119</v>
      </c>
      <c r="B122" s="2" t="s">
        <v>51</v>
      </c>
      <c r="C122" s="2" t="s">
        <v>607</v>
      </c>
      <c r="D122" s="2" t="s">
        <v>608</v>
      </c>
      <c r="E122" s="2" t="s">
        <v>54</v>
      </c>
      <c r="F122" s="2" t="s">
        <v>407</v>
      </c>
      <c r="J122" s="2" t="s">
        <v>71</v>
      </c>
      <c r="K122" s="2" t="s">
        <v>167</v>
      </c>
      <c r="W122" s="2" t="str">
        <f>_xlfn.LET(_xlpm.r, _xlfn.XLOOKUP(MappingGuide[[#This Row],[Description]],'[1]Squirrel SQL Export 1'!D:D,'[1]Squirrel SQL Export 1'!AC:AC),IF(_xlpm.r=0,"",_xlpm.r))</f>
        <v/>
      </c>
      <c r="AA122" s="2" t="s">
        <v>606</v>
      </c>
      <c r="AC122" s="2"/>
      <c r="AE122" s="2" t="str" cm="1">
        <f t="array" ref="AE122">_xlfn.LET(_xlpm.r, _xlfn.XLOOKUP(MappingGuide[[#This Row],[ColumnName]] &amp; "|" &amp; MappingGuide[[#This Row],[Description]],'[1]Squirrel SQL Export 1'!C:C &amp; "|" &amp;'[1]Squirrel SQL Export 1'!D:D,'[1]Squirrel SQL Export 1'!Z:Z),IF(_xlpm.r=0,"",_xlpm.r))</f>
        <v>no</v>
      </c>
      <c r="AF122" s="3" t="s">
        <v>1309</v>
      </c>
      <c r="AG122" s="3" t="s">
        <v>101</v>
      </c>
      <c r="AI122" s="2" t="str">
        <f>_xlfn.LET(_xlpm.r, _xlfn.XLOOKUP(MappingGuide[[#This Row],[Description]],'[1]Squirrel SQL Export 1'!D:D,'[1]Squirrel SQL Export 1'!Y:Y),IF(_xlpm.r=0,"",_xlpm.r))</f>
        <v>Calculated value inside M3</v>
      </c>
      <c r="AK122" s="2" t="str">
        <f>_xlfn.LET(_xlpm.r, _xlfn.XLOOKUP(MappingGuide[[#This Row],[Description]],'[1]Squirrel SQL Export 1'!D:D,'[1]Squirrel SQL Export 1'!AE:AE),IF(_xlpm.r=0,"",_xlpm.r))</f>
        <v/>
      </c>
      <c r="AL122" s="3" t="str">
        <f>_xlfn.LET(_xlpm.r, _xlfn.XLOOKUP(MappingGuide[[#This Row],[DataType]],'[1]Squirrel SQL Export 1'!E:E,'[1]Squirrel SQL Export 1'!AF:AF),IF(_xlpm.r=0,"",_xlpm.r))</f>
        <v/>
      </c>
      <c r="AM122" s="2" t="str">
        <f>_xlfn.LET(_xlpm.r, _xlfn.XLOOKUP(MappingGuide[[#This Row],[Length]],'[1]Squirrel SQL Export 1'!F:F,'[1]Squirrel SQL Export 1'!AG:AG),IF(_xlpm.r=0,"",_xlpm.r))</f>
        <v/>
      </c>
    </row>
    <row r="123" spans="1:39" x14ac:dyDescent="0.2">
      <c r="A123" s="2">
        <v>120</v>
      </c>
      <c r="B123" s="2" t="s">
        <v>51</v>
      </c>
      <c r="C123" s="2" t="s">
        <v>609</v>
      </c>
      <c r="D123" s="2" t="s">
        <v>610</v>
      </c>
      <c r="E123" s="2" t="s">
        <v>54</v>
      </c>
      <c r="F123" s="2" t="s">
        <v>407</v>
      </c>
      <c r="J123" s="2" t="s">
        <v>71</v>
      </c>
      <c r="K123" s="2" t="s">
        <v>167</v>
      </c>
      <c r="W123" s="2" t="str">
        <f>_xlfn.LET(_xlpm.r, _xlfn.XLOOKUP(MappingGuide[[#This Row],[Description]],'[1]Squirrel SQL Export 1'!D:D,'[1]Squirrel SQL Export 1'!AC:AC),IF(_xlpm.r=0,"",_xlpm.r))</f>
        <v/>
      </c>
      <c r="AA123" s="2" t="s">
        <v>606</v>
      </c>
      <c r="AC123" s="2"/>
      <c r="AE123" s="2" t="str" cm="1">
        <f t="array" ref="AE123">_xlfn.LET(_xlpm.r, _xlfn.XLOOKUP(MappingGuide[[#This Row],[ColumnName]] &amp; "|" &amp; MappingGuide[[#This Row],[Description]],'[1]Squirrel SQL Export 1'!C:C &amp; "|" &amp;'[1]Squirrel SQL Export 1'!D:D,'[1]Squirrel SQL Export 1'!Z:Z),IF(_xlpm.r=0,"",_xlpm.r))</f>
        <v>no</v>
      </c>
      <c r="AF123" s="3" t="s">
        <v>1309</v>
      </c>
      <c r="AG123" s="3" t="s">
        <v>101</v>
      </c>
      <c r="AI123" s="2" t="str">
        <f>_xlfn.LET(_xlpm.r, _xlfn.XLOOKUP(MappingGuide[[#This Row],[Description]],'[1]Squirrel SQL Export 1'!D:D,'[1]Squirrel SQL Export 1'!Y:Y),IF(_xlpm.r=0,"",_xlpm.r))</f>
        <v>Calculated value inside M3</v>
      </c>
      <c r="AK123" s="2" t="str">
        <f>_xlfn.LET(_xlpm.r, _xlfn.XLOOKUP(MappingGuide[[#This Row],[Description]],'[1]Squirrel SQL Export 1'!D:D,'[1]Squirrel SQL Export 1'!AE:AE),IF(_xlpm.r=0,"",_xlpm.r))</f>
        <v/>
      </c>
      <c r="AL123" s="3" t="str">
        <f>_xlfn.LET(_xlpm.r, _xlfn.XLOOKUP(MappingGuide[[#This Row],[DataType]],'[1]Squirrel SQL Export 1'!E:E,'[1]Squirrel SQL Export 1'!AF:AF),IF(_xlpm.r=0,"",_xlpm.r))</f>
        <v/>
      </c>
      <c r="AM123" s="2" t="str">
        <f>_xlfn.LET(_xlpm.r, _xlfn.XLOOKUP(MappingGuide[[#This Row],[Length]],'[1]Squirrel SQL Export 1'!F:F,'[1]Squirrel SQL Export 1'!AG:AG),IF(_xlpm.r=0,"",_xlpm.r))</f>
        <v/>
      </c>
    </row>
    <row r="124" spans="1:39" x14ac:dyDescent="0.2">
      <c r="A124" s="2">
        <v>121</v>
      </c>
      <c r="B124" s="2" t="s">
        <v>51</v>
      </c>
      <c r="C124" s="2" t="s">
        <v>611</v>
      </c>
      <c r="D124" s="2" t="s">
        <v>612</v>
      </c>
      <c r="E124" s="2" t="s">
        <v>43</v>
      </c>
      <c r="F124" s="2" t="s">
        <v>44</v>
      </c>
      <c r="J124" s="2" t="s">
        <v>71</v>
      </c>
      <c r="K124" s="2" t="s">
        <v>444</v>
      </c>
      <c r="O124" s="2" t="s">
        <v>45</v>
      </c>
      <c r="P124" s="2" t="s">
        <v>168</v>
      </c>
      <c r="Q124" s="2" t="s">
        <v>613</v>
      </c>
      <c r="W124" s="2" t="str">
        <f>_xlfn.LET(_xlpm.r, _xlfn.XLOOKUP(MappingGuide[[#This Row],[Description]],'[1]Squirrel SQL Export 1'!D:D,'[1]Squirrel SQL Export 1'!AC:AC),IF(_xlpm.r=0,"",_xlpm.r))</f>
        <v>DISAR</v>
      </c>
      <c r="AA124" s="2" t="s">
        <v>614</v>
      </c>
      <c r="AC124" s="3" t="s">
        <v>615</v>
      </c>
      <c r="AE124" s="2" t="str" cm="1">
        <f t="array" ref="AE124">_xlfn.LET(_xlpm.r, _xlfn.XLOOKUP(MappingGuide[[#This Row],[ColumnName]] &amp; "|" &amp; MappingGuide[[#This Row],[Description]],'[1]Squirrel SQL Export 1'!C:C &amp; "|" &amp;'[1]Squirrel SQL Export 1'!D:D,'[1]Squirrel SQL Export 1'!Z:Z),IF(_xlpm.r=0,"",_xlpm.r))</f>
        <v>no</v>
      </c>
      <c r="AF124" s="3" t="s">
        <v>1309</v>
      </c>
      <c r="AG124" s="3" t="s">
        <v>48</v>
      </c>
      <c r="AH124" s="2" t="s">
        <v>616</v>
      </c>
      <c r="AI124" s="2" t="str">
        <f>_xlfn.LET(_xlpm.r, _xlfn.XLOOKUP(MappingGuide[[#This Row],[Description]],'[1]Squirrel SQL Export 1'!D:D,'[1]Squirrel SQL Export 1'!Y:Y),IF(_xlpm.r=0,"",_xlpm.r))</f>
        <v>As discussed with Dee/Angie on 01/07, this is not needed in MDM. However, this one will be filled as part of enrichment process in M3</v>
      </c>
      <c r="AK124" s="2" t="str">
        <f>_xlfn.LET(_xlpm.r, _xlfn.XLOOKUP(MappingGuide[[#This Row],[Description]],'[1]Squirrel SQL Export 1'!D:D,'[1]Squirrel SQL Export 1'!AE:AE),IF(_xlpm.r=0,"",_xlpm.r))</f>
        <v>This appears to be an M3 only attribute.</v>
      </c>
      <c r="AL124" s="3" t="str">
        <f>_xlfn.LET(_xlpm.r, _xlfn.XLOOKUP(MappingGuide[[#This Row],[DataType]],'[1]Squirrel SQL Export 1'!E:E,'[1]Squirrel SQL Export 1'!AF:AF),IF(_xlpm.r=0,"",_xlpm.r))</f>
        <v>No</v>
      </c>
      <c r="AM124" s="2" t="str">
        <f>_xlfn.LET(_xlpm.r, _xlfn.XLOOKUP(MappingGuide[[#This Row],[Length]],'[1]Squirrel SQL Export 1'!F:F,'[1]Squirrel SQL Export 1'!AG:AG),IF(_xlpm.r=0,"",_xlpm.r))</f>
        <v/>
      </c>
    </row>
    <row r="125" spans="1:39" x14ac:dyDescent="0.2">
      <c r="A125" s="2">
        <v>122</v>
      </c>
      <c r="B125" s="2" t="s">
        <v>51</v>
      </c>
      <c r="C125" s="2" t="s">
        <v>617</v>
      </c>
      <c r="D125" s="2" t="s">
        <v>618</v>
      </c>
      <c r="E125" s="2" t="s">
        <v>43</v>
      </c>
      <c r="F125" s="2" t="s">
        <v>44</v>
      </c>
      <c r="J125" s="2" t="s">
        <v>71</v>
      </c>
      <c r="K125" s="2" t="s">
        <v>444</v>
      </c>
      <c r="O125" s="2" t="s">
        <v>45</v>
      </c>
      <c r="P125" s="2" t="s">
        <v>168</v>
      </c>
      <c r="Q125" s="2" t="s">
        <v>619</v>
      </c>
      <c r="W125" s="2" t="str">
        <f>_xlfn.LET(_xlpm.r, _xlfn.XLOOKUP(MappingGuide[[#This Row],[Description]],'[1]Squirrel SQL Export 1'!D:D,'[1]Squirrel SQL Export 1'!AC:AC),IF(_xlpm.r=0,"",_xlpm.r))</f>
        <v/>
      </c>
      <c r="AA125" s="2" t="s">
        <v>620</v>
      </c>
      <c r="AC125" s="2"/>
      <c r="AE125" s="2" t="str" cm="1">
        <f t="array" ref="AE125">_xlfn.LET(_xlpm.r, _xlfn.XLOOKUP(MappingGuide[[#This Row],[ColumnName]] &amp; "|" &amp; MappingGuide[[#This Row],[Description]],'[1]Squirrel SQL Export 1'!C:C &amp; "|" &amp;'[1]Squirrel SQL Export 1'!D:D,'[1]Squirrel SQL Export 1'!Z:Z),IF(_xlpm.r=0,"",_xlpm.r))</f>
        <v>no</v>
      </c>
      <c r="AF125" s="3" t="s">
        <v>1309</v>
      </c>
      <c r="AG125" s="3" t="s">
        <v>101</v>
      </c>
      <c r="AI125" s="2" t="str">
        <f>_xlfn.LET(_xlpm.r, _xlfn.XLOOKUP(MappingGuide[[#This Row],[Description]],'[1]Squirrel SQL Export 1'!D:D,'[1]Squirrel SQL Export 1'!Y:Y),IF(_xlpm.r=0,"",_xlpm.r))</f>
        <v>As discussed with Dee/Angie on 01/07, this is not needed</v>
      </c>
      <c r="AK125" s="2" t="str">
        <f>_xlfn.LET(_xlpm.r, _xlfn.XLOOKUP(MappingGuide[[#This Row],[Description]],'[1]Squirrel SQL Export 1'!D:D,'[1]Squirrel SQL Export 1'!AE:AE),IF(_xlpm.r=0,"",_xlpm.r))</f>
        <v>This appears to be an M3 only attribute.</v>
      </c>
      <c r="AL125" s="3" t="str">
        <f>_xlfn.LET(_xlpm.r, _xlfn.XLOOKUP(MappingGuide[[#This Row],[DataType]],'[1]Squirrel SQL Export 1'!E:E,'[1]Squirrel SQL Export 1'!AF:AF),IF(_xlpm.r=0,"",_xlpm.r))</f>
        <v>No</v>
      </c>
      <c r="AM125" s="2" t="str">
        <f>_xlfn.LET(_xlpm.r, _xlfn.XLOOKUP(MappingGuide[[#This Row],[Length]],'[1]Squirrel SQL Export 1'!F:F,'[1]Squirrel SQL Export 1'!AG:AG),IF(_xlpm.r=0,"",_xlpm.r))</f>
        <v/>
      </c>
    </row>
    <row r="126" spans="1:39" x14ac:dyDescent="0.2">
      <c r="A126" s="2">
        <v>123</v>
      </c>
      <c r="B126" s="2" t="s">
        <v>51</v>
      </c>
      <c r="C126" s="2" t="s">
        <v>621</v>
      </c>
      <c r="D126" s="2" t="s">
        <v>622</v>
      </c>
      <c r="E126" s="2" t="s">
        <v>43</v>
      </c>
      <c r="F126" s="2" t="s">
        <v>77</v>
      </c>
      <c r="J126" s="2" t="s">
        <v>71</v>
      </c>
      <c r="K126" s="2" t="s">
        <v>444</v>
      </c>
      <c r="O126" s="2" t="s">
        <v>45</v>
      </c>
      <c r="P126" s="2" t="s">
        <v>168</v>
      </c>
      <c r="Q126" s="2" t="s">
        <v>623</v>
      </c>
      <c r="W126" s="2" t="str">
        <f>_xlfn.LET(_xlpm.r, _xlfn.XLOOKUP(MappingGuide[[#This Row],[Description]],'[1]Squirrel SQL Export 1'!D:D,'[1]Squirrel SQL Export 1'!AC:AC),IF(_xlpm.r=0,"",_xlpm.r))</f>
        <v/>
      </c>
      <c r="AA126" s="2" t="s">
        <v>624</v>
      </c>
      <c r="AC126" s="2"/>
      <c r="AE126" s="2" t="str" cm="1">
        <f t="array" ref="AE126">_xlfn.LET(_xlpm.r, _xlfn.XLOOKUP(MappingGuide[[#This Row],[ColumnName]] &amp; "|" &amp; MappingGuide[[#This Row],[Description]],'[1]Squirrel SQL Export 1'!C:C &amp; "|" &amp;'[1]Squirrel SQL Export 1'!D:D,'[1]Squirrel SQL Export 1'!Z:Z),IF(_xlpm.r=0,"",_xlpm.r))</f>
        <v>no</v>
      </c>
      <c r="AF126" s="3" t="s">
        <v>1309</v>
      </c>
      <c r="AG126" s="3" t="s">
        <v>101</v>
      </c>
      <c r="AI126" s="2" t="str">
        <f>_xlfn.LET(_xlpm.r, _xlfn.XLOOKUP(MappingGuide[[#This Row],[Description]],'[1]Squirrel SQL Export 1'!D:D,'[1]Squirrel SQL Export 1'!Y:Y),IF(_xlpm.r=0,"",_xlpm.r))</f>
        <v>As discussed with Dee/Angie on 01/07, this is not needed</v>
      </c>
      <c r="AK126" s="2" t="str">
        <f>_xlfn.LET(_xlpm.r, _xlfn.XLOOKUP(MappingGuide[[#This Row],[Description]],'[1]Squirrel SQL Export 1'!D:D,'[1]Squirrel SQL Export 1'!AE:AE),IF(_xlpm.r=0,"",_xlpm.r))</f>
        <v>This appears to be an M3 only attribute.</v>
      </c>
      <c r="AL126" s="3" t="str">
        <f>_xlfn.LET(_xlpm.r, _xlfn.XLOOKUP(MappingGuide[[#This Row],[DataType]],'[1]Squirrel SQL Export 1'!E:E,'[1]Squirrel SQL Export 1'!AF:AF),IF(_xlpm.r=0,"",_xlpm.r))</f>
        <v>No</v>
      </c>
      <c r="AM126" s="2" t="str">
        <f>_xlfn.LET(_xlpm.r, _xlfn.XLOOKUP(MappingGuide[[#This Row],[Length]],'[1]Squirrel SQL Export 1'!F:F,'[1]Squirrel SQL Export 1'!AG:AG),IF(_xlpm.r=0,"",_xlpm.r))</f>
        <v/>
      </c>
    </row>
    <row r="127" spans="1:39" x14ac:dyDescent="0.2">
      <c r="A127" s="2">
        <v>124</v>
      </c>
      <c r="B127" s="2" t="s">
        <v>51</v>
      </c>
      <c r="C127" s="2" t="s">
        <v>625</v>
      </c>
      <c r="D127" s="2" t="s">
        <v>626</v>
      </c>
      <c r="E127" s="2" t="s">
        <v>43</v>
      </c>
      <c r="F127" s="2" t="s">
        <v>44</v>
      </c>
      <c r="J127" s="2" t="s">
        <v>71</v>
      </c>
      <c r="K127" s="2" t="s">
        <v>444</v>
      </c>
      <c r="O127" s="2" t="s">
        <v>45</v>
      </c>
      <c r="P127" s="2" t="s">
        <v>168</v>
      </c>
      <c r="Q127" s="2" t="s">
        <v>627</v>
      </c>
      <c r="W127" s="2" t="str">
        <f>_xlfn.LET(_xlpm.r, _xlfn.XLOOKUP(MappingGuide[[#This Row],[Description]],'[1]Squirrel SQL Export 1'!D:D,'[1]Squirrel SQL Export 1'!AC:AC),IF(_xlpm.r=0,"",_xlpm.r))</f>
        <v/>
      </c>
      <c r="AA127" s="2" t="s">
        <v>628</v>
      </c>
      <c r="AC127" s="2"/>
      <c r="AE127" s="2" t="str" cm="1">
        <f t="array" ref="AE127">_xlfn.LET(_xlpm.r, _xlfn.XLOOKUP(MappingGuide[[#This Row],[ColumnName]] &amp; "|" &amp; MappingGuide[[#This Row],[Description]],'[1]Squirrel SQL Export 1'!C:C &amp; "|" &amp;'[1]Squirrel SQL Export 1'!D:D,'[1]Squirrel SQL Export 1'!Z:Z),IF(_xlpm.r=0,"",_xlpm.r))</f>
        <v>no</v>
      </c>
      <c r="AF127" s="3" t="s">
        <v>1309</v>
      </c>
      <c r="AG127" s="3" t="s">
        <v>101</v>
      </c>
      <c r="AI127" s="2" t="str">
        <f>_xlfn.LET(_xlpm.r, _xlfn.XLOOKUP(MappingGuide[[#This Row],[Description]],'[1]Squirrel SQL Export 1'!D:D,'[1]Squirrel SQL Export 1'!Y:Y),IF(_xlpm.r=0,"",_xlpm.r))</f>
        <v>As discussed with Dee/Angie on 01/07, this is not needed</v>
      </c>
      <c r="AK127" s="2" t="str">
        <f>_xlfn.LET(_xlpm.r, _xlfn.XLOOKUP(MappingGuide[[#This Row],[Description]],'[1]Squirrel SQL Export 1'!D:D,'[1]Squirrel SQL Export 1'!AE:AE),IF(_xlpm.r=0,"",_xlpm.r))</f>
        <v>This appears to be an M3 only attribute.</v>
      </c>
      <c r="AL127" s="3" t="str">
        <f>_xlfn.LET(_xlpm.r, _xlfn.XLOOKUP(MappingGuide[[#This Row],[DataType]],'[1]Squirrel SQL Export 1'!E:E,'[1]Squirrel SQL Export 1'!AF:AF),IF(_xlpm.r=0,"",_xlpm.r))</f>
        <v>No</v>
      </c>
      <c r="AM127" s="2" t="str">
        <f>_xlfn.LET(_xlpm.r, _xlfn.XLOOKUP(MappingGuide[[#This Row],[Length]],'[1]Squirrel SQL Export 1'!F:F,'[1]Squirrel SQL Export 1'!AG:AG),IF(_xlpm.r=0,"",_xlpm.r))</f>
        <v/>
      </c>
    </row>
    <row r="128" spans="1:39" x14ac:dyDescent="0.2">
      <c r="A128" s="2">
        <v>125</v>
      </c>
      <c r="B128" s="2" t="s">
        <v>51</v>
      </c>
      <c r="C128" s="2" t="s">
        <v>629</v>
      </c>
      <c r="D128" s="2" t="s">
        <v>630</v>
      </c>
      <c r="E128" s="2" t="s">
        <v>54</v>
      </c>
      <c r="F128" s="2" t="s">
        <v>96</v>
      </c>
      <c r="J128" s="2" t="s">
        <v>71</v>
      </c>
      <c r="K128" s="2" t="s">
        <v>444</v>
      </c>
      <c r="O128" s="2" t="s">
        <v>45</v>
      </c>
      <c r="P128" s="2" t="s">
        <v>168</v>
      </c>
      <c r="Q128" s="2" t="s">
        <v>631</v>
      </c>
      <c r="W128" s="2" t="str">
        <f>_xlfn.LET(_xlpm.r, _xlfn.XLOOKUP(MappingGuide[[#This Row],[Description]],'[1]Squirrel SQL Export 1'!D:D,'[1]Squirrel SQL Export 1'!AC:AC),IF(_xlpm.r=0,"",_xlpm.r))</f>
        <v/>
      </c>
      <c r="AA128" s="2" t="s">
        <v>632</v>
      </c>
      <c r="AC128" s="2"/>
      <c r="AE128" s="2" t="str" cm="1">
        <f t="array" ref="AE128">_xlfn.LET(_xlpm.r, _xlfn.XLOOKUP(MappingGuide[[#This Row],[ColumnName]] &amp; "|" &amp; MappingGuide[[#This Row],[Description]],'[1]Squirrel SQL Export 1'!C:C &amp; "|" &amp;'[1]Squirrel SQL Export 1'!D:D,'[1]Squirrel SQL Export 1'!Z:Z),IF(_xlpm.r=0,"",_xlpm.r))</f>
        <v>no</v>
      </c>
      <c r="AF128" s="3" t="s">
        <v>1309</v>
      </c>
      <c r="AG128" s="3" t="s">
        <v>101</v>
      </c>
      <c r="AI128" s="2" t="str">
        <f>_xlfn.LET(_xlpm.r, _xlfn.XLOOKUP(MappingGuide[[#This Row],[Description]],'[1]Squirrel SQL Export 1'!D:D,'[1]Squirrel SQL Export 1'!Y:Y),IF(_xlpm.r=0,"",_xlpm.r))</f>
        <v>As discussed with Dee/Angie on 01/07, this is not needed</v>
      </c>
      <c r="AK128" s="2" t="str">
        <f>_xlfn.LET(_xlpm.r, _xlfn.XLOOKUP(MappingGuide[[#This Row],[Description]],'[1]Squirrel SQL Export 1'!D:D,'[1]Squirrel SQL Export 1'!AE:AE),IF(_xlpm.r=0,"",_xlpm.r))</f>
        <v>This appears to be an M3 only attribute.</v>
      </c>
      <c r="AL128" s="3" t="str">
        <f>_xlfn.LET(_xlpm.r, _xlfn.XLOOKUP(MappingGuide[[#This Row],[DataType]],'[1]Squirrel SQL Export 1'!E:E,'[1]Squirrel SQL Export 1'!AF:AF),IF(_xlpm.r=0,"",_xlpm.r))</f>
        <v/>
      </c>
      <c r="AM128" s="2" t="str">
        <f>_xlfn.LET(_xlpm.r, _xlfn.XLOOKUP(MappingGuide[[#This Row],[Length]],'[1]Squirrel SQL Export 1'!F:F,'[1]Squirrel SQL Export 1'!AG:AG),IF(_xlpm.r=0,"",_xlpm.r))</f>
        <v>Type</v>
      </c>
    </row>
    <row r="129" spans="1:39" x14ac:dyDescent="0.2">
      <c r="A129" s="2">
        <v>126</v>
      </c>
      <c r="B129" s="2" t="s">
        <v>51</v>
      </c>
      <c r="C129" s="2" t="s">
        <v>633</v>
      </c>
      <c r="D129" s="2" t="s">
        <v>634</v>
      </c>
      <c r="E129" s="2" t="s">
        <v>54</v>
      </c>
      <c r="F129" s="2" t="s">
        <v>377</v>
      </c>
      <c r="G129" s="2" t="s">
        <v>70</v>
      </c>
      <c r="J129" s="2" t="s">
        <v>71</v>
      </c>
      <c r="K129" s="2" t="s">
        <v>444</v>
      </c>
      <c r="O129" s="2" t="s">
        <v>45</v>
      </c>
      <c r="P129" s="2" t="s">
        <v>168</v>
      </c>
      <c r="Q129" s="2" t="s">
        <v>635</v>
      </c>
      <c r="W129" s="2" t="str">
        <f>_xlfn.LET(_xlpm.r, _xlfn.XLOOKUP(MappingGuide[[#This Row],[Description]],'[1]Squirrel SQL Export 1'!D:D,'[1]Squirrel SQL Export 1'!AC:AC),IF(_xlpm.r=0,"",_xlpm.r))</f>
        <v/>
      </c>
      <c r="AA129" s="2" t="s">
        <v>636</v>
      </c>
      <c r="AC129" s="2"/>
      <c r="AE129" s="2" t="str" cm="1">
        <f t="array" ref="AE129">_xlfn.LET(_xlpm.r, _xlfn.XLOOKUP(MappingGuide[[#This Row],[ColumnName]] &amp; "|" &amp; MappingGuide[[#This Row],[Description]],'[1]Squirrel SQL Export 1'!C:C &amp; "|" &amp;'[1]Squirrel SQL Export 1'!D:D,'[1]Squirrel SQL Export 1'!Z:Z),IF(_xlpm.r=0,"",_xlpm.r))</f>
        <v>no</v>
      </c>
      <c r="AF129" s="3" t="s">
        <v>1309</v>
      </c>
      <c r="AG129" s="3" t="s">
        <v>101</v>
      </c>
      <c r="AI129" s="2" t="str">
        <f>_xlfn.LET(_xlpm.r, _xlfn.XLOOKUP(MappingGuide[[#This Row],[Description]],'[1]Squirrel SQL Export 1'!D:D,'[1]Squirrel SQL Export 1'!Y:Y),IF(_xlpm.r=0,"",_xlpm.r))</f>
        <v>As discussed with Dee/Angie on 01/07, this is not needed</v>
      </c>
      <c r="AK129" s="2" t="str">
        <f>_xlfn.LET(_xlpm.r, _xlfn.XLOOKUP(MappingGuide[[#This Row],[Description]],'[1]Squirrel SQL Export 1'!D:D,'[1]Squirrel SQL Export 1'!AE:AE),IF(_xlpm.r=0,"",_xlpm.r))</f>
        <v>This appears to be an M3 only attribute.</v>
      </c>
      <c r="AL129" s="3" t="str">
        <f>_xlfn.LET(_xlpm.r, _xlfn.XLOOKUP(MappingGuide[[#This Row],[DataType]],'[1]Squirrel SQL Export 1'!E:E,'[1]Squirrel SQL Export 1'!AF:AF),IF(_xlpm.r=0,"",_xlpm.r))</f>
        <v/>
      </c>
      <c r="AM129" s="2" t="str">
        <f>_xlfn.LET(_xlpm.r, _xlfn.XLOOKUP(MappingGuide[[#This Row],[Length]],'[1]Squirrel SQL Export 1'!F:F,'[1]Squirrel SQL Export 1'!AG:AG),IF(_xlpm.r=0,"",_xlpm.r))</f>
        <v/>
      </c>
    </row>
    <row r="130" spans="1:39" x14ac:dyDescent="0.2">
      <c r="A130" s="2">
        <v>127</v>
      </c>
      <c r="B130" s="2" t="s">
        <v>51</v>
      </c>
      <c r="C130" s="2" t="s">
        <v>637</v>
      </c>
      <c r="D130" s="2" t="s">
        <v>638</v>
      </c>
      <c r="E130" s="2" t="s">
        <v>54</v>
      </c>
      <c r="F130" s="2" t="s">
        <v>407</v>
      </c>
      <c r="J130" s="2" t="s">
        <v>71</v>
      </c>
      <c r="K130" s="2" t="s">
        <v>444</v>
      </c>
      <c r="W130" s="2" t="str">
        <f>_xlfn.LET(_xlpm.r, _xlfn.XLOOKUP(MappingGuide[[#This Row],[Description]],'[1]Squirrel SQL Export 1'!D:D,'[1]Squirrel SQL Export 1'!AC:AC),IF(_xlpm.r=0,"",_xlpm.r))</f>
        <v/>
      </c>
      <c r="AA130" s="2" t="s">
        <v>639</v>
      </c>
      <c r="AC130" s="2"/>
      <c r="AE130" s="2" t="str" cm="1">
        <f t="array" ref="AE130">_xlfn.LET(_xlpm.r, _xlfn.XLOOKUP(MappingGuide[[#This Row],[ColumnName]] &amp; "|" &amp; MappingGuide[[#This Row],[Description]],'[1]Squirrel SQL Export 1'!C:C &amp; "|" &amp;'[1]Squirrel SQL Export 1'!D:D,'[1]Squirrel SQL Export 1'!Z:Z),IF(_xlpm.r=0,"",_xlpm.r))</f>
        <v>no</v>
      </c>
      <c r="AF130" s="3" t="s">
        <v>1309</v>
      </c>
      <c r="AG130" s="3" t="s">
        <v>101</v>
      </c>
      <c r="AI130" s="2" t="str">
        <f>_xlfn.LET(_xlpm.r, _xlfn.XLOOKUP(MappingGuide[[#This Row],[Description]],'[1]Squirrel SQL Export 1'!D:D,'[1]Squirrel SQL Export 1'!Y:Y),IF(_xlpm.r=0,"",_xlpm.r))</f>
        <v>Calculated value inside M3</v>
      </c>
      <c r="AK130" s="2" t="str">
        <f>_xlfn.LET(_xlpm.r, _xlfn.XLOOKUP(MappingGuide[[#This Row],[Description]],'[1]Squirrel SQL Export 1'!D:D,'[1]Squirrel SQL Export 1'!AE:AE),IF(_xlpm.r=0,"",_xlpm.r))</f>
        <v/>
      </c>
      <c r="AL130" s="3" t="str">
        <f>_xlfn.LET(_xlpm.r, _xlfn.XLOOKUP(MappingGuide[[#This Row],[DataType]],'[1]Squirrel SQL Export 1'!E:E,'[1]Squirrel SQL Export 1'!AF:AF),IF(_xlpm.r=0,"",_xlpm.r))</f>
        <v/>
      </c>
      <c r="AM130" s="2" t="str">
        <f>_xlfn.LET(_xlpm.r, _xlfn.XLOOKUP(MappingGuide[[#This Row],[Length]],'[1]Squirrel SQL Export 1'!F:F,'[1]Squirrel SQL Export 1'!AG:AG),IF(_xlpm.r=0,"",_xlpm.r))</f>
        <v/>
      </c>
    </row>
    <row r="131" spans="1:39" x14ac:dyDescent="0.2">
      <c r="A131" s="2">
        <v>128</v>
      </c>
      <c r="B131" s="2" t="s">
        <v>51</v>
      </c>
      <c r="C131" s="2" t="s">
        <v>640</v>
      </c>
      <c r="D131" s="2" t="s">
        <v>641</v>
      </c>
      <c r="E131" s="2" t="s">
        <v>43</v>
      </c>
      <c r="F131" s="2" t="s">
        <v>44</v>
      </c>
      <c r="J131" s="2" t="s">
        <v>71</v>
      </c>
      <c r="K131" s="2" t="s">
        <v>444</v>
      </c>
      <c r="W131" s="2" t="str">
        <f>_xlfn.LET(_xlpm.r, _xlfn.XLOOKUP(MappingGuide[[#This Row],[Description]],'[1]Squirrel SQL Export 1'!D:D,'[1]Squirrel SQL Export 1'!AC:AC),IF(_xlpm.r=0,"",_xlpm.r))</f>
        <v/>
      </c>
      <c r="AA131" s="2" t="s">
        <v>642</v>
      </c>
      <c r="AC131" s="2"/>
      <c r="AE131" s="2" t="str" cm="1">
        <f t="array" ref="AE131">_xlfn.LET(_xlpm.r, _xlfn.XLOOKUP(MappingGuide[[#This Row],[ColumnName]] &amp; "|" &amp; MappingGuide[[#This Row],[Description]],'[1]Squirrel SQL Export 1'!C:C &amp; "|" &amp;'[1]Squirrel SQL Export 1'!D:D,'[1]Squirrel SQL Export 1'!Z:Z),IF(_xlpm.r=0,"",_xlpm.r))</f>
        <v>no</v>
      </c>
      <c r="AF131" s="3" t="s">
        <v>1309</v>
      </c>
      <c r="AG131" s="3" t="s">
        <v>101</v>
      </c>
      <c r="AI131" s="2" t="str">
        <f>_xlfn.LET(_xlpm.r, _xlfn.XLOOKUP(MappingGuide[[#This Row],[Description]],'[1]Squirrel SQL Export 1'!D:D,'[1]Squirrel SQL Export 1'!Y:Y),IF(_xlpm.r=0,"",_xlpm.r))</f>
        <v>Calculated value inside M3</v>
      </c>
      <c r="AK131" s="2" t="str">
        <f>_xlfn.LET(_xlpm.r, _xlfn.XLOOKUP(MappingGuide[[#This Row],[Description]],'[1]Squirrel SQL Export 1'!D:D,'[1]Squirrel SQL Export 1'!AE:AE),IF(_xlpm.r=0,"",_xlpm.r))</f>
        <v/>
      </c>
      <c r="AL131" s="3" t="str">
        <f>_xlfn.LET(_xlpm.r, _xlfn.XLOOKUP(MappingGuide[[#This Row],[DataType]],'[1]Squirrel SQL Export 1'!E:E,'[1]Squirrel SQL Export 1'!AF:AF),IF(_xlpm.r=0,"",_xlpm.r))</f>
        <v>No</v>
      </c>
      <c r="AM131" s="2" t="str">
        <f>_xlfn.LET(_xlpm.r, _xlfn.XLOOKUP(MappingGuide[[#This Row],[Length]],'[1]Squirrel SQL Export 1'!F:F,'[1]Squirrel SQL Export 1'!AG:AG),IF(_xlpm.r=0,"",_xlpm.r))</f>
        <v/>
      </c>
    </row>
    <row r="132" spans="1:39" x14ac:dyDescent="0.2">
      <c r="A132" s="2">
        <v>129</v>
      </c>
      <c r="B132" s="2" t="s">
        <v>51</v>
      </c>
      <c r="C132" s="2" t="s">
        <v>643</v>
      </c>
      <c r="D132" s="2" t="s">
        <v>644</v>
      </c>
      <c r="E132" s="2" t="s">
        <v>54</v>
      </c>
      <c r="F132" s="2" t="s">
        <v>377</v>
      </c>
      <c r="G132" s="2" t="s">
        <v>70</v>
      </c>
      <c r="J132" s="2" t="s">
        <v>71</v>
      </c>
      <c r="K132" s="2" t="s">
        <v>444</v>
      </c>
      <c r="O132" s="2" t="s">
        <v>45</v>
      </c>
      <c r="P132" s="2" t="s">
        <v>168</v>
      </c>
      <c r="Q132" s="2" t="s">
        <v>645</v>
      </c>
      <c r="W132" s="2" t="str">
        <f>_xlfn.LET(_xlpm.r, _xlfn.XLOOKUP(MappingGuide[[#This Row],[Description]],'[1]Squirrel SQL Export 1'!D:D,'[1]Squirrel SQL Export 1'!AC:AC),IF(_xlpm.r=0,"",_xlpm.r))</f>
        <v/>
      </c>
      <c r="AA132" s="2" t="s">
        <v>646</v>
      </c>
      <c r="AC132" s="2"/>
      <c r="AE132" s="2" t="str" cm="1">
        <f t="array" ref="AE132">_xlfn.LET(_xlpm.r, _xlfn.XLOOKUP(MappingGuide[[#This Row],[ColumnName]] &amp; "|" &amp; MappingGuide[[#This Row],[Description]],'[1]Squirrel SQL Export 1'!C:C &amp; "|" &amp;'[1]Squirrel SQL Export 1'!D:D,'[1]Squirrel SQL Export 1'!Z:Z),IF(_xlpm.r=0,"",_xlpm.r))</f>
        <v>no</v>
      </c>
      <c r="AF132" s="3" t="s">
        <v>1309</v>
      </c>
      <c r="AG132" s="3" t="s">
        <v>101</v>
      </c>
      <c r="AI132" s="2" t="str">
        <f>_xlfn.LET(_xlpm.r, _xlfn.XLOOKUP(MappingGuide[[#This Row],[Description]],'[1]Squirrel SQL Export 1'!D:D,'[1]Squirrel SQL Export 1'!Y:Y),IF(_xlpm.r=0,"",_xlpm.r))</f>
        <v>As discussed with Dee/Angie on 01/07, this is not needed</v>
      </c>
      <c r="AK132" s="2" t="str">
        <f>_xlfn.LET(_xlpm.r, _xlfn.XLOOKUP(MappingGuide[[#This Row],[Description]],'[1]Squirrel SQL Export 1'!D:D,'[1]Squirrel SQL Export 1'!AE:AE),IF(_xlpm.r=0,"",_xlpm.r))</f>
        <v>This appears to be an M3 only attribute.</v>
      </c>
      <c r="AL132" s="3" t="str">
        <f>_xlfn.LET(_xlpm.r, _xlfn.XLOOKUP(MappingGuide[[#This Row],[DataType]],'[1]Squirrel SQL Export 1'!E:E,'[1]Squirrel SQL Export 1'!AF:AF),IF(_xlpm.r=0,"",_xlpm.r))</f>
        <v/>
      </c>
      <c r="AM132" s="2" t="str">
        <f>_xlfn.LET(_xlpm.r, _xlfn.XLOOKUP(MappingGuide[[#This Row],[Length]],'[1]Squirrel SQL Export 1'!F:F,'[1]Squirrel SQL Export 1'!AG:AG),IF(_xlpm.r=0,"",_xlpm.r))</f>
        <v/>
      </c>
    </row>
    <row r="133" spans="1:39" x14ac:dyDescent="0.2">
      <c r="A133" s="2">
        <v>130</v>
      </c>
      <c r="B133" s="2" t="s">
        <v>51</v>
      </c>
      <c r="C133" s="2" t="s">
        <v>647</v>
      </c>
      <c r="D133" s="2" t="s">
        <v>648</v>
      </c>
      <c r="E133" s="2" t="s">
        <v>54</v>
      </c>
      <c r="F133" s="2" t="s">
        <v>407</v>
      </c>
      <c r="J133" s="2" t="s">
        <v>71</v>
      </c>
      <c r="K133" s="2" t="s">
        <v>444</v>
      </c>
      <c r="W133" s="2" t="str">
        <f>_xlfn.LET(_xlpm.r, _xlfn.XLOOKUP(MappingGuide[[#This Row],[Description]],'[1]Squirrel SQL Export 1'!D:D,'[1]Squirrel SQL Export 1'!AC:AC),IF(_xlpm.r=0,"",_xlpm.r))</f>
        <v/>
      </c>
      <c r="AA133" s="2" t="s">
        <v>649</v>
      </c>
      <c r="AC133" s="2"/>
      <c r="AE133" s="2" t="str" cm="1">
        <f t="array" ref="AE133">_xlfn.LET(_xlpm.r, _xlfn.XLOOKUP(MappingGuide[[#This Row],[ColumnName]] &amp; "|" &amp; MappingGuide[[#This Row],[Description]],'[1]Squirrel SQL Export 1'!C:C &amp; "|" &amp;'[1]Squirrel SQL Export 1'!D:D,'[1]Squirrel SQL Export 1'!Z:Z),IF(_xlpm.r=0,"",_xlpm.r))</f>
        <v>no</v>
      </c>
      <c r="AF133" s="3" t="s">
        <v>1309</v>
      </c>
      <c r="AG133" s="3" t="s">
        <v>101</v>
      </c>
      <c r="AI133" s="2" t="str">
        <f>_xlfn.LET(_xlpm.r, _xlfn.XLOOKUP(MappingGuide[[#This Row],[Description]],'[1]Squirrel SQL Export 1'!D:D,'[1]Squirrel SQL Export 1'!Y:Y),IF(_xlpm.r=0,"",_xlpm.r))</f>
        <v>Calculated value inside M3</v>
      </c>
      <c r="AK133" s="2" t="str">
        <f>_xlfn.LET(_xlpm.r, _xlfn.XLOOKUP(MappingGuide[[#This Row],[Description]],'[1]Squirrel SQL Export 1'!D:D,'[1]Squirrel SQL Export 1'!AE:AE),IF(_xlpm.r=0,"",_xlpm.r))</f>
        <v/>
      </c>
      <c r="AL133" s="3" t="str">
        <f>_xlfn.LET(_xlpm.r, _xlfn.XLOOKUP(MappingGuide[[#This Row],[DataType]],'[1]Squirrel SQL Export 1'!E:E,'[1]Squirrel SQL Export 1'!AF:AF),IF(_xlpm.r=0,"",_xlpm.r))</f>
        <v/>
      </c>
      <c r="AM133" s="2" t="str">
        <f>_xlfn.LET(_xlpm.r, _xlfn.XLOOKUP(MappingGuide[[#This Row],[Length]],'[1]Squirrel SQL Export 1'!F:F,'[1]Squirrel SQL Export 1'!AG:AG),IF(_xlpm.r=0,"",_xlpm.r))</f>
        <v/>
      </c>
    </row>
    <row r="134" spans="1:39" x14ac:dyDescent="0.2">
      <c r="A134" s="2">
        <v>131</v>
      </c>
      <c r="B134" s="2" t="s">
        <v>51</v>
      </c>
      <c r="C134" s="2" t="s">
        <v>650</v>
      </c>
      <c r="D134" s="2" t="s">
        <v>641</v>
      </c>
      <c r="E134" s="2" t="s">
        <v>43</v>
      </c>
      <c r="F134" s="2" t="s">
        <v>44</v>
      </c>
      <c r="J134" s="2" t="s">
        <v>71</v>
      </c>
      <c r="K134" s="2" t="s">
        <v>444</v>
      </c>
      <c r="W134" s="2" t="str">
        <f>_xlfn.LET(_xlpm.r, _xlfn.XLOOKUP(MappingGuide[[#This Row],[Description]],'[1]Squirrel SQL Export 1'!D:D,'[1]Squirrel SQL Export 1'!AC:AC),IF(_xlpm.r=0,"",_xlpm.r))</f>
        <v/>
      </c>
      <c r="AA134" s="2" t="s">
        <v>651</v>
      </c>
      <c r="AC134" s="2"/>
      <c r="AE134" s="2" t="str" cm="1">
        <f t="array" ref="AE134">_xlfn.LET(_xlpm.r, _xlfn.XLOOKUP(MappingGuide[[#This Row],[ColumnName]] &amp; "|" &amp; MappingGuide[[#This Row],[Description]],'[1]Squirrel SQL Export 1'!C:C &amp; "|" &amp;'[1]Squirrel SQL Export 1'!D:D,'[1]Squirrel SQL Export 1'!Z:Z),IF(_xlpm.r=0,"",_xlpm.r))</f>
        <v>no</v>
      </c>
      <c r="AF134" s="3" t="s">
        <v>1309</v>
      </c>
      <c r="AG134" s="3" t="s">
        <v>101</v>
      </c>
      <c r="AI134" s="2" t="str">
        <f>_xlfn.LET(_xlpm.r, _xlfn.XLOOKUP(MappingGuide[[#This Row],[Description]],'[1]Squirrel SQL Export 1'!D:D,'[1]Squirrel SQL Export 1'!Y:Y),IF(_xlpm.r=0,"",_xlpm.r))</f>
        <v>Calculated value inside M3</v>
      </c>
      <c r="AK134" s="2" t="str">
        <f>_xlfn.LET(_xlpm.r, _xlfn.XLOOKUP(MappingGuide[[#This Row],[Description]],'[1]Squirrel SQL Export 1'!D:D,'[1]Squirrel SQL Export 1'!AE:AE),IF(_xlpm.r=0,"",_xlpm.r))</f>
        <v/>
      </c>
      <c r="AL134" s="3" t="str">
        <f>_xlfn.LET(_xlpm.r, _xlfn.XLOOKUP(MappingGuide[[#This Row],[DataType]],'[1]Squirrel SQL Export 1'!E:E,'[1]Squirrel SQL Export 1'!AF:AF),IF(_xlpm.r=0,"",_xlpm.r))</f>
        <v>No</v>
      </c>
      <c r="AM134" s="2" t="str">
        <f>_xlfn.LET(_xlpm.r, _xlfn.XLOOKUP(MappingGuide[[#This Row],[Length]],'[1]Squirrel SQL Export 1'!F:F,'[1]Squirrel SQL Export 1'!AG:AG),IF(_xlpm.r=0,"",_xlpm.r))</f>
        <v/>
      </c>
    </row>
    <row r="135" spans="1:39" x14ac:dyDescent="0.2">
      <c r="A135" s="2">
        <v>132</v>
      </c>
      <c r="B135" s="2" t="s">
        <v>51</v>
      </c>
      <c r="C135" s="2" t="s">
        <v>652</v>
      </c>
      <c r="D135" s="2" t="s">
        <v>653</v>
      </c>
      <c r="E135" s="2" t="s">
        <v>43</v>
      </c>
      <c r="F135" s="2" t="s">
        <v>70</v>
      </c>
      <c r="W135" s="2" t="str">
        <f>_xlfn.LET(_xlpm.r, _xlfn.XLOOKUP(MappingGuide[[#This Row],[Description]],'[1]Squirrel SQL Export 1'!D:D,'[1]Squirrel SQL Export 1'!AC:AC),IF(_xlpm.r=0,"",_xlpm.r))</f>
        <v/>
      </c>
      <c r="AA135" s="2" t="s">
        <v>654</v>
      </c>
      <c r="AC135" s="2" t="s">
        <v>655</v>
      </c>
      <c r="AE135" s="2" t="str" cm="1">
        <f t="array" ref="AE135">_xlfn.LET(_xlpm.r, _xlfn.XLOOKUP(MappingGuide[[#This Row],[ColumnName]] &amp; "|" &amp; MappingGuide[[#This Row],[Description]],'[1]Squirrel SQL Export 1'!C:C &amp; "|" &amp;'[1]Squirrel SQL Export 1'!D:D,'[1]Squirrel SQL Export 1'!Z:Z),IF(_xlpm.r=0,"",_xlpm.r))</f>
        <v>no</v>
      </c>
      <c r="AF135" s="3" t="s">
        <v>1309</v>
      </c>
      <c r="AG135" s="3" t="s">
        <v>101</v>
      </c>
      <c r="AI135" s="2" t="str">
        <f>_xlfn.LET(_xlpm.r, _xlfn.XLOOKUP(MappingGuide[[#This Row],[Description]],'[1]Squirrel SQL Export 1'!D:D,'[1]Squirrel SQL Export 1'!Y:Y),IF(_xlpm.r=0,"",_xlpm.r))</f>
        <v>Not used</v>
      </c>
      <c r="AK135" s="2" t="str">
        <f>_xlfn.LET(_xlpm.r, _xlfn.XLOOKUP(MappingGuide[[#This Row],[Description]],'[1]Squirrel SQL Export 1'!D:D,'[1]Squirrel SQL Export 1'!AE:AE),IF(_xlpm.r=0,"",_xlpm.r))</f>
        <v/>
      </c>
      <c r="AL135" s="3" t="str">
        <f>_xlfn.LET(_xlpm.r, _xlfn.XLOOKUP(MappingGuide[[#This Row],[DataType]],'[1]Squirrel SQL Export 1'!E:E,'[1]Squirrel SQL Export 1'!AF:AF),IF(_xlpm.r=0,"",_xlpm.r))</f>
        <v>No</v>
      </c>
      <c r="AM135" s="2" t="str">
        <f>_xlfn.LET(_xlpm.r, _xlfn.XLOOKUP(MappingGuide[[#This Row],[Length]],'[1]Squirrel SQL Export 1'!F:F,'[1]Squirrel SQL Export 1'!AG:AG),IF(_xlpm.r=0,"",_xlpm.r))</f>
        <v>Status</v>
      </c>
    </row>
    <row r="136" spans="1:39" x14ac:dyDescent="0.2">
      <c r="A136" s="2">
        <v>133</v>
      </c>
      <c r="B136" s="2" t="s">
        <v>51</v>
      </c>
      <c r="C136" s="2" t="s">
        <v>656</v>
      </c>
      <c r="D136" s="2" t="s">
        <v>657</v>
      </c>
      <c r="E136" s="2" t="s">
        <v>43</v>
      </c>
      <c r="F136" s="2" t="s">
        <v>44</v>
      </c>
      <c r="J136" s="2" t="s">
        <v>71</v>
      </c>
      <c r="K136" s="2" t="s">
        <v>140</v>
      </c>
      <c r="O136" s="2" t="s">
        <v>45</v>
      </c>
      <c r="P136" s="2" t="s">
        <v>46</v>
      </c>
      <c r="Q136" s="2" t="s">
        <v>658</v>
      </c>
      <c r="W136" s="2" t="str">
        <f>_xlfn.LET(_xlpm.r, _xlfn.XLOOKUP(MappingGuide[[#This Row],[Description]],'[1]Squirrel SQL Export 1'!D:D,'[1]Squirrel SQL Export 1'!AC:AC),IF(_xlpm.r=0,"",_xlpm.r))</f>
        <v>YUSMN</v>
      </c>
      <c r="AA136" s="2" t="s">
        <v>659</v>
      </c>
      <c r="AC136" s="3" t="s">
        <v>660</v>
      </c>
      <c r="AE136" s="2" t="str" cm="1">
        <f t="array" ref="AE136">_xlfn.LET(_xlpm.r, _xlfn.XLOOKUP(MappingGuide[[#This Row],[ColumnName]] &amp; "|" &amp; MappingGuide[[#This Row],[Description]],'[1]Squirrel SQL Export 1'!C:C &amp; "|" &amp;'[1]Squirrel SQL Export 1'!D:D,'[1]Squirrel SQL Export 1'!Z:Z),IF(_xlpm.r=0,"",_xlpm.r))</f>
        <v>yes</v>
      </c>
      <c r="AF136" s="3" t="s">
        <v>1309</v>
      </c>
      <c r="AG136" s="3" t="s">
        <v>48</v>
      </c>
      <c r="AH136" s="2" t="s">
        <v>661</v>
      </c>
      <c r="AI136" s="2" t="str">
        <f>_xlfn.LET(_xlpm.r, _xlfn.XLOOKUP(MappingGuide[[#This Row],[Description]],'[1]Squirrel SQL Export 1'!D:D,'[1]Squirrel SQL Export 1'!Y:Y),IF(_xlpm.r=0,"",_xlpm.r))</f>
        <v>Mandatory field that is used to define a "place" within a country. Table of places defined in M3 (MMS008), and used for route selection.</v>
      </c>
      <c r="AK136" s="2" t="str">
        <f>_xlfn.LET(_xlpm.r, _xlfn.XLOOKUP(MappingGuide[[#This Row],[Description]],'[1]Squirrel SQL Export 1'!D:D,'[1]Squirrel SQL Export 1'!AE:AE),IF(_xlpm.r=0,"",_xlpm.r))</f>
        <v>This appears to be an M3 only attribute.</v>
      </c>
      <c r="AL136" s="3" t="str">
        <f>_xlfn.LET(_xlpm.r, _xlfn.XLOOKUP(MappingGuide[[#This Row],[DataType]],'[1]Squirrel SQL Export 1'!E:E,'[1]Squirrel SQL Export 1'!AF:AF),IF(_xlpm.r=0,"",_xlpm.r))</f>
        <v>No</v>
      </c>
      <c r="AM136" s="2" t="str">
        <f>_xlfn.LET(_xlpm.r, _xlfn.XLOOKUP(MappingGuide[[#This Row],[Length]],'[1]Squirrel SQL Export 1'!F:F,'[1]Squirrel SQL Export 1'!AG:AG),IF(_xlpm.r=0,"",_xlpm.r))</f>
        <v/>
      </c>
    </row>
    <row r="137" spans="1:39" x14ac:dyDescent="0.2">
      <c r="A137" s="2">
        <v>134</v>
      </c>
      <c r="B137" s="2" t="s">
        <v>51</v>
      </c>
      <c r="C137" s="2" t="s">
        <v>662</v>
      </c>
      <c r="D137" s="2" t="s">
        <v>663</v>
      </c>
      <c r="E137" s="2" t="s">
        <v>43</v>
      </c>
      <c r="F137" s="2" t="s">
        <v>139</v>
      </c>
      <c r="W137" s="2" t="str">
        <f>_xlfn.LET(_xlpm.r, _xlfn.XLOOKUP(MappingGuide[[#This Row],[Description]],'[1]Squirrel SQL Export 1'!D:D,'[1]Squirrel SQL Export 1'!AC:AC),IF(_xlpm.r=0,"",_xlpm.r))</f>
        <v/>
      </c>
      <c r="AA137" s="2" t="s">
        <v>664</v>
      </c>
      <c r="AC137" s="2" t="s">
        <v>665</v>
      </c>
      <c r="AE137" s="2" t="str" cm="1">
        <f t="array" ref="AE137">_xlfn.LET(_xlpm.r, _xlfn.XLOOKUP(MappingGuide[[#This Row],[ColumnName]] &amp; "|" &amp; MappingGuide[[#This Row],[Description]],'[1]Squirrel SQL Export 1'!C:C &amp; "|" &amp;'[1]Squirrel SQL Export 1'!D:D,'[1]Squirrel SQL Export 1'!Z:Z),IF(_xlpm.r=0,"",_xlpm.r))</f>
        <v>no</v>
      </c>
      <c r="AF137" s="3" t="s">
        <v>1309</v>
      </c>
      <c r="AG137" s="3" t="s">
        <v>101</v>
      </c>
      <c r="AI137" s="2" t="str">
        <f>_xlfn.LET(_xlpm.r, _xlfn.XLOOKUP(MappingGuide[[#This Row],[Description]],'[1]Squirrel SQL Export 1'!D:D,'[1]Squirrel SQL Export 1'!Y:Y),IF(_xlpm.r=0,"",_xlpm.r))</f>
        <v>Not used</v>
      </c>
      <c r="AK137" s="2" t="str">
        <f>_xlfn.LET(_xlpm.r, _xlfn.XLOOKUP(MappingGuide[[#This Row],[Description]],'[1]Squirrel SQL Export 1'!D:D,'[1]Squirrel SQL Export 1'!AE:AE),IF(_xlpm.r=0,"",_xlpm.r))</f>
        <v/>
      </c>
      <c r="AL137" s="3" t="str">
        <f>_xlfn.LET(_xlpm.r, _xlfn.XLOOKUP(MappingGuide[[#This Row],[DataType]],'[1]Squirrel SQL Export 1'!E:E,'[1]Squirrel SQL Export 1'!AF:AF),IF(_xlpm.r=0,"",_xlpm.r))</f>
        <v>No</v>
      </c>
      <c r="AM137" s="2" t="str">
        <f>_xlfn.LET(_xlpm.r, _xlfn.XLOOKUP(MappingGuide[[#This Row],[Length]],'[1]Squirrel SQL Export 1'!F:F,'[1]Squirrel SQL Export 1'!AG:AG),IF(_xlpm.r=0,"",_xlpm.r))</f>
        <v/>
      </c>
    </row>
    <row r="138" spans="1:39" x14ac:dyDescent="0.2">
      <c r="A138" s="2">
        <v>135</v>
      </c>
      <c r="B138" s="2" t="s">
        <v>51</v>
      </c>
      <c r="C138" s="2" t="s">
        <v>666</v>
      </c>
      <c r="D138" s="2" t="s">
        <v>667</v>
      </c>
      <c r="E138" s="2" t="s">
        <v>54</v>
      </c>
      <c r="F138" s="2" t="s">
        <v>55</v>
      </c>
      <c r="W138" s="2" t="str">
        <f>_xlfn.LET(_xlpm.r, _xlfn.XLOOKUP(MappingGuide[[#This Row],[Description]],'[1]Squirrel SQL Export 1'!D:D,'[1]Squirrel SQL Export 1'!AC:AC),IF(_xlpm.r=0,"",_xlpm.r))</f>
        <v/>
      </c>
      <c r="AA138" s="2" t="s">
        <v>668</v>
      </c>
      <c r="AC138" s="2"/>
      <c r="AE138" s="2" t="str" cm="1">
        <f t="array" ref="AE138">_xlfn.LET(_xlpm.r, _xlfn.XLOOKUP(MappingGuide[[#This Row],[ColumnName]] &amp; "|" &amp; MappingGuide[[#This Row],[Description]],'[1]Squirrel SQL Export 1'!C:C &amp; "|" &amp;'[1]Squirrel SQL Export 1'!D:D,'[1]Squirrel SQL Export 1'!Z:Z),IF(_xlpm.r=0,"",_xlpm.r))</f>
        <v>no</v>
      </c>
      <c r="AF138" s="3" t="s">
        <v>1309</v>
      </c>
      <c r="AG138" s="3" t="s">
        <v>101</v>
      </c>
      <c r="AI138" s="2" t="str">
        <f>_xlfn.LET(_xlpm.r, _xlfn.XLOOKUP(MappingGuide[[#This Row],[Description]],'[1]Squirrel SQL Export 1'!D:D,'[1]Squirrel SQL Export 1'!Y:Y),IF(_xlpm.r=0,"",_xlpm.r))</f>
        <v>Not used</v>
      </c>
      <c r="AK138" s="2" t="str">
        <f>_xlfn.LET(_xlpm.r, _xlfn.XLOOKUP(MappingGuide[[#This Row],[Description]],'[1]Squirrel SQL Export 1'!D:D,'[1]Squirrel SQL Export 1'!AE:AE),IF(_xlpm.r=0,"",_xlpm.r))</f>
        <v/>
      </c>
      <c r="AL138" s="3" t="str">
        <f>_xlfn.LET(_xlpm.r, _xlfn.XLOOKUP(MappingGuide[[#This Row],[DataType]],'[1]Squirrel SQL Export 1'!E:E,'[1]Squirrel SQL Export 1'!AF:AF),IF(_xlpm.r=0,"",_xlpm.r))</f>
        <v/>
      </c>
      <c r="AM138" s="2" t="str">
        <f>_xlfn.LET(_xlpm.r, _xlfn.XLOOKUP(MappingGuide[[#This Row],[Length]],'[1]Squirrel SQL Export 1'!F:F,'[1]Squirrel SQL Export 1'!AG:AG),IF(_xlpm.r=0,"",_xlpm.r))</f>
        <v/>
      </c>
    </row>
    <row r="139" spans="1:39" x14ac:dyDescent="0.2">
      <c r="A139" s="2">
        <v>136</v>
      </c>
      <c r="B139" s="2" t="s">
        <v>51</v>
      </c>
      <c r="C139" s="2" t="s">
        <v>669</v>
      </c>
      <c r="D139" s="2" t="s">
        <v>670</v>
      </c>
      <c r="E139" s="2" t="s">
        <v>43</v>
      </c>
      <c r="F139" s="2" t="s">
        <v>242</v>
      </c>
      <c r="J139" s="2" t="s">
        <v>71</v>
      </c>
      <c r="K139" s="2" t="s">
        <v>140</v>
      </c>
      <c r="O139" s="2" t="s">
        <v>45</v>
      </c>
      <c r="P139" s="2" t="s">
        <v>88</v>
      </c>
      <c r="Q139" s="2" t="s">
        <v>671</v>
      </c>
      <c r="W139" s="2" t="str">
        <f>_xlfn.LET(_xlpm.r, _xlfn.XLOOKUP(MappingGuide[[#This Row],[Description]],'[1]Squirrel SQL Export 1'!D:D,'[1]Squirrel SQL Export 1'!AC:AC),IF(_xlpm.r=0,"",_xlpm.r))</f>
        <v/>
      </c>
      <c r="AA139" s="2" t="s">
        <v>672</v>
      </c>
      <c r="AC139" s="2"/>
      <c r="AE139" s="2" t="str" cm="1">
        <f t="array" ref="AE139">_xlfn.LET(_xlpm.r, _xlfn.XLOOKUP(MappingGuide[[#This Row],[ColumnName]] &amp; "|" &amp; MappingGuide[[#This Row],[Description]],'[1]Squirrel SQL Export 1'!C:C &amp; "|" &amp;'[1]Squirrel SQL Export 1'!D:D,'[1]Squirrel SQL Export 1'!Z:Z),IF(_xlpm.r=0,"",_xlpm.r))</f>
        <v>no</v>
      </c>
      <c r="AF139" s="3" t="s">
        <v>1309</v>
      </c>
      <c r="AG139" s="3" t="s">
        <v>101</v>
      </c>
      <c r="AI139" s="2" t="str">
        <f>_xlfn.LET(_xlpm.r, _xlfn.XLOOKUP(MappingGuide[[#This Row],[Description]],'[1]Squirrel SQL Export 1'!D:D,'[1]Squirrel SQL Export 1'!Y:Y),IF(_xlpm.r=0,"",_xlpm.r))</f>
        <v>Not used (Can be used if advanced route selection is needed)</v>
      </c>
      <c r="AK139" s="2" t="str">
        <f>_xlfn.LET(_xlpm.r, _xlfn.XLOOKUP(MappingGuide[[#This Row],[Description]],'[1]Squirrel SQL Export 1'!D:D,'[1]Squirrel SQL Export 1'!AE:AE),IF(_xlpm.r=0,"",_xlpm.r))</f>
        <v/>
      </c>
      <c r="AL139" s="3" t="str">
        <f>_xlfn.LET(_xlpm.r, _xlfn.XLOOKUP(MappingGuide[[#This Row],[DataType]],'[1]Squirrel SQL Export 1'!E:E,'[1]Squirrel SQL Export 1'!AF:AF),IF(_xlpm.r=0,"",_xlpm.r))</f>
        <v>No</v>
      </c>
      <c r="AM139" s="2" t="str">
        <f>_xlfn.LET(_xlpm.r, _xlfn.XLOOKUP(MappingGuide[[#This Row],[Length]],'[1]Squirrel SQL Export 1'!F:F,'[1]Squirrel SQL Export 1'!AG:AG),IF(_xlpm.r=0,"",_xlpm.r))</f>
        <v/>
      </c>
    </row>
    <row r="140" spans="1:39" x14ac:dyDescent="0.2">
      <c r="A140" s="2">
        <v>137</v>
      </c>
      <c r="B140" s="2" t="s">
        <v>51</v>
      </c>
      <c r="C140" s="2" t="s">
        <v>673</v>
      </c>
      <c r="D140" s="2" t="s">
        <v>674</v>
      </c>
      <c r="E140" s="2" t="s">
        <v>43</v>
      </c>
      <c r="F140" s="2" t="s">
        <v>70</v>
      </c>
      <c r="J140" s="2" t="s">
        <v>71</v>
      </c>
      <c r="K140" s="2" t="s">
        <v>140</v>
      </c>
      <c r="O140" s="2" t="s">
        <v>45</v>
      </c>
      <c r="P140" s="2" t="s">
        <v>88</v>
      </c>
      <c r="Q140" s="2" t="s">
        <v>675</v>
      </c>
      <c r="W140" s="2" t="str">
        <f>_xlfn.LET(_xlpm.r, _xlfn.XLOOKUP(MappingGuide[[#This Row],[Description]],'[1]Squirrel SQL Export 1'!D:D,'[1]Squirrel SQL Export 1'!AC:AC),IF(_xlpm.r=0,"",_xlpm.r))</f>
        <v/>
      </c>
      <c r="AA140" s="2" t="s">
        <v>676</v>
      </c>
      <c r="AC140" s="2" t="s">
        <v>677</v>
      </c>
      <c r="AE140" s="2" t="str" cm="1">
        <f t="array" ref="AE140">_xlfn.LET(_xlpm.r, _xlfn.XLOOKUP(MappingGuide[[#This Row],[ColumnName]] &amp; "|" &amp; MappingGuide[[#This Row],[Description]],'[1]Squirrel SQL Export 1'!C:C &amp; "|" &amp;'[1]Squirrel SQL Export 1'!D:D,'[1]Squirrel SQL Export 1'!Z:Z),IF(_xlpm.r=0,"",_xlpm.r))</f>
        <v>no</v>
      </c>
      <c r="AF140" s="3" t="s">
        <v>1309</v>
      </c>
      <c r="AG140" s="3" t="s">
        <v>101</v>
      </c>
      <c r="AI140" s="2" t="str">
        <f>_xlfn.LET(_xlpm.r, _xlfn.XLOOKUP(MappingGuide[[#This Row],[Description]],'[1]Squirrel SQL Export 1'!D:D,'[1]Squirrel SQL Export 1'!Y:Y),IF(_xlpm.r=0,"",_xlpm.r))</f>
        <v>Not used</v>
      </c>
      <c r="AK140" s="2" t="str">
        <f>_xlfn.LET(_xlpm.r, _xlfn.XLOOKUP(MappingGuide[[#This Row],[Description]],'[1]Squirrel SQL Export 1'!D:D,'[1]Squirrel SQL Export 1'!AE:AE),IF(_xlpm.r=0,"",_xlpm.r))</f>
        <v/>
      </c>
      <c r="AL140" s="3" t="str">
        <f>_xlfn.LET(_xlpm.r, _xlfn.XLOOKUP(MappingGuide[[#This Row],[DataType]],'[1]Squirrel SQL Export 1'!E:E,'[1]Squirrel SQL Export 1'!AF:AF),IF(_xlpm.r=0,"",_xlpm.r))</f>
        <v>No</v>
      </c>
      <c r="AM140" s="2" t="str">
        <f>_xlfn.LET(_xlpm.r, _xlfn.XLOOKUP(MappingGuide[[#This Row],[Length]],'[1]Squirrel SQL Export 1'!F:F,'[1]Squirrel SQL Export 1'!AG:AG),IF(_xlpm.r=0,"",_xlpm.r))</f>
        <v>Status</v>
      </c>
    </row>
    <row r="141" spans="1:39" x14ac:dyDescent="0.2">
      <c r="A141" s="2">
        <v>138</v>
      </c>
      <c r="B141" s="2" t="s">
        <v>51</v>
      </c>
      <c r="C141" s="2" t="s">
        <v>678</v>
      </c>
      <c r="D141" s="2" t="s">
        <v>679</v>
      </c>
      <c r="E141" s="2" t="s">
        <v>43</v>
      </c>
      <c r="F141" s="2" t="s">
        <v>242</v>
      </c>
      <c r="W141" s="2" t="str">
        <f>_xlfn.LET(_xlpm.r, _xlfn.XLOOKUP(MappingGuide[[#This Row],[Description]],'[1]Squirrel SQL Export 1'!D:D,'[1]Squirrel SQL Export 1'!AC:AC),IF(_xlpm.r=0,"",_xlpm.r))</f>
        <v/>
      </c>
      <c r="AA141" s="2" t="s">
        <v>680</v>
      </c>
      <c r="AC141" s="2"/>
      <c r="AE141" s="2" t="str" cm="1">
        <f t="array" ref="AE141">_xlfn.LET(_xlpm.r, _xlfn.XLOOKUP(MappingGuide[[#This Row],[ColumnName]] &amp; "|" &amp; MappingGuide[[#This Row],[Description]],'[1]Squirrel SQL Export 1'!C:C &amp; "|" &amp;'[1]Squirrel SQL Export 1'!D:D,'[1]Squirrel SQL Export 1'!Z:Z),IF(_xlpm.r=0,"",_xlpm.r))</f>
        <v>no</v>
      </c>
      <c r="AF141" s="3" t="s">
        <v>1309</v>
      </c>
      <c r="AG141" s="3" t="s">
        <v>101</v>
      </c>
      <c r="AI141" s="2" t="str">
        <f>_xlfn.LET(_xlpm.r, _xlfn.XLOOKUP(MappingGuide[[#This Row],[Description]],'[1]Squirrel SQL Export 1'!D:D,'[1]Squirrel SQL Export 1'!Y:Y),IF(_xlpm.r=0,"",_xlpm.r))</f>
        <v>Not used</v>
      </c>
      <c r="AK141" s="2" t="str">
        <f>_xlfn.LET(_xlpm.r, _xlfn.XLOOKUP(MappingGuide[[#This Row],[Description]],'[1]Squirrel SQL Export 1'!D:D,'[1]Squirrel SQL Export 1'!AE:AE),IF(_xlpm.r=0,"",_xlpm.r))</f>
        <v/>
      </c>
      <c r="AL141" s="3" t="str">
        <f>_xlfn.LET(_xlpm.r, _xlfn.XLOOKUP(MappingGuide[[#This Row],[DataType]],'[1]Squirrel SQL Export 1'!E:E,'[1]Squirrel SQL Export 1'!AF:AF),IF(_xlpm.r=0,"",_xlpm.r))</f>
        <v>No</v>
      </c>
      <c r="AM141" s="2" t="str">
        <f>_xlfn.LET(_xlpm.r, _xlfn.XLOOKUP(MappingGuide[[#This Row],[Length]],'[1]Squirrel SQL Export 1'!F:F,'[1]Squirrel SQL Export 1'!AG:AG),IF(_xlpm.r=0,"",_xlpm.r))</f>
        <v/>
      </c>
    </row>
    <row r="142" spans="1:39" x14ac:dyDescent="0.2">
      <c r="A142" s="2">
        <v>139</v>
      </c>
      <c r="B142" s="2" t="s">
        <v>51</v>
      </c>
      <c r="C142" s="2" t="s">
        <v>681</v>
      </c>
      <c r="D142" s="2" t="s">
        <v>682</v>
      </c>
      <c r="E142" s="2" t="s">
        <v>43</v>
      </c>
      <c r="F142" s="2" t="s">
        <v>242</v>
      </c>
      <c r="W142" s="2" t="str">
        <f>_xlfn.LET(_xlpm.r, _xlfn.XLOOKUP(MappingGuide[[#This Row],[Description]],'[1]Squirrel SQL Export 1'!D:D,'[1]Squirrel SQL Export 1'!AC:AC),IF(_xlpm.r=0,"",_xlpm.r))</f>
        <v/>
      </c>
      <c r="AA142" s="2" t="s">
        <v>680</v>
      </c>
      <c r="AC142" s="2"/>
      <c r="AE142" s="2" t="str" cm="1">
        <f t="array" ref="AE142">_xlfn.LET(_xlpm.r, _xlfn.XLOOKUP(MappingGuide[[#This Row],[ColumnName]] &amp; "|" &amp; MappingGuide[[#This Row],[Description]],'[1]Squirrel SQL Export 1'!C:C &amp; "|" &amp;'[1]Squirrel SQL Export 1'!D:D,'[1]Squirrel SQL Export 1'!Z:Z),IF(_xlpm.r=0,"",_xlpm.r))</f>
        <v>no</v>
      </c>
      <c r="AF142" s="3" t="s">
        <v>1309</v>
      </c>
      <c r="AG142" s="3" t="s">
        <v>101</v>
      </c>
      <c r="AI142" s="2" t="str">
        <f>_xlfn.LET(_xlpm.r, _xlfn.XLOOKUP(MappingGuide[[#This Row],[Description]],'[1]Squirrel SQL Export 1'!D:D,'[1]Squirrel SQL Export 1'!Y:Y),IF(_xlpm.r=0,"",_xlpm.r))</f>
        <v>Not used</v>
      </c>
      <c r="AK142" s="2" t="str">
        <f>_xlfn.LET(_xlpm.r, _xlfn.XLOOKUP(MappingGuide[[#This Row],[Description]],'[1]Squirrel SQL Export 1'!D:D,'[1]Squirrel SQL Export 1'!AE:AE),IF(_xlpm.r=0,"",_xlpm.r))</f>
        <v/>
      </c>
      <c r="AL142" s="3" t="str">
        <f>_xlfn.LET(_xlpm.r, _xlfn.XLOOKUP(MappingGuide[[#This Row],[DataType]],'[1]Squirrel SQL Export 1'!E:E,'[1]Squirrel SQL Export 1'!AF:AF),IF(_xlpm.r=0,"",_xlpm.r))</f>
        <v>No</v>
      </c>
      <c r="AM142" s="2" t="str">
        <f>_xlfn.LET(_xlpm.r, _xlfn.XLOOKUP(MappingGuide[[#This Row],[Length]],'[1]Squirrel SQL Export 1'!F:F,'[1]Squirrel SQL Export 1'!AG:AG),IF(_xlpm.r=0,"",_xlpm.r))</f>
        <v/>
      </c>
    </row>
    <row r="143" spans="1:39" x14ac:dyDescent="0.2">
      <c r="A143" s="2">
        <v>140</v>
      </c>
      <c r="B143" s="2" t="s">
        <v>51</v>
      </c>
      <c r="C143" s="2" t="s">
        <v>683</v>
      </c>
      <c r="D143" s="2" t="s">
        <v>684</v>
      </c>
      <c r="E143" s="2" t="s">
        <v>43</v>
      </c>
      <c r="F143" s="2" t="s">
        <v>242</v>
      </c>
      <c r="W143" s="2" t="str">
        <f>_xlfn.LET(_xlpm.r, _xlfn.XLOOKUP(MappingGuide[[#This Row],[Description]],'[1]Squirrel SQL Export 1'!D:D,'[1]Squirrel SQL Export 1'!AC:AC),IF(_xlpm.r=0,"",_xlpm.r))</f>
        <v/>
      </c>
      <c r="AA143" s="2" t="s">
        <v>680</v>
      </c>
      <c r="AC143" s="2"/>
      <c r="AE143" s="2" t="str" cm="1">
        <f t="array" ref="AE143">_xlfn.LET(_xlpm.r, _xlfn.XLOOKUP(MappingGuide[[#This Row],[ColumnName]] &amp; "|" &amp; MappingGuide[[#This Row],[Description]],'[1]Squirrel SQL Export 1'!C:C &amp; "|" &amp;'[1]Squirrel SQL Export 1'!D:D,'[1]Squirrel SQL Export 1'!Z:Z),IF(_xlpm.r=0,"",_xlpm.r))</f>
        <v>no</v>
      </c>
      <c r="AF143" s="3" t="s">
        <v>1309</v>
      </c>
      <c r="AG143" s="3" t="s">
        <v>101</v>
      </c>
      <c r="AI143" s="2" t="str">
        <f>_xlfn.LET(_xlpm.r, _xlfn.XLOOKUP(MappingGuide[[#This Row],[Description]],'[1]Squirrel SQL Export 1'!D:D,'[1]Squirrel SQL Export 1'!Y:Y),IF(_xlpm.r=0,"",_xlpm.r))</f>
        <v>Not used</v>
      </c>
      <c r="AK143" s="2" t="str">
        <f>_xlfn.LET(_xlpm.r, _xlfn.XLOOKUP(MappingGuide[[#This Row],[Description]],'[1]Squirrel SQL Export 1'!D:D,'[1]Squirrel SQL Export 1'!AE:AE),IF(_xlpm.r=0,"",_xlpm.r))</f>
        <v/>
      </c>
      <c r="AL143" s="3" t="str">
        <f>_xlfn.LET(_xlpm.r, _xlfn.XLOOKUP(MappingGuide[[#This Row],[DataType]],'[1]Squirrel SQL Export 1'!E:E,'[1]Squirrel SQL Export 1'!AF:AF),IF(_xlpm.r=0,"",_xlpm.r))</f>
        <v>No</v>
      </c>
      <c r="AM143" s="2" t="str">
        <f>_xlfn.LET(_xlpm.r, _xlfn.XLOOKUP(MappingGuide[[#This Row],[Length]],'[1]Squirrel SQL Export 1'!F:F,'[1]Squirrel SQL Export 1'!AG:AG),IF(_xlpm.r=0,"",_xlpm.r))</f>
        <v/>
      </c>
    </row>
    <row r="144" spans="1:39" x14ac:dyDescent="0.2">
      <c r="A144" s="2">
        <v>141</v>
      </c>
      <c r="B144" s="2" t="s">
        <v>51</v>
      </c>
      <c r="C144" s="2" t="s">
        <v>685</v>
      </c>
      <c r="D144" s="2" t="s">
        <v>686</v>
      </c>
      <c r="E144" s="2" t="s">
        <v>43</v>
      </c>
      <c r="F144" s="2" t="s">
        <v>242</v>
      </c>
      <c r="W144" s="2" t="str">
        <f>_xlfn.LET(_xlpm.r, _xlfn.XLOOKUP(MappingGuide[[#This Row],[Description]],'[1]Squirrel SQL Export 1'!D:D,'[1]Squirrel SQL Export 1'!AC:AC),IF(_xlpm.r=0,"",_xlpm.r))</f>
        <v/>
      </c>
      <c r="AA144" s="2" t="s">
        <v>680</v>
      </c>
      <c r="AC144" s="2"/>
      <c r="AE144" s="2" t="str" cm="1">
        <f t="array" ref="AE144">_xlfn.LET(_xlpm.r, _xlfn.XLOOKUP(MappingGuide[[#This Row],[ColumnName]] &amp; "|" &amp; MappingGuide[[#This Row],[Description]],'[1]Squirrel SQL Export 1'!C:C &amp; "|" &amp;'[1]Squirrel SQL Export 1'!D:D,'[1]Squirrel SQL Export 1'!Z:Z),IF(_xlpm.r=0,"",_xlpm.r))</f>
        <v>no</v>
      </c>
      <c r="AF144" s="3" t="s">
        <v>1309</v>
      </c>
      <c r="AG144" s="3" t="s">
        <v>101</v>
      </c>
      <c r="AI144" s="2" t="str">
        <f>_xlfn.LET(_xlpm.r, _xlfn.XLOOKUP(MappingGuide[[#This Row],[Description]],'[1]Squirrel SQL Export 1'!D:D,'[1]Squirrel SQL Export 1'!Y:Y),IF(_xlpm.r=0,"",_xlpm.r))</f>
        <v>Not used</v>
      </c>
      <c r="AK144" s="2" t="str">
        <f>_xlfn.LET(_xlpm.r, _xlfn.XLOOKUP(MappingGuide[[#This Row],[Description]],'[1]Squirrel SQL Export 1'!D:D,'[1]Squirrel SQL Export 1'!AE:AE),IF(_xlpm.r=0,"",_xlpm.r))</f>
        <v/>
      </c>
      <c r="AL144" s="3" t="str">
        <f>_xlfn.LET(_xlpm.r, _xlfn.XLOOKUP(MappingGuide[[#This Row],[DataType]],'[1]Squirrel SQL Export 1'!E:E,'[1]Squirrel SQL Export 1'!AF:AF),IF(_xlpm.r=0,"",_xlpm.r))</f>
        <v>No</v>
      </c>
      <c r="AM144" s="2" t="str">
        <f>_xlfn.LET(_xlpm.r, _xlfn.XLOOKUP(MappingGuide[[#This Row],[Length]],'[1]Squirrel SQL Export 1'!F:F,'[1]Squirrel SQL Export 1'!AG:AG),IF(_xlpm.r=0,"",_xlpm.r))</f>
        <v/>
      </c>
    </row>
    <row r="145" spans="1:39" x14ac:dyDescent="0.2">
      <c r="A145" s="2">
        <v>142</v>
      </c>
      <c r="B145" s="2" t="s">
        <v>51</v>
      </c>
      <c r="C145" s="2" t="s">
        <v>687</v>
      </c>
      <c r="D145" s="2" t="s">
        <v>688</v>
      </c>
      <c r="E145" s="2" t="s">
        <v>43</v>
      </c>
      <c r="F145" s="2" t="s">
        <v>242</v>
      </c>
      <c r="W145" s="2" t="str">
        <f>_xlfn.LET(_xlpm.r, _xlfn.XLOOKUP(MappingGuide[[#This Row],[Description]],'[1]Squirrel SQL Export 1'!D:D,'[1]Squirrel SQL Export 1'!AC:AC),IF(_xlpm.r=0,"",_xlpm.r))</f>
        <v/>
      </c>
      <c r="AA145" s="2" t="s">
        <v>680</v>
      </c>
      <c r="AC145" s="2"/>
      <c r="AE145" s="2" t="str" cm="1">
        <f t="array" ref="AE145">_xlfn.LET(_xlpm.r, _xlfn.XLOOKUP(MappingGuide[[#This Row],[ColumnName]] &amp; "|" &amp; MappingGuide[[#This Row],[Description]],'[1]Squirrel SQL Export 1'!C:C &amp; "|" &amp;'[1]Squirrel SQL Export 1'!D:D,'[1]Squirrel SQL Export 1'!Z:Z),IF(_xlpm.r=0,"",_xlpm.r))</f>
        <v>no</v>
      </c>
      <c r="AF145" s="3" t="s">
        <v>1309</v>
      </c>
      <c r="AG145" s="3" t="s">
        <v>101</v>
      </c>
      <c r="AI145" s="2" t="str">
        <f>_xlfn.LET(_xlpm.r, _xlfn.XLOOKUP(MappingGuide[[#This Row],[Description]],'[1]Squirrel SQL Export 1'!D:D,'[1]Squirrel SQL Export 1'!Y:Y),IF(_xlpm.r=0,"",_xlpm.r))</f>
        <v>Not used</v>
      </c>
      <c r="AK145" s="2" t="str">
        <f>_xlfn.LET(_xlpm.r, _xlfn.XLOOKUP(MappingGuide[[#This Row],[Description]],'[1]Squirrel SQL Export 1'!D:D,'[1]Squirrel SQL Export 1'!AE:AE),IF(_xlpm.r=0,"",_xlpm.r))</f>
        <v/>
      </c>
      <c r="AL145" s="3" t="str">
        <f>_xlfn.LET(_xlpm.r, _xlfn.XLOOKUP(MappingGuide[[#This Row],[DataType]],'[1]Squirrel SQL Export 1'!E:E,'[1]Squirrel SQL Export 1'!AF:AF),IF(_xlpm.r=0,"",_xlpm.r))</f>
        <v>No</v>
      </c>
      <c r="AM145" s="2" t="str">
        <f>_xlfn.LET(_xlpm.r, _xlfn.XLOOKUP(MappingGuide[[#This Row],[Length]],'[1]Squirrel SQL Export 1'!F:F,'[1]Squirrel SQL Export 1'!AG:AG),IF(_xlpm.r=0,"",_xlpm.r))</f>
        <v/>
      </c>
    </row>
    <row r="146" spans="1:39" x14ac:dyDescent="0.2">
      <c r="A146" s="2">
        <v>143</v>
      </c>
      <c r="B146" s="2" t="s">
        <v>51</v>
      </c>
      <c r="C146" s="2" t="s">
        <v>689</v>
      </c>
      <c r="D146" s="2" t="s">
        <v>690</v>
      </c>
      <c r="E146" s="2" t="s">
        <v>43</v>
      </c>
      <c r="F146" s="2" t="s">
        <v>55</v>
      </c>
      <c r="J146" s="2" t="s">
        <v>71</v>
      </c>
      <c r="K146" s="2" t="s">
        <v>167</v>
      </c>
      <c r="L146" s="2" t="s">
        <v>48</v>
      </c>
      <c r="O146" s="2" t="s">
        <v>45</v>
      </c>
      <c r="P146" s="2" t="s">
        <v>168</v>
      </c>
      <c r="Q146" s="2" t="s">
        <v>691</v>
      </c>
      <c r="T146" s="2" t="s">
        <v>692</v>
      </c>
      <c r="W146" s="2" t="str">
        <f>_xlfn.LET(_xlpm.r, _xlfn.XLOOKUP(MappingGuide[[#This Row],[Description]],'[1]Squirrel SQL Export 1'!D:D,'[1]Squirrel SQL Export 1'!AC:AC),IF(_xlpm.r=0,"",_xlpm.r))</f>
        <v>TR1</v>
      </c>
      <c r="AA146" s="2" t="s">
        <v>693</v>
      </c>
      <c r="AC146" s="3" t="s">
        <v>694</v>
      </c>
      <c r="AE146" s="2" t="str" cm="1">
        <f t="array" ref="AE146">_xlfn.LET(_xlpm.r, _xlfn.XLOOKUP(MappingGuide[[#This Row],[ColumnName]] &amp; "|" &amp; MappingGuide[[#This Row],[Description]],'[1]Squirrel SQL Export 1'!C:C &amp; "|" &amp;'[1]Squirrel SQL Export 1'!D:D,'[1]Squirrel SQL Export 1'!Z:Z),IF(_xlpm.r=0,"",_xlpm.r))</f>
        <v>no</v>
      </c>
      <c r="AF146" s="3" t="s">
        <v>1309</v>
      </c>
      <c r="AG146" s="3" t="s">
        <v>48</v>
      </c>
      <c r="AH146" s="2" t="s">
        <v>695</v>
      </c>
      <c r="AI146" s="2" t="str">
        <f>_xlfn.LET(_xlpm.r, _xlfn.XLOOKUP(MappingGuide[[#This Row],[Description]],'[1]Squirrel SQL Export 1'!D:D,'[1]Squirrel SQL Export 1'!Y:Y),IF(_xlpm.r=0,"",_xlpm.r))</f>
        <v xml:space="preserve">This need to be maintained in M3. But, at time of customer creation, we will pass a default value as part of template. Because, we don't know the default payment method for the customer generally at the time of customer creation. </v>
      </c>
      <c r="AK146" s="2" t="str">
        <f>_xlfn.LET(_xlpm.r, _xlfn.XLOOKUP(MappingGuide[[#This Row],[Description]],'[1]Squirrel SQL Export 1'!D:D,'[1]Squirrel SQL Export 1'!AE:AE),IF(_xlpm.r=0,"",_xlpm.r))</f>
        <v>We will need to confirm if this is the CCM AR Number, then we can map</v>
      </c>
      <c r="AL146" s="3" t="str">
        <f>_xlfn.LET(_xlpm.r, _xlfn.XLOOKUP(MappingGuide[[#This Row],[DataType]],'[1]Squirrel SQL Export 1'!E:E,'[1]Squirrel SQL Export 1'!AF:AF),IF(_xlpm.r=0,"",_xlpm.r))</f>
        <v>No</v>
      </c>
      <c r="AM146" s="2" t="str">
        <f>_xlfn.LET(_xlpm.r, _xlfn.XLOOKUP(MappingGuide[[#This Row],[Length]],'[1]Squirrel SQL Export 1'!F:F,'[1]Squirrel SQL Export 1'!AG:AG),IF(_xlpm.r=0,"",_xlpm.r))</f>
        <v/>
      </c>
    </row>
    <row r="147" spans="1:39" x14ac:dyDescent="0.2">
      <c r="A147" s="2">
        <v>144</v>
      </c>
      <c r="B147" s="2" t="s">
        <v>51</v>
      </c>
      <c r="C147" s="2" t="s">
        <v>696</v>
      </c>
      <c r="D147" s="2" t="s">
        <v>697</v>
      </c>
      <c r="E147" s="2" t="s">
        <v>54</v>
      </c>
      <c r="F147" s="2" t="s">
        <v>96</v>
      </c>
      <c r="J147" s="2" t="s">
        <v>71</v>
      </c>
      <c r="K147" s="2" t="s">
        <v>146</v>
      </c>
      <c r="O147" s="2" t="s">
        <v>45</v>
      </c>
      <c r="P147" s="2" t="s">
        <v>88</v>
      </c>
      <c r="Q147" s="2" t="s">
        <v>698</v>
      </c>
      <c r="W147" s="2" t="str">
        <f>_xlfn.LET(_xlpm.r, _xlfn.XLOOKUP(MappingGuide[[#This Row],[Description]],'[1]Squirrel SQL Export 1'!D:D,'[1]Squirrel SQL Export 1'!AC:AC),IF(_xlpm.r=0,"",_xlpm.r))</f>
        <v/>
      </c>
      <c r="AA147" s="2" t="s">
        <v>699</v>
      </c>
      <c r="AC147" s="2"/>
      <c r="AE147" s="2" t="str" cm="1">
        <f t="array" ref="AE147">_xlfn.LET(_xlpm.r, _xlfn.XLOOKUP(MappingGuide[[#This Row],[ColumnName]] &amp; "|" &amp; MappingGuide[[#This Row],[Description]],'[1]Squirrel SQL Export 1'!C:C &amp; "|" &amp;'[1]Squirrel SQL Export 1'!D:D,'[1]Squirrel SQL Export 1'!Z:Z),IF(_xlpm.r=0,"",_xlpm.r))</f>
        <v>no</v>
      </c>
      <c r="AF147" s="3" t="s">
        <v>1309</v>
      </c>
      <c r="AG147" s="3" t="s">
        <v>101</v>
      </c>
      <c r="AI147" s="2" t="str">
        <f>_xlfn.LET(_xlpm.r, _xlfn.XLOOKUP(MappingGuide[[#This Row],[Description]],'[1]Squirrel SQL Export 1'!D:D,'[1]Squirrel SQL Export 1'!Y:Y),IF(_xlpm.r=0,"",_xlpm.r))</f>
        <v>Not used</v>
      </c>
      <c r="AK147" s="2" t="str">
        <f>_xlfn.LET(_xlpm.r, _xlfn.XLOOKUP(MappingGuide[[#This Row],[Description]],'[1]Squirrel SQL Export 1'!D:D,'[1]Squirrel SQL Export 1'!AE:AE),IF(_xlpm.r=0,"",_xlpm.r))</f>
        <v/>
      </c>
      <c r="AL147" s="3" t="str">
        <f>_xlfn.LET(_xlpm.r, _xlfn.XLOOKUP(MappingGuide[[#This Row],[DataType]],'[1]Squirrel SQL Export 1'!E:E,'[1]Squirrel SQL Export 1'!AF:AF),IF(_xlpm.r=0,"",_xlpm.r))</f>
        <v/>
      </c>
      <c r="AM147" s="2" t="str">
        <f>_xlfn.LET(_xlpm.r, _xlfn.XLOOKUP(MappingGuide[[#This Row],[Length]],'[1]Squirrel SQL Export 1'!F:F,'[1]Squirrel SQL Export 1'!AG:AG),IF(_xlpm.r=0,"",_xlpm.r))</f>
        <v>Type</v>
      </c>
    </row>
    <row r="148" spans="1:39" x14ac:dyDescent="0.2">
      <c r="A148" s="2">
        <v>145</v>
      </c>
      <c r="B148" s="2" t="s">
        <v>51</v>
      </c>
      <c r="C148" s="2" t="s">
        <v>700</v>
      </c>
      <c r="D148" s="2" t="s">
        <v>701</v>
      </c>
      <c r="E148" s="2" t="s">
        <v>54</v>
      </c>
      <c r="F148" s="2" t="s">
        <v>702</v>
      </c>
      <c r="W148" s="2" t="str">
        <f>_xlfn.LET(_xlpm.r, _xlfn.XLOOKUP(MappingGuide[[#This Row],[Description]],'[1]Squirrel SQL Export 1'!D:D,'[1]Squirrel SQL Export 1'!AC:AC),IF(_xlpm.r=0,"",_xlpm.r))</f>
        <v/>
      </c>
      <c r="AA148" s="2" t="s">
        <v>703</v>
      </c>
      <c r="AC148" s="2"/>
      <c r="AE148" s="2" t="str" cm="1">
        <f t="array" ref="AE148">_xlfn.LET(_xlpm.r, _xlfn.XLOOKUP(MappingGuide[[#This Row],[ColumnName]] &amp; "|" &amp; MappingGuide[[#This Row],[Description]],'[1]Squirrel SQL Export 1'!C:C &amp; "|" &amp;'[1]Squirrel SQL Export 1'!D:D,'[1]Squirrel SQL Export 1'!Z:Z),IF(_xlpm.r=0,"",_xlpm.r))</f>
        <v>no</v>
      </c>
      <c r="AF148" s="3" t="s">
        <v>1309</v>
      </c>
      <c r="AG148" s="3" t="s">
        <v>101</v>
      </c>
      <c r="AI148" s="2" t="str">
        <f>_xlfn.LET(_xlpm.r, _xlfn.XLOOKUP(MappingGuide[[#This Row],[Description]],'[1]Squirrel SQL Export 1'!D:D,'[1]Squirrel SQL Export 1'!Y:Y),IF(_xlpm.r=0,"",_xlpm.r))</f>
        <v>Not used</v>
      </c>
      <c r="AK148" s="2" t="str">
        <f>_xlfn.LET(_xlpm.r, _xlfn.XLOOKUP(MappingGuide[[#This Row],[Description]],'[1]Squirrel SQL Export 1'!D:D,'[1]Squirrel SQL Export 1'!AE:AE),IF(_xlpm.r=0,"",_xlpm.r))</f>
        <v/>
      </c>
      <c r="AL148" s="3" t="str">
        <f>_xlfn.LET(_xlpm.r, _xlfn.XLOOKUP(MappingGuide[[#This Row],[DataType]],'[1]Squirrel SQL Export 1'!E:E,'[1]Squirrel SQL Export 1'!AF:AF),IF(_xlpm.r=0,"",_xlpm.r))</f>
        <v/>
      </c>
      <c r="AM148" s="2" t="str">
        <f>_xlfn.LET(_xlpm.r, _xlfn.XLOOKUP(MappingGuide[[#This Row],[Length]],'[1]Squirrel SQL Export 1'!F:F,'[1]Squirrel SQL Export 1'!AG:AG),IF(_xlpm.r=0,"",_xlpm.r))</f>
        <v/>
      </c>
    </row>
    <row r="149" spans="1:39" x14ac:dyDescent="0.2">
      <c r="A149" s="2">
        <v>146</v>
      </c>
      <c r="B149" s="2" t="s">
        <v>51</v>
      </c>
      <c r="C149" s="2" t="s">
        <v>704</v>
      </c>
      <c r="D149" s="2" t="s">
        <v>705</v>
      </c>
      <c r="E149" s="2" t="s">
        <v>54</v>
      </c>
      <c r="F149" s="2" t="s">
        <v>70</v>
      </c>
      <c r="J149" s="2" t="s">
        <v>71</v>
      </c>
      <c r="K149" s="2" t="s">
        <v>167</v>
      </c>
      <c r="O149" s="2" t="s">
        <v>45</v>
      </c>
      <c r="P149" s="2" t="s">
        <v>168</v>
      </c>
      <c r="Q149" s="2" t="s">
        <v>706</v>
      </c>
      <c r="W149" s="2" t="str">
        <f>_xlfn.LET(_xlpm.r, _xlfn.XLOOKUP(MappingGuide[[#This Row],[Description]],'[1]Squirrel SQL Export 1'!D:D,'[1]Squirrel SQL Export 1'!AC:AC),IF(_xlpm.r=0,"",_xlpm.r))</f>
        <v/>
      </c>
      <c r="AA149" s="2" t="s">
        <v>707</v>
      </c>
      <c r="AC149" s="2"/>
      <c r="AE149" s="2" t="str" cm="1">
        <f t="array" ref="AE149">_xlfn.LET(_xlpm.r, _xlfn.XLOOKUP(MappingGuide[[#This Row],[ColumnName]] &amp; "|" &amp; MappingGuide[[#This Row],[Description]],'[1]Squirrel SQL Export 1'!C:C &amp; "|" &amp;'[1]Squirrel SQL Export 1'!D:D,'[1]Squirrel SQL Export 1'!Z:Z),IF(_xlpm.r=0,"",_xlpm.r))</f>
        <v>no</v>
      </c>
      <c r="AF149" s="3" t="s">
        <v>1309</v>
      </c>
      <c r="AG149" s="3" t="s">
        <v>101</v>
      </c>
      <c r="AI149" s="2" t="str">
        <f>_xlfn.LET(_xlpm.r, _xlfn.XLOOKUP(MappingGuide[[#This Row],[Description]],'[1]Squirrel SQL Export 1'!D:D,'[1]Squirrel SQL Export 1'!Y:Y),IF(_xlpm.r=0,"",_xlpm.r))</f>
        <v>This is needed if customer holds withholding tax. If not, we can pass default = 0 using template
As discussed with Dee/Angie on 01/07, we will pass SERC = 0 for all customers using template</v>
      </c>
      <c r="AK149" s="2" t="str">
        <f>_xlfn.LET(_xlpm.r, _xlfn.XLOOKUP(MappingGuide[[#This Row],[Description]],'[1]Squirrel SQL Export 1'!D:D,'[1]Squirrel SQL Export 1'!AE:AE),IF(_xlpm.r=0,"",_xlpm.r))</f>
        <v>This appears to be an M3 only attribute.</v>
      </c>
      <c r="AL149" s="3" t="str">
        <f>_xlfn.LET(_xlpm.r, _xlfn.XLOOKUP(MappingGuide[[#This Row],[DataType]],'[1]Squirrel SQL Export 1'!E:E,'[1]Squirrel SQL Export 1'!AF:AF),IF(_xlpm.r=0,"",_xlpm.r))</f>
        <v/>
      </c>
      <c r="AM149" s="2" t="str">
        <f>_xlfn.LET(_xlpm.r, _xlfn.XLOOKUP(MappingGuide[[#This Row],[Length]],'[1]Squirrel SQL Export 1'!F:F,'[1]Squirrel SQL Export 1'!AG:AG),IF(_xlpm.r=0,"",_xlpm.r))</f>
        <v>Status</v>
      </c>
    </row>
    <row r="150" spans="1:39" x14ac:dyDescent="0.2">
      <c r="A150" s="2">
        <v>147</v>
      </c>
      <c r="B150" s="2" t="s">
        <v>51</v>
      </c>
      <c r="C150" s="2" t="s">
        <v>708</v>
      </c>
      <c r="D150" s="2" t="s">
        <v>709</v>
      </c>
      <c r="E150" s="2" t="s">
        <v>43</v>
      </c>
      <c r="F150" s="2" t="s">
        <v>44</v>
      </c>
      <c r="O150" s="2" t="s">
        <v>45</v>
      </c>
      <c r="P150" s="2" t="s">
        <v>710</v>
      </c>
      <c r="Q150" s="2" t="s">
        <v>711</v>
      </c>
      <c r="W150" s="2" t="str">
        <f>_xlfn.LET(_xlpm.r, _xlfn.XLOOKUP(MappingGuide[[#This Row],[Description]],'[1]Squirrel SQL Export 1'!D:D,'[1]Squirrel SQL Export 1'!AC:AC),IF(_xlpm.r=0,"",_xlpm.r))</f>
        <v/>
      </c>
      <c r="AA150" s="2" t="s">
        <v>712</v>
      </c>
      <c r="AC150" s="2" t="s">
        <v>713</v>
      </c>
      <c r="AE150" s="2" t="str" cm="1">
        <f t="array" ref="AE150">_xlfn.LET(_xlpm.r, _xlfn.XLOOKUP(MappingGuide[[#This Row],[ColumnName]] &amp; "|" &amp; MappingGuide[[#This Row],[Description]],'[1]Squirrel SQL Export 1'!C:C &amp; "|" &amp;'[1]Squirrel SQL Export 1'!D:D,'[1]Squirrel SQL Export 1'!Z:Z),IF(_xlpm.r=0,"",_xlpm.r))</f>
        <v>no</v>
      </c>
      <c r="AF150" s="3" t="s">
        <v>1309</v>
      </c>
      <c r="AG150" s="3" t="s">
        <v>101</v>
      </c>
      <c r="AI150" s="2" t="str">
        <f>_xlfn.LET(_xlpm.r, _xlfn.XLOOKUP(MappingGuide[[#This Row],[Description]],'[1]Squirrel SQL Export 1'!D:D,'[1]Squirrel SQL Export 1'!Y:Y),IF(_xlpm.r=0,"",_xlpm.r))</f>
        <v>Not used</v>
      </c>
      <c r="AK150" s="2" t="str">
        <f>_xlfn.LET(_xlpm.r, _xlfn.XLOOKUP(MappingGuide[[#This Row],[Description]],'[1]Squirrel SQL Export 1'!D:D,'[1]Squirrel SQL Export 1'!AE:AE),IF(_xlpm.r=0,"",_xlpm.r))</f>
        <v/>
      </c>
      <c r="AL150" s="3" t="str">
        <f>_xlfn.LET(_xlpm.r, _xlfn.XLOOKUP(MappingGuide[[#This Row],[DataType]],'[1]Squirrel SQL Export 1'!E:E,'[1]Squirrel SQL Export 1'!AF:AF),IF(_xlpm.r=0,"",_xlpm.r))</f>
        <v>No</v>
      </c>
      <c r="AM150" s="2" t="str">
        <f>_xlfn.LET(_xlpm.r, _xlfn.XLOOKUP(MappingGuide[[#This Row],[Length]],'[1]Squirrel SQL Export 1'!F:F,'[1]Squirrel SQL Export 1'!AG:AG),IF(_xlpm.r=0,"",_xlpm.r))</f>
        <v/>
      </c>
    </row>
    <row r="151" spans="1:39" x14ac:dyDescent="0.2">
      <c r="A151" s="2">
        <v>148</v>
      </c>
      <c r="B151" s="2" t="s">
        <v>51</v>
      </c>
      <c r="C151" s="2" t="s">
        <v>714</v>
      </c>
      <c r="D151" s="2" t="s">
        <v>715</v>
      </c>
      <c r="E151" s="2" t="s">
        <v>43</v>
      </c>
      <c r="F151" s="2" t="s">
        <v>44</v>
      </c>
      <c r="O151" s="2" t="s">
        <v>45</v>
      </c>
      <c r="P151" s="2" t="s">
        <v>710</v>
      </c>
      <c r="Q151" s="2" t="s">
        <v>716</v>
      </c>
      <c r="W151" s="2" t="str">
        <f>_xlfn.LET(_xlpm.r, _xlfn.XLOOKUP(MappingGuide[[#This Row],[Description]],'[1]Squirrel SQL Export 1'!D:D,'[1]Squirrel SQL Export 1'!AC:AC),IF(_xlpm.r=0,"",_xlpm.r))</f>
        <v/>
      </c>
      <c r="AA151" s="2" t="s">
        <v>717</v>
      </c>
      <c r="AC151" s="2"/>
      <c r="AE151" s="2" t="str" cm="1">
        <f t="array" ref="AE151">_xlfn.LET(_xlpm.r, _xlfn.XLOOKUP(MappingGuide[[#This Row],[ColumnName]] &amp; "|" &amp; MappingGuide[[#This Row],[Description]],'[1]Squirrel SQL Export 1'!C:C &amp; "|" &amp;'[1]Squirrel SQL Export 1'!D:D,'[1]Squirrel SQL Export 1'!Z:Z),IF(_xlpm.r=0,"",_xlpm.r))</f>
        <v>no</v>
      </c>
      <c r="AF151" s="3" t="s">
        <v>1309</v>
      </c>
      <c r="AG151" s="3" t="s">
        <v>101</v>
      </c>
      <c r="AI151" s="2" t="str">
        <f>_xlfn.LET(_xlpm.r, _xlfn.XLOOKUP(MappingGuide[[#This Row],[Description]],'[1]Squirrel SQL Export 1'!D:D,'[1]Squirrel SQL Export 1'!Y:Y),IF(_xlpm.r=0,"",_xlpm.r))</f>
        <v>Not used</v>
      </c>
      <c r="AK151" s="2" t="str">
        <f>_xlfn.LET(_xlpm.r, _xlfn.XLOOKUP(MappingGuide[[#This Row],[Description]],'[1]Squirrel SQL Export 1'!D:D,'[1]Squirrel SQL Export 1'!AE:AE),IF(_xlpm.r=0,"",_xlpm.r))</f>
        <v/>
      </c>
      <c r="AL151" s="3" t="str">
        <f>_xlfn.LET(_xlpm.r, _xlfn.XLOOKUP(MappingGuide[[#This Row],[DataType]],'[1]Squirrel SQL Export 1'!E:E,'[1]Squirrel SQL Export 1'!AF:AF),IF(_xlpm.r=0,"",_xlpm.r))</f>
        <v>No</v>
      </c>
      <c r="AM151" s="2" t="str">
        <f>_xlfn.LET(_xlpm.r, _xlfn.XLOOKUP(MappingGuide[[#This Row],[Length]],'[1]Squirrel SQL Export 1'!F:F,'[1]Squirrel SQL Export 1'!AG:AG),IF(_xlpm.r=0,"",_xlpm.r))</f>
        <v/>
      </c>
    </row>
    <row r="152" spans="1:39" x14ac:dyDescent="0.2">
      <c r="A152" s="2">
        <v>149</v>
      </c>
      <c r="B152" s="2" t="s">
        <v>51</v>
      </c>
      <c r="C152" s="2" t="s">
        <v>718</v>
      </c>
      <c r="D152" s="2" t="s">
        <v>719</v>
      </c>
      <c r="E152" s="2" t="s">
        <v>54</v>
      </c>
      <c r="F152" s="2" t="s">
        <v>720</v>
      </c>
      <c r="G152" s="2" t="s">
        <v>70</v>
      </c>
      <c r="W152" s="2" t="str">
        <f>_xlfn.LET(_xlpm.r, _xlfn.XLOOKUP(MappingGuide[[#This Row],[Description]],'[1]Squirrel SQL Export 1'!D:D,'[1]Squirrel SQL Export 1'!AC:AC),IF(_xlpm.r=0,"",_xlpm.r))</f>
        <v/>
      </c>
      <c r="AA152" s="2" t="s">
        <v>721</v>
      </c>
      <c r="AC152" s="2"/>
      <c r="AE152" s="2" t="str" cm="1">
        <f t="array" ref="AE152">_xlfn.LET(_xlpm.r, _xlfn.XLOOKUP(MappingGuide[[#This Row],[ColumnName]] &amp; "|" &amp; MappingGuide[[#This Row],[Description]],'[1]Squirrel SQL Export 1'!C:C &amp; "|" &amp;'[1]Squirrel SQL Export 1'!D:D,'[1]Squirrel SQL Export 1'!Z:Z),IF(_xlpm.r=0,"",_xlpm.r))</f>
        <v>no</v>
      </c>
      <c r="AF152" s="3" t="s">
        <v>1309</v>
      </c>
      <c r="AG152" s="3" t="s">
        <v>101</v>
      </c>
      <c r="AI152" s="2" t="str">
        <f>_xlfn.LET(_xlpm.r, _xlfn.XLOOKUP(MappingGuide[[#This Row],[Description]],'[1]Squirrel SQL Export 1'!D:D,'[1]Squirrel SQL Export 1'!Y:Y),IF(_xlpm.r=0,"",_xlpm.r))</f>
        <v>Not used</v>
      </c>
      <c r="AK152" s="2" t="str">
        <f>_xlfn.LET(_xlpm.r, _xlfn.XLOOKUP(MappingGuide[[#This Row],[Description]],'[1]Squirrel SQL Export 1'!D:D,'[1]Squirrel SQL Export 1'!AE:AE),IF(_xlpm.r=0,"",_xlpm.r))</f>
        <v/>
      </c>
      <c r="AL152" s="3" t="str">
        <f>_xlfn.LET(_xlpm.r, _xlfn.XLOOKUP(MappingGuide[[#This Row],[DataType]],'[1]Squirrel SQL Export 1'!E:E,'[1]Squirrel SQL Export 1'!AF:AF),IF(_xlpm.r=0,"",_xlpm.r))</f>
        <v/>
      </c>
      <c r="AM152" s="2" t="str">
        <f>_xlfn.LET(_xlpm.r, _xlfn.XLOOKUP(MappingGuide[[#This Row],[Length]],'[1]Squirrel SQL Export 1'!F:F,'[1]Squirrel SQL Export 1'!AG:AG),IF(_xlpm.r=0,"",_xlpm.r))</f>
        <v/>
      </c>
    </row>
    <row r="153" spans="1:39" x14ac:dyDescent="0.2">
      <c r="A153" s="2">
        <v>150</v>
      </c>
      <c r="B153" s="2" t="s">
        <v>51</v>
      </c>
      <c r="C153" s="2" t="s">
        <v>722</v>
      </c>
      <c r="D153" s="2" t="s">
        <v>723</v>
      </c>
      <c r="E153" s="2" t="s">
        <v>54</v>
      </c>
      <c r="F153" s="2" t="s">
        <v>70</v>
      </c>
      <c r="W153" s="2" t="str">
        <f>_xlfn.LET(_xlpm.r, _xlfn.XLOOKUP(MappingGuide[[#This Row],[Description]],'[1]Squirrel SQL Export 1'!D:D,'[1]Squirrel SQL Export 1'!AC:AC),IF(_xlpm.r=0,"",_xlpm.r))</f>
        <v/>
      </c>
      <c r="AA153" s="2" t="s">
        <v>724</v>
      </c>
      <c r="AC153" s="2"/>
      <c r="AE153" s="2" t="str" cm="1">
        <f t="array" ref="AE153">_xlfn.LET(_xlpm.r, _xlfn.XLOOKUP(MappingGuide[[#This Row],[ColumnName]] &amp; "|" &amp; MappingGuide[[#This Row],[Description]],'[1]Squirrel SQL Export 1'!C:C &amp; "|" &amp;'[1]Squirrel SQL Export 1'!D:D,'[1]Squirrel SQL Export 1'!Z:Z),IF(_xlpm.r=0,"",_xlpm.r))</f>
        <v>no</v>
      </c>
      <c r="AF153" s="3" t="s">
        <v>1309</v>
      </c>
      <c r="AG153" s="3" t="s">
        <v>101</v>
      </c>
      <c r="AI153" s="2" t="str">
        <f>_xlfn.LET(_xlpm.r, _xlfn.XLOOKUP(MappingGuide[[#This Row],[Description]],'[1]Squirrel SQL Export 1'!D:D,'[1]Squirrel SQL Export 1'!Y:Y),IF(_xlpm.r=0,"",_xlpm.r))</f>
        <v>Not used</v>
      </c>
      <c r="AK153" s="2" t="str">
        <f>_xlfn.LET(_xlpm.r, _xlfn.XLOOKUP(MappingGuide[[#This Row],[Description]],'[1]Squirrel SQL Export 1'!D:D,'[1]Squirrel SQL Export 1'!AE:AE),IF(_xlpm.r=0,"",_xlpm.r))</f>
        <v/>
      </c>
      <c r="AL153" s="3" t="str">
        <f>_xlfn.LET(_xlpm.r, _xlfn.XLOOKUP(MappingGuide[[#This Row],[DataType]],'[1]Squirrel SQL Export 1'!E:E,'[1]Squirrel SQL Export 1'!AF:AF),IF(_xlpm.r=0,"",_xlpm.r))</f>
        <v/>
      </c>
      <c r="AM153" s="2" t="str">
        <f>_xlfn.LET(_xlpm.r, _xlfn.XLOOKUP(MappingGuide[[#This Row],[Length]],'[1]Squirrel SQL Export 1'!F:F,'[1]Squirrel SQL Export 1'!AG:AG),IF(_xlpm.r=0,"",_xlpm.r))</f>
        <v>Status</v>
      </c>
    </row>
    <row r="154" spans="1:39" x14ac:dyDescent="0.2">
      <c r="A154" s="2">
        <v>151</v>
      </c>
      <c r="B154" s="2" t="s">
        <v>51</v>
      </c>
      <c r="C154" s="2" t="s">
        <v>725</v>
      </c>
      <c r="D154" s="2" t="s">
        <v>726</v>
      </c>
      <c r="E154" s="2" t="s">
        <v>54</v>
      </c>
      <c r="F154" s="2" t="s">
        <v>242</v>
      </c>
      <c r="W154" s="2" t="str">
        <f>_xlfn.LET(_xlpm.r, _xlfn.XLOOKUP(MappingGuide[[#This Row],[Description]],'[1]Squirrel SQL Export 1'!D:D,'[1]Squirrel SQL Export 1'!AC:AC),IF(_xlpm.r=0,"",_xlpm.r))</f>
        <v/>
      </c>
      <c r="AA154" s="2" t="s">
        <v>727</v>
      </c>
      <c r="AC154" s="2"/>
      <c r="AE154" s="2" t="str" cm="1">
        <f t="array" ref="AE154">_xlfn.LET(_xlpm.r, _xlfn.XLOOKUP(MappingGuide[[#This Row],[ColumnName]] &amp; "|" &amp; MappingGuide[[#This Row],[Description]],'[1]Squirrel SQL Export 1'!C:C &amp; "|" &amp;'[1]Squirrel SQL Export 1'!D:D,'[1]Squirrel SQL Export 1'!Z:Z),IF(_xlpm.r=0,"",_xlpm.r))</f>
        <v>no</v>
      </c>
      <c r="AF154" s="3" t="s">
        <v>1309</v>
      </c>
      <c r="AG154" s="3" t="s">
        <v>101</v>
      </c>
      <c r="AI154" s="2" t="str">
        <f>_xlfn.LET(_xlpm.r, _xlfn.XLOOKUP(MappingGuide[[#This Row],[Description]],'[1]Squirrel SQL Export 1'!D:D,'[1]Squirrel SQL Export 1'!Y:Y),IF(_xlpm.r=0,"",_xlpm.r))</f>
        <v>Not used</v>
      </c>
      <c r="AK154" s="2" t="str">
        <f>_xlfn.LET(_xlpm.r, _xlfn.XLOOKUP(MappingGuide[[#This Row],[Description]],'[1]Squirrel SQL Export 1'!D:D,'[1]Squirrel SQL Export 1'!AE:AE),IF(_xlpm.r=0,"",_xlpm.r))</f>
        <v/>
      </c>
      <c r="AL154" s="3" t="str">
        <f>_xlfn.LET(_xlpm.r, _xlfn.XLOOKUP(MappingGuide[[#This Row],[DataType]],'[1]Squirrel SQL Export 1'!E:E,'[1]Squirrel SQL Export 1'!AF:AF),IF(_xlpm.r=0,"",_xlpm.r))</f>
        <v/>
      </c>
      <c r="AM154" s="2" t="str">
        <f>_xlfn.LET(_xlpm.r, _xlfn.XLOOKUP(MappingGuide[[#This Row],[Length]],'[1]Squirrel SQL Export 1'!F:F,'[1]Squirrel SQL Export 1'!AG:AG),IF(_xlpm.r=0,"",_xlpm.r))</f>
        <v/>
      </c>
    </row>
    <row r="155" spans="1:39" x14ac:dyDescent="0.2">
      <c r="A155" s="2">
        <v>152</v>
      </c>
      <c r="B155" s="2" t="s">
        <v>51</v>
      </c>
      <c r="C155" s="2" t="s">
        <v>728</v>
      </c>
      <c r="D155" s="2" t="s">
        <v>729</v>
      </c>
      <c r="E155" s="2" t="s">
        <v>43</v>
      </c>
      <c r="F155" s="2" t="s">
        <v>70</v>
      </c>
      <c r="W155" s="2" t="str">
        <f>_xlfn.LET(_xlpm.r, _xlfn.XLOOKUP(MappingGuide[[#This Row],[Description]],'[1]Squirrel SQL Export 1'!D:D,'[1]Squirrel SQL Export 1'!AC:AC),IF(_xlpm.r=0,"",_xlpm.r))</f>
        <v/>
      </c>
      <c r="AA155" s="2" t="s">
        <v>730</v>
      </c>
      <c r="AC155" s="2"/>
      <c r="AE155" s="2" t="str" cm="1">
        <f t="array" ref="AE155">_xlfn.LET(_xlpm.r, _xlfn.XLOOKUP(MappingGuide[[#This Row],[ColumnName]] &amp; "|" &amp; MappingGuide[[#This Row],[Description]],'[1]Squirrel SQL Export 1'!C:C &amp; "|" &amp;'[1]Squirrel SQL Export 1'!D:D,'[1]Squirrel SQL Export 1'!Z:Z),IF(_xlpm.r=0,"",_xlpm.r))</f>
        <v>no</v>
      </c>
      <c r="AF155" s="3" t="s">
        <v>1309</v>
      </c>
      <c r="AG155" s="3" t="s">
        <v>101</v>
      </c>
      <c r="AI155" s="2" t="str">
        <f>_xlfn.LET(_xlpm.r, _xlfn.XLOOKUP(MappingGuide[[#This Row],[Description]],'[1]Squirrel SQL Export 1'!D:D,'[1]Squirrel SQL Export 1'!Y:Y),IF(_xlpm.r=0,"",_xlpm.r))</f>
        <v>Not used</v>
      </c>
      <c r="AK155" s="2" t="str">
        <f>_xlfn.LET(_xlpm.r, _xlfn.XLOOKUP(MappingGuide[[#This Row],[Description]],'[1]Squirrel SQL Export 1'!D:D,'[1]Squirrel SQL Export 1'!AE:AE),IF(_xlpm.r=0,"",_xlpm.r))</f>
        <v/>
      </c>
      <c r="AL155" s="3" t="str">
        <f>_xlfn.LET(_xlpm.r, _xlfn.XLOOKUP(MappingGuide[[#This Row],[DataType]],'[1]Squirrel SQL Export 1'!E:E,'[1]Squirrel SQL Export 1'!AF:AF),IF(_xlpm.r=0,"",_xlpm.r))</f>
        <v>No</v>
      </c>
      <c r="AM155" s="2" t="str">
        <f>_xlfn.LET(_xlpm.r, _xlfn.XLOOKUP(MappingGuide[[#This Row],[Length]],'[1]Squirrel SQL Export 1'!F:F,'[1]Squirrel SQL Export 1'!AG:AG),IF(_xlpm.r=0,"",_xlpm.r))</f>
        <v>Status</v>
      </c>
    </row>
    <row r="156" spans="1:39" x14ac:dyDescent="0.2">
      <c r="A156" s="2">
        <v>153</v>
      </c>
      <c r="B156" s="2" t="s">
        <v>51</v>
      </c>
      <c r="C156" s="2" t="s">
        <v>731</v>
      </c>
      <c r="D156" s="2" t="s">
        <v>732</v>
      </c>
      <c r="E156" s="2" t="s">
        <v>43</v>
      </c>
      <c r="F156" s="2" t="s">
        <v>55</v>
      </c>
      <c r="O156" s="2" t="s">
        <v>45</v>
      </c>
      <c r="P156" s="2" t="s">
        <v>710</v>
      </c>
      <c r="Q156" s="2" t="s">
        <v>733</v>
      </c>
      <c r="W156" s="2" t="str">
        <f>_xlfn.LET(_xlpm.r, _xlfn.XLOOKUP(MappingGuide[[#This Row],[Description]],'[1]Squirrel SQL Export 1'!D:D,'[1]Squirrel SQL Export 1'!AC:AC),IF(_xlpm.r=0,"",_xlpm.r))</f>
        <v/>
      </c>
      <c r="AA156" s="2" t="s">
        <v>734</v>
      </c>
      <c r="AC156" s="2" t="s">
        <v>735</v>
      </c>
      <c r="AE156" s="2" t="str" cm="1">
        <f t="array" ref="AE156">_xlfn.LET(_xlpm.r, _xlfn.XLOOKUP(MappingGuide[[#This Row],[ColumnName]] &amp; "|" &amp; MappingGuide[[#This Row],[Description]],'[1]Squirrel SQL Export 1'!C:C &amp; "|" &amp;'[1]Squirrel SQL Export 1'!D:D,'[1]Squirrel SQL Export 1'!Z:Z),IF(_xlpm.r=0,"",_xlpm.r))</f>
        <v>no</v>
      </c>
      <c r="AF156" s="3" t="s">
        <v>1309</v>
      </c>
      <c r="AG156" s="3" t="s">
        <v>101</v>
      </c>
      <c r="AI156" s="2" t="str">
        <f>_xlfn.LET(_xlpm.r, _xlfn.XLOOKUP(MappingGuide[[#This Row],[Description]],'[1]Squirrel SQL Export 1'!D:D,'[1]Squirrel SQL Export 1'!Y:Y),IF(_xlpm.r=0,"",_xlpm.r))</f>
        <v>Not used</v>
      </c>
      <c r="AK156" s="2" t="str">
        <f>_xlfn.LET(_xlpm.r, _xlfn.XLOOKUP(MappingGuide[[#This Row],[Description]],'[1]Squirrel SQL Export 1'!D:D,'[1]Squirrel SQL Export 1'!AE:AE),IF(_xlpm.r=0,"",_xlpm.r))</f>
        <v/>
      </c>
      <c r="AL156" s="3" t="str">
        <f>_xlfn.LET(_xlpm.r, _xlfn.XLOOKUP(MappingGuide[[#This Row],[DataType]],'[1]Squirrel SQL Export 1'!E:E,'[1]Squirrel SQL Export 1'!AF:AF),IF(_xlpm.r=0,"",_xlpm.r))</f>
        <v>No</v>
      </c>
      <c r="AM156" s="2" t="str">
        <f>_xlfn.LET(_xlpm.r, _xlfn.XLOOKUP(MappingGuide[[#This Row],[Length]],'[1]Squirrel SQL Export 1'!F:F,'[1]Squirrel SQL Export 1'!AG:AG),IF(_xlpm.r=0,"",_xlpm.r))</f>
        <v/>
      </c>
    </row>
    <row r="157" spans="1:39" x14ac:dyDescent="0.2">
      <c r="A157" s="2">
        <v>154</v>
      </c>
      <c r="B157" s="2" t="s">
        <v>51</v>
      </c>
      <c r="C157" s="2" t="s">
        <v>736</v>
      </c>
      <c r="D157" s="2" t="s">
        <v>737</v>
      </c>
      <c r="E157" s="2" t="s">
        <v>54</v>
      </c>
      <c r="F157" s="2" t="s">
        <v>96</v>
      </c>
      <c r="J157" s="2" t="s">
        <v>71</v>
      </c>
      <c r="K157" s="2" t="s">
        <v>87</v>
      </c>
      <c r="W157" s="2" t="str">
        <f>_xlfn.LET(_xlpm.r, _xlfn.XLOOKUP(MappingGuide[[#This Row],[Description]],'[1]Squirrel SQL Export 1'!D:D,'[1]Squirrel SQL Export 1'!AC:AC),IF(_xlpm.r=0,"",_xlpm.r))</f>
        <v/>
      </c>
      <c r="AA157" s="2" t="s">
        <v>738</v>
      </c>
      <c r="AB157" s="2" t="s">
        <v>739</v>
      </c>
      <c r="AC157" s="2"/>
      <c r="AE157" s="2" t="str" cm="1">
        <f t="array" ref="AE157">_xlfn.LET(_xlpm.r, _xlfn.XLOOKUP(MappingGuide[[#This Row],[ColumnName]] &amp; "|" &amp; MappingGuide[[#This Row],[Description]],'[1]Squirrel SQL Export 1'!C:C &amp; "|" &amp;'[1]Squirrel SQL Export 1'!D:D,'[1]Squirrel SQL Export 1'!Z:Z),IF(_xlpm.r=0,"",_xlpm.r))</f>
        <v>no</v>
      </c>
      <c r="AF157" s="3" t="s">
        <v>1309</v>
      </c>
      <c r="AG157" s="3" t="s">
        <v>101</v>
      </c>
      <c r="AI157" s="2" t="str">
        <f>_xlfn.LET(_xlpm.r, _xlfn.XLOOKUP(MappingGuide[[#This Row],[Description]],'[1]Squirrel SQL Export 1'!D:D,'[1]Squirrel SQL Export 1'!Y:Y),IF(_xlpm.r=0,"",_xlpm.r))</f>
        <v>Not used</v>
      </c>
      <c r="AK157" s="2" t="str">
        <f>_xlfn.LET(_xlpm.r, _xlfn.XLOOKUP(MappingGuide[[#This Row],[Description]],'[1]Squirrel SQL Export 1'!D:D,'[1]Squirrel SQL Export 1'!AE:AE),IF(_xlpm.r=0,"",_xlpm.r))</f>
        <v/>
      </c>
      <c r="AL157" s="3" t="str">
        <f>_xlfn.LET(_xlpm.r, _xlfn.XLOOKUP(MappingGuide[[#This Row],[DataType]],'[1]Squirrel SQL Export 1'!E:E,'[1]Squirrel SQL Export 1'!AF:AF),IF(_xlpm.r=0,"",_xlpm.r))</f>
        <v/>
      </c>
      <c r="AM157" s="2" t="str">
        <f>_xlfn.LET(_xlpm.r, _xlfn.XLOOKUP(MappingGuide[[#This Row],[Length]],'[1]Squirrel SQL Export 1'!F:F,'[1]Squirrel SQL Export 1'!AG:AG),IF(_xlpm.r=0,"",_xlpm.r))</f>
        <v>Type</v>
      </c>
    </row>
    <row r="158" spans="1:39" x14ac:dyDescent="0.2">
      <c r="A158" s="2">
        <v>155</v>
      </c>
      <c r="B158" s="2" t="s">
        <v>51</v>
      </c>
      <c r="C158" s="2" t="s">
        <v>740</v>
      </c>
      <c r="D158" s="2" t="s">
        <v>741</v>
      </c>
      <c r="E158" s="2" t="s">
        <v>43</v>
      </c>
      <c r="F158" s="2" t="s">
        <v>44</v>
      </c>
      <c r="J158" s="2" t="s">
        <v>71</v>
      </c>
      <c r="K158" s="2" t="s">
        <v>87</v>
      </c>
      <c r="O158" s="2" t="s">
        <v>45</v>
      </c>
      <c r="P158" s="2" t="s">
        <v>46</v>
      </c>
      <c r="Q158" s="2" t="s">
        <v>742</v>
      </c>
      <c r="W158" s="2" t="str">
        <f>_xlfn.LET(_xlpm.r, _xlfn.XLOOKUP(MappingGuide[[#This Row],[Description]],'[1]Squirrel SQL Export 1'!D:D,'[1]Squirrel SQL Export 1'!AC:AC),IF(_xlpm.r=0,"",_xlpm.r))</f>
        <v/>
      </c>
      <c r="AA158" s="2" t="s">
        <v>743</v>
      </c>
      <c r="AC158" s="2"/>
      <c r="AE158" s="2" t="str" cm="1">
        <f t="array" ref="AE158">_xlfn.LET(_xlpm.r, _xlfn.XLOOKUP(MappingGuide[[#This Row],[ColumnName]] &amp; "|" &amp; MappingGuide[[#This Row],[Description]],'[1]Squirrel SQL Export 1'!C:C &amp; "|" &amp;'[1]Squirrel SQL Export 1'!D:D,'[1]Squirrel SQL Export 1'!Z:Z),IF(_xlpm.r=0,"",_xlpm.r))</f>
        <v>no</v>
      </c>
      <c r="AF158" s="3" t="s">
        <v>1309</v>
      </c>
      <c r="AG158" s="3" t="s">
        <v>101</v>
      </c>
      <c r="AI158" s="2" t="str">
        <f>_xlfn.LET(_xlpm.r, _xlfn.XLOOKUP(MappingGuide[[#This Row],[Description]],'[1]Squirrel SQL Export 1'!D:D,'[1]Squirrel SQL Export 1'!Y:Y),IF(_xlpm.r=0,"",_xlpm.r))</f>
        <v>Not used</v>
      </c>
      <c r="AK158" s="2" t="str">
        <f>_xlfn.LET(_xlpm.r, _xlfn.XLOOKUP(MappingGuide[[#This Row],[Description]],'[1]Squirrel SQL Export 1'!D:D,'[1]Squirrel SQL Export 1'!AE:AE),IF(_xlpm.r=0,"",_xlpm.r))</f>
        <v/>
      </c>
      <c r="AL158" s="3" t="str">
        <f>_xlfn.LET(_xlpm.r, _xlfn.XLOOKUP(MappingGuide[[#This Row],[DataType]],'[1]Squirrel SQL Export 1'!E:E,'[1]Squirrel SQL Export 1'!AF:AF),IF(_xlpm.r=0,"",_xlpm.r))</f>
        <v>No</v>
      </c>
      <c r="AM158" s="2" t="str">
        <f>_xlfn.LET(_xlpm.r, _xlfn.XLOOKUP(MappingGuide[[#This Row],[Length]],'[1]Squirrel SQL Export 1'!F:F,'[1]Squirrel SQL Export 1'!AG:AG),IF(_xlpm.r=0,"",_xlpm.r))</f>
        <v/>
      </c>
    </row>
    <row r="159" spans="1:39" x14ac:dyDescent="0.2">
      <c r="A159" s="2">
        <v>156</v>
      </c>
      <c r="B159" s="2" t="s">
        <v>51</v>
      </c>
      <c r="C159" s="2" t="s">
        <v>744</v>
      </c>
      <c r="D159" s="2" t="s">
        <v>745</v>
      </c>
      <c r="E159" s="2" t="s">
        <v>54</v>
      </c>
      <c r="F159" s="2" t="s">
        <v>96</v>
      </c>
      <c r="J159" s="2" t="s">
        <v>71</v>
      </c>
      <c r="K159" s="2" t="s">
        <v>87</v>
      </c>
      <c r="W159" s="2" t="str">
        <f>_xlfn.LET(_xlpm.r, _xlfn.XLOOKUP(MappingGuide[[#This Row],[Description]],'[1]Squirrel SQL Export 1'!D:D,'[1]Squirrel SQL Export 1'!AC:AC),IF(_xlpm.r=0,"",_xlpm.r))</f>
        <v/>
      </c>
      <c r="AA159" s="2" t="s">
        <v>746</v>
      </c>
      <c r="AB159" s="2" t="s">
        <v>747</v>
      </c>
      <c r="AC159" s="2"/>
      <c r="AE159" s="2" t="str" cm="1">
        <f t="array" ref="AE159">_xlfn.LET(_xlpm.r, _xlfn.XLOOKUP(MappingGuide[[#This Row],[ColumnName]] &amp; "|" &amp; MappingGuide[[#This Row],[Description]],'[1]Squirrel SQL Export 1'!C:C &amp; "|" &amp;'[1]Squirrel SQL Export 1'!D:D,'[1]Squirrel SQL Export 1'!Z:Z),IF(_xlpm.r=0,"",_xlpm.r))</f>
        <v>no</v>
      </c>
      <c r="AF159" s="3" t="s">
        <v>1309</v>
      </c>
      <c r="AG159" s="3" t="s">
        <v>101</v>
      </c>
      <c r="AI159" s="2" t="str">
        <f>_xlfn.LET(_xlpm.r, _xlfn.XLOOKUP(MappingGuide[[#This Row],[Description]],'[1]Squirrel SQL Export 1'!D:D,'[1]Squirrel SQL Export 1'!Y:Y),IF(_xlpm.r=0,"",_xlpm.r))</f>
        <v>Not used</v>
      </c>
      <c r="AK159" s="2" t="str">
        <f>_xlfn.LET(_xlpm.r, _xlfn.XLOOKUP(MappingGuide[[#This Row],[Description]],'[1]Squirrel SQL Export 1'!D:D,'[1]Squirrel SQL Export 1'!AE:AE),IF(_xlpm.r=0,"",_xlpm.r))</f>
        <v/>
      </c>
      <c r="AL159" s="3" t="str">
        <f>_xlfn.LET(_xlpm.r, _xlfn.XLOOKUP(MappingGuide[[#This Row],[DataType]],'[1]Squirrel SQL Export 1'!E:E,'[1]Squirrel SQL Export 1'!AF:AF),IF(_xlpm.r=0,"",_xlpm.r))</f>
        <v/>
      </c>
      <c r="AM159" s="2" t="str">
        <f>_xlfn.LET(_xlpm.r, _xlfn.XLOOKUP(MappingGuide[[#This Row],[Length]],'[1]Squirrel SQL Export 1'!F:F,'[1]Squirrel SQL Export 1'!AG:AG),IF(_xlpm.r=0,"",_xlpm.r))</f>
        <v>Type</v>
      </c>
    </row>
    <row r="160" spans="1:39" x14ac:dyDescent="0.2">
      <c r="A160" s="2">
        <v>157</v>
      </c>
      <c r="B160" s="2" t="s">
        <v>51</v>
      </c>
      <c r="C160" s="2" t="s">
        <v>748</v>
      </c>
      <c r="D160" s="2" t="s">
        <v>749</v>
      </c>
      <c r="E160" s="2" t="s">
        <v>54</v>
      </c>
      <c r="F160" s="2" t="s">
        <v>96</v>
      </c>
      <c r="J160" s="2" t="s">
        <v>71</v>
      </c>
      <c r="K160" s="2" t="s">
        <v>87</v>
      </c>
      <c r="W160" s="2" t="str">
        <f>_xlfn.LET(_xlpm.r, _xlfn.XLOOKUP(MappingGuide[[#This Row],[Description]],'[1]Squirrel SQL Export 1'!D:D,'[1]Squirrel SQL Export 1'!AC:AC),IF(_xlpm.r=0,"",_xlpm.r))</f>
        <v/>
      </c>
      <c r="AA160" s="2" t="s">
        <v>750</v>
      </c>
      <c r="AC160" s="2"/>
      <c r="AE160" s="2" t="str" cm="1">
        <f t="array" ref="AE160">_xlfn.LET(_xlpm.r, _xlfn.XLOOKUP(MappingGuide[[#This Row],[ColumnName]] &amp; "|" &amp; MappingGuide[[#This Row],[Description]],'[1]Squirrel SQL Export 1'!C:C &amp; "|" &amp;'[1]Squirrel SQL Export 1'!D:D,'[1]Squirrel SQL Export 1'!Z:Z),IF(_xlpm.r=0,"",_xlpm.r))</f>
        <v>no</v>
      </c>
      <c r="AF160" s="3" t="s">
        <v>1309</v>
      </c>
      <c r="AG160" s="3" t="s">
        <v>101</v>
      </c>
      <c r="AI160" s="2" t="str">
        <f>_xlfn.LET(_xlpm.r, _xlfn.XLOOKUP(MappingGuide[[#This Row],[Description]],'[1]Squirrel SQL Export 1'!D:D,'[1]Squirrel SQL Export 1'!Y:Y),IF(_xlpm.r=0,"",_xlpm.r))</f>
        <v>Not used</v>
      </c>
      <c r="AK160" s="2" t="str">
        <f>_xlfn.LET(_xlpm.r, _xlfn.XLOOKUP(MappingGuide[[#This Row],[Description]],'[1]Squirrel SQL Export 1'!D:D,'[1]Squirrel SQL Export 1'!AE:AE),IF(_xlpm.r=0,"",_xlpm.r))</f>
        <v/>
      </c>
      <c r="AL160" s="3" t="str">
        <f>_xlfn.LET(_xlpm.r, _xlfn.XLOOKUP(MappingGuide[[#This Row],[DataType]],'[1]Squirrel SQL Export 1'!E:E,'[1]Squirrel SQL Export 1'!AF:AF),IF(_xlpm.r=0,"",_xlpm.r))</f>
        <v/>
      </c>
      <c r="AM160" s="2" t="str">
        <f>_xlfn.LET(_xlpm.r, _xlfn.XLOOKUP(MappingGuide[[#This Row],[Length]],'[1]Squirrel SQL Export 1'!F:F,'[1]Squirrel SQL Export 1'!AG:AG),IF(_xlpm.r=0,"",_xlpm.r))</f>
        <v>Type</v>
      </c>
    </row>
    <row r="161" spans="1:39" x14ac:dyDescent="0.2">
      <c r="A161" s="2">
        <v>158</v>
      </c>
      <c r="B161" s="2" t="s">
        <v>51</v>
      </c>
      <c r="C161" s="2" t="s">
        <v>751</v>
      </c>
      <c r="D161" s="2" t="s">
        <v>752</v>
      </c>
      <c r="E161" s="2" t="s">
        <v>54</v>
      </c>
      <c r="F161" s="2" t="s">
        <v>96</v>
      </c>
      <c r="J161" s="2" t="s">
        <v>71</v>
      </c>
      <c r="K161" s="2" t="s">
        <v>87</v>
      </c>
      <c r="O161" s="2" t="s">
        <v>45</v>
      </c>
      <c r="P161" s="2" t="s">
        <v>88</v>
      </c>
      <c r="Q161" s="2" t="s">
        <v>753</v>
      </c>
      <c r="W161" s="2" t="str">
        <f>_xlfn.LET(_xlpm.r, _xlfn.XLOOKUP(MappingGuide[[#This Row],[Description]],'[1]Squirrel SQL Export 1'!D:D,'[1]Squirrel SQL Export 1'!AC:AC),IF(_xlpm.r=0,"",_xlpm.r))</f>
        <v/>
      </c>
      <c r="AA161" s="2" t="s">
        <v>754</v>
      </c>
      <c r="AB161" s="2" t="s">
        <v>755</v>
      </c>
      <c r="AC161" s="2"/>
      <c r="AE161" s="2" t="str" cm="1">
        <f t="array" ref="AE161">_xlfn.LET(_xlpm.r, _xlfn.XLOOKUP(MappingGuide[[#This Row],[ColumnName]] &amp; "|" &amp; MappingGuide[[#This Row],[Description]],'[1]Squirrel SQL Export 1'!C:C &amp; "|" &amp;'[1]Squirrel SQL Export 1'!D:D,'[1]Squirrel SQL Export 1'!Z:Z),IF(_xlpm.r=0,"",_xlpm.r))</f>
        <v>no</v>
      </c>
      <c r="AF161" s="3" t="s">
        <v>1309</v>
      </c>
      <c r="AG161" s="3" t="s">
        <v>101</v>
      </c>
      <c r="AI161" s="2" t="str">
        <f>_xlfn.LET(_xlpm.r, _xlfn.XLOOKUP(MappingGuide[[#This Row],[Description]],'[1]Squirrel SQL Export 1'!D:D,'[1]Squirrel SQL Export 1'!Y:Y),IF(_xlpm.r=0,"",_xlpm.r))</f>
        <v>Not used</v>
      </c>
      <c r="AK161" s="2" t="str">
        <f>_xlfn.LET(_xlpm.r, _xlfn.XLOOKUP(MappingGuide[[#This Row],[Description]],'[1]Squirrel SQL Export 1'!D:D,'[1]Squirrel SQL Export 1'!AE:AE),IF(_xlpm.r=0,"",_xlpm.r))</f>
        <v/>
      </c>
      <c r="AL161" s="3" t="str">
        <f>_xlfn.LET(_xlpm.r, _xlfn.XLOOKUP(MappingGuide[[#This Row],[DataType]],'[1]Squirrel SQL Export 1'!E:E,'[1]Squirrel SQL Export 1'!AF:AF),IF(_xlpm.r=0,"",_xlpm.r))</f>
        <v/>
      </c>
      <c r="AM161" s="2" t="str">
        <f>_xlfn.LET(_xlpm.r, _xlfn.XLOOKUP(MappingGuide[[#This Row],[Length]],'[1]Squirrel SQL Export 1'!F:F,'[1]Squirrel SQL Export 1'!AG:AG),IF(_xlpm.r=0,"",_xlpm.r))</f>
        <v>Type</v>
      </c>
    </row>
    <row r="162" spans="1:39" x14ac:dyDescent="0.2">
      <c r="A162" s="2">
        <v>159</v>
      </c>
      <c r="B162" s="2" t="s">
        <v>51</v>
      </c>
      <c r="C162" s="2" t="s">
        <v>756</v>
      </c>
      <c r="D162" s="2" t="s">
        <v>757</v>
      </c>
      <c r="E162" s="2" t="s">
        <v>54</v>
      </c>
      <c r="F162" s="2" t="s">
        <v>96</v>
      </c>
      <c r="J162" s="2" t="s">
        <v>71</v>
      </c>
      <c r="K162" s="2" t="s">
        <v>140</v>
      </c>
      <c r="O162" s="2" t="s">
        <v>45</v>
      </c>
      <c r="P162" s="2" t="s">
        <v>88</v>
      </c>
      <c r="Q162" s="2" t="s">
        <v>758</v>
      </c>
      <c r="W162" s="2" t="str">
        <f>_xlfn.LET(_xlpm.r, _xlfn.XLOOKUP(MappingGuide[[#This Row],[Description]],'[1]Squirrel SQL Export 1'!D:D,'[1]Squirrel SQL Export 1'!AC:AC),IF(_xlpm.r=0,"",_xlpm.r))</f>
        <v/>
      </c>
      <c r="AA162" s="2" t="s">
        <v>759</v>
      </c>
      <c r="AC162" s="2"/>
      <c r="AE162" s="2" t="str" cm="1">
        <f t="array" ref="AE162">_xlfn.LET(_xlpm.r, _xlfn.XLOOKUP(MappingGuide[[#This Row],[ColumnName]] &amp; "|" &amp; MappingGuide[[#This Row],[Description]],'[1]Squirrel SQL Export 1'!C:C &amp; "|" &amp;'[1]Squirrel SQL Export 1'!D:D,'[1]Squirrel SQL Export 1'!Z:Z),IF(_xlpm.r=0,"",_xlpm.r))</f>
        <v>no</v>
      </c>
      <c r="AF162" s="3" t="s">
        <v>1309</v>
      </c>
      <c r="AG162" s="3" t="s">
        <v>101</v>
      </c>
      <c r="AI162" s="2" t="str">
        <f>_xlfn.LET(_xlpm.r, _xlfn.XLOOKUP(MappingGuide[[#This Row],[Description]],'[1]Squirrel SQL Export 1'!D:D,'[1]Squirrel SQL Export 1'!Y:Y),IF(_xlpm.r=0,"",_xlpm.r))</f>
        <v>Not used</v>
      </c>
      <c r="AK162" s="2" t="str">
        <f>_xlfn.LET(_xlpm.r, _xlfn.XLOOKUP(MappingGuide[[#This Row],[Description]],'[1]Squirrel SQL Export 1'!D:D,'[1]Squirrel SQL Export 1'!AE:AE),IF(_xlpm.r=0,"",_xlpm.r))</f>
        <v/>
      </c>
      <c r="AL162" s="3" t="str">
        <f>_xlfn.LET(_xlpm.r, _xlfn.XLOOKUP(MappingGuide[[#This Row],[DataType]],'[1]Squirrel SQL Export 1'!E:E,'[1]Squirrel SQL Export 1'!AF:AF),IF(_xlpm.r=0,"",_xlpm.r))</f>
        <v/>
      </c>
      <c r="AM162" s="2" t="str">
        <f>_xlfn.LET(_xlpm.r, _xlfn.XLOOKUP(MappingGuide[[#This Row],[Length]],'[1]Squirrel SQL Export 1'!F:F,'[1]Squirrel SQL Export 1'!AG:AG),IF(_xlpm.r=0,"",_xlpm.r))</f>
        <v>Type</v>
      </c>
    </row>
    <row r="163" spans="1:39" x14ac:dyDescent="0.2">
      <c r="A163" s="2">
        <v>160</v>
      </c>
      <c r="B163" s="2" t="s">
        <v>51</v>
      </c>
      <c r="C163" s="2" t="s">
        <v>760</v>
      </c>
      <c r="D163" s="2" t="s">
        <v>761</v>
      </c>
      <c r="E163" s="2" t="s">
        <v>54</v>
      </c>
      <c r="F163" s="2" t="s">
        <v>96</v>
      </c>
      <c r="J163" s="2" t="s">
        <v>71</v>
      </c>
      <c r="K163" s="2" t="s">
        <v>146</v>
      </c>
      <c r="O163" s="2" t="s">
        <v>45</v>
      </c>
      <c r="P163" s="2" t="s">
        <v>88</v>
      </c>
      <c r="Q163" s="2" t="s">
        <v>762</v>
      </c>
      <c r="W163" s="2" t="str">
        <f>_xlfn.LET(_xlpm.r, _xlfn.XLOOKUP(MappingGuide[[#This Row],[Description]],'[1]Squirrel SQL Export 1'!D:D,'[1]Squirrel SQL Export 1'!AC:AC),IF(_xlpm.r=0,"",_xlpm.r))</f>
        <v/>
      </c>
      <c r="AA163" s="2" t="s">
        <v>763</v>
      </c>
      <c r="AC163" s="2"/>
      <c r="AE163" s="2" t="str" cm="1">
        <f t="array" ref="AE163">_xlfn.LET(_xlpm.r, _xlfn.XLOOKUP(MappingGuide[[#This Row],[ColumnName]] &amp; "|" &amp; MappingGuide[[#This Row],[Description]],'[1]Squirrel SQL Export 1'!C:C &amp; "|" &amp;'[1]Squirrel SQL Export 1'!D:D,'[1]Squirrel SQL Export 1'!Z:Z),IF(_xlpm.r=0,"",_xlpm.r))</f>
        <v>no</v>
      </c>
      <c r="AF163" s="3" t="s">
        <v>1309</v>
      </c>
      <c r="AG163" s="3" t="s">
        <v>101</v>
      </c>
      <c r="AI163" s="2" t="str">
        <f>_xlfn.LET(_xlpm.r, _xlfn.XLOOKUP(MappingGuide[[#This Row],[Description]],'[1]Squirrel SQL Export 1'!D:D,'[1]Squirrel SQL Export 1'!Y:Y),IF(_xlpm.r=0,"",_xlpm.r))</f>
        <v>This is needed in M3, but we will set value default value = 0 using template</v>
      </c>
      <c r="AK163" s="2" t="str">
        <f>_xlfn.LET(_xlpm.r, _xlfn.XLOOKUP(MappingGuide[[#This Row],[Description]],'[1]Squirrel SQL Export 1'!D:D,'[1]Squirrel SQL Export 1'!AE:AE),IF(_xlpm.r=0,"",_xlpm.r))</f>
        <v/>
      </c>
      <c r="AL163" s="3" t="str">
        <f>_xlfn.LET(_xlpm.r, _xlfn.XLOOKUP(MappingGuide[[#This Row],[DataType]],'[1]Squirrel SQL Export 1'!E:E,'[1]Squirrel SQL Export 1'!AF:AF),IF(_xlpm.r=0,"",_xlpm.r))</f>
        <v/>
      </c>
      <c r="AM163" s="2" t="str">
        <f>_xlfn.LET(_xlpm.r, _xlfn.XLOOKUP(MappingGuide[[#This Row],[Length]],'[1]Squirrel SQL Export 1'!F:F,'[1]Squirrel SQL Export 1'!AG:AG),IF(_xlpm.r=0,"",_xlpm.r))</f>
        <v>Type</v>
      </c>
    </row>
    <row r="164" spans="1:39" x14ac:dyDescent="0.2">
      <c r="A164" s="2">
        <v>161</v>
      </c>
      <c r="B164" s="2" t="s">
        <v>51</v>
      </c>
      <c r="C164" s="2" t="s">
        <v>764</v>
      </c>
      <c r="D164" s="2" t="s">
        <v>765</v>
      </c>
      <c r="E164" s="2" t="s">
        <v>54</v>
      </c>
      <c r="F164" s="2" t="s">
        <v>96</v>
      </c>
      <c r="J164" s="2" t="s">
        <v>71</v>
      </c>
      <c r="K164" s="2" t="s">
        <v>87</v>
      </c>
      <c r="W164" s="2" t="str">
        <f>_xlfn.LET(_xlpm.r, _xlfn.XLOOKUP(MappingGuide[[#This Row],[Description]],'[1]Squirrel SQL Export 1'!D:D,'[1]Squirrel SQL Export 1'!AC:AC),IF(_xlpm.r=0,"",_xlpm.r))</f>
        <v/>
      </c>
      <c r="AA164" s="2" t="s">
        <v>766</v>
      </c>
      <c r="AC164" s="2"/>
      <c r="AE164" s="2" t="str" cm="1">
        <f t="array" ref="AE164">_xlfn.LET(_xlpm.r, _xlfn.XLOOKUP(MappingGuide[[#This Row],[ColumnName]] &amp; "|" &amp; MappingGuide[[#This Row],[Description]],'[1]Squirrel SQL Export 1'!C:C &amp; "|" &amp;'[1]Squirrel SQL Export 1'!D:D,'[1]Squirrel SQL Export 1'!Z:Z),IF(_xlpm.r=0,"",_xlpm.r))</f>
        <v>no</v>
      </c>
      <c r="AF164" s="3" t="s">
        <v>1309</v>
      </c>
      <c r="AG164" s="3" t="s">
        <v>101</v>
      </c>
      <c r="AI164" s="2" t="str">
        <f>_xlfn.LET(_xlpm.r, _xlfn.XLOOKUP(MappingGuide[[#This Row],[Description]],'[1]Squirrel SQL Export 1'!D:D,'[1]Squirrel SQL Export 1'!Y:Y),IF(_xlpm.r=0,"",_xlpm.r))</f>
        <v>Calculated value inside M3</v>
      </c>
      <c r="AK164" s="2" t="str">
        <f>_xlfn.LET(_xlpm.r, _xlfn.XLOOKUP(MappingGuide[[#This Row],[Description]],'[1]Squirrel SQL Export 1'!D:D,'[1]Squirrel SQL Export 1'!AE:AE),IF(_xlpm.r=0,"",_xlpm.r))</f>
        <v/>
      </c>
      <c r="AL164" s="3" t="str">
        <f>_xlfn.LET(_xlpm.r, _xlfn.XLOOKUP(MappingGuide[[#This Row],[DataType]],'[1]Squirrel SQL Export 1'!E:E,'[1]Squirrel SQL Export 1'!AF:AF),IF(_xlpm.r=0,"",_xlpm.r))</f>
        <v/>
      </c>
      <c r="AM164" s="2" t="str">
        <f>_xlfn.LET(_xlpm.r, _xlfn.XLOOKUP(MappingGuide[[#This Row],[Length]],'[1]Squirrel SQL Export 1'!F:F,'[1]Squirrel SQL Export 1'!AG:AG),IF(_xlpm.r=0,"",_xlpm.r))</f>
        <v>Type</v>
      </c>
    </row>
    <row r="165" spans="1:39" x14ac:dyDescent="0.2">
      <c r="A165" s="2">
        <v>162</v>
      </c>
      <c r="B165" s="2" t="s">
        <v>51</v>
      </c>
      <c r="C165" s="2" t="s">
        <v>767</v>
      </c>
      <c r="D165" s="2" t="s">
        <v>768</v>
      </c>
      <c r="E165" s="2" t="s">
        <v>54</v>
      </c>
      <c r="F165" s="2" t="s">
        <v>96</v>
      </c>
      <c r="J165" s="2" t="s">
        <v>71</v>
      </c>
      <c r="K165" s="2" t="s">
        <v>87</v>
      </c>
      <c r="O165" s="2" t="s">
        <v>45</v>
      </c>
      <c r="P165" s="2" t="s">
        <v>565</v>
      </c>
      <c r="Q165" s="2" t="s">
        <v>769</v>
      </c>
      <c r="W165" s="2" t="str">
        <f>_xlfn.LET(_xlpm.r, _xlfn.XLOOKUP(MappingGuide[[#This Row],[Description]],'[1]Squirrel SQL Export 1'!D:D,'[1]Squirrel SQL Export 1'!AC:AC),IF(_xlpm.r=0,"",_xlpm.r))</f>
        <v/>
      </c>
      <c r="AA165" s="2" t="s">
        <v>770</v>
      </c>
      <c r="AC165" s="2"/>
      <c r="AE165" s="2" t="str" cm="1">
        <f t="array" ref="AE165">_xlfn.LET(_xlpm.r, _xlfn.XLOOKUP(MappingGuide[[#This Row],[ColumnName]] &amp; "|" &amp; MappingGuide[[#This Row],[Description]],'[1]Squirrel SQL Export 1'!C:C &amp; "|" &amp;'[1]Squirrel SQL Export 1'!D:D,'[1]Squirrel SQL Export 1'!Z:Z),IF(_xlpm.r=0,"",_xlpm.r))</f>
        <v>no</v>
      </c>
      <c r="AF165" s="3" t="s">
        <v>1309</v>
      </c>
      <c r="AG165" s="3" t="s">
        <v>101</v>
      </c>
      <c r="AI165" s="2" t="str">
        <f>_xlfn.LET(_xlpm.r, _xlfn.XLOOKUP(MappingGuide[[#This Row],[Description]],'[1]Squirrel SQL Export 1'!D:D,'[1]Squirrel SQL Export 1'!Y:Y),IF(_xlpm.r=0,"",_xlpm.r))</f>
        <v>This is needed in M3, but we will set value using template</v>
      </c>
      <c r="AK165" s="2" t="str">
        <f>_xlfn.LET(_xlpm.r, _xlfn.XLOOKUP(MappingGuide[[#This Row],[Description]],'[1]Squirrel SQL Export 1'!D:D,'[1]Squirrel SQL Export 1'!AE:AE),IF(_xlpm.r=0,"",_xlpm.r))</f>
        <v/>
      </c>
      <c r="AL165" s="3" t="str">
        <f>_xlfn.LET(_xlpm.r, _xlfn.XLOOKUP(MappingGuide[[#This Row],[DataType]],'[1]Squirrel SQL Export 1'!E:E,'[1]Squirrel SQL Export 1'!AF:AF),IF(_xlpm.r=0,"",_xlpm.r))</f>
        <v/>
      </c>
      <c r="AM165" s="2" t="str">
        <f>_xlfn.LET(_xlpm.r, _xlfn.XLOOKUP(MappingGuide[[#This Row],[Length]],'[1]Squirrel SQL Export 1'!F:F,'[1]Squirrel SQL Export 1'!AG:AG),IF(_xlpm.r=0,"",_xlpm.r))</f>
        <v>Type</v>
      </c>
    </row>
    <row r="166" spans="1:39" x14ac:dyDescent="0.2">
      <c r="A166" s="2">
        <v>163</v>
      </c>
      <c r="B166" s="2" t="s">
        <v>51</v>
      </c>
      <c r="C166" s="2" t="s">
        <v>771</v>
      </c>
      <c r="D166" s="2" t="s">
        <v>772</v>
      </c>
      <c r="E166" s="2" t="s">
        <v>54</v>
      </c>
      <c r="F166" s="2" t="s">
        <v>70</v>
      </c>
      <c r="J166" s="2" t="s">
        <v>71</v>
      </c>
      <c r="K166" s="2" t="s">
        <v>87</v>
      </c>
      <c r="O166" s="2" t="s">
        <v>45</v>
      </c>
      <c r="P166" s="2" t="s">
        <v>88</v>
      </c>
      <c r="Q166" s="2" t="s">
        <v>773</v>
      </c>
      <c r="W166" s="2" t="str">
        <f>_xlfn.LET(_xlpm.r, _xlfn.XLOOKUP(MappingGuide[[#This Row],[Description]],'[1]Squirrel SQL Export 1'!D:D,'[1]Squirrel SQL Export 1'!AC:AC),IF(_xlpm.r=0,"",_xlpm.r))</f>
        <v/>
      </c>
      <c r="AA166" s="2" t="s">
        <v>774</v>
      </c>
      <c r="AB166" s="2" t="s">
        <v>775</v>
      </c>
      <c r="AC166" s="2"/>
      <c r="AE166" s="2" t="str" cm="1">
        <f t="array" ref="AE166">_xlfn.LET(_xlpm.r, _xlfn.XLOOKUP(MappingGuide[[#This Row],[ColumnName]] &amp; "|" &amp; MappingGuide[[#This Row],[Description]],'[1]Squirrel SQL Export 1'!C:C &amp; "|" &amp;'[1]Squirrel SQL Export 1'!D:D,'[1]Squirrel SQL Export 1'!Z:Z),IF(_xlpm.r=0,"",_xlpm.r))</f>
        <v>no</v>
      </c>
      <c r="AF166" s="3" t="s">
        <v>1309</v>
      </c>
      <c r="AG166" s="3" t="s">
        <v>101</v>
      </c>
      <c r="AI166" s="2" t="str">
        <f>_xlfn.LET(_xlpm.r, _xlfn.XLOOKUP(MappingGuide[[#This Row],[Description]],'[1]Squirrel SQL Export 1'!D:D,'[1]Squirrel SQL Export 1'!Y:Y),IF(_xlpm.r=0,"",_xlpm.r))</f>
        <v>This is needed in M3, but we will set value using template</v>
      </c>
      <c r="AK166" s="2" t="str">
        <f>_xlfn.LET(_xlpm.r, _xlfn.XLOOKUP(MappingGuide[[#This Row],[Description]],'[1]Squirrel SQL Export 1'!D:D,'[1]Squirrel SQL Export 1'!AE:AE),IF(_xlpm.r=0,"",_xlpm.r))</f>
        <v/>
      </c>
      <c r="AL166" s="3" t="str">
        <f>_xlfn.LET(_xlpm.r, _xlfn.XLOOKUP(MappingGuide[[#This Row],[DataType]],'[1]Squirrel SQL Export 1'!E:E,'[1]Squirrel SQL Export 1'!AF:AF),IF(_xlpm.r=0,"",_xlpm.r))</f>
        <v/>
      </c>
      <c r="AM166" s="2" t="str">
        <f>_xlfn.LET(_xlpm.r, _xlfn.XLOOKUP(MappingGuide[[#This Row],[Length]],'[1]Squirrel SQL Export 1'!F:F,'[1]Squirrel SQL Export 1'!AG:AG),IF(_xlpm.r=0,"",_xlpm.r))</f>
        <v>Status</v>
      </c>
    </row>
    <row r="167" spans="1:39" x14ac:dyDescent="0.2">
      <c r="A167" s="2">
        <v>164</v>
      </c>
      <c r="B167" s="2" t="s">
        <v>51</v>
      </c>
      <c r="C167" s="2" t="s">
        <v>776</v>
      </c>
      <c r="D167" s="2" t="s">
        <v>777</v>
      </c>
      <c r="E167" s="2" t="s">
        <v>43</v>
      </c>
      <c r="F167" s="2" t="s">
        <v>179</v>
      </c>
      <c r="J167" s="2" t="s">
        <v>71</v>
      </c>
      <c r="K167" s="2" t="s">
        <v>87</v>
      </c>
      <c r="O167" s="2" t="s">
        <v>45</v>
      </c>
      <c r="P167" s="2" t="s">
        <v>88</v>
      </c>
      <c r="Q167" s="2" t="s">
        <v>778</v>
      </c>
      <c r="W167" s="2" t="str">
        <f>_xlfn.LET(_xlpm.r, _xlfn.XLOOKUP(MappingGuide[[#This Row],[Description]],'[1]Squirrel SQL Export 1'!D:D,'[1]Squirrel SQL Export 1'!AC:AC),IF(_xlpm.r=0,"",_xlpm.r))</f>
        <v/>
      </c>
      <c r="AA167" s="2" t="s">
        <v>779</v>
      </c>
      <c r="AC167" s="2" t="s">
        <v>780</v>
      </c>
      <c r="AE167" s="2" t="str" cm="1">
        <f t="array" ref="AE167">_xlfn.LET(_xlpm.r, _xlfn.XLOOKUP(MappingGuide[[#This Row],[ColumnName]] &amp; "|" &amp; MappingGuide[[#This Row],[Description]],'[1]Squirrel SQL Export 1'!C:C &amp; "|" &amp;'[1]Squirrel SQL Export 1'!D:D,'[1]Squirrel SQL Export 1'!Z:Z),IF(_xlpm.r=0,"",_xlpm.r))</f>
        <v>no</v>
      </c>
      <c r="AF167" s="3" t="s">
        <v>1309</v>
      </c>
      <c r="AG167" s="3" t="s">
        <v>101</v>
      </c>
      <c r="AI167" s="2" t="str">
        <f>_xlfn.LET(_xlpm.r, _xlfn.XLOOKUP(MappingGuide[[#This Row],[Description]],'[1]Squirrel SQL Export 1'!D:D,'[1]Squirrel SQL Export 1'!Y:Y),IF(_xlpm.r=0,"",_xlpm.r))</f>
        <v>Not used</v>
      </c>
      <c r="AK167" s="2" t="str">
        <f>_xlfn.LET(_xlpm.r, _xlfn.XLOOKUP(MappingGuide[[#This Row],[Description]],'[1]Squirrel SQL Export 1'!D:D,'[1]Squirrel SQL Export 1'!AE:AE),IF(_xlpm.r=0,"",_xlpm.r))</f>
        <v/>
      </c>
      <c r="AL167" s="3" t="str">
        <f>_xlfn.LET(_xlpm.r, _xlfn.XLOOKUP(MappingGuide[[#This Row],[DataType]],'[1]Squirrel SQL Export 1'!E:E,'[1]Squirrel SQL Export 1'!AF:AF),IF(_xlpm.r=0,"",_xlpm.r))</f>
        <v>No</v>
      </c>
      <c r="AM167" s="2" t="str">
        <f>_xlfn.LET(_xlpm.r, _xlfn.XLOOKUP(MappingGuide[[#This Row],[Length]],'[1]Squirrel SQL Export 1'!F:F,'[1]Squirrel SQL Export 1'!AG:AG),IF(_xlpm.r=0,"",_xlpm.r))</f>
        <v/>
      </c>
    </row>
    <row r="168" spans="1:39" x14ac:dyDescent="0.2">
      <c r="A168" s="2">
        <v>165</v>
      </c>
      <c r="B168" s="2" t="s">
        <v>51</v>
      </c>
      <c r="C168" s="2" t="s">
        <v>781</v>
      </c>
      <c r="D168" s="2" t="s">
        <v>399</v>
      </c>
      <c r="E168" s="2" t="s">
        <v>54</v>
      </c>
      <c r="F168" s="2" t="s">
        <v>96</v>
      </c>
      <c r="W168" s="2" t="str">
        <f>_xlfn.LET(_xlpm.r, _xlfn.XLOOKUP(MappingGuide[[#This Row],[Description]],'[1]Squirrel SQL Export 1'!D:D,'[1]Squirrel SQL Export 1'!AC:AC),IF(_xlpm.r=0,"",_xlpm.r))</f>
        <v/>
      </c>
      <c r="AC168" s="2"/>
      <c r="AE168" s="2" t="str" cm="1">
        <f t="array" ref="AE168">_xlfn.LET(_xlpm.r, _xlfn.XLOOKUP(MappingGuide[[#This Row],[ColumnName]] &amp; "|" &amp; MappingGuide[[#This Row],[Description]],'[1]Squirrel SQL Export 1'!C:C &amp; "|" &amp;'[1]Squirrel SQL Export 1'!D:D,'[1]Squirrel SQL Export 1'!Z:Z),IF(_xlpm.r=0,"",_xlpm.r))</f>
        <v>no</v>
      </c>
      <c r="AF168" s="3" t="s">
        <v>1309</v>
      </c>
      <c r="AG168" s="3" t="s">
        <v>101</v>
      </c>
      <c r="AI168" s="2" t="str">
        <f>_xlfn.LET(_xlpm.r, _xlfn.XLOOKUP(MappingGuide[[#This Row],[Description]],'[1]Squirrel SQL Export 1'!D:D,'[1]Squirrel SQL Export 1'!Y:Y),IF(_xlpm.r=0,"",_xlpm.r))</f>
        <v>Calculated value inside M3</v>
      </c>
      <c r="AK168" s="2" t="str">
        <f>_xlfn.LET(_xlpm.r, _xlfn.XLOOKUP(MappingGuide[[#This Row],[Description]],'[1]Squirrel SQL Export 1'!D:D,'[1]Squirrel SQL Export 1'!AE:AE),IF(_xlpm.r=0,"",_xlpm.r))</f>
        <v/>
      </c>
      <c r="AL168" s="3" t="str">
        <f>_xlfn.LET(_xlpm.r, _xlfn.XLOOKUP(MappingGuide[[#This Row],[DataType]],'[1]Squirrel SQL Export 1'!E:E,'[1]Squirrel SQL Export 1'!AF:AF),IF(_xlpm.r=0,"",_xlpm.r))</f>
        <v/>
      </c>
      <c r="AM168" s="2" t="str">
        <f>_xlfn.LET(_xlpm.r, _xlfn.XLOOKUP(MappingGuide[[#This Row],[Length]],'[1]Squirrel SQL Export 1'!F:F,'[1]Squirrel SQL Export 1'!AG:AG),IF(_xlpm.r=0,"",_xlpm.r))</f>
        <v>Type</v>
      </c>
    </row>
    <row r="169" spans="1:39" x14ac:dyDescent="0.2">
      <c r="A169" s="2">
        <v>166</v>
      </c>
      <c r="B169" s="2" t="s">
        <v>51</v>
      </c>
      <c r="C169" s="2" t="s">
        <v>782</v>
      </c>
      <c r="D169" s="2" t="s">
        <v>783</v>
      </c>
      <c r="E169" s="2" t="s">
        <v>43</v>
      </c>
      <c r="F169" s="2" t="s">
        <v>44</v>
      </c>
      <c r="O169" s="2" t="s">
        <v>45</v>
      </c>
      <c r="P169" s="2" t="s">
        <v>710</v>
      </c>
      <c r="Q169" s="2" t="s">
        <v>784</v>
      </c>
      <c r="W169" s="2" t="str">
        <f>_xlfn.LET(_xlpm.r, _xlfn.XLOOKUP(MappingGuide[[#This Row],[Description]],'[1]Squirrel SQL Export 1'!D:D,'[1]Squirrel SQL Export 1'!AC:AC),IF(_xlpm.r=0,"",_xlpm.r))</f>
        <v/>
      </c>
      <c r="AA169" s="2" t="s">
        <v>785</v>
      </c>
      <c r="AC169" s="2"/>
      <c r="AE169" s="2" t="str" cm="1">
        <f t="array" ref="AE169">_xlfn.LET(_xlpm.r, _xlfn.XLOOKUP(MappingGuide[[#This Row],[ColumnName]] &amp; "|" &amp; MappingGuide[[#This Row],[Description]],'[1]Squirrel SQL Export 1'!C:C &amp; "|" &amp;'[1]Squirrel SQL Export 1'!D:D,'[1]Squirrel SQL Export 1'!Z:Z),IF(_xlpm.r=0,"",_xlpm.r))</f>
        <v>no</v>
      </c>
      <c r="AF169" s="3" t="s">
        <v>1309</v>
      </c>
      <c r="AG169" s="3" t="s">
        <v>101</v>
      </c>
      <c r="AI169" s="2" t="str">
        <f>_xlfn.LET(_xlpm.r, _xlfn.XLOOKUP(MappingGuide[[#This Row],[Description]],'[1]Squirrel SQL Export 1'!D:D,'[1]Squirrel SQL Export 1'!Y:Y),IF(_xlpm.r=0,"",_xlpm.r))</f>
        <v>Not used</v>
      </c>
      <c r="AK169" s="2" t="str">
        <f>_xlfn.LET(_xlpm.r, _xlfn.XLOOKUP(MappingGuide[[#This Row],[Description]],'[1]Squirrel SQL Export 1'!D:D,'[1]Squirrel SQL Export 1'!AE:AE),IF(_xlpm.r=0,"",_xlpm.r))</f>
        <v/>
      </c>
      <c r="AL169" s="3" t="str">
        <f>_xlfn.LET(_xlpm.r, _xlfn.XLOOKUP(MappingGuide[[#This Row],[DataType]],'[1]Squirrel SQL Export 1'!E:E,'[1]Squirrel SQL Export 1'!AF:AF),IF(_xlpm.r=0,"",_xlpm.r))</f>
        <v>No</v>
      </c>
      <c r="AM169" s="2" t="str">
        <f>_xlfn.LET(_xlpm.r, _xlfn.XLOOKUP(MappingGuide[[#This Row],[Length]],'[1]Squirrel SQL Export 1'!F:F,'[1]Squirrel SQL Export 1'!AG:AG),IF(_xlpm.r=0,"",_xlpm.r))</f>
        <v/>
      </c>
    </row>
    <row r="170" spans="1:39" x14ac:dyDescent="0.2">
      <c r="A170" s="2">
        <v>167</v>
      </c>
      <c r="B170" s="2" t="s">
        <v>51</v>
      </c>
      <c r="C170" s="2" t="s">
        <v>786</v>
      </c>
      <c r="D170" s="2" t="s">
        <v>787</v>
      </c>
      <c r="E170" s="2" t="s">
        <v>43</v>
      </c>
      <c r="F170" s="2" t="s">
        <v>44</v>
      </c>
      <c r="O170" s="2" t="s">
        <v>45</v>
      </c>
      <c r="P170" s="2" t="s">
        <v>710</v>
      </c>
      <c r="Q170" s="2" t="s">
        <v>788</v>
      </c>
      <c r="W170" s="2" t="str">
        <f>_xlfn.LET(_xlpm.r, _xlfn.XLOOKUP(MappingGuide[[#This Row],[Description]],'[1]Squirrel SQL Export 1'!D:D,'[1]Squirrel SQL Export 1'!AC:AC),IF(_xlpm.r=0,"",_xlpm.r))</f>
        <v/>
      </c>
      <c r="AA170" s="2" t="s">
        <v>785</v>
      </c>
      <c r="AC170" s="2"/>
      <c r="AE170" s="2" t="str" cm="1">
        <f t="array" ref="AE170">_xlfn.LET(_xlpm.r, _xlfn.XLOOKUP(MappingGuide[[#This Row],[ColumnName]] &amp; "|" &amp; MappingGuide[[#This Row],[Description]],'[1]Squirrel SQL Export 1'!C:C &amp; "|" &amp;'[1]Squirrel SQL Export 1'!D:D,'[1]Squirrel SQL Export 1'!Z:Z),IF(_xlpm.r=0,"",_xlpm.r))</f>
        <v>no</v>
      </c>
      <c r="AF170" s="3" t="s">
        <v>1309</v>
      </c>
      <c r="AG170" s="3" t="s">
        <v>101</v>
      </c>
      <c r="AI170" s="2" t="str">
        <f>_xlfn.LET(_xlpm.r, _xlfn.XLOOKUP(MappingGuide[[#This Row],[Description]],'[1]Squirrel SQL Export 1'!D:D,'[1]Squirrel SQL Export 1'!Y:Y),IF(_xlpm.r=0,"",_xlpm.r))</f>
        <v>Not used</v>
      </c>
      <c r="AK170" s="2" t="str">
        <f>_xlfn.LET(_xlpm.r, _xlfn.XLOOKUP(MappingGuide[[#This Row],[Description]],'[1]Squirrel SQL Export 1'!D:D,'[1]Squirrel SQL Export 1'!AE:AE),IF(_xlpm.r=0,"",_xlpm.r))</f>
        <v/>
      </c>
      <c r="AL170" s="3" t="str">
        <f>_xlfn.LET(_xlpm.r, _xlfn.XLOOKUP(MappingGuide[[#This Row],[DataType]],'[1]Squirrel SQL Export 1'!E:E,'[1]Squirrel SQL Export 1'!AF:AF),IF(_xlpm.r=0,"",_xlpm.r))</f>
        <v>No</v>
      </c>
      <c r="AM170" s="2" t="str">
        <f>_xlfn.LET(_xlpm.r, _xlfn.XLOOKUP(MappingGuide[[#This Row],[Length]],'[1]Squirrel SQL Export 1'!F:F,'[1]Squirrel SQL Export 1'!AG:AG),IF(_xlpm.r=0,"",_xlpm.r))</f>
        <v/>
      </c>
    </row>
    <row r="171" spans="1:39" x14ac:dyDescent="0.2">
      <c r="A171" s="2">
        <v>168</v>
      </c>
      <c r="B171" s="2" t="s">
        <v>51</v>
      </c>
      <c r="C171" s="2" t="s">
        <v>789</v>
      </c>
      <c r="D171" s="2" t="s">
        <v>790</v>
      </c>
      <c r="E171" s="2" t="s">
        <v>43</v>
      </c>
      <c r="F171" s="2" t="s">
        <v>44</v>
      </c>
      <c r="O171" s="2" t="s">
        <v>45</v>
      </c>
      <c r="P171" s="2" t="s">
        <v>710</v>
      </c>
      <c r="Q171" s="2" t="s">
        <v>791</v>
      </c>
      <c r="W171" s="2" t="str">
        <f>_xlfn.LET(_xlpm.r, _xlfn.XLOOKUP(MappingGuide[[#This Row],[Description]],'[1]Squirrel SQL Export 1'!D:D,'[1]Squirrel SQL Export 1'!AC:AC),IF(_xlpm.r=0,"",_xlpm.r))</f>
        <v/>
      </c>
      <c r="AA171" s="2" t="s">
        <v>785</v>
      </c>
      <c r="AC171" s="2"/>
      <c r="AE171" s="2" t="str" cm="1">
        <f t="array" ref="AE171">_xlfn.LET(_xlpm.r, _xlfn.XLOOKUP(MappingGuide[[#This Row],[ColumnName]] &amp; "|" &amp; MappingGuide[[#This Row],[Description]],'[1]Squirrel SQL Export 1'!C:C &amp; "|" &amp;'[1]Squirrel SQL Export 1'!D:D,'[1]Squirrel SQL Export 1'!Z:Z),IF(_xlpm.r=0,"",_xlpm.r))</f>
        <v>no</v>
      </c>
      <c r="AF171" s="3" t="s">
        <v>1309</v>
      </c>
      <c r="AG171" s="3" t="s">
        <v>101</v>
      </c>
      <c r="AI171" s="2" t="str">
        <f>_xlfn.LET(_xlpm.r, _xlfn.XLOOKUP(MappingGuide[[#This Row],[Description]],'[1]Squirrel SQL Export 1'!D:D,'[1]Squirrel SQL Export 1'!Y:Y),IF(_xlpm.r=0,"",_xlpm.r))</f>
        <v>Not used</v>
      </c>
      <c r="AK171" s="2" t="str">
        <f>_xlfn.LET(_xlpm.r, _xlfn.XLOOKUP(MappingGuide[[#This Row],[Description]],'[1]Squirrel SQL Export 1'!D:D,'[1]Squirrel SQL Export 1'!AE:AE),IF(_xlpm.r=0,"",_xlpm.r))</f>
        <v/>
      </c>
      <c r="AL171" s="3" t="str">
        <f>_xlfn.LET(_xlpm.r, _xlfn.XLOOKUP(MappingGuide[[#This Row],[DataType]],'[1]Squirrel SQL Export 1'!E:E,'[1]Squirrel SQL Export 1'!AF:AF),IF(_xlpm.r=0,"",_xlpm.r))</f>
        <v>No</v>
      </c>
      <c r="AM171" s="2" t="str">
        <f>_xlfn.LET(_xlpm.r, _xlfn.XLOOKUP(MappingGuide[[#This Row],[Length]],'[1]Squirrel SQL Export 1'!F:F,'[1]Squirrel SQL Export 1'!AG:AG),IF(_xlpm.r=0,"",_xlpm.r))</f>
        <v/>
      </c>
    </row>
    <row r="172" spans="1:39" x14ac:dyDescent="0.2">
      <c r="A172" s="2">
        <v>169</v>
      </c>
      <c r="B172" s="2" t="s">
        <v>51</v>
      </c>
      <c r="C172" s="2" t="s">
        <v>792</v>
      </c>
      <c r="D172" s="2" t="s">
        <v>793</v>
      </c>
      <c r="E172" s="2" t="s">
        <v>43</v>
      </c>
      <c r="F172" s="2" t="s">
        <v>44</v>
      </c>
      <c r="O172" s="2" t="s">
        <v>45</v>
      </c>
      <c r="P172" s="2" t="s">
        <v>710</v>
      </c>
      <c r="Q172" s="2" t="s">
        <v>794</v>
      </c>
      <c r="W172" s="2" t="str">
        <f>_xlfn.LET(_xlpm.r, _xlfn.XLOOKUP(MappingGuide[[#This Row],[Description]],'[1]Squirrel SQL Export 1'!D:D,'[1]Squirrel SQL Export 1'!AC:AC),IF(_xlpm.r=0,"",_xlpm.r))</f>
        <v/>
      </c>
      <c r="AA172" s="2" t="s">
        <v>785</v>
      </c>
      <c r="AC172" s="2"/>
      <c r="AE172" s="2" t="str" cm="1">
        <f t="array" ref="AE172">_xlfn.LET(_xlpm.r, _xlfn.XLOOKUP(MappingGuide[[#This Row],[ColumnName]] &amp; "|" &amp; MappingGuide[[#This Row],[Description]],'[1]Squirrel SQL Export 1'!C:C &amp; "|" &amp;'[1]Squirrel SQL Export 1'!D:D,'[1]Squirrel SQL Export 1'!Z:Z),IF(_xlpm.r=0,"",_xlpm.r))</f>
        <v>no</v>
      </c>
      <c r="AF172" s="3" t="s">
        <v>1309</v>
      </c>
      <c r="AG172" s="3" t="s">
        <v>101</v>
      </c>
      <c r="AI172" s="2" t="str">
        <f>_xlfn.LET(_xlpm.r, _xlfn.XLOOKUP(MappingGuide[[#This Row],[Description]],'[1]Squirrel SQL Export 1'!D:D,'[1]Squirrel SQL Export 1'!Y:Y),IF(_xlpm.r=0,"",_xlpm.r))</f>
        <v>Not used</v>
      </c>
      <c r="AK172" s="2" t="str">
        <f>_xlfn.LET(_xlpm.r, _xlfn.XLOOKUP(MappingGuide[[#This Row],[Description]],'[1]Squirrel SQL Export 1'!D:D,'[1]Squirrel SQL Export 1'!AE:AE),IF(_xlpm.r=0,"",_xlpm.r))</f>
        <v/>
      </c>
      <c r="AL172" s="3" t="str">
        <f>_xlfn.LET(_xlpm.r, _xlfn.XLOOKUP(MappingGuide[[#This Row],[DataType]],'[1]Squirrel SQL Export 1'!E:E,'[1]Squirrel SQL Export 1'!AF:AF),IF(_xlpm.r=0,"",_xlpm.r))</f>
        <v>No</v>
      </c>
      <c r="AM172" s="2" t="str">
        <f>_xlfn.LET(_xlpm.r, _xlfn.XLOOKUP(MappingGuide[[#This Row],[Length]],'[1]Squirrel SQL Export 1'!F:F,'[1]Squirrel SQL Export 1'!AG:AG),IF(_xlpm.r=0,"",_xlpm.r))</f>
        <v/>
      </c>
    </row>
    <row r="173" spans="1:39" x14ac:dyDescent="0.2">
      <c r="A173" s="2">
        <v>170</v>
      </c>
      <c r="B173" s="2" t="s">
        <v>51</v>
      </c>
      <c r="C173" s="2" t="s">
        <v>795</v>
      </c>
      <c r="D173" s="2" t="s">
        <v>796</v>
      </c>
      <c r="E173" s="2" t="s">
        <v>43</v>
      </c>
      <c r="F173" s="2" t="s">
        <v>44</v>
      </c>
      <c r="O173" s="2" t="s">
        <v>45</v>
      </c>
      <c r="P173" s="2" t="s">
        <v>710</v>
      </c>
      <c r="Q173" s="2" t="s">
        <v>797</v>
      </c>
      <c r="W173" s="2" t="str">
        <f>_xlfn.LET(_xlpm.r, _xlfn.XLOOKUP(MappingGuide[[#This Row],[Description]],'[1]Squirrel SQL Export 1'!D:D,'[1]Squirrel SQL Export 1'!AC:AC),IF(_xlpm.r=0,"",_xlpm.r))</f>
        <v/>
      </c>
      <c r="AA173" s="2" t="s">
        <v>785</v>
      </c>
      <c r="AC173" s="2"/>
      <c r="AE173" s="2" t="str" cm="1">
        <f t="array" ref="AE173">_xlfn.LET(_xlpm.r, _xlfn.XLOOKUP(MappingGuide[[#This Row],[ColumnName]] &amp; "|" &amp; MappingGuide[[#This Row],[Description]],'[1]Squirrel SQL Export 1'!C:C &amp; "|" &amp;'[1]Squirrel SQL Export 1'!D:D,'[1]Squirrel SQL Export 1'!Z:Z),IF(_xlpm.r=0,"",_xlpm.r))</f>
        <v>no</v>
      </c>
      <c r="AF173" s="3" t="s">
        <v>1309</v>
      </c>
      <c r="AG173" s="3" t="s">
        <v>101</v>
      </c>
      <c r="AI173" s="2" t="str">
        <f>_xlfn.LET(_xlpm.r, _xlfn.XLOOKUP(MappingGuide[[#This Row],[Description]],'[1]Squirrel SQL Export 1'!D:D,'[1]Squirrel SQL Export 1'!Y:Y),IF(_xlpm.r=0,"",_xlpm.r))</f>
        <v>Not used</v>
      </c>
      <c r="AK173" s="2" t="str">
        <f>_xlfn.LET(_xlpm.r, _xlfn.XLOOKUP(MappingGuide[[#This Row],[Description]],'[1]Squirrel SQL Export 1'!D:D,'[1]Squirrel SQL Export 1'!AE:AE),IF(_xlpm.r=0,"",_xlpm.r))</f>
        <v/>
      </c>
      <c r="AL173" s="3" t="str">
        <f>_xlfn.LET(_xlpm.r, _xlfn.XLOOKUP(MappingGuide[[#This Row],[DataType]],'[1]Squirrel SQL Export 1'!E:E,'[1]Squirrel SQL Export 1'!AF:AF),IF(_xlpm.r=0,"",_xlpm.r))</f>
        <v>No</v>
      </c>
      <c r="AM173" s="2" t="str">
        <f>_xlfn.LET(_xlpm.r, _xlfn.XLOOKUP(MappingGuide[[#This Row],[Length]],'[1]Squirrel SQL Export 1'!F:F,'[1]Squirrel SQL Export 1'!AG:AG),IF(_xlpm.r=0,"",_xlpm.r))</f>
        <v/>
      </c>
    </row>
    <row r="174" spans="1:39" x14ac:dyDescent="0.2">
      <c r="A174" s="2">
        <v>171</v>
      </c>
      <c r="B174" s="2" t="s">
        <v>51</v>
      </c>
      <c r="C174" s="2" t="s">
        <v>798</v>
      </c>
      <c r="D174" s="2" t="s">
        <v>799</v>
      </c>
      <c r="E174" s="2" t="s">
        <v>43</v>
      </c>
      <c r="F174" s="2" t="s">
        <v>44</v>
      </c>
      <c r="O174" s="2" t="s">
        <v>45</v>
      </c>
      <c r="P174" s="2" t="s">
        <v>710</v>
      </c>
      <c r="Q174" s="2" t="s">
        <v>800</v>
      </c>
      <c r="W174" s="2" t="str">
        <f>_xlfn.LET(_xlpm.r, _xlfn.XLOOKUP(MappingGuide[[#This Row],[Description]],'[1]Squirrel SQL Export 1'!D:D,'[1]Squirrel SQL Export 1'!AC:AC),IF(_xlpm.r=0,"",_xlpm.r))</f>
        <v/>
      </c>
      <c r="AA174" s="2" t="s">
        <v>801</v>
      </c>
      <c r="AC174" s="2"/>
      <c r="AE174" s="2" t="str" cm="1">
        <f t="array" ref="AE174">_xlfn.LET(_xlpm.r, _xlfn.XLOOKUP(MappingGuide[[#This Row],[ColumnName]] &amp; "|" &amp; MappingGuide[[#This Row],[Description]],'[1]Squirrel SQL Export 1'!C:C &amp; "|" &amp;'[1]Squirrel SQL Export 1'!D:D,'[1]Squirrel SQL Export 1'!Z:Z),IF(_xlpm.r=0,"",_xlpm.r))</f>
        <v>no</v>
      </c>
      <c r="AF174" s="3" t="s">
        <v>1309</v>
      </c>
      <c r="AG174" s="3" t="s">
        <v>101</v>
      </c>
      <c r="AI174" s="2" t="str">
        <f>_xlfn.LET(_xlpm.r, _xlfn.XLOOKUP(MappingGuide[[#This Row],[Description]],'[1]Squirrel SQL Export 1'!D:D,'[1]Squirrel SQL Export 1'!Y:Y),IF(_xlpm.r=0,"",_xlpm.r))</f>
        <v>Not used</v>
      </c>
      <c r="AK174" s="2" t="str">
        <f>_xlfn.LET(_xlpm.r, _xlfn.XLOOKUP(MappingGuide[[#This Row],[Description]],'[1]Squirrel SQL Export 1'!D:D,'[1]Squirrel SQL Export 1'!AE:AE),IF(_xlpm.r=0,"",_xlpm.r))</f>
        <v/>
      </c>
      <c r="AL174" s="3" t="str">
        <f>_xlfn.LET(_xlpm.r, _xlfn.XLOOKUP(MappingGuide[[#This Row],[DataType]],'[1]Squirrel SQL Export 1'!E:E,'[1]Squirrel SQL Export 1'!AF:AF),IF(_xlpm.r=0,"",_xlpm.r))</f>
        <v>No</v>
      </c>
      <c r="AM174" s="2" t="str">
        <f>_xlfn.LET(_xlpm.r, _xlfn.XLOOKUP(MappingGuide[[#This Row],[Length]],'[1]Squirrel SQL Export 1'!F:F,'[1]Squirrel SQL Export 1'!AG:AG),IF(_xlpm.r=0,"",_xlpm.r))</f>
        <v/>
      </c>
    </row>
    <row r="175" spans="1:39" x14ac:dyDescent="0.2">
      <c r="A175" s="2">
        <v>172</v>
      </c>
      <c r="B175" s="2" t="s">
        <v>51</v>
      </c>
      <c r="C175" s="2" t="s">
        <v>802</v>
      </c>
      <c r="D175" s="2" t="s">
        <v>803</v>
      </c>
      <c r="E175" s="2" t="s">
        <v>54</v>
      </c>
      <c r="F175" s="2" t="s">
        <v>407</v>
      </c>
      <c r="W175" s="2" t="str">
        <f>_xlfn.LET(_xlpm.r, _xlfn.XLOOKUP(MappingGuide[[#This Row],[Description]],'[1]Squirrel SQL Export 1'!D:D,'[1]Squirrel SQL Export 1'!AC:AC),IF(_xlpm.r=0,"",_xlpm.r))</f>
        <v/>
      </c>
      <c r="AA175" s="2" t="s">
        <v>804</v>
      </c>
      <c r="AC175" s="2"/>
      <c r="AE175" s="2" t="str" cm="1">
        <f t="array" ref="AE175">_xlfn.LET(_xlpm.r, _xlfn.XLOOKUP(MappingGuide[[#This Row],[ColumnName]] &amp; "|" &amp; MappingGuide[[#This Row],[Description]],'[1]Squirrel SQL Export 1'!C:C &amp; "|" &amp;'[1]Squirrel SQL Export 1'!D:D,'[1]Squirrel SQL Export 1'!Z:Z),IF(_xlpm.r=0,"",_xlpm.r))</f>
        <v>no</v>
      </c>
      <c r="AF175" s="3" t="s">
        <v>1309</v>
      </c>
      <c r="AG175" s="3" t="s">
        <v>101</v>
      </c>
      <c r="AI175" s="2" t="str">
        <f>_xlfn.LET(_xlpm.r, _xlfn.XLOOKUP(MappingGuide[[#This Row],[Description]],'[1]Squirrel SQL Export 1'!D:D,'[1]Squirrel SQL Export 1'!Y:Y),IF(_xlpm.r=0,"",_xlpm.r))</f>
        <v>Calculated value inside M3</v>
      </c>
      <c r="AK175" s="2" t="str">
        <f>_xlfn.LET(_xlpm.r, _xlfn.XLOOKUP(MappingGuide[[#This Row],[Description]],'[1]Squirrel SQL Export 1'!D:D,'[1]Squirrel SQL Export 1'!AE:AE),IF(_xlpm.r=0,"",_xlpm.r))</f>
        <v/>
      </c>
      <c r="AL175" s="3" t="str">
        <f>_xlfn.LET(_xlpm.r, _xlfn.XLOOKUP(MappingGuide[[#This Row],[DataType]],'[1]Squirrel SQL Export 1'!E:E,'[1]Squirrel SQL Export 1'!AF:AF),IF(_xlpm.r=0,"",_xlpm.r))</f>
        <v/>
      </c>
      <c r="AM175" s="2" t="str">
        <f>_xlfn.LET(_xlpm.r, _xlfn.XLOOKUP(MappingGuide[[#This Row],[Length]],'[1]Squirrel SQL Export 1'!F:F,'[1]Squirrel SQL Export 1'!AG:AG),IF(_xlpm.r=0,"",_xlpm.r))</f>
        <v/>
      </c>
    </row>
    <row r="176" spans="1:39" x14ac:dyDescent="0.2">
      <c r="A176" s="2">
        <v>173</v>
      </c>
      <c r="B176" s="2" t="s">
        <v>51</v>
      </c>
      <c r="C176" s="2" t="s">
        <v>805</v>
      </c>
      <c r="D176" s="2" t="s">
        <v>806</v>
      </c>
      <c r="E176" s="2" t="s">
        <v>54</v>
      </c>
      <c r="F176" s="2" t="s">
        <v>55</v>
      </c>
      <c r="J176" s="2" t="s">
        <v>71</v>
      </c>
      <c r="K176" s="2" t="s">
        <v>167</v>
      </c>
      <c r="O176" s="2" t="s">
        <v>45</v>
      </c>
      <c r="P176" s="2" t="s">
        <v>168</v>
      </c>
      <c r="Q176" s="2" t="s">
        <v>807</v>
      </c>
      <c r="W176" s="2" t="str">
        <f>_xlfn.LET(_xlpm.r, _xlfn.XLOOKUP(MappingGuide[[#This Row],[Description]],'[1]Squirrel SQL Export 1'!D:D,'[1]Squirrel SQL Export 1'!AC:AC),IF(_xlpm.r=0,"",_xlpm.r))</f>
        <v/>
      </c>
      <c r="AA176" s="2" t="s">
        <v>808</v>
      </c>
      <c r="AC176" s="2"/>
      <c r="AE176" s="2" t="str" cm="1">
        <f t="array" ref="AE176">_xlfn.LET(_xlpm.r, _xlfn.XLOOKUP(MappingGuide[[#This Row],[ColumnName]] &amp; "|" &amp; MappingGuide[[#This Row],[Description]],'[1]Squirrel SQL Export 1'!C:C &amp; "|" &amp;'[1]Squirrel SQL Export 1'!D:D,'[1]Squirrel SQL Export 1'!Z:Z),IF(_xlpm.r=0,"",_xlpm.r))</f>
        <v>yes</v>
      </c>
      <c r="AF176" s="3" t="s">
        <v>1309</v>
      </c>
      <c r="AG176" s="3" t="s">
        <v>101</v>
      </c>
      <c r="AI176" s="2" t="str">
        <f>_xlfn.LET(_xlpm.r, _xlfn.XLOOKUP(MappingGuide[[#This Row],[Description]],'[1]Squirrel SQL Export 1'!D:D,'[1]Squirrel SQL Export 1'!Y:Y),IF(_xlpm.r=0,"",_xlpm.r))</f>
        <v>This is needed</v>
      </c>
      <c r="AK176"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176" s="3" t="str">
        <f>_xlfn.LET(_xlpm.r, _xlfn.XLOOKUP(MappingGuide[[#This Row],[DataType]],'[1]Squirrel SQL Export 1'!E:E,'[1]Squirrel SQL Export 1'!AF:AF),IF(_xlpm.r=0,"",_xlpm.r))</f>
        <v/>
      </c>
      <c r="AM176" s="2" t="str">
        <f>_xlfn.LET(_xlpm.r, _xlfn.XLOOKUP(MappingGuide[[#This Row],[Length]],'[1]Squirrel SQL Export 1'!F:F,'[1]Squirrel SQL Export 1'!AG:AG),IF(_xlpm.r=0,"",_xlpm.r))</f>
        <v/>
      </c>
    </row>
    <row r="177" spans="1:39" x14ac:dyDescent="0.2">
      <c r="A177" s="2">
        <v>174</v>
      </c>
      <c r="B177" s="2" t="s">
        <v>51</v>
      </c>
      <c r="C177" s="2" t="s">
        <v>809</v>
      </c>
      <c r="D177" s="2" t="s">
        <v>399</v>
      </c>
      <c r="E177" s="2" t="s">
        <v>54</v>
      </c>
      <c r="F177" s="2" t="s">
        <v>55</v>
      </c>
      <c r="J177" s="2" t="s">
        <v>71</v>
      </c>
      <c r="K177" s="2" t="s">
        <v>167</v>
      </c>
      <c r="W177" s="2" t="str">
        <f>_xlfn.LET(_xlpm.r, _xlfn.XLOOKUP(MappingGuide[[#This Row],[Description]],'[1]Squirrel SQL Export 1'!D:D,'[1]Squirrel SQL Export 1'!AC:AC),IF(_xlpm.r=0,"",_xlpm.r))</f>
        <v/>
      </c>
      <c r="AA177" s="2" t="s">
        <v>810</v>
      </c>
      <c r="AC177" s="2"/>
      <c r="AE177" s="2" t="str" cm="1">
        <f t="array" ref="AE177">_xlfn.LET(_xlpm.r, _xlfn.XLOOKUP(MappingGuide[[#This Row],[ColumnName]] &amp; "|" &amp; MappingGuide[[#This Row],[Description]],'[1]Squirrel SQL Export 1'!C:C &amp; "|" &amp;'[1]Squirrel SQL Export 1'!D:D,'[1]Squirrel SQL Export 1'!Z:Z),IF(_xlpm.r=0,"",_xlpm.r))</f>
        <v>no</v>
      </c>
      <c r="AF177" s="3" t="s">
        <v>1309</v>
      </c>
      <c r="AG177" s="3" t="s">
        <v>101</v>
      </c>
      <c r="AI177" s="2" t="str">
        <f>_xlfn.LET(_xlpm.r, _xlfn.XLOOKUP(MappingGuide[[#This Row],[Description]],'[1]Squirrel SQL Export 1'!D:D,'[1]Squirrel SQL Export 1'!Y:Y),IF(_xlpm.r=0,"",_xlpm.r))</f>
        <v>Calculated value inside M3</v>
      </c>
      <c r="AK177" s="2" t="str">
        <f>_xlfn.LET(_xlpm.r, _xlfn.XLOOKUP(MappingGuide[[#This Row],[Description]],'[1]Squirrel SQL Export 1'!D:D,'[1]Squirrel SQL Export 1'!AE:AE),IF(_xlpm.r=0,"",_xlpm.r))</f>
        <v/>
      </c>
      <c r="AL177" s="3" t="str">
        <f>_xlfn.LET(_xlpm.r, _xlfn.XLOOKUP(MappingGuide[[#This Row],[DataType]],'[1]Squirrel SQL Export 1'!E:E,'[1]Squirrel SQL Export 1'!AF:AF),IF(_xlpm.r=0,"",_xlpm.r))</f>
        <v/>
      </c>
      <c r="AM177" s="2" t="str">
        <f>_xlfn.LET(_xlpm.r, _xlfn.XLOOKUP(MappingGuide[[#This Row],[Length]],'[1]Squirrel SQL Export 1'!F:F,'[1]Squirrel SQL Export 1'!AG:AG),IF(_xlpm.r=0,"",_xlpm.r))</f>
        <v/>
      </c>
    </row>
    <row r="178" spans="1:39" x14ac:dyDescent="0.2">
      <c r="A178" s="2">
        <v>175</v>
      </c>
      <c r="B178" s="2" t="s">
        <v>51</v>
      </c>
      <c r="C178" s="2" t="s">
        <v>811</v>
      </c>
      <c r="D178" s="2" t="s">
        <v>812</v>
      </c>
      <c r="E178" s="2" t="s">
        <v>54</v>
      </c>
      <c r="F178" s="2" t="s">
        <v>702</v>
      </c>
      <c r="J178" s="2" t="s">
        <v>71</v>
      </c>
      <c r="K178" s="2" t="s">
        <v>72</v>
      </c>
      <c r="O178" s="2" t="s">
        <v>45</v>
      </c>
      <c r="P178" s="2" t="s">
        <v>46</v>
      </c>
      <c r="Q178" s="2" t="s">
        <v>813</v>
      </c>
      <c r="W178" s="2" t="str">
        <f>_xlfn.LET(_xlpm.r, _xlfn.XLOOKUP(MappingGuide[[#This Row],[Description]],'[1]Squirrel SQL Export 1'!D:D,'[1]Squirrel SQL Export 1'!AC:AC),IF(_xlpm.r=0,"",_xlpm.r))</f>
        <v/>
      </c>
      <c r="AA178" s="2" t="s">
        <v>814</v>
      </c>
      <c r="AC178" s="2"/>
      <c r="AE178" s="2" t="str" cm="1">
        <f t="array" ref="AE178">_xlfn.LET(_xlpm.r, _xlfn.XLOOKUP(MappingGuide[[#This Row],[ColumnName]] &amp; "|" &amp; MappingGuide[[#This Row],[Description]],'[1]Squirrel SQL Export 1'!C:C &amp; "|" &amp;'[1]Squirrel SQL Export 1'!D:D,'[1]Squirrel SQL Export 1'!Z:Z),IF(_xlpm.r=0,"",_xlpm.r))</f>
        <v>tbd</v>
      </c>
      <c r="AF178" s="3" t="s">
        <v>1309</v>
      </c>
      <c r="AG178" s="3" t="s">
        <v>101</v>
      </c>
      <c r="AI178" s="2" t="str">
        <f>_xlfn.LET(_xlpm.r, _xlfn.XLOOKUP(MappingGuide[[#This Row],[Description]],'[1]Squirrel SQL Export 1'!D:D,'[1]Squirrel SQL Export 1'!Y:Y),IF(_xlpm.r=0,"",_xlpm.r))</f>
        <v>OKEALO stores the EAN location code of the customer. This is a globally unique identifier issued by the local EAN/GS1 organization and is used to identify a company or physical location in EDI and supply-chain messaging.</v>
      </c>
      <c r="AK178" s="2" t="str">
        <f>_xlfn.LET(_xlpm.r, _xlfn.XLOOKUP(MappingGuide[[#This Row],[Description]],'[1]Squirrel SQL Export 1'!D:D,'[1]Squirrel SQL Export 1'!AE:AE),IF(_xlpm.r=0,"",_xlpm.r))</f>
        <v>This appears to be an M3 only attribute.</v>
      </c>
      <c r="AL178" s="3" t="str">
        <f>_xlfn.LET(_xlpm.r, _xlfn.XLOOKUP(MappingGuide[[#This Row],[DataType]],'[1]Squirrel SQL Export 1'!E:E,'[1]Squirrel SQL Export 1'!AF:AF),IF(_xlpm.r=0,"",_xlpm.r))</f>
        <v/>
      </c>
      <c r="AM178" s="2" t="str">
        <f>_xlfn.LET(_xlpm.r, _xlfn.XLOOKUP(MappingGuide[[#This Row],[Length]],'[1]Squirrel SQL Export 1'!F:F,'[1]Squirrel SQL Export 1'!AG:AG),IF(_xlpm.r=0,"",_xlpm.r))</f>
        <v/>
      </c>
    </row>
    <row r="179" spans="1:39" x14ac:dyDescent="0.2">
      <c r="A179" s="2">
        <v>176</v>
      </c>
      <c r="B179" s="2" t="s">
        <v>51</v>
      </c>
      <c r="C179" s="2" t="s">
        <v>815</v>
      </c>
      <c r="D179" s="2" t="s">
        <v>816</v>
      </c>
      <c r="E179" s="2" t="s">
        <v>43</v>
      </c>
      <c r="F179" s="2" t="s">
        <v>70</v>
      </c>
      <c r="J179" s="2" t="s">
        <v>71</v>
      </c>
      <c r="K179" s="2" t="s">
        <v>72</v>
      </c>
      <c r="O179" s="2" t="s">
        <v>45</v>
      </c>
      <c r="P179" s="2" t="s">
        <v>46</v>
      </c>
      <c r="Q179" s="2" t="s">
        <v>817</v>
      </c>
      <c r="T179" s="2" t="s">
        <v>818</v>
      </c>
      <c r="V179" s="2" t="s">
        <v>819</v>
      </c>
      <c r="W179" s="2" t="str">
        <f>_xlfn.LET(_xlpm.r, _xlfn.XLOOKUP(MappingGuide[[#This Row],[Description]],'[1]Squirrel SQL Export 1'!D:D,'[1]Squirrel SQL Export 1'!AC:AC),IF(_xlpm.r=0,"",_xlpm.r))</f>
        <v>VA</v>
      </c>
      <c r="AA179" s="2" t="s">
        <v>820</v>
      </c>
      <c r="AC179" s="3" t="s">
        <v>821</v>
      </c>
      <c r="AE179" s="2" t="str" cm="1">
        <f t="array" ref="AE179">_xlfn.LET(_xlpm.r, _xlfn.XLOOKUP(MappingGuide[[#This Row],[ColumnName]] &amp; "|" &amp; MappingGuide[[#This Row],[Description]],'[1]Squirrel SQL Export 1'!C:C &amp; "|" &amp;'[1]Squirrel SQL Export 1'!D:D,'[1]Squirrel SQL Export 1'!Z:Z),IF(_xlpm.r=0,"",_xlpm.r))</f>
        <v>yes</v>
      </c>
      <c r="AF179" s="3" t="s">
        <v>1309</v>
      </c>
      <c r="AG179" s="3" t="s">
        <v>48</v>
      </c>
      <c r="AH179" s="2" t="s">
        <v>822</v>
      </c>
      <c r="AI179" s="2" t="str">
        <f>_xlfn.LET(_xlpm.r, _xlfn.XLOOKUP(MappingGuide[[#This Row],[Description]],'[1]Squirrel SQL Export 1'!D:D,'[1]Squirrel SQL Export 1'!Y:Y),IF(_xlpm.r=0,"",_xlpm.r))</f>
        <v>Two-digit code for State</v>
      </c>
      <c r="AK179" s="2" t="str">
        <f>_xlfn.LET(_xlpm.r, _xlfn.XLOOKUP(MappingGuide[[#This Row],[Description]],'[1]Squirrel SQL Export 1'!D:D,'[1]Squirrel SQL Export 1'!AE:AE),IF(_xlpm.r=0,"",_xlpm.r))</f>
        <v>Need to discuss if this is mailing, shipping or billing (That goes for all Address fields).</v>
      </c>
      <c r="AL179" s="3" t="str">
        <f>_xlfn.LET(_xlpm.r, _xlfn.XLOOKUP(MappingGuide[[#This Row],[DataType]],'[1]Squirrel SQL Export 1'!E:E,'[1]Squirrel SQL Export 1'!AF:AF),IF(_xlpm.r=0,"",_xlpm.r))</f>
        <v>No</v>
      </c>
      <c r="AM179" s="2" t="str">
        <f>_xlfn.LET(_xlpm.r, _xlfn.XLOOKUP(MappingGuide[[#This Row],[Length]],'[1]Squirrel SQL Export 1'!F:F,'[1]Squirrel SQL Export 1'!AG:AG),IF(_xlpm.r=0,"",_xlpm.r))</f>
        <v>Status</v>
      </c>
    </row>
    <row r="180" spans="1:39" x14ac:dyDescent="0.2">
      <c r="A180" s="2">
        <v>177</v>
      </c>
      <c r="B180" s="2" t="s">
        <v>51</v>
      </c>
      <c r="C180" s="2" t="s">
        <v>823</v>
      </c>
      <c r="D180" s="2" t="s">
        <v>824</v>
      </c>
      <c r="E180" s="2" t="s">
        <v>54</v>
      </c>
      <c r="F180" s="2" t="s">
        <v>262</v>
      </c>
      <c r="J180" s="2" t="s">
        <v>71</v>
      </c>
      <c r="K180" s="2" t="s">
        <v>825</v>
      </c>
      <c r="O180" s="2" t="s">
        <v>45</v>
      </c>
      <c r="P180" s="2" t="s">
        <v>565</v>
      </c>
      <c r="Q180" s="2" t="s">
        <v>826</v>
      </c>
      <c r="W180" s="2" t="str">
        <f>_xlfn.LET(_xlpm.r, _xlfn.XLOOKUP(MappingGuide[[#This Row],[Description]],'[1]Squirrel SQL Export 1'!D:D,'[1]Squirrel SQL Export 1'!AC:AC),IF(_xlpm.r=0,"",_xlpm.r))</f>
        <v/>
      </c>
      <c r="AA180" s="2" t="s">
        <v>827</v>
      </c>
      <c r="AC180" s="2" t="s">
        <v>828</v>
      </c>
      <c r="AE180" s="2" t="str" cm="1">
        <f t="array" ref="AE180">_xlfn.LET(_xlpm.r, _xlfn.XLOOKUP(MappingGuide[[#This Row],[ColumnName]] &amp; "|" &amp; MappingGuide[[#This Row],[Description]],'[1]Squirrel SQL Export 1'!C:C &amp; "|" &amp;'[1]Squirrel SQL Export 1'!D:D,'[1]Squirrel SQL Export 1'!Z:Z),IF(_xlpm.r=0,"",_xlpm.r))</f>
        <v>no</v>
      </c>
      <c r="AF180" s="3" t="s">
        <v>1309</v>
      </c>
      <c r="AG180" s="3" t="s">
        <v>101</v>
      </c>
      <c r="AI180" s="2" t="str">
        <f>_xlfn.LET(_xlpm.r, _xlfn.XLOOKUP(MappingGuide[[#This Row],[Description]],'[1]Squirrel SQL Export 1'!D:D,'[1]Squirrel SQL Export 1'!Y:Y),IF(_xlpm.r=0,"",_xlpm.r))</f>
        <v>If it should be used a table with codes needs to be maintained in M3 (CRS137)
As discussed with Dee/Angie on 01/07, we will pass default = 999999999. Vertex would take care of taxes calculated correctly</v>
      </c>
      <c r="AK180" s="2" t="str">
        <f>_xlfn.LET(_xlpm.r, _xlfn.XLOOKUP(MappingGuide[[#This Row],[Description]],'[1]Squirrel SQL Export 1'!D:D,'[1]Squirrel SQL Export 1'!AE:AE),IF(_xlpm.r=0,"",_xlpm.r))</f>
        <v>This appears to be an M3 only attribute.</v>
      </c>
      <c r="AL180" s="3" t="str">
        <f>_xlfn.LET(_xlpm.r, _xlfn.XLOOKUP(MappingGuide[[#This Row],[DataType]],'[1]Squirrel SQL Export 1'!E:E,'[1]Squirrel SQL Export 1'!AF:AF),IF(_xlpm.r=0,"",_xlpm.r))</f>
        <v/>
      </c>
      <c r="AM180" s="2" t="str">
        <f>_xlfn.LET(_xlpm.r, _xlfn.XLOOKUP(MappingGuide[[#This Row],[Length]],'[1]Squirrel SQL Export 1'!F:F,'[1]Squirrel SQL Export 1'!AG:AG),IF(_xlpm.r=0,"",_xlpm.r))</f>
        <v/>
      </c>
    </row>
    <row r="181" spans="1:39" x14ac:dyDescent="0.2">
      <c r="A181" s="2">
        <v>178</v>
      </c>
      <c r="B181" s="2" t="s">
        <v>51</v>
      </c>
      <c r="C181" s="2" t="s">
        <v>829</v>
      </c>
      <c r="D181" s="2" t="s">
        <v>830</v>
      </c>
      <c r="E181" s="2" t="s">
        <v>43</v>
      </c>
      <c r="F181" s="2" t="s">
        <v>77</v>
      </c>
      <c r="J181" s="2" t="s">
        <v>71</v>
      </c>
      <c r="K181" s="2" t="s">
        <v>825</v>
      </c>
      <c r="O181" s="2" t="s">
        <v>45</v>
      </c>
      <c r="P181" s="2" t="s">
        <v>168</v>
      </c>
      <c r="Q181" s="2" t="s">
        <v>831</v>
      </c>
      <c r="W181" s="2" t="str">
        <f>_xlfn.LET(_xlpm.r, _xlfn.XLOOKUP(MappingGuide[[#This Row],[Description]],'[1]Squirrel SQL Export 1'!D:D,'[1]Squirrel SQL Export 1'!AC:AC),IF(_xlpm.r=0,"",_xlpm.r))</f>
        <v/>
      </c>
      <c r="AA181" s="2" t="s">
        <v>832</v>
      </c>
      <c r="AC181" s="2"/>
      <c r="AE181" s="2" t="str" cm="1">
        <f t="array" ref="AE181">_xlfn.LET(_xlpm.r, _xlfn.XLOOKUP(MappingGuide[[#This Row],[ColumnName]] &amp; "|" &amp; MappingGuide[[#This Row],[Description]],'[1]Squirrel SQL Export 1'!C:C &amp; "|" &amp;'[1]Squirrel SQL Export 1'!D:D,'[1]Squirrel SQL Export 1'!Z:Z),IF(_xlpm.r=0,"",_xlpm.r))</f>
        <v>no</v>
      </c>
      <c r="AF181" s="3" t="s">
        <v>1309</v>
      </c>
      <c r="AG181" s="3" t="s">
        <v>101</v>
      </c>
      <c r="AI181" s="2" t="str">
        <f>_xlfn.LET(_xlpm.r, _xlfn.XLOOKUP(MappingGuide[[#This Row],[Description]],'[1]Squirrel SQL Export 1'!D:D,'[1]Squirrel SQL Export 1'!Y:Y),IF(_xlpm.r=0,"",_xlpm.r))</f>
        <v>Vertex to manage</v>
      </c>
      <c r="AK181" s="2" t="str">
        <f>_xlfn.LET(_xlpm.r, _xlfn.XLOOKUP(MappingGuide[[#This Row],[Description]],'[1]Squirrel SQL Export 1'!D:D,'[1]Squirrel SQL Export 1'!AE:AE),IF(_xlpm.r=0,"",_xlpm.r))</f>
        <v/>
      </c>
      <c r="AL181" s="3" t="str">
        <f>_xlfn.LET(_xlpm.r, _xlfn.XLOOKUP(MappingGuide[[#This Row],[DataType]],'[1]Squirrel SQL Export 1'!E:E,'[1]Squirrel SQL Export 1'!AF:AF),IF(_xlpm.r=0,"",_xlpm.r))</f>
        <v>No</v>
      </c>
      <c r="AM181" s="2" t="str">
        <f>_xlfn.LET(_xlpm.r, _xlfn.XLOOKUP(MappingGuide[[#This Row],[Length]],'[1]Squirrel SQL Export 1'!F:F,'[1]Squirrel SQL Export 1'!AG:AG),IF(_xlpm.r=0,"",_xlpm.r))</f>
        <v/>
      </c>
    </row>
    <row r="182" spans="1:39" x14ac:dyDescent="0.2">
      <c r="A182" s="2">
        <v>179</v>
      </c>
      <c r="B182" s="2" t="s">
        <v>51</v>
      </c>
      <c r="C182" s="2" t="s">
        <v>833</v>
      </c>
      <c r="D182" s="2" t="s">
        <v>834</v>
      </c>
      <c r="E182" s="2" t="s">
        <v>54</v>
      </c>
      <c r="F182" s="2" t="s">
        <v>407</v>
      </c>
      <c r="J182" s="2" t="s">
        <v>71</v>
      </c>
      <c r="K182" s="2" t="s">
        <v>825</v>
      </c>
      <c r="O182" s="2" t="s">
        <v>45</v>
      </c>
      <c r="P182" s="2" t="s">
        <v>168</v>
      </c>
      <c r="Q182" s="2" t="s">
        <v>835</v>
      </c>
      <c r="W182" s="2" t="str">
        <f>_xlfn.LET(_xlpm.r, _xlfn.XLOOKUP(MappingGuide[[#This Row],[Description]],'[1]Squirrel SQL Export 1'!D:D,'[1]Squirrel SQL Export 1'!AC:AC),IF(_xlpm.r=0,"",_xlpm.r))</f>
        <v/>
      </c>
      <c r="AA182" s="2" t="s">
        <v>836</v>
      </c>
      <c r="AC182" s="2"/>
      <c r="AE182" s="2" t="str" cm="1">
        <f t="array" ref="AE182">_xlfn.LET(_xlpm.r, _xlfn.XLOOKUP(MappingGuide[[#This Row],[ColumnName]] &amp; "|" &amp; MappingGuide[[#This Row],[Description]],'[1]Squirrel SQL Export 1'!C:C &amp; "|" &amp;'[1]Squirrel SQL Export 1'!D:D,'[1]Squirrel SQL Export 1'!Z:Z),IF(_xlpm.r=0,"",_xlpm.r))</f>
        <v>no</v>
      </c>
      <c r="AF182" s="3" t="s">
        <v>1309</v>
      </c>
      <c r="AG182" s="3" t="s">
        <v>101</v>
      </c>
      <c r="AI182" s="2" t="str">
        <f>_xlfn.LET(_xlpm.r, _xlfn.XLOOKUP(MappingGuide[[#This Row],[Description]],'[1]Squirrel SQL Export 1'!D:D,'[1]Squirrel SQL Export 1'!Y:Y),IF(_xlpm.r=0,"",_xlpm.r))</f>
        <v>Vertex to manage</v>
      </c>
      <c r="AK182" s="2" t="str">
        <f>_xlfn.LET(_xlpm.r, _xlfn.XLOOKUP(MappingGuide[[#This Row],[Description]],'[1]Squirrel SQL Export 1'!D:D,'[1]Squirrel SQL Export 1'!AE:AE),IF(_xlpm.r=0,"",_xlpm.r))</f>
        <v/>
      </c>
      <c r="AL182" s="3" t="str">
        <f>_xlfn.LET(_xlpm.r, _xlfn.XLOOKUP(MappingGuide[[#This Row],[DataType]],'[1]Squirrel SQL Export 1'!E:E,'[1]Squirrel SQL Export 1'!AF:AF),IF(_xlpm.r=0,"",_xlpm.r))</f>
        <v/>
      </c>
      <c r="AM182" s="2" t="str">
        <f>_xlfn.LET(_xlpm.r, _xlfn.XLOOKUP(MappingGuide[[#This Row],[Length]],'[1]Squirrel SQL Export 1'!F:F,'[1]Squirrel SQL Export 1'!AG:AG),IF(_xlpm.r=0,"",_xlpm.r))</f>
        <v/>
      </c>
    </row>
    <row r="183" spans="1:39" x14ac:dyDescent="0.2">
      <c r="A183" s="2">
        <v>180</v>
      </c>
      <c r="B183" s="2" t="s">
        <v>51</v>
      </c>
      <c r="C183" s="2" t="s">
        <v>837</v>
      </c>
      <c r="D183" s="2" t="s">
        <v>838</v>
      </c>
      <c r="E183" s="2" t="s">
        <v>43</v>
      </c>
      <c r="F183" s="2" t="s">
        <v>839</v>
      </c>
      <c r="J183" s="2" t="s">
        <v>71</v>
      </c>
      <c r="K183" s="2" t="s">
        <v>825</v>
      </c>
      <c r="O183" s="2" t="s">
        <v>45</v>
      </c>
      <c r="P183" s="2" t="s">
        <v>168</v>
      </c>
      <c r="Q183" s="2" t="s">
        <v>840</v>
      </c>
      <c r="W183" s="2" t="str">
        <f>_xlfn.LET(_xlpm.r, _xlfn.XLOOKUP(MappingGuide[[#This Row],[Description]],'[1]Squirrel SQL Export 1'!D:D,'[1]Squirrel SQL Export 1'!AC:AC),IF(_xlpm.r=0,"",_xlpm.r))</f>
        <v/>
      </c>
      <c r="AA183" s="2" t="s">
        <v>841</v>
      </c>
      <c r="AC183" s="2"/>
      <c r="AE183" s="2" t="str" cm="1">
        <f t="array" ref="AE183">_xlfn.LET(_xlpm.r, _xlfn.XLOOKUP(MappingGuide[[#This Row],[ColumnName]] &amp; "|" &amp; MappingGuide[[#This Row],[Description]],'[1]Squirrel SQL Export 1'!C:C &amp; "|" &amp;'[1]Squirrel SQL Export 1'!D:D,'[1]Squirrel SQL Export 1'!Z:Z),IF(_xlpm.r=0,"",_xlpm.r))</f>
        <v>no</v>
      </c>
      <c r="AF183" s="3" t="s">
        <v>1309</v>
      </c>
      <c r="AG183" s="3" t="s">
        <v>101</v>
      </c>
      <c r="AI183" s="2" t="str">
        <f>_xlfn.LET(_xlpm.r, _xlfn.XLOOKUP(MappingGuide[[#This Row],[Description]],'[1]Squirrel SQL Export 1'!D:D,'[1]Squirrel SQL Export 1'!Y:Y),IF(_xlpm.r=0,"",_xlpm.r))</f>
        <v>Not used</v>
      </c>
      <c r="AK183" s="2" t="str">
        <f>_xlfn.LET(_xlpm.r, _xlfn.XLOOKUP(MappingGuide[[#This Row],[Description]],'[1]Squirrel SQL Export 1'!D:D,'[1]Squirrel SQL Export 1'!AE:AE),IF(_xlpm.r=0,"",_xlpm.r))</f>
        <v/>
      </c>
      <c r="AL183" s="3" t="str">
        <f>_xlfn.LET(_xlpm.r, _xlfn.XLOOKUP(MappingGuide[[#This Row],[DataType]],'[1]Squirrel SQL Export 1'!E:E,'[1]Squirrel SQL Export 1'!AF:AF),IF(_xlpm.r=0,"",_xlpm.r))</f>
        <v>No</v>
      </c>
      <c r="AM183" s="2" t="str">
        <f>_xlfn.LET(_xlpm.r, _xlfn.XLOOKUP(MappingGuide[[#This Row],[Length]],'[1]Squirrel SQL Export 1'!F:F,'[1]Squirrel SQL Export 1'!AG:AG),IF(_xlpm.r=0,"",_xlpm.r))</f>
        <v/>
      </c>
    </row>
    <row r="184" spans="1:39" x14ac:dyDescent="0.2">
      <c r="A184" s="2">
        <v>181</v>
      </c>
      <c r="B184" s="2" t="s">
        <v>51</v>
      </c>
      <c r="C184" s="2" t="s">
        <v>842</v>
      </c>
      <c r="D184" s="2" t="s">
        <v>843</v>
      </c>
      <c r="E184" s="2" t="s">
        <v>43</v>
      </c>
      <c r="F184" s="2" t="s">
        <v>242</v>
      </c>
      <c r="J184" s="2" t="s">
        <v>71</v>
      </c>
      <c r="K184" s="2" t="s">
        <v>825</v>
      </c>
      <c r="O184" s="2" t="s">
        <v>45</v>
      </c>
      <c r="P184" s="2" t="s">
        <v>168</v>
      </c>
      <c r="Q184" s="2" t="s">
        <v>844</v>
      </c>
      <c r="W184" s="2" t="str">
        <f>_xlfn.LET(_xlpm.r, _xlfn.XLOOKUP(MappingGuide[[#This Row],[Description]],'[1]Squirrel SQL Export 1'!D:D,'[1]Squirrel SQL Export 1'!AC:AC),IF(_xlpm.r=0,"",_xlpm.r))</f>
        <v/>
      </c>
      <c r="AA184" s="2" t="s">
        <v>845</v>
      </c>
      <c r="AC184" s="2"/>
      <c r="AE184" s="2" t="str" cm="1">
        <f t="array" ref="AE184">_xlfn.LET(_xlpm.r, _xlfn.XLOOKUP(MappingGuide[[#This Row],[ColumnName]] &amp; "|" &amp; MappingGuide[[#This Row],[Description]],'[1]Squirrel SQL Export 1'!C:C &amp; "|" &amp;'[1]Squirrel SQL Export 1'!D:D,'[1]Squirrel SQL Export 1'!Z:Z),IF(_xlpm.r=0,"",_xlpm.r))</f>
        <v>no</v>
      </c>
      <c r="AF184" s="3" t="s">
        <v>1309</v>
      </c>
      <c r="AG184" s="3" t="s">
        <v>101</v>
      </c>
      <c r="AI184" s="2" t="str">
        <f>_xlfn.LET(_xlpm.r, _xlfn.XLOOKUP(MappingGuide[[#This Row],[Description]],'[1]Squirrel SQL Export 1'!D:D,'[1]Squirrel SQL Export 1'!Y:Y),IF(_xlpm.r=0,"",_xlpm.r))</f>
        <v>Not used</v>
      </c>
      <c r="AK184" s="2" t="str">
        <f>_xlfn.LET(_xlpm.r, _xlfn.XLOOKUP(MappingGuide[[#This Row],[Description]],'[1]Squirrel SQL Export 1'!D:D,'[1]Squirrel SQL Export 1'!AE:AE),IF(_xlpm.r=0,"",_xlpm.r))</f>
        <v/>
      </c>
      <c r="AL184" s="3" t="str">
        <f>_xlfn.LET(_xlpm.r, _xlfn.XLOOKUP(MappingGuide[[#This Row],[DataType]],'[1]Squirrel SQL Export 1'!E:E,'[1]Squirrel SQL Export 1'!AF:AF),IF(_xlpm.r=0,"",_xlpm.r))</f>
        <v>No</v>
      </c>
      <c r="AM184" s="2" t="str">
        <f>_xlfn.LET(_xlpm.r, _xlfn.XLOOKUP(MappingGuide[[#This Row],[Length]],'[1]Squirrel SQL Export 1'!F:F,'[1]Squirrel SQL Export 1'!AG:AG),IF(_xlpm.r=0,"",_xlpm.r))</f>
        <v/>
      </c>
    </row>
    <row r="185" spans="1:39" x14ac:dyDescent="0.2">
      <c r="A185" s="2">
        <v>182</v>
      </c>
      <c r="B185" s="2" t="s">
        <v>51</v>
      </c>
      <c r="C185" s="2" t="s">
        <v>846</v>
      </c>
      <c r="D185" s="2" t="s">
        <v>847</v>
      </c>
      <c r="E185" s="2" t="s">
        <v>43</v>
      </c>
      <c r="F185" s="2" t="s">
        <v>848</v>
      </c>
      <c r="J185" s="2" t="s">
        <v>71</v>
      </c>
      <c r="K185" s="2" t="s">
        <v>825</v>
      </c>
      <c r="O185" s="2" t="s">
        <v>45</v>
      </c>
      <c r="P185" s="2" t="s">
        <v>168</v>
      </c>
      <c r="Q185" s="2" t="s">
        <v>849</v>
      </c>
      <c r="W185" s="2" t="str">
        <f>_xlfn.LET(_xlpm.r, _xlfn.XLOOKUP(MappingGuide[[#This Row],[Description]],'[1]Squirrel SQL Export 1'!D:D,'[1]Squirrel SQL Export 1'!AC:AC),IF(_xlpm.r=0,"",_xlpm.r))</f>
        <v/>
      </c>
      <c r="AA185" s="2" t="s">
        <v>850</v>
      </c>
      <c r="AC185" s="2"/>
      <c r="AE185" s="2" t="str" cm="1">
        <f t="array" ref="AE185">_xlfn.LET(_xlpm.r, _xlfn.XLOOKUP(MappingGuide[[#This Row],[ColumnName]] &amp; "|" &amp; MappingGuide[[#This Row],[Description]],'[1]Squirrel SQL Export 1'!C:C &amp; "|" &amp;'[1]Squirrel SQL Export 1'!D:D,'[1]Squirrel SQL Export 1'!Z:Z),IF(_xlpm.r=0,"",_xlpm.r))</f>
        <v>no</v>
      </c>
      <c r="AF185" s="3" t="s">
        <v>1309</v>
      </c>
      <c r="AG185" s="3" t="s">
        <v>101</v>
      </c>
      <c r="AI185" s="2" t="str">
        <f>_xlfn.LET(_xlpm.r, _xlfn.XLOOKUP(MappingGuide[[#This Row],[Description]],'[1]Squirrel SQL Export 1'!D:D,'[1]Squirrel SQL Export 1'!Y:Y),IF(_xlpm.r=0,"",_xlpm.r))</f>
        <v>Not used</v>
      </c>
      <c r="AK185" s="2" t="str">
        <f>_xlfn.LET(_xlpm.r, _xlfn.XLOOKUP(MappingGuide[[#This Row],[Description]],'[1]Squirrel SQL Export 1'!D:D,'[1]Squirrel SQL Export 1'!AE:AE),IF(_xlpm.r=0,"",_xlpm.r))</f>
        <v/>
      </c>
      <c r="AL185" s="3" t="str">
        <f>_xlfn.LET(_xlpm.r, _xlfn.XLOOKUP(MappingGuide[[#This Row],[DataType]],'[1]Squirrel SQL Export 1'!E:E,'[1]Squirrel SQL Export 1'!AF:AF),IF(_xlpm.r=0,"",_xlpm.r))</f>
        <v>No</v>
      </c>
      <c r="AM185" s="2" t="str">
        <f>_xlfn.LET(_xlpm.r, _xlfn.XLOOKUP(MappingGuide[[#This Row],[Length]],'[1]Squirrel SQL Export 1'!F:F,'[1]Squirrel SQL Export 1'!AG:AG),IF(_xlpm.r=0,"",_xlpm.r))</f>
        <v/>
      </c>
    </row>
    <row r="186" spans="1:39" x14ac:dyDescent="0.2">
      <c r="A186" s="2">
        <v>183</v>
      </c>
      <c r="B186" s="2" t="s">
        <v>51</v>
      </c>
      <c r="C186" s="2" t="s">
        <v>851</v>
      </c>
      <c r="D186" s="2" t="s">
        <v>852</v>
      </c>
      <c r="E186" s="2" t="s">
        <v>43</v>
      </c>
      <c r="F186" s="2" t="s">
        <v>152</v>
      </c>
      <c r="J186" s="2" t="s">
        <v>71</v>
      </c>
      <c r="K186" s="2" t="s">
        <v>825</v>
      </c>
      <c r="O186" s="2" t="s">
        <v>45</v>
      </c>
      <c r="P186" s="2" t="s">
        <v>168</v>
      </c>
      <c r="Q186" s="2" t="s">
        <v>853</v>
      </c>
      <c r="W186" s="2" t="str">
        <f>_xlfn.LET(_xlpm.r, _xlfn.XLOOKUP(MappingGuide[[#This Row],[Description]],'[1]Squirrel SQL Export 1'!D:D,'[1]Squirrel SQL Export 1'!AC:AC),IF(_xlpm.r=0,"",_xlpm.r))</f>
        <v/>
      </c>
      <c r="AA186" s="2" t="s">
        <v>854</v>
      </c>
      <c r="AC186" s="2"/>
      <c r="AE186" s="2" t="str" cm="1">
        <f t="array" ref="AE186">_xlfn.LET(_xlpm.r, _xlfn.XLOOKUP(MappingGuide[[#This Row],[ColumnName]] &amp; "|" &amp; MappingGuide[[#This Row],[Description]],'[1]Squirrel SQL Export 1'!C:C &amp; "|" &amp;'[1]Squirrel SQL Export 1'!D:D,'[1]Squirrel SQL Export 1'!Z:Z),IF(_xlpm.r=0,"",_xlpm.r))</f>
        <v>no</v>
      </c>
      <c r="AF186" s="3" t="s">
        <v>1309</v>
      </c>
      <c r="AG186" s="3" t="s">
        <v>101</v>
      </c>
      <c r="AI186" s="2" t="str">
        <f>_xlfn.LET(_xlpm.r, _xlfn.XLOOKUP(MappingGuide[[#This Row],[Description]],'[1]Squirrel SQL Export 1'!D:D,'[1]Squirrel SQL Export 1'!Y:Y),IF(_xlpm.r=0,"",_xlpm.r))</f>
        <v>Not used</v>
      </c>
      <c r="AK186" s="2" t="str">
        <f>_xlfn.LET(_xlpm.r, _xlfn.XLOOKUP(MappingGuide[[#This Row],[Description]],'[1]Squirrel SQL Export 1'!D:D,'[1]Squirrel SQL Export 1'!AE:AE),IF(_xlpm.r=0,"",_xlpm.r))</f>
        <v/>
      </c>
      <c r="AL186" s="3" t="str">
        <f>_xlfn.LET(_xlpm.r, _xlfn.XLOOKUP(MappingGuide[[#This Row],[DataType]],'[1]Squirrel SQL Export 1'!E:E,'[1]Squirrel SQL Export 1'!AF:AF),IF(_xlpm.r=0,"",_xlpm.r))</f>
        <v>No</v>
      </c>
      <c r="AM186" s="2" t="str">
        <f>_xlfn.LET(_xlpm.r, _xlfn.XLOOKUP(MappingGuide[[#This Row],[Length]],'[1]Squirrel SQL Export 1'!F:F,'[1]Squirrel SQL Export 1'!AG:AG),IF(_xlpm.r=0,"",_xlpm.r))</f>
        <v>MDR NUMBER</v>
      </c>
    </row>
    <row r="187" spans="1:39" x14ac:dyDescent="0.2">
      <c r="A187" s="2">
        <v>184</v>
      </c>
      <c r="B187" s="2" t="s">
        <v>51</v>
      </c>
      <c r="C187" s="2" t="s">
        <v>855</v>
      </c>
      <c r="D187" s="2" t="s">
        <v>843</v>
      </c>
      <c r="E187" s="2" t="s">
        <v>43</v>
      </c>
      <c r="F187" s="2" t="s">
        <v>856</v>
      </c>
      <c r="J187" s="2" t="s">
        <v>71</v>
      </c>
      <c r="K187" s="2" t="s">
        <v>825</v>
      </c>
      <c r="W187" s="2" t="str">
        <f>_xlfn.LET(_xlpm.r, _xlfn.XLOOKUP(MappingGuide[[#This Row],[Description]],'[1]Squirrel SQL Export 1'!D:D,'[1]Squirrel SQL Export 1'!AC:AC),IF(_xlpm.r=0,"",_xlpm.r))</f>
        <v/>
      </c>
      <c r="AA187" s="2" t="s">
        <v>857</v>
      </c>
      <c r="AC187" s="2"/>
      <c r="AE187" s="2" t="str" cm="1">
        <f t="array" ref="AE187">_xlfn.LET(_xlpm.r, _xlfn.XLOOKUP(MappingGuide[[#This Row],[ColumnName]] &amp; "|" &amp; MappingGuide[[#This Row],[Description]],'[1]Squirrel SQL Export 1'!C:C &amp; "|" &amp;'[1]Squirrel SQL Export 1'!D:D,'[1]Squirrel SQL Export 1'!Z:Z),IF(_xlpm.r=0,"",_xlpm.r))</f>
        <v>no</v>
      </c>
      <c r="AF187" s="3" t="s">
        <v>1309</v>
      </c>
      <c r="AG187" s="3" t="s">
        <v>101</v>
      </c>
      <c r="AI187" s="2" t="str">
        <f>_xlfn.LET(_xlpm.r, _xlfn.XLOOKUP(MappingGuide[[#This Row],[Description]],'[1]Squirrel SQL Export 1'!D:D,'[1]Squirrel SQL Export 1'!Y:Y),IF(_xlpm.r=0,"",_xlpm.r))</f>
        <v>Not used</v>
      </c>
      <c r="AK187" s="2" t="str">
        <f>_xlfn.LET(_xlpm.r, _xlfn.XLOOKUP(MappingGuide[[#This Row],[Description]],'[1]Squirrel SQL Export 1'!D:D,'[1]Squirrel SQL Export 1'!AE:AE),IF(_xlpm.r=0,"",_xlpm.r))</f>
        <v/>
      </c>
      <c r="AL187" s="3" t="str">
        <f>_xlfn.LET(_xlpm.r, _xlfn.XLOOKUP(MappingGuide[[#This Row],[DataType]],'[1]Squirrel SQL Export 1'!E:E,'[1]Squirrel SQL Export 1'!AF:AF),IF(_xlpm.r=0,"",_xlpm.r))</f>
        <v>No</v>
      </c>
      <c r="AM187" s="2" t="str">
        <f>_xlfn.LET(_xlpm.r, _xlfn.XLOOKUP(MappingGuide[[#This Row],[Length]],'[1]Squirrel SQL Export 1'!F:F,'[1]Squirrel SQL Export 1'!AG:AG),IF(_xlpm.r=0,"",_xlpm.r))</f>
        <v/>
      </c>
    </row>
    <row r="188" spans="1:39" x14ac:dyDescent="0.2">
      <c r="A188" s="2">
        <v>185</v>
      </c>
      <c r="B188" s="2" t="s">
        <v>51</v>
      </c>
      <c r="C188" s="2" t="s">
        <v>858</v>
      </c>
      <c r="D188" s="2" t="s">
        <v>859</v>
      </c>
      <c r="E188" s="2" t="s">
        <v>43</v>
      </c>
      <c r="F188" s="2" t="s">
        <v>848</v>
      </c>
      <c r="J188" s="2" t="s">
        <v>71</v>
      </c>
      <c r="K188" s="2" t="s">
        <v>825</v>
      </c>
      <c r="O188" s="2" t="s">
        <v>45</v>
      </c>
      <c r="P188" s="2" t="s">
        <v>168</v>
      </c>
      <c r="Q188" s="2" t="s">
        <v>860</v>
      </c>
      <c r="W188" s="2" t="str">
        <f>_xlfn.LET(_xlpm.r, _xlfn.XLOOKUP(MappingGuide[[#This Row],[Description]],'[1]Squirrel SQL Export 1'!D:D,'[1]Squirrel SQL Export 1'!AC:AC),IF(_xlpm.r=0,"",_xlpm.r))</f>
        <v/>
      </c>
      <c r="AA188" s="2" t="s">
        <v>861</v>
      </c>
      <c r="AC188" s="2"/>
      <c r="AE188" s="2" t="str" cm="1">
        <f t="array" ref="AE188">_xlfn.LET(_xlpm.r, _xlfn.XLOOKUP(MappingGuide[[#This Row],[ColumnName]] &amp; "|" &amp; MappingGuide[[#This Row],[Description]],'[1]Squirrel SQL Export 1'!C:C &amp; "|" &amp;'[1]Squirrel SQL Export 1'!D:D,'[1]Squirrel SQL Export 1'!Z:Z),IF(_xlpm.r=0,"",_xlpm.r))</f>
        <v>no</v>
      </c>
      <c r="AF188" s="3" t="s">
        <v>1309</v>
      </c>
      <c r="AG188" s="3" t="s">
        <v>101</v>
      </c>
      <c r="AI188" s="2" t="str">
        <f>_xlfn.LET(_xlpm.r, _xlfn.XLOOKUP(MappingGuide[[#This Row],[Description]],'[1]Squirrel SQL Export 1'!D:D,'[1]Squirrel SQL Export 1'!Y:Y),IF(_xlpm.r=0,"",_xlpm.r))</f>
        <v>Not used</v>
      </c>
      <c r="AK188" s="2" t="str">
        <f>_xlfn.LET(_xlpm.r, _xlfn.XLOOKUP(MappingGuide[[#This Row],[Description]],'[1]Squirrel SQL Export 1'!D:D,'[1]Squirrel SQL Export 1'!AE:AE),IF(_xlpm.r=0,"",_xlpm.r))</f>
        <v/>
      </c>
      <c r="AL188" s="3" t="str">
        <f>_xlfn.LET(_xlpm.r, _xlfn.XLOOKUP(MappingGuide[[#This Row],[DataType]],'[1]Squirrel SQL Export 1'!E:E,'[1]Squirrel SQL Export 1'!AF:AF),IF(_xlpm.r=0,"",_xlpm.r))</f>
        <v>No</v>
      </c>
      <c r="AM188" s="2" t="str">
        <f>_xlfn.LET(_xlpm.r, _xlfn.XLOOKUP(MappingGuide[[#This Row],[Length]],'[1]Squirrel SQL Export 1'!F:F,'[1]Squirrel SQL Export 1'!AG:AG),IF(_xlpm.r=0,"",_xlpm.r))</f>
        <v/>
      </c>
    </row>
    <row r="189" spans="1:39" x14ac:dyDescent="0.2">
      <c r="A189" s="2">
        <v>186</v>
      </c>
      <c r="B189" s="2" t="s">
        <v>51</v>
      </c>
      <c r="C189" s="2" t="s">
        <v>862</v>
      </c>
      <c r="D189" s="2" t="s">
        <v>863</v>
      </c>
      <c r="E189" s="2" t="s">
        <v>43</v>
      </c>
      <c r="F189" s="2" t="s">
        <v>848</v>
      </c>
      <c r="J189" s="2" t="s">
        <v>71</v>
      </c>
      <c r="K189" s="2" t="s">
        <v>825</v>
      </c>
      <c r="W189" s="2" t="str">
        <f>_xlfn.LET(_xlpm.r, _xlfn.XLOOKUP(MappingGuide[[#This Row],[Description]],'[1]Squirrel SQL Export 1'!D:D,'[1]Squirrel SQL Export 1'!AC:AC),IF(_xlpm.r=0,"",_xlpm.r))</f>
        <v/>
      </c>
      <c r="AA189" s="2" t="s">
        <v>864</v>
      </c>
      <c r="AC189" s="2"/>
      <c r="AE189" s="2" t="str" cm="1">
        <f t="array" ref="AE189">_xlfn.LET(_xlpm.r, _xlfn.XLOOKUP(MappingGuide[[#This Row],[ColumnName]] &amp; "|" &amp; MappingGuide[[#This Row],[Description]],'[1]Squirrel SQL Export 1'!C:C &amp; "|" &amp;'[1]Squirrel SQL Export 1'!D:D,'[1]Squirrel SQL Export 1'!Z:Z),IF(_xlpm.r=0,"",_xlpm.r))</f>
        <v>no</v>
      </c>
      <c r="AF189" s="3" t="s">
        <v>1309</v>
      </c>
      <c r="AG189" s="3" t="s">
        <v>101</v>
      </c>
      <c r="AI189" s="2" t="str">
        <f>_xlfn.LET(_xlpm.r, _xlfn.XLOOKUP(MappingGuide[[#This Row],[Description]],'[1]Squirrel SQL Export 1'!D:D,'[1]Squirrel SQL Export 1'!Y:Y),IF(_xlpm.r=0,"",_xlpm.r))</f>
        <v>Not used</v>
      </c>
      <c r="AK189" s="2" t="str">
        <f>_xlfn.LET(_xlpm.r, _xlfn.XLOOKUP(MappingGuide[[#This Row],[Description]],'[1]Squirrel SQL Export 1'!D:D,'[1]Squirrel SQL Export 1'!AE:AE),IF(_xlpm.r=0,"",_xlpm.r))</f>
        <v/>
      </c>
      <c r="AL189" s="3" t="str">
        <f>_xlfn.LET(_xlpm.r, _xlfn.XLOOKUP(MappingGuide[[#This Row],[DataType]],'[1]Squirrel SQL Export 1'!E:E,'[1]Squirrel SQL Export 1'!AF:AF),IF(_xlpm.r=0,"",_xlpm.r))</f>
        <v>No</v>
      </c>
      <c r="AM189" s="2" t="str">
        <f>_xlfn.LET(_xlpm.r, _xlfn.XLOOKUP(MappingGuide[[#This Row],[Length]],'[1]Squirrel SQL Export 1'!F:F,'[1]Squirrel SQL Export 1'!AG:AG),IF(_xlpm.r=0,"",_xlpm.r))</f>
        <v/>
      </c>
    </row>
    <row r="190" spans="1:39" x14ac:dyDescent="0.2">
      <c r="A190" s="2">
        <v>187</v>
      </c>
      <c r="B190" s="2" t="s">
        <v>51</v>
      </c>
      <c r="C190" s="2" t="s">
        <v>865</v>
      </c>
      <c r="D190" s="2" t="s">
        <v>866</v>
      </c>
      <c r="E190" s="2" t="s">
        <v>54</v>
      </c>
      <c r="F190" s="2" t="s">
        <v>44</v>
      </c>
      <c r="J190" s="2" t="s">
        <v>71</v>
      </c>
      <c r="K190" s="2" t="s">
        <v>825</v>
      </c>
      <c r="O190" s="2" t="s">
        <v>45</v>
      </c>
      <c r="P190" s="2" t="s">
        <v>168</v>
      </c>
      <c r="Q190" s="2" t="s">
        <v>867</v>
      </c>
      <c r="W190" s="2" t="str">
        <f>_xlfn.LET(_xlpm.r, _xlfn.XLOOKUP(MappingGuide[[#This Row],[Description]],'[1]Squirrel SQL Export 1'!D:D,'[1]Squirrel SQL Export 1'!AC:AC),IF(_xlpm.r=0,"",_xlpm.r))</f>
        <v/>
      </c>
      <c r="AA190" s="2" t="s">
        <v>868</v>
      </c>
      <c r="AC190" s="2"/>
      <c r="AE190" s="2" t="str" cm="1">
        <f t="array" ref="AE190">_xlfn.LET(_xlpm.r, _xlfn.XLOOKUP(MappingGuide[[#This Row],[ColumnName]] &amp; "|" &amp; MappingGuide[[#This Row],[Description]],'[1]Squirrel SQL Export 1'!C:C &amp; "|" &amp;'[1]Squirrel SQL Export 1'!D:D,'[1]Squirrel SQL Export 1'!Z:Z),IF(_xlpm.r=0,"",_xlpm.r))</f>
        <v>no</v>
      </c>
      <c r="AF190" s="3" t="s">
        <v>1309</v>
      </c>
      <c r="AG190" s="3" t="s">
        <v>101</v>
      </c>
      <c r="AI190" s="2" t="str">
        <f>_xlfn.LET(_xlpm.r, _xlfn.XLOOKUP(MappingGuide[[#This Row],[Description]],'[1]Squirrel SQL Export 1'!D:D,'[1]Squirrel SQL Export 1'!Y:Y),IF(_xlpm.r=0,"",_xlpm.r))</f>
        <v>Not used</v>
      </c>
      <c r="AK190" s="2" t="str">
        <f>_xlfn.LET(_xlpm.r, _xlfn.XLOOKUP(MappingGuide[[#This Row],[Description]],'[1]Squirrel SQL Export 1'!D:D,'[1]Squirrel SQL Export 1'!AE:AE),IF(_xlpm.r=0,"",_xlpm.r))</f>
        <v/>
      </c>
      <c r="AL190" s="3" t="str">
        <f>_xlfn.LET(_xlpm.r, _xlfn.XLOOKUP(MappingGuide[[#This Row],[DataType]],'[1]Squirrel SQL Export 1'!E:E,'[1]Squirrel SQL Export 1'!AF:AF),IF(_xlpm.r=0,"",_xlpm.r))</f>
        <v/>
      </c>
      <c r="AM190" s="2" t="str">
        <f>_xlfn.LET(_xlpm.r, _xlfn.XLOOKUP(MappingGuide[[#This Row],[Length]],'[1]Squirrel SQL Export 1'!F:F,'[1]Squirrel SQL Export 1'!AG:AG),IF(_xlpm.r=0,"",_xlpm.r))</f>
        <v/>
      </c>
    </row>
    <row r="191" spans="1:39" x14ac:dyDescent="0.2">
      <c r="A191" s="2">
        <v>188</v>
      </c>
      <c r="B191" s="2" t="s">
        <v>51</v>
      </c>
      <c r="C191" s="2" t="s">
        <v>869</v>
      </c>
      <c r="D191" s="2" t="s">
        <v>870</v>
      </c>
      <c r="E191" s="2" t="s">
        <v>54</v>
      </c>
      <c r="F191" s="2" t="s">
        <v>44</v>
      </c>
      <c r="J191" s="2" t="s">
        <v>71</v>
      </c>
      <c r="K191" s="2" t="s">
        <v>825</v>
      </c>
      <c r="O191" s="2" t="s">
        <v>45</v>
      </c>
      <c r="P191" s="2" t="s">
        <v>168</v>
      </c>
      <c r="Q191" s="2" t="s">
        <v>871</v>
      </c>
      <c r="W191" s="2" t="str">
        <f>_xlfn.LET(_xlpm.r, _xlfn.XLOOKUP(MappingGuide[[#This Row],[Description]],'[1]Squirrel SQL Export 1'!D:D,'[1]Squirrel SQL Export 1'!AC:AC),IF(_xlpm.r=0,"",_xlpm.r))</f>
        <v/>
      </c>
      <c r="AA191" s="2" t="s">
        <v>872</v>
      </c>
      <c r="AC191" s="2"/>
      <c r="AE191" s="2" t="str" cm="1">
        <f t="array" ref="AE191">_xlfn.LET(_xlpm.r, _xlfn.XLOOKUP(MappingGuide[[#This Row],[ColumnName]] &amp; "|" &amp; MappingGuide[[#This Row],[Description]],'[1]Squirrel SQL Export 1'!C:C &amp; "|" &amp;'[1]Squirrel SQL Export 1'!D:D,'[1]Squirrel SQL Export 1'!Z:Z),IF(_xlpm.r=0,"",_xlpm.r))</f>
        <v>no</v>
      </c>
      <c r="AF191" s="3" t="s">
        <v>1309</v>
      </c>
      <c r="AG191" s="3" t="s">
        <v>101</v>
      </c>
      <c r="AI191" s="2" t="str">
        <f>_xlfn.LET(_xlpm.r, _xlfn.XLOOKUP(MappingGuide[[#This Row],[Description]],'[1]Squirrel SQL Export 1'!D:D,'[1]Squirrel SQL Export 1'!Y:Y),IF(_xlpm.r=0,"",_xlpm.r))</f>
        <v>Not used</v>
      </c>
      <c r="AK191" s="2" t="str">
        <f>_xlfn.LET(_xlpm.r, _xlfn.XLOOKUP(MappingGuide[[#This Row],[Description]],'[1]Squirrel SQL Export 1'!D:D,'[1]Squirrel SQL Export 1'!AE:AE),IF(_xlpm.r=0,"",_xlpm.r))</f>
        <v/>
      </c>
      <c r="AL191" s="3" t="str">
        <f>_xlfn.LET(_xlpm.r, _xlfn.XLOOKUP(MappingGuide[[#This Row],[DataType]],'[1]Squirrel SQL Export 1'!E:E,'[1]Squirrel SQL Export 1'!AF:AF),IF(_xlpm.r=0,"",_xlpm.r))</f>
        <v/>
      </c>
      <c r="AM191" s="2" t="str">
        <f>_xlfn.LET(_xlpm.r, _xlfn.XLOOKUP(MappingGuide[[#This Row],[Length]],'[1]Squirrel SQL Export 1'!F:F,'[1]Squirrel SQL Export 1'!AG:AG),IF(_xlpm.r=0,"",_xlpm.r))</f>
        <v/>
      </c>
    </row>
    <row r="192" spans="1:39" x14ac:dyDescent="0.2">
      <c r="A192" s="2">
        <v>189</v>
      </c>
      <c r="B192" s="2" t="s">
        <v>51</v>
      </c>
      <c r="C192" s="2" t="s">
        <v>873</v>
      </c>
      <c r="D192" s="2" t="s">
        <v>874</v>
      </c>
      <c r="E192" s="2" t="s">
        <v>54</v>
      </c>
      <c r="F192" s="2" t="s">
        <v>96</v>
      </c>
      <c r="J192" s="2" t="s">
        <v>71</v>
      </c>
      <c r="K192" s="2" t="s">
        <v>825</v>
      </c>
      <c r="W192" s="2" t="str">
        <f>_xlfn.LET(_xlpm.r, _xlfn.XLOOKUP(MappingGuide[[#This Row],[Description]],'[1]Squirrel SQL Export 1'!D:D,'[1]Squirrel SQL Export 1'!AC:AC),IF(_xlpm.r=0,"",_xlpm.r))</f>
        <v/>
      </c>
      <c r="AA192" s="2" t="s">
        <v>875</v>
      </c>
      <c r="AB192" s="2" t="s">
        <v>876</v>
      </c>
      <c r="AC192" s="2"/>
      <c r="AE192" s="2" t="str" cm="1">
        <f t="array" ref="AE192">_xlfn.LET(_xlpm.r, _xlfn.XLOOKUP(MappingGuide[[#This Row],[ColumnName]] &amp; "|" &amp; MappingGuide[[#This Row],[Description]],'[1]Squirrel SQL Export 1'!C:C &amp; "|" &amp;'[1]Squirrel SQL Export 1'!D:D,'[1]Squirrel SQL Export 1'!Z:Z),IF(_xlpm.r=0,"",_xlpm.r))</f>
        <v>no</v>
      </c>
      <c r="AF192" s="3" t="s">
        <v>1309</v>
      </c>
      <c r="AG192" s="3" t="s">
        <v>101</v>
      </c>
      <c r="AI192" s="2" t="str">
        <f>_xlfn.LET(_xlpm.r, _xlfn.XLOOKUP(MappingGuide[[#This Row],[Description]],'[1]Squirrel SQL Export 1'!D:D,'[1]Squirrel SQL Export 1'!Y:Y),IF(_xlpm.r=0,"",_xlpm.r))</f>
        <v>Not used</v>
      </c>
      <c r="AK192" s="2" t="str">
        <f>_xlfn.LET(_xlpm.r, _xlfn.XLOOKUP(MappingGuide[[#This Row],[Description]],'[1]Squirrel SQL Export 1'!D:D,'[1]Squirrel SQL Export 1'!AE:AE),IF(_xlpm.r=0,"",_xlpm.r))</f>
        <v/>
      </c>
      <c r="AL192" s="3" t="str">
        <f>_xlfn.LET(_xlpm.r, _xlfn.XLOOKUP(MappingGuide[[#This Row],[DataType]],'[1]Squirrel SQL Export 1'!E:E,'[1]Squirrel SQL Export 1'!AF:AF),IF(_xlpm.r=0,"",_xlpm.r))</f>
        <v/>
      </c>
      <c r="AM192" s="2" t="str">
        <f>_xlfn.LET(_xlpm.r, _xlfn.XLOOKUP(MappingGuide[[#This Row],[Length]],'[1]Squirrel SQL Export 1'!F:F,'[1]Squirrel SQL Export 1'!AG:AG),IF(_xlpm.r=0,"",_xlpm.r))</f>
        <v>Type</v>
      </c>
    </row>
    <row r="193" spans="1:39" x14ac:dyDescent="0.2">
      <c r="A193" s="2">
        <v>190</v>
      </c>
      <c r="B193" s="2" t="s">
        <v>51</v>
      </c>
      <c r="C193" s="2" t="s">
        <v>877</v>
      </c>
      <c r="D193" s="2" t="s">
        <v>878</v>
      </c>
      <c r="E193" s="2" t="s">
        <v>54</v>
      </c>
      <c r="F193" s="2" t="s">
        <v>407</v>
      </c>
      <c r="J193" s="2" t="s">
        <v>71</v>
      </c>
      <c r="K193" s="2" t="s">
        <v>825</v>
      </c>
      <c r="W193" s="2" t="str">
        <f>_xlfn.LET(_xlpm.r, _xlfn.XLOOKUP(MappingGuide[[#This Row],[Description]],'[1]Squirrel SQL Export 1'!D:D,'[1]Squirrel SQL Export 1'!AC:AC),IF(_xlpm.r=0,"",_xlpm.r))</f>
        <v/>
      </c>
      <c r="AA193" s="2" t="s">
        <v>879</v>
      </c>
      <c r="AC193" s="2"/>
      <c r="AE193" s="2" t="str" cm="1">
        <f t="array" ref="AE193">_xlfn.LET(_xlpm.r, _xlfn.XLOOKUP(MappingGuide[[#This Row],[ColumnName]] &amp; "|" &amp; MappingGuide[[#This Row],[Description]],'[1]Squirrel SQL Export 1'!C:C &amp; "|" &amp;'[1]Squirrel SQL Export 1'!D:D,'[1]Squirrel SQL Export 1'!Z:Z),IF(_xlpm.r=0,"",_xlpm.r))</f>
        <v>no</v>
      </c>
      <c r="AF193" s="3" t="s">
        <v>1309</v>
      </c>
      <c r="AG193" s="3" t="s">
        <v>101</v>
      </c>
      <c r="AI193" s="2" t="str">
        <f>_xlfn.LET(_xlpm.r, _xlfn.XLOOKUP(MappingGuide[[#This Row],[Description]],'[1]Squirrel SQL Export 1'!D:D,'[1]Squirrel SQL Export 1'!Y:Y),IF(_xlpm.r=0,"",_xlpm.r))</f>
        <v>Not used</v>
      </c>
      <c r="AK193" s="2" t="str">
        <f>_xlfn.LET(_xlpm.r, _xlfn.XLOOKUP(MappingGuide[[#This Row],[Description]],'[1]Squirrel SQL Export 1'!D:D,'[1]Squirrel SQL Export 1'!AE:AE),IF(_xlpm.r=0,"",_xlpm.r))</f>
        <v/>
      </c>
      <c r="AL193" s="3" t="str">
        <f>_xlfn.LET(_xlpm.r, _xlfn.XLOOKUP(MappingGuide[[#This Row],[DataType]],'[1]Squirrel SQL Export 1'!E:E,'[1]Squirrel SQL Export 1'!AF:AF),IF(_xlpm.r=0,"",_xlpm.r))</f>
        <v/>
      </c>
      <c r="AM193" s="2" t="str">
        <f>_xlfn.LET(_xlpm.r, _xlfn.XLOOKUP(MappingGuide[[#This Row],[Length]],'[1]Squirrel SQL Export 1'!F:F,'[1]Squirrel SQL Export 1'!AG:AG),IF(_xlpm.r=0,"",_xlpm.r))</f>
        <v/>
      </c>
    </row>
    <row r="194" spans="1:39" x14ac:dyDescent="0.2">
      <c r="A194" s="2">
        <v>191</v>
      </c>
      <c r="B194" s="2" t="s">
        <v>51</v>
      </c>
      <c r="C194" s="2" t="s">
        <v>880</v>
      </c>
      <c r="D194" s="2" t="s">
        <v>881</v>
      </c>
      <c r="E194" s="2" t="s">
        <v>54</v>
      </c>
      <c r="F194" s="2" t="s">
        <v>44</v>
      </c>
      <c r="J194" s="2" t="s">
        <v>71</v>
      </c>
      <c r="K194" s="2" t="s">
        <v>825</v>
      </c>
      <c r="W194" s="2" t="str">
        <f>_xlfn.LET(_xlpm.r, _xlfn.XLOOKUP(MappingGuide[[#This Row],[Description]],'[1]Squirrel SQL Export 1'!D:D,'[1]Squirrel SQL Export 1'!AC:AC),IF(_xlpm.r=0,"",_xlpm.r))</f>
        <v/>
      </c>
      <c r="AA194" s="2" t="s">
        <v>882</v>
      </c>
      <c r="AC194" s="2"/>
      <c r="AE194" s="2" t="str" cm="1">
        <f t="array" ref="AE194">_xlfn.LET(_xlpm.r, _xlfn.XLOOKUP(MappingGuide[[#This Row],[ColumnName]] &amp; "|" &amp; MappingGuide[[#This Row],[Description]],'[1]Squirrel SQL Export 1'!C:C &amp; "|" &amp;'[1]Squirrel SQL Export 1'!D:D,'[1]Squirrel SQL Export 1'!Z:Z),IF(_xlpm.r=0,"",_xlpm.r))</f>
        <v>no</v>
      </c>
      <c r="AF194" s="3" t="s">
        <v>1309</v>
      </c>
      <c r="AG194" s="3" t="s">
        <v>101</v>
      </c>
      <c r="AI194" s="2" t="str">
        <f>_xlfn.LET(_xlpm.r, _xlfn.XLOOKUP(MappingGuide[[#This Row],[Description]],'[1]Squirrel SQL Export 1'!D:D,'[1]Squirrel SQL Export 1'!Y:Y),IF(_xlpm.r=0,"",_xlpm.r))</f>
        <v>Not used</v>
      </c>
      <c r="AK194" s="2" t="str">
        <f>_xlfn.LET(_xlpm.r, _xlfn.XLOOKUP(MappingGuide[[#This Row],[Description]],'[1]Squirrel SQL Export 1'!D:D,'[1]Squirrel SQL Export 1'!AE:AE),IF(_xlpm.r=0,"",_xlpm.r))</f>
        <v/>
      </c>
      <c r="AL194" s="3" t="str">
        <f>_xlfn.LET(_xlpm.r, _xlfn.XLOOKUP(MappingGuide[[#This Row],[DataType]],'[1]Squirrel SQL Export 1'!E:E,'[1]Squirrel SQL Export 1'!AF:AF),IF(_xlpm.r=0,"",_xlpm.r))</f>
        <v/>
      </c>
      <c r="AM194" s="2" t="str">
        <f>_xlfn.LET(_xlpm.r, _xlfn.XLOOKUP(MappingGuide[[#This Row],[Length]],'[1]Squirrel SQL Export 1'!F:F,'[1]Squirrel SQL Export 1'!AG:AG),IF(_xlpm.r=0,"",_xlpm.r))</f>
        <v/>
      </c>
    </row>
    <row r="195" spans="1:39" x14ac:dyDescent="0.2">
      <c r="A195" s="2">
        <v>192</v>
      </c>
      <c r="B195" s="2" t="s">
        <v>51</v>
      </c>
      <c r="C195" s="2" t="s">
        <v>883</v>
      </c>
      <c r="D195" s="2" t="s">
        <v>884</v>
      </c>
      <c r="E195" s="2" t="s">
        <v>43</v>
      </c>
      <c r="F195" s="2" t="s">
        <v>44</v>
      </c>
      <c r="J195" s="2" t="s">
        <v>71</v>
      </c>
      <c r="K195" s="2" t="s">
        <v>167</v>
      </c>
      <c r="L195" s="2" t="s">
        <v>48</v>
      </c>
      <c r="O195" s="2" t="s">
        <v>45</v>
      </c>
      <c r="P195" s="2" t="s">
        <v>88</v>
      </c>
      <c r="Q195" s="2" t="s">
        <v>885</v>
      </c>
      <c r="W195" s="2" t="str">
        <f>_xlfn.LET(_xlpm.r, _xlfn.XLOOKUP(MappingGuide[[#This Row],[Description]],'[1]Squirrel SQL Export 1'!D:D,'[1]Squirrel SQL Export 1'!AC:AC),IF(_xlpm.r=0,"",_xlpm.r))</f>
        <v/>
      </c>
      <c r="AA195" s="2" t="s">
        <v>886</v>
      </c>
      <c r="AC195" s="2"/>
      <c r="AE195" s="2" t="str" cm="1">
        <f t="array" ref="AE195">_xlfn.LET(_xlpm.r, _xlfn.XLOOKUP(MappingGuide[[#This Row],[ColumnName]] &amp; "|" &amp; MappingGuide[[#This Row],[Description]],'[1]Squirrel SQL Export 1'!C:C &amp; "|" &amp;'[1]Squirrel SQL Export 1'!D:D,'[1]Squirrel SQL Export 1'!Z:Z),IF(_xlpm.r=0,"",_xlpm.r))</f>
        <v>yes</v>
      </c>
      <c r="AF195" s="3" t="s">
        <v>1309</v>
      </c>
      <c r="AG195" s="3" t="s">
        <v>101</v>
      </c>
      <c r="AI195" s="2" t="str">
        <f>_xlfn.LET(_xlpm.r, _xlfn.XLOOKUP(MappingGuide[[#This Row],[Description]],'[1]Squirrel SQL Export 1'!D:D,'[1]Squirrel SQL Export 1'!Y:Y),IF(_xlpm.r=0,"",_xlpm.r))</f>
        <v>Specific customer number to who where the invoice will be sent (Address on invoice)
If customer is also the payer and invoice receiver this field doesn't need to be populated.</v>
      </c>
      <c r="AK195" s="2" t="str">
        <f>_xlfn.LET(_xlpm.r, _xlfn.XLOOKUP(MappingGuide[[#This Row],[Description]],'[1]Squirrel SQL Export 1'!D:D,'[1]Squirrel SQL Export 1'!AE:AE),IF(_xlpm.r=0,"",_xlpm.r))</f>
        <v>Further discussion is needed, we will need to confirm that the Data Steward entering this information will know the Customer.</v>
      </c>
      <c r="AL195" s="3" t="str">
        <f>_xlfn.LET(_xlpm.r, _xlfn.XLOOKUP(MappingGuide[[#This Row],[DataType]],'[1]Squirrel SQL Export 1'!E:E,'[1]Squirrel SQL Export 1'!AF:AF),IF(_xlpm.r=0,"",_xlpm.r))</f>
        <v>No</v>
      </c>
      <c r="AM195" s="2" t="str">
        <f>_xlfn.LET(_xlpm.r, _xlfn.XLOOKUP(MappingGuide[[#This Row],[Length]],'[1]Squirrel SQL Export 1'!F:F,'[1]Squirrel SQL Export 1'!AG:AG),IF(_xlpm.r=0,"",_xlpm.r))</f>
        <v/>
      </c>
    </row>
    <row r="196" spans="1:39" x14ac:dyDescent="0.2">
      <c r="A196" s="2">
        <v>193</v>
      </c>
      <c r="B196" s="2" t="s">
        <v>51</v>
      </c>
      <c r="C196" s="2" t="s">
        <v>887</v>
      </c>
      <c r="D196" s="2" t="s">
        <v>888</v>
      </c>
      <c r="E196" s="2" t="s">
        <v>43</v>
      </c>
      <c r="F196" s="2" t="s">
        <v>889</v>
      </c>
      <c r="O196" s="2" t="s">
        <v>45</v>
      </c>
      <c r="P196" s="2" t="s">
        <v>46</v>
      </c>
      <c r="Q196" s="2" t="s">
        <v>890</v>
      </c>
      <c r="T196" s="2" t="s">
        <v>81</v>
      </c>
      <c r="W196" s="2" t="str">
        <f>_xlfn.LET(_xlpm.r, _xlfn.XLOOKUP(MappingGuide[[#This Row],[Description]],'[1]Squirrel SQL Export 1'!D:D,'[1]Squirrel SQL Export 1'!AC:AC),IF(_xlpm.r=0,"",_xlpm.r))</f>
        <v/>
      </c>
      <c r="AC196" s="2"/>
      <c r="AE196" s="2" t="str" cm="1">
        <f t="array" ref="AE196">_xlfn.LET(_xlpm.r, _xlfn.XLOOKUP(MappingGuide[[#This Row],[ColumnName]] &amp; "|" &amp; MappingGuide[[#This Row],[Description]],'[1]Squirrel SQL Export 1'!C:C &amp; "|" &amp;'[1]Squirrel SQL Export 1'!D:D,'[1]Squirrel SQL Export 1'!Z:Z),IF(_xlpm.r=0,"",_xlpm.r))</f>
        <v>no</v>
      </c>
      <c r="AF196" s="3" t="s">
        <v>1309</v>
      </c>
      <c r="AG196" s="3" t="s">
        <v>101</v>
      </c>
      <c r="AI196" s="2" t="str">
        <f>_xlfn.LET(_xlpm.r, _xlfn.XLOOKUP(MappingGuide[[#This Row],[Description]],'[1]Squirrel SQL Export 1'!D:D,'[1]Squirrel SQL Export 1'!Y:Y),IF(_xlpm.r=0,"",_xlpm.r))</f>
        <v>Not used</v>
      </c>
      <c r="AK196" s="2" t="str">
        <f>_xlfn.LET(_xlpm.r, _xlfn.XLOOKUP(MappingGuide[[#This Row],[Description]],'[1]Squirrel SQL Export 1'!D:D,'[1]Squirrel SQL Export 1'!AE:AE),IF(_xlpm.r=0,"",_xlpm.r))</f>
        <v/>
      </c>
      <c r="AL196" s="3" t="str">
        <f>_xlfn.LET(_xlpm.r, _xlfn.XLOOKUP(MappingGuide[[#This Row],[DataType]],'[1]Squirrel SQL Export 1'!E:E,'[1]Squirrel SQL Export 1'!AF:AF),IF(_xlpm.r=0,"",_xlpm.r))</f>
        <v>No</v>
      </c>
      <c r="AM196" s="2" t="str">
        <f>_xlfn.LET(_xlpm.r, _xlfn.XLOOKUP(MappingGuide[[#This Row],[Length]],'[1]Squirrel SQL Export 1'!F:F,'[1]Squirrel SQL Export 1'!AG:AG),IF(_xlpm.r=0,"",_xlpm.r))</f>
        <v/>
      </c>
    </row>
    <row r="197" spans="1:39" x14ac:dyDescent="0.2">
      <c r="A197" s="2">
        <v>194</v>
      </c>
      <c r="B197" s="2" t="s">
        <v>51</v>
      </c>
      <c r="C197" s="2" t="s">
        <v>891</v>
      </c>
      <c r="D197" s="2" t="s">
        <v>892</v>
      </c>
      <c r="E197" s="2" t="s">
        <v>43</v>
      </c>
      <c r="F197" s="2" t="s">
        <v>44</v>
      </c>
      <c r="J197" s="2" t="s">
        <v>71</v>
      </c>
      <c r="K197" s="2" t="s">
        <v>87</v>
      </c>
      <c r="O197" s="2" t="s">
        <v>45</v>
      </c>
      <c r="P197" s="2" t="s">
        <v>88</v>
      </c>
      <c r="Q197" s="2" t="s">
        <v>893</v>
      </c>
      <c r="W197" s="2" t="str">
        <f>_xlfn.LET(_xlpm.r, _xlfn.XLOOKUP(MappingGuide[[#This Row],[Description]],'[1]Squirrel SQL Export 1'!D:D,'[1]Squirrel SQL Export 1'!AC:AC),IF(_xlpm.r=0,"",_xlpm.r))</f>
        <v/>
      </c>
      <c r="AA197" s="2" t="s">
        <v>894</v>
      </c>
      <c r="AC197" s="2" t="s">
        <v>895</v>
      </c>
      <c r="AE197" s="2" t="str" cm="1">
        <f t="array" ref="AE197">_xlfn.LET(_xlpm.r, _xlfn.XLOOKUP(MappingGuide[[#This Row],[ColumnName]] &amp; "|" &amp; MappingGuide[[#This Row],[Description]],'[1]Squirrel SQL Export 1'!C:C &amp; "|" &amp;'[1]Squirrel SQL Export 1'!D:D,'[1]Squirrel SQL Export 1'!Z:Z),IF(_xlpm.r=0,"",_xlpm.r))</f>
        <v>no</v>
      </c>
      <c r="AF197" s="3" t="s">
        <v>1309</v>
      </c>
      <c r="AG197" s="3" t="s">
        <v>101</v>
      </c>
      <c r="AI197" s="2" t="str">
        <f>_xlfn.LET(_xlpm.r, _xlfn.XLOOKUP(MappingGuide[[#This Row],[Description]],'[1]Squirrel SQL Export 1'!D:D,'[1]Squirrel SQL Export 1'!Y:Y),IF(_xlpm.r=0,"",_xlpm.r))</f>
        <v>This is needed in M3, but we will set value using template</v>
      </c>
      <c r="AK197" s="2" t="str">
        <f>_xlfn.LET(_xlpm.r, _xlfn.XLOOKUP(MappingGuide[[#This Row],[Description]],'[1]Squirrel SQL Export 1'!D:D,'[1]Squirrel SQL Export 1'!AE:AE),IF(_xlpm.r=0,"",_xlpm.r))</f>
        <v/>
      </c>
      <c r="AL197" s="3" t="str">
        <f>_xlfn.LET(_xlpm.r, _xlfn.XLOOKUP(MappingGuide[[#This Row],[DataType]],'[1]Squirrel SQL Export 1'!E:E,'[1]Squirrel SQL Export 1'!AF:AF),IF(_xlpm.r=0,"",_xlpm.r))</f>
        <v>No</v>
      </c>
      <c r="AM197" s="2" t="str">
        <f>_xlfn.LET(_xlpm.r, _xlfn.XLOOKUP(MappingGuide[[#This Row],[Length]],'[1]Squirrel SQL Export 1'!F:F,'[1]Squirrel SQL Export 1'!AG:AG),IF(_xlpm.r=0,"",_xlpm.r))</f>
        <v/>
      </c>
    </row>
    <row r="198" spans="1:39" x14ac:dyDescent="0.2">
      <c r="A198" s="2">
        <v>195</v>
      </c>
      <c r="B198" s="2" t="s">
        <v>51</v>
      </c>
      <c r="C198" s="2" t="s">
        <v>896</v>
      </c>
      <c r="D198" s="2" t="s">
        <v>897</v>
      </c>
      <c r="E198" s="2" t="s">
        <v>43</v>
      </c>
      <c r="F198" s="2" t="s">
        <v>55</v>
      </c>
      <c r="J198" s="2" t="s">
        <v>71</v>
      </c>
      <c r="K198" s="2" t="s">
        <v>825</v>
      </c>
      <c r="O198" s="2" t="s">
        <v>45</v>
      </c>
      <c r="P198" s="2" t="s">
        <v>168</v>
      </c>
      <c r="Q198" s="2" t="s">
        <v>898</v>
      </c>
      <c r="W198" s="2" t="str">
        <f>_xlfn.LET(_xlpm.r, _xlfn.XLOOKUP(MappingGuide[[#This Row],[Description]],'[1]Squirrel SQL Export 1'!D:D,'[1]Squirrel SQL Export 1'!AC:AC),IF(_xlpm.r=0,"",_xlpm.r))</f>
        <v>TAX</v>
      </c>
      <c r="AA198" s="2" t="s">
        <v>899</v>
      </c>
      <c r="AC198" s="3" t="s">
        <v>900</v>
      </c>
      <c r="AE198" s="2" t="str" cm="1">
        <f t="array" ref="AE198">_xlfn.LET(_xlpm.r, _xlfn.XLOOKUP(MappingGuide[[#This Row],[ColumnName]] &amp; "|" &amp; MappingGuide[[#This Row],[Description]],'[1]Squirrel SQL Export 1'!C:C &amp; "|" &amp;'[1]Squirrel SQL Export 1'!D:D,'[1]Squirrel SQL Export 1'!Z:Z),IF(_xlpm.r=0,"",_xlpm.r))</f>
        <v>no</v>
      </c>
      <c r="AF198" s="3" t="s">
        <v>1309</v>
      </c>
      <c r="AG198" s="3" t="s">
        <v>48</v>
      </c>
      <c r="AH198" s="2" t="s">
        <v>901</v>
      </c>
      <c r="AI198" s="2" t="str">
        <f>_xlfn.LET(_xlpm.r, _xlfn.XLOOKUP(MappingGuide[[#This Row],[Description]],'[1]Squirrel SQL Export 1'!D:D,'[1]Squirrel SQL Export 1'!Y:Y),IF(_xlpm.r=0,"",_xlpm.r))</f>
        <v>As discussed with Dee/Angie on 01/07, this value is needed. By default, we would add TAX for every customer. However if the customer is tax-exempt customer, then use should enter the code = NOT or EXE (Exact code to be confirmed by Athar)</v>
      </c>
      <c r="AK198" s="2" t="str">
        <f>_xlfn.LET(_xlpm.r, _xlfn.XLOOKUP(MappingGuide[[#This Row],[Description]],'[1]Squirrel SQL Export 1'!D:D,'[1]Squirrel SQL Export 1'!AE:AE),IF(_xlpm.r=0,"",_xlpm.r))</f>
        <v/>
      </c>
      <c r="AL198" s="3" t="str">
        <f>_xlfn.LET(_xlpm.r, _xlfn.XLOOKUP(MappingGuide[[#This Row],[DataType]],'[1]Squirrel SQL Export 1'!E:E,'[1]Squirrel SQL Export 1'!AF:AF),IF(_xlpm.r=0,"",_xlpm.r))</f>
        <v>No</v>
      </c>
      <c r="AM198" s="2" t="str">
        <f>_xlfn.LET(_xlpm.r, _xlfn.XLOOKUP(MappingGuide[[#This Row],[Length]],'[1]Squirrel SQL Export 1'!F:F,'[1]Squirrel SQL Export 1'!AG:AG),IF(_xlpm.r=0,"",_xlpm.r))</f>
        <v/>
      </c>
    </row>
    <row r="199" spans="1:39" x14ac:dyDescent="0.2">
      <c r="A199" s="2">
        <v>196</v>
      </c>
      <c r="B199" s="2" t="s">
        <v>51</v>
      </c>
      <c r="C199" s="2" t="s">
        <v>902</v>
      </c>
      <c r="D199" s="2" t="s">
        <v>903</v>
      </c>
      <c r="E199" s="2" t="s">
        <v>43</v>
      </c>
      <c r="F199" s="2" t="s">
        <v>139</v>
      </c>
      <c r="J199" s="2" t="s">
        <v>71</v>
      </c>
      <c r="K199" s="2" t="s">
        <v>72</v>
      </c>
      <c r="O199" s="2" t="s">
        <v>45</v>
      </c>
      <c r="P199" s="2" t="s">
        <v>565</v>
      </c>
      <c r="Q199" s="2" t="s">
        <v>904</v>
      </c>
      <c r="W199" s="2" t="str">
        <f>_xlfn.LET(_xlpm.r, _xlfn.XLOOKUP(MappingGuide[[#This Row],[Description]],'[1]Squirrel SQL Export 1'!D:D,'[1]Squirrel SQL Export 1'!AC:AC),IF(_xlpm.r=0,"",_xlpm.r))</f>
        <v/>
      </c>
      <c r="AA199" s="2" t="s">
        <v>905</v>
      </c>
      <c r="AC199" s="2" t="s">
        <v>906</v>
      </c>
      <c r="AE199" s="2" t="str" cm="1">
        <f t="array" ref="AE199">_xlfn.LET(_xlpm.r, _xlfn.XLOOKUP(MappingGuide[[#This Row],[ColumnName]] &amp; "|" &amp; MappingGuide[[#This Row],[Description]],'[1]Squirrel SQL Export 1'!C:C &amp; "|" &amp;'[1]Squirrel SQL Export 1'!D:D,'[1]Squirrel SQL Export 1'!Z:Z),IF(_xlpm.r=0,"",_xlpm.r))</f>
        <v>no</v>
      </c>
      <c r="AF199" s="3" t="s">
        <v>1309</v>
      </c>
      <c r="AG199" s="3" t="s">
        <v>101</v>
      </c>
      <c r="AI199" s="2" t="str">
        <f>_xlfn.LET(_xlpm.r, _xlfn.XLOOKUP(MappingGuide[[#This Row],[Description]],'[1]Squirrel SQL Export 1'!D:D,'[1]Squirrel SQL Export 1'!Y:Y),IF(_xlpm.r=0,"",_xlpm.r))</f>
        <v>Not used</v>
      </c>
      <c r="AK199" s="2" t="str">
        <f>_xlfn.LET(_xlpm.r, _xlfn.XLOOKUP(MappingGuide[[#This Row],[Description]],'[1]Squirrel SQL Export 1'!D:D,'[1]Squirrel SQL Export 1'!AE:AE),IF(_xlpm.r=0,"",_xlpm.r))</f>
        <v/>
      </c>
      <c r="AL199" s="3" t="str">
        <f>_xlfn.LET(_xlpm.r, _xlfn.XLOOKUP(MappingGuide[[#This Row],[DataType]],'[1]Squirrel SQL Export 1'!E:E,'[1]Squirrel SQL Export 1'!AF:AF),IF(_xlpm.r=0,"",_xlpm.r))</f>
        <v>No</v>
      </c>
      <c r="AM199" s="2" t="str">
        <f>_xlfn.LET(_xlpm.r, _xlfn.XLOOKUP(MappingGuide[[#This Row],[Length]],'[1]Squirrel SQL Export 1'!F:F,'[1]Squirrel SQL Export 1'!AG:AG),IF(_xlpm.r=0,"",_xlpm.r))</f>
        <v/>
      </c>
    </row>
    <row r="200" spans="1:39" x14ac:dyDescent="0.2">
      <c r="A200" s="2">
        <v>197</v>
      </c>
      <c r="B200" s="2" t="s">
        <v>51</v>
      </c>
      <c r="C200" s="2" t="s">
        <v>907</v>
      </c>
      <c r="D200" s="2" t="s">
        <v>908</v>
      </c>
      <c r="E200" s="2" t="s">
        <v>54</v>
      </c>
      <c r="F200" s="2" t="s">
        <v>96</v>
      </c>
      <c r="J200" s="2" t="s">
        <v>71</v>
      </c>
      <c r="K200" s="2" t="s">
        <v>87</v>
      </c>
      <c r="O200" s="2" t="s">
        <v>45</v>
      </c>
      <c r="P200" s="2" t="s">
        <v>88</v>
      </c>
      <c r="Q200" s="2" t="s">
        <v>909</v>
      </c>
      <c r="W200" s="2" t="str">
        <f>_xlfn.LET(_xlpm.r, _xlfn.XLOOKUP(MappingGuide[[#This Row],[Description]],'[1]Squirrel SQL Export 1'!D:D,'[1]Squirrel SQL Export 1'!AC:AC),IF(_xlpm.r=0,"",_xlpm.r))</f>
        <v/>
      </c>
      <c r="AA200" s="2" t="s">
        <v>910</v>
      </c>
      <c r="AC200" s="2"/>
      <c r="AE200" s="2" t="str" cm="1">
        <f t="array" ref="AE200">_xlfn.LET(_xlpm.r, _xlfn.XLOOKUP(MappingGuide[[#This Row],[ColumnName]] &amp; "|" &amp; MappingGuide[[#This Row],[Description]],'[1]Squirrel SQL Export 1'!C:C &amp; "|" &amp;'[1]Squirrel SQL Export 1'!D:D,'[1]Squirrel SQL Export 1'!Z:Z),IF(_xlpm.r=0,"",_xlpm.r))</f>
        <v>no</v>
      </c>
      <c r="AF200" s="3" t="s">
        <v>1309</v>
      </c>
      <c r="AG200" s="3" t="s">
        <v>101</v>
      </c>
      <c r="AI200" s="2" t="str">
        <f>_xlfn.LET(_xlpm.r, _xlfn.XLOOKUP(MappingGuide[[#This Row],[Description]],'[1]Squirrel SQL Export 1'!D:D,'[1]Squirrel SQL Export 1'!Y:Y),IF(_xlpm.r=0,"",_xlpm.r))</f>
        <v>Not used</v>
      </c>
      <c r="AK200" s="2" t="str">
        <f>_xlfn.LET(_xlpm.r, _xlfn.XLOOKUP(MappingGuide[[#This Row],[Description]],'[1]Squirrel SQL Export 1'!D:D,'[1]Squirrel SQL Export 1'!AE:AE),IF(_xlpm.r=0,"",_xlpm.r))</f>
        <v/>
      </c>
      <c r="AL200" s="3" t="str">
        <f>_xlfn.LET(_xlpm.r, _xlfn.XLOOKUP(MappingGuide[[#This Row],[DataType]],'[1]Squirrel SQL Export 1'!E:E,'[1]Squirrel SQL Export 1'!AF:AF),IF(_xlpm.r=0,"",_xlpm.r))</f>
        <v/>
      </c>
      <c r="AM200" s="2" t="str">
        <f>_xlfn.LET(_xlpm.r, _xlfn.XLOOKUP(MappingGuide[[#This Row],[Length]],'[1]Squirrel SQL Export 1'!F:F,'[1]Squirrel SQL Export 1'!AG:AG),IF(_xlpm.r=0,"",_xlpm.r))</f>
        <v>Type</v>
      </c>
    </row>
    <row r="201" spans="1:39" x14ac:dyDescent="0.2">
      <c r="A201" s="2">
        <v>198</v>
      </c>
      <c r="B201" s="2" t="s">
        <v>51</v>
      </c>
      <c r="C201" s="2" t="s">
        <v>911</v>
      </c>
      <c r="D201" s="2" t="s">
        <v>912</v>
      </c>
      <c r="E201" s="2" t="s">
        <v>54</v>
      </c>
      <c r="F201" s="2" t="s">
        <v>96</v>
      </c>
      <c r="J201" s="2" t="s">
        <v>71</v>
      </c>
      <c r="K201" s="2" t="s">
        <v>146</v>
      </c>
      <c r="O201" s="2" t="s">
        <v>45</v>
      </c>
      <c r="P201" s="2" t="s">
        <v>88</v>
      </c>
      <c r="Q201" s="2" t="s">
        <v>913</v>
      </c>
      <c r="W201" s="2" t="str">
        <f>_xlfn.LET(_xlpm.r, _xlfn.XLOOKUP(MappingGuide[[#This Row],[Description]],'[1]Squirrel SQL Export 1'!D:D,'[1]Squirrel SQL Export 1'!AC:AC),IF(_xlpm.r=0,"",_xlpm.r))</f>
        <v>1</v>
      </c>
      <c r="AA201" s="2" t="s">
        <v>914</v>
      </c>
      <c r="AE201" s="2" t="str" cm="1">
        <f t="array" ref="AE201">_xlfn.LET(_xlpm.r, _xlfn.XLOOKUP(MappingGuide[[#This Row],[ColumnName]] &amp; "|" &amp; MappingGuide[[#This Row],[Description]],'[1]Squirrel SQL Export 1'!C:C &amp; "|" &amp;'[1]Squirrel SQL Export 1'!D:D,'[1]Squirrel SQL Export 1'!Z:Z),IF(_xlpm.r=0,"",_xlpm.r))</f>
        <v>no</v>
      </c>
      <c r="AF201" s="3" t="s">
        <v>1309</v>
      </c>
      <c r="AG201" s="3" t="s">
        <v>48</v>
      </c>
      <c r="AH201" s="2" t="s">
        <v>96</v>
      </c>
      <c r="AI201" s="2" t="str">
        <f>_xlfn.LET(_xlpm.r, _xlfn.XLOOKUP(MappingGuide[[#This Row],[Description]],'[1]Squirrel SQL Export 1'!D:D,'[1]Squirrel SQL Export 1'!Y:Y),IF(_xlpm.r=0,"",_xlpm.r))</f>
        <v>Not used</v>
      </c>
      <c r="AK201" s="2" t="str">
        <f>_xlfn.LET(_xlpm.r, _xlfn.XLOOKUP(MappingGuide[[#This Row],[Description]],'[1]Squirrel SQL Export 1'!D:D,'[1]Squirrel SQL Export 1'!AE:AE),IF(_xlpm.r=0,"",_xlpm.r))</f>
        <v/>
      </c>
      <c r="AL201" s="3" t="str">
        <f>_xlfn.LET(_xlpm.r, _xlfn.XLOOKUP(MappingGuide[[#This Row],[DataType]],'[1]Squirrel SQL Export 1'!E:E,'[1]Squirrel SQL Export 1'!AF:AF),IF(_xlpm.r=0,"",_xlpm.r))</f>
        <v/>
      </c>
      <c r="AM201" s="2" t="str">
        <f>_xlfn.LET(_xlpm.r, _xlfn.XLOOKUP(MappingGuide[[#This Row],[Length]],'[1]Squirrel SQL Export 1'!F:F,'[1]Squirrel SQL Export 1'!AG:AG),IF(_xlpm.r=0,"",_xlpm.r))</f>
        <v>Type</v>
      </c>
    </row>
    <row r="202" spans="1:39" x14ac:dyDescent="0.2">
      <c r="A202" s="2">
        <v>199</v>
      </c>
      <c r="B202" s="2" t="s">
        <v>51</v>
      </c>
      <c r="C202" s="2" t="s">
        <v>915</v>
      </c>
      <c r="D202" s="2" t="s">
        <v>916</v>
      </c>
      <c r="E202" s="2" t="s">
        <v>54</v>
      </c>
      <c r="F202" s="2" t="s">
        <v>96</v>
      </c>
      <c r="O202" s="2" t="s">
        <v>45</v>
      </c>
      <c r="P202" s="2" t="s">
        <v>710</v>
      </c>
      <c r="Q202" s="2" t="s">
        <v>917</v>
      </c>
      <c r="W202" s="2" t="str">
        <f>_xlfn.LET(_xlpm.r, _xlfn.XLOOKUP(MappingGuide[[#This Row],[Description]],'[1]Squirrel SQL Export 1'!D:D,'[1]Squirrel SQL Export 1'!AC:AC),IF(_xlpm.r=0,"",_xlpm.r))</f>
        <v/>
      </c>
      <c r="AC202" s="2"/>
      <c r="AE202" s="2" t="str" cm="1">
        <f t="array" ref="AE202">_xlfn.LET(_xlpm.r, _xlfn.XLOOKUP(MappingGuide[[#This Row],[ColumnName]] &amp; "|" &amp; MappingGuide[[#This Row],[Description]],'[1]Squirrel SQL Export 1'!C:C &amp; "|" &amp;'[1]Squirrel SQL Export 1'!D:D,'[1]Squirrel SQL Export 1'!Z:Z),IF(_xlpm.r=0,"",_xlpm.r))</f>
        <v>no</v>
      </c>
      <c r="AF202" s="3" t="s">
        <v>1309</v>
      </c>
      <c r="AG202" s="3" t="s">
        <v>101</v>
      </c>
      <c r="AI202" s="2" t="str">
        <f>_xlfn.LET(_xlpm.r, _xlfn.XLOOKUP(MappingGuide[[#This Row],[Description]],'[1]Squirrel SQL Export 1'!D:D,'[1]Squirrel SQL Export 1'!Y:Y),IF(_xlpm.r=0,"",_xlpm.r))</f>
        <v>Not used</v>
      </c>
      <c r="AK202" s="2" t="str">
        <f>_xlfn.LET(_xlpm.r, _xlfn.XLOOKUP(MappingGuide[[#This Row],[Description]],'[1]Squirrel SQL Export 1'!D:D,'[1]Squirrel SQL Export 1'!AE:AE),IF(_xlpm.r=0,"",_xlpm.r))</f>
        <v/>
      </c>
      <c r="AL202" s="3" t="str">
        <f>_xlfn.LET(_xlpm.r, _xlfn.XLOOKUP(MappingGuide[[#This Row],[DataType]],'[1]Squirrel SQL Export 1'!E:E,'[1]Squirrel SQL Export 1'!AF:AF),IF(_xlpm.r=0,"",_xlpm.r))</f>
        <v/>
      </c>
      <c r="AM202" s="2" t="str">
        <f>_xlfn.LET(_xlpm.r, _xlfn.XLOOKUP(MappingGuide[[#This Row],[Length]],'[1]Squirrel SQL Export 1'!F:F,'[1]Squirrel SQL Export 1'!AG:AG),IF(_xlpm.r=0,"",_xlpm.r))</f>
        <v>Type</v>
      </c>
    </row>
    <row r="203" spans="1:39" x14ac:dyDescent="0.2">
      <c r="A203" s="2">
        <v>200</v>
      </c>
      <c r="B203" s="2" t="s">
        <v>51</v>
      </c>
      <c r="C203" s="2" t="s">
        <v>918</v>
      </c>
      <c r="D203" s="2" t="s">
        <v>919</v>
      </c>
      <c r="E203" s="2" t="s">
        <v>54</v>
      </c>
      <c r="F203" s="2" t="s">
        <v>70</v>
      </c>
      <c r="J203" s="2" t="s">
        <v>71</v>
      </c>
      <c r="K203" s="2" t="s">
        <v>167</v>
      </c>
      <c r="O203" s="2" t="s">
        <v>45</v>
      </c>
      <c r="P203" s="2" t="s">
        <v>168</v>
      </c>
      <c r="Q203" s="2" t="s">
        <v>920</v>
      </c>
      <c r="W203" s="2" t="str">
        <f>_xlfn.LET(_xlpm.r, _xlfn.XLOOKUP(MappingGuide[[#This Row],[Description]],'[1]Squirrel SQL Export 1'!D:D,'[1]Squirrel SQL Export 1'!AC:AC),IF(_xlpm.r=0,"",_xlpm.r))</f>
        <v/>
      </c>
      <c r="AC203" s="2"/>
      <c r="AE203" s="2" t="str" cm="1">
        <f t="array" ref="AE203">_xlfn.LET(_xlpm.r, _xlfn.XLOOKUP(MappingGuide[[#This Row],[ColumnName]] &amp; "|" &amp; MappingGuide[[#This Row],[Description]],'[1]Squirrel SQL Export 1'!C:C &amp; "|" &amp;'[1]Squirrel SQL Export 1'!D:D,'[1]Squirrel SQL Export 1'!Z:Z),IF(_xlpm.r=0,"",_xlpm.r))</f>
        <v>no</v>
      </c>
      <c r="AF203" s="3" t="s">
        <v>1309</v>
      </c>
      <c r="AG203" s="3" t="s">
        <v>101</v>
      </c>
      <c r="AI203" s="2" t="str">
        <f>_xlfn.LET(_xlpm.r, _xlfn.XLOOKUP(MappingGuide[[#This Row],[Description]],'[1]Squirrel SQL Export 1'!D:D,'[1]Squirrel SQL Export 1'!Y:Y),IF(_xlpm.r=0,"",_xlpm.r))</f>
        <v>Not used</v>
      </c>
      <c r="AK203" s="2" t="str">
        <f>_xlfn.LET(_xlpm.r, _xlfn.XLOOKUP(MappingGuide[[#This Row],[Description]],'[1]Squirrel SQL Export 1'!D:D,'[1]Squirrel SQL Export 1'!AE:AE),IF(_xlpm.r=0,"",_xlpm.r))</f>
        <v/>
      </c>
      <c r="AL203" s="3" t="str">
        <f>_xlfn.LET(_xlpm.r, _xlfn.XLOOKUP(MappingGuide[[#This Row],[DataType]],'[1]Squirrel SQL Export 1'!E:E,'[1]Squirrel SQL Export 1'!AF:AF),IF(_xlpm.r=0,"",_xlpm.r))</f>
        <v/>
      </c>
      <c r="AM203" s="2" t="str">
        <f>_xlfn.LET(_xlpm.r, _xlfn.XLOOKUP(MappingGuide[[#This Row],[Length]],'[1]Squirrel SQL Export 1'!F:F,'[1]Squirrel SQL Export 1'!AG:AG),IF(_xlpm.r=0,"",_xlpm.r))</f>
        <v>Status</v>
      </c>
    </row>
    <row r="204" spans="1:39" x14ac:dyDescent="0.2">
      <c r="A204" s="2">
        <v>201</v>
      </c>
      <c r="B204" s="2" t="s">
        <v>51</v>
      </c>
      <c r="C204" s="2" t="s">
        <v>921</v>
      </c>
      <c r="D204" s="2" t="s">
        <v>919</v>
      </c>
      <c r="E204" s="2" t="s">
        <v>54</v>
      </c>
      <c r="F204" s="2" t="s">
        <v>70</v>
      </c>
      <c r="J204" s="2" t="s">
        <v>71</v>
      </c>
      <c r="K204" s="2" t="s">
        <v>167</v>
      </c>
      <c r="O204" s="2" t="s">
        <v>45</v>
      </c>
      <c r="P204" s="2" t="s">
        <v>168</v>
      </c>
      <c r="Q204" s="2" t="s">
        <v>922</v>
      </c>
      <c r="W204" s="2" t="str">
        <f>_xlfn.LET(_xlpm.r, _xlfn.XLOOKUP(MappingGuide[[#This Row],[Description]],'[1]Squirrel SQL Export 1'!D:D,'[1]Squirrel SQL Export 1'!AC:AC),IF(_xlpm.r=0,"",_xlpm.r))</f>
        <v/>
      </c>
      <c r="AC204" s="2"/>
      <c r="AE204" s="2" t="str" cm="1">
        <f t="array" ref="AE204">_xlfn.LET(_xlpm.r, _xlfn.XLOOKUP(MappingGuide[[#This Row],[ColumnName]] &amp; "|" &amp; MappingGuide[[#This Row],[Description]],'[1]Squirrel SQL Export 1'!C:C &amp; "|" &amp;'[1]Squirrel SQL Export 1'!D:D,'[1]Squirrel SQL Export 1'!Z:Z),IF(_xlpm.r=0,"",_xlpm.r))</f>
        <v>no</v>
      </c>
      <c r="AF204" s="3" t="s">
        <v>1309</v>
      </c>
      <c r="AG204" s="3" t="s">
        <v>101</v>
      </c>
      <c r="AI204" s="2" t="str">
        <f>_xlfn.LET(_xlpm.r, _xlfn.XLOOKUP(MappingGuide[[#This Row],[Description]],'[1]Squirrel SQL Export 1'!D:D,'[1]Squirrel SQL Export 1'!Y:Y),IF(_xlpm.r=0,"",_xlpm.r))</f>
        <v>Not used</v>
      </c>
      <c r="AK204" s="2" t="str">
        <f>_xlfn.LET(_xlpm.r, _xlfn.XLOOKUP(MappingGuide[[#This Row],[Description]],'[1]Squirrel SQL Export 1'!D:D,'[1]Squirrel SQL Export 1'!AE:AE),IF(_xlpm.r=0,"",_xlpm.r))</f>
        <v/>
      </c>
      <c r="AL204" s="3" t="str">
        <f>_xlfn.LET(_xlpm.r, _xlfn.XLOOKUP(MappingGuide[[#This Row],[DataType]],'[1]Squirrel SQL Export 1'!E:E,'[1]Squirrel SQL Export 1'!AF:AF),IF(_xlpm.r=0,"",_xlpm.r))</f>
        <v/>
      </c>
      <c r="AM204" s="2" t="str">
        <f>_xlfn.LET(_xlpm.r, _xlfn.XLOOKUP(MappingGuide[[#This Row],[Length]],'[1]Squirrel SQL Export 1'!F:F,'[1]Squirrel SQL Export 1'!AG:AG),IF(_xlpm.r=0,"",_xlpm.r))</f>
        <v>Status</v>
      </c>
    </row>
    <row r="205" spans="1:39" x14ac:dyDescent="0.2">
      <c r="A205" s="2">
        <v>202</v>
      </c>
      <c r="B205" s="2" t="s">
        <v>51</v>
      </c>
      <c r="C205" s="2" t="s">
        <v>923</v>
      </c>
      <c r="D205" s="2" t="s">
        <v>919</v>
      </c>
      <c r="E205" s="2" t="s">
        <v>54</v>
      </c>
      <c r="F205" s="2" t="s">
        <v>70</v>
      </c>
      <c r="J205" s="2" t="s">
        <v>71</v>
      </c>
      <c r="K205" s="2" t="s">
        <v>167</v>
      </c>
      <c r="O205" s="2" t="s">
        <v>45</v>
      </c>
      <c r="P205" s="2" t="s">
        <v>168</v>
      </c>
      <c r="Q205" s="2" t="s">
        <v>924</v>
      </c>
      <c r="W205" s="2" t="str">
        <f>_xlfn.LET(_xlpm.r, _xlfn.XLOOKUP(MappingGuide[[#This Row],[Description]],'[1]Squirrel SQL Export 1'!D:D,'[1]Squirrel SQL Export 1'!AC:AC),IF(_xlpm.r=0,"",_xlpm.r))</f>
        <v/>
      </c>
      <c r="AC205" s="2"/>
      <c r="AE205" s="2" t="str" cm="1">
        <f t="array" ref="AE205">_xlfn.LET(_xlpm.r, _xlfn.XLOOKUP(MappingGuide[[#This Row],[ColumnName]] &amp; "|" &amp; MappingGuide[[#This Row],[Description]],'[1]Squirrel SQL Export 1'!C:C &amp; "|" &amp;'[1]Squirrel SQL Export 1'!D:D,'[1]Squirrel SQL Export 1'!Z:Z),IF(_xlpm.r=0,"",_xlpm.r))</f>
        <v>no</v>
      </c>
      <c r="AF205" s="3" t="s">
        <v>1309</v>
      </c>
      <c r="AG205" s="3" t="s">
        <v>101</v>
      </c>
      <c r="AI205" s="2" t="str">
        <f>_xlfn.LET(_xlpm.r, _xlfn.XLOOKUP(MappingGuide[[#This Row],[Description]],'[1]Squirrel SQL Export 1'!D:D,'[1]Squirrel SQL Export 1'!Y:Y),IF(_xlpm.r=0,"",_xlpm.r))</f>
        <v>Not used</v>
      </c>
      <c r="AK205" s="2" t="str">
        <f>_xlfn.LET(_xlpm.r, _xlfn.XLOOKUP(MappingGuide[[#This Row],[Description]],'[1]Squirrel SQL Export 1'!D:D,'[1]Squirrel SQL Export 1'!AE:AE),IF(_xlpm.r=0,"",_xlpm.r))</f>
        <v/>
      </c>
      <c r="AL205" s="3" t="str">
        <f>_xlfn.LET(_xlpm.r, _xlfn.XLOOKUP(MappingGuide[[#This Row],[DataType]],'[1]Squirrel SQL Export 1'!E:E,'[1]Squirrel SQL Export 1'!AF:AF),IF(_xlpm.r=0,"",_xlpm.r))</f>
        <v/>
      </c>
      <c r="AM205" s="2" t="str">
        <f>_xlfn.LET(_xlpm.r, _xlfn.XLOOKUP(MappingGuide[[#This Row],[Length]],'[1]Squirrel SQL Export 1'!F:F,'[1]Squirrel SQL Export 1'!AG:AG),IF(_xlpm.r=0,"",_xlpm.r))</f>
        <v>Status</v>
      </c>
    </row>
    <row r="206" spans="1:39" x14ac:dyDescent="0.2">
      <c r="A206" s="2">
        <v>203</v>
      </c>
      <c r="B206" s="2" t="s">
        <v>51</v>
      </c>
      <c r="C206" s="2" t="s">
        <v>925</v>
      </c>
      <c r="D206" s="2" t="s">
        <v>919</v>
      </c>
      <c r="E206" s="2" t="s">
        <v>54</v>
      </c>
      <c r="F206" s="2" t="s">
        <v>70</v>
      </c>
      <c r="J206" s="2" t="s">
        <v>71</v>
      </c>
      <c r="K206" s="2" t="s">
        <v>167</v>
      </c>
      <c r="O206" s="2" t="s">
        <v>45</v>
      </c>
      <c r="P206" s="2" t="s">
        <v>168</v>
      </c>
      <c r="Q206" s="2" t="s">
        <v>926</v>
      </c>
      <c r="W206" s="2" t="str">
        <f>_xlfn.LET(_xlpm.r, _xlfn.XLOOKUP(MappingGuide[[#This Row],[Description]],'[1]Squirrel SQL Export 1'!D:D,'[1]Squirrel SQL Export 1'!AC:AC),IF(_xlpm.r=0,"",_xlpm.r))</f>
        <v/>
      </c>
      <c r="AC206" s="2"/>
      <c r="AE206" s="2" t="str" cm="1">
        <f t="array" ref="AE206">_xlfn.LET(_xlpm.r, _xlfn.XLOOKUP(MappingGuide[[#This Row],[ColumnName]] &amp; "|" &amp; MappingGuide[[#This Row],[Description]],'[1]Squirrel SQL Export 1'!C:C &amp; "|" &amp;'[1]Squirrel SQL Export 1'!D:D,'[1]Squirrel SQL Export 1'!Z:Z),IF(_xlpm.r=0,"",_xlpm.r))</f>
        <v>no</v>
      </c>
      <c r="AF206" s="3" t="s">
        <v>1309</v>
      </c>
      <c r="AG206" s="3" t="s">
        <v>101</v>
      </c>
      <c r="AI206" s="2" t="str">
        <f>_xlfn.LET(_xlpm.r, _xlfn.XLOOKUP(MappingGuide[[#This Row],[Description]],'[1]Squirrel SQL Export 1'!D:D,'[1]Squirrel SQL Export 1'!Y:Y),IF(_xlpm.r=0,"",_xlpm.r))</f>
        <v>Not used</v>
      </c>
      <c r="AK206" s="2" t="str">
        <f>_xlfn.LET(_xlpm.r, _xlfn.XLOOKUP(MappingGuide[[#This Row],[Description]],'[1]Squirrel SQL Export 1'!D:D,'[1]Squirrel SQL Export 1'!AE:AE),IF(_xlpm.r=0,"",_xlpm.r))</f>
        <v/>
      </c>
      <c r="AL206" s="3" t="str">
        <f>_xlfn.LET(_xlpm.r, _xlfn.XLOOKUP(MappingGuide[[#This Row],[DataType]],'[1]Squirrel SQL Export 1'!E:E,'[1]Squirrel SQL Export 1'!AF:AF),IF(_xlpm.r=0,"",_xlpm.r))</f>
        <v/>
      </c>
      <c r="AM206" s="2" t="str">
        <f>_xlfn.LET(_xlpm.r, _xlfn.XLOOKUP(MappingGuide[[#This Row],[Length]],'[1]Squirrel SQL Export 1'!F:F,'[1]Squirrel SQL Export 1'!AG:AG),IF(_xlpm.r=0,"",_xlpm.r))</f>
        <v>Status</v>
      </c>
    </row>
    <row r="207" spans="1:39" x14ac:dyDescent="0.2">
      <c r="A207" s="2">
        <v>204</v>
      </c>
      <c r="B207" s="2" t="s">
        <v>51</v>
      </c>
      <c r="C207" s="2" t="s">
        <v>927</v>
      </c>
      <c r="D207" s="2" t="s">
        <v>928</v>
      </c>
      <c r="E207" s="2" t="s">
        <v>54</v>
      </c>
      <c r="F207" s="2" t="s">
        <v>96</v>
      </c>
      <c r="J207" s="2" t="s">
        <v>71</v>
      </c>
      <c r="K207" s="2" t="s">
        <v>87</v>
      </c>
      <c r="O207" s="2" t="s">
        <v>45</v>
      </c>
      <c r="P207" s="2" t="s">
        <v>88</v>
      </c>
      <c r="Q207" s="2" t="s">
        <v>929</v>
      </c>
      <c r="W207" s="2" t="str">
        <f>_xlfn.LET(_xlpm.r, _xlfn.XLOOKUP(MappingGuide[[#This Row],[Description]],'[1]Squirrel SQL Export 1'!D:D,'[1]Squirrel SQL Export 1'!AC:AC),IF(_xlpm.r=0,"",_xlpm.r))</f>
        <v>2</v>
      </c>
      <c r="AA207" s="2" t="s">
        <v>930</v>
      </c>
      <c r="AB207" s="2" t="s">
        <v>931</v>
      </c>
      <c r="AE207" s="2" t="str" cm="1">
        <f t="array" ref="AE207">_xlfn.LET(_xlpm.r, _xlfn.XLOOKUP(MappingGuide[[#This Row],[ColumnName]] &amp; "|" &amp; MappingGuide[[#This Row],[Description]],'[1]Squirrel SQL Export 1'!C:C &amp; "|" &amp;'[1]Squirrel SQL Export 1'!D:D,'[1]Squirrel SQL Export 1'!Z:Z),IF(_xlpm.r=0,"",_xlpm.r))</f>
        <v>no</v>
      </c>
      <c r="AF207" s="3" t="s">
        <v>1309</v>
      </c>
      <c r="AG207" s="3" t="s">
        <v>48</v>
      </c>
      <c r="AH207" s="2" t="s">
        <v>70</v>
      </c>
      <c r="AI207" s="2" t="str">
        <f>_xlfn.LET(_xlpm.r, _xlfn.XLOOKUP(MappingGuide[[#This Row],[Description]],'[1]Squirrel SQL Export 1'!D:D,'[1]Squirrel SQL Export 1'!Y:Y),IF(_xlpm.r=0,"",_xlpm.r))</f>
        <v>Not used</v>
      </c>
      <c r="AK207" s="2" t="str">
        <f>_xlfn.LET(_xlpm.r, _xlfn.XLOOKUP(MappingGuide[[#This Row],[Description]],'[1]Squirrel SQL Export 1'!D:D,'[1]Squirrel SQL Export 1'!AE:AE),IF(_xlpm.r=0,"",_xlpm.r))</f>
        <v/>
      </c>
      <c r="AL207" s="3" t="str">
        <f>_xlfn.LET(_xlpm.r, _xlfn.XLOOKUP(MappingGuide[[#This Row],[DataType]],'[1]Squirrel SQL Export 1'!E:E,'[1]Squirrel SQL Export 1'!AF:AF),IF(_xlpm.r=0,"",_xlpm.r))</f>
        <v/>
      </c>
      <c r="AM207" s="2" t="str">
        <f>_xlfn.LET(_xlpm.r, _xlfn.XLOOKUP(MappingGuide[[#This Row],[Length]],'[1]Squirrel SQL Export 1'!F:F,'[1]Squirrel SQL Export 1'!AG:AG),IF(_xlpm.r=0,"",_xlpm.r))</f>
        <v>Type</v>
      </c>
    </row>
    <row r="208" spans="1:39" x14ac:dyDescent="0.2">
      <c r="A208" s="2">
        <v>205</v>
      </c>
      <c r="B208" s="2" t="s">
        <v>51</v>
      </c>
      <c r="C208" s="2" t="s">
        <v>932</v>
      </c>
      <c r="D208" s="2" t="s">
        <v>933</v>
      </c>
      <c r="E208" s="2" t="s">
        <v>43</v>
      </c>
      <c r="F208" s="2" t="s">
        <v>55</v>
      </c>
      <c r="J208" s="2" t="s">
        <v>71</v>
      </c>
      <c r="K208" s="2" t="s">
        <v>146</v>
      </c>
      <c r="O208" s="2" t="s">
        <v>45</v>
      </c>
      <c r="P208" s="2" t="s">
        <v>46</v>
      </c>
      <c r="Q208" s="2" t="s">
        <v>934</v>
      </c>
      <c r="W208" s="2" t="str">
        <f>_xlfn.LET(_xlpm.r, _xlfn.XLOOKUP(MappingGuide[[#This Row],[Description]],'[1]Squirrel SQL Export 1'!D:D,'[1]Squirrel SQL Export 1'!AC:AC),IF(_xlpm.r=0,"",_xlpm.r))</f>
        <v/>
      </c>
      <c r="AA208" s="2" t="s">
        <v>935</v>
      </c>
      <c r="AC208" s="2" t="s">
        <v>936</v>
      </c>
      <c r="AE208" s="2" t="str" cm="1">
        <f t="array" ref="AE208">_xlfn.LET(_xlpm.r, _xlfn.XLOOKUP(MappingGuide[[#This Row],[ColumnName]] &amp; "|" &amp; MappingGuide[[#This Row],[Description]],'[1]Squirrel SQL Export 1'!C:C &amp; "|" &amp;'[1]Squirrel SQL Export 1'!D:D,'[1]Squirrel SQL Export 1'!Z:Z),IF(_xlpm.r=0,"",_xlpm.r))</f>
        <v>no</v>
      </c>
      <c r="AF208" s="3" t="s">
        <v>1309</v>
      </c>
      <c r="AG208" s="3" t="s">
        <v>101</v>
      </c>
      <c r="AI208" s="2" t="str">
        <f>_xlfn.LET(_xlpm.r, _xlfn.XLOOKUP(MappingGuide[[#This Row],[Description]],'[1]Squirrel SQL Export 1'!D:D,'[1]Squirrel SQL Export 1'!Y:Y),IF(_xlpm.r=0,"",_xlpm.r))</f>
        <v>As discussed with Dee/Angie on 01/07, invoice grouping is not needed, since, we will generate invoices everyday by a scheduled job.</v>
      </c>
      <c r="AK208" s="2" t="str">
        <f>_xlfn.LET(_xlpm.r, _xlfn.XLOOKUP(MappingGuide[[#This Row],[Description]],'[1]Squirrel SQL Export 1'!D:D,'[1]Squirrel SQL Export 1'!AE:AE),IF(_xlpm.r=0,"",_xlpm.r))</f>
        <v>This appears to be an M3 only attribute.</v>
      </c>
      <c r="AL208" s="3" t="str">
        <f>_xlfn.LET(_xlpm.r, _xlfn.XLOOKUP(MappingGuide[[#This Row],[DataType]],'[1]Squirrel SQL Export 1'!E:E,'[1]Squirrel SQL Export 1'!AF:AF),IF(_xlpm.r=0,"",_xlpm.r))</f>
        <v>No</v>
      </c>
      <c r="AM208" s="2" t="str">
        <f>_xlfn.LET(_xlpm.r, _xlfn.XLOOKUP(MappingGuide[[#This Row],[Length]],'[1]Squirrel SQL Export 1'!F:F,'[1]Squirrel SQL Export 1'!AG:AG),IF(_xlpm.r=0,"",_xlpm.r))</f>
        <v/>
      </c>
    </row>
    <row r="209" spans="1:39" x14ac:dyDescent="0.2">
      <c r="A209" s="2">
        <v>206</v>
      </c>
      <c r="B209" s="2" t="s">
        <v>51</v>
      </c>
      <c r="C209" s="2" t="s">
        <v>937</v>
      </c>
      <c r="D209" s="2" t="s">
        <v>938</v>
      </c>
      <c r="E209" s="2" t="s">
        <v>54</v>
      </c>
      <c r="F209" s="2" t="s">
        <v>96</v>
      </c>
      <c r="J209" s="2" t="s">
        <v>71</v>
      </c>
      <c r="K209" s="2" t="s">
        <v>87</v>
      </c>
      <c r="W209" s="2" t="str">
        <f>_xlfn.LET(_xlpm.r, _xlfn.XLOOKUP(MappingGuide[[#This Row],[Description]],'[1]Squirrel SQL Export 1'!D:D,'[1]Squirrel SQL Export 1'!AC:AC),IF(_xlpm.r=0,"",_xlpm.r))</f>
        <v/>
      </c>
      <c r="AA209" s="2" t="s">
        <v>939</v>
      </c>
      <c r="AB209" s="2" t="s">
        <v>940</v>
      </c>
      <c r="AC209" s="2"/>
      <c r="AE209" s="2" t="str" cm="1">
        <f t="array" ref="AE209">_xlfn.LET(_xlpm.r, _xlfn.XLOOKUP(MappingGuide[[#This Row],[ColumnName]] &amp; "|" &amp; MappingGuide[[#This Row],[Description]],'[1]Squirrel SQL Export 1'!C:C &amp; "|" &amp;'[1]Squirrel SQL Export 1'!D:D,'[1]Squirrel SQL Export 1'!Z:Z),IF(_xlpm.r=0,"",_xlpm.r))</f>
        <v>no</v>
      </c>
      <c r="AF209" s="3" t="s">
        <v>1309</v>
      </c>
      <c r="AG209" s="3" t="s">
        <v>101</v>
      </c>
      <c r="AI209" s="2" t="str">
        <f>_xlfn.LET(_xlpm.r, _xlfn.XLOOKUP(MappingGuide[[#This Row],[Description]],'[1]Squirrel SQL Export 1'!D:D,'[1]Squirrel SQL Export 1'!Y:Y),IF(_xlpm.r=0,"",_xlpm.r))</f>
        <v>Not used</v>
      </c>
      <c r="AK209" s="2" t="str">
        <f>_xlfn.LET(_xlpm.r, _xlfn.XLOOKUP(MappingGuide[[#This Row],[Description]],'[1]Squirrel SQL Export 1'!D:D,'[1]Squirrel SQL Export 1'!AE:AE),IF(_xlpm.r=0,"",_xlpm.r))</f>
        <v/>
      </c>
      <c r="AL209" s="3" t="str">
        <f>_xlfn.LET(_xlpm.r, _xlfn.XLOOKUP(MappingGuide[[#This Row],[DataType]],'[1]Squirrel SQL Export 1'!E:E,'[1]Squirrel SQL Export 1'!AF:AF),IF(_xlpm.r=0,"",_xlpm.r))</f>
        <v/>
      </c>
      <c r="AM209" s="2" t="str">
        <f>_xlfn.LET(_xlpm.r, _xlfn.XLOOKUP(MappingGuide[[#This Row],[Length]],'[1]Squirrel SQL Export 1'!F:F,'[1]Squirrel SQL Export 1'!AG:AG),IF(_xlpm.r=0,"",_xlpm.r))</f>
        <v>Type</v>
      </c>
    </row>
    <row r="210" spans="1:39" x14ac:dyDescent="0.2">
      <c r="A210" s="2">
        <v>207</v>
      </c>
      <c r="B210" s="2" t="s">
        <v>51</v>
      </c>
      <c r="C210" s="2" t="s">
        <v>941</v>
      </c>
      <c r="D210" s="2" t="s">
        <v>942</v>
      </c>
      <c r="E210" s="2" t="s">
        <v>54</v>
      </c>
      <c r="F210" s="2" t="s">
        <v>96</v>
      </c>
      <c r="J210" s="2" t="s">
        <v>71</v>
      </c>
      <c r="K210" s="2" t="s">
        <v>140</v>
      </c>
      <c r="O210" s="2" t="s">
        <v>45</v>
      </c>
      <c r="P210" s="2" t="s">
        <v>88</v>
      </c>
      <c r="Q210" s="2" t="s">
        <v>943</v>
      </c>
      <c r="W210" s="2" t="str">
        <f>_xlfn.LET(_xlpm.r, _xlfn.XLOOKUP(MappingGuide[[#This Row],[Description]],'[1]Squirrel SQL Export 1'!D:D,'[1]Squirrel SQL Export 1'!AC:AC),IF(_xlpm.r=0,"",_xlpm.r))</f>
        <v/>
      </c>
      <c r="AA210" s="2" t="s">
        <v>944</v>
      </c>
      <c r="AB210" s="2" t="s">
        <v>945</v>
      </c>
      <c r="AC210" s="2"/>
      <c r="AE210" s="2" t="str" cm="1">
        <f t="array" ref="AE210">_xlfn.LET(_xlpm.r, _xlfn.XLOOKUP(MappingGuide[[#This Row],[ColumnName]] &amp; "|" &amp; MappingGuide[[#This Row],[Description]],'[1]Squirrel SQL Export 1'!C:C &amp; "|" &amp;'[1]Squirrel SQL Export 1'!D:D,'[1]Squirrel SQL Export 1'!Z:Z),IF(_xlpm.r=0,"",_xlpm.r))</f>
        <v>no</v>
      </c>
      <c r="AF210" s="3" t="s">
        <v>1309</v>
      </c>
      <c r="AG210" s="3" t="s">
        <v>101</v>
      </c>
      <c r="AI210" s="2" t="str">
        <f>_xlfn.LET(_xlpm.r, _xlfn.XLOOKUP(MappingGuide[[#This Row],[Description]],'[1]Squirrel SQL Export 1'!D:D,'[1]Squirrel SQL Export 1'!Y:Y),IF(_xlpm.r=0,"",_xlpm.r))</f>
        <v>This is needed in M3, but we will set default value = 0 using template</v>
      </c>
      <c r="AK210" s="2" t="str">
        <f>_xlfn.LET(_xlpm.r, _xlfn.XLOOKUP(MappingGuide[[#This Row],[Description]],'[1]Squirrel SQL Export 1'!D:D,'[1]Squirrel SQL Export 1'!AE:AE),IF(_xlpm.r=0,"",_xlpm.r))</f>
        <v/>
      </c>
      <c r="AL210" s="3" t="str">
        <f>_xlfn.LET(_xlpm.r, _xlfn.XLOOKUP(MappingGuide[[#This Row],[DataType]],'[1]Squirrel SQL Export 1'!E:E,'[1]Squirrel SQL Export 1'!AF:AF),IF(_xlpm.r=0,"",_xlpm.r))</f>
        <v/>
      </c>
      <c r="AM210" s="2" t="str">
        <f>_xlfn.LET(_xlpm.r, _xlfn.XLOOKUP(MappingGuide[[#This Row],[Length]],'[1]Squirrel SQL Export 1'!F:F,'[1]Squirrel SQL Export 1'!AG:AG),IF(_xlpm.r=0,"",_xlpm.r))</f>
        <v>Type</v>
      </c>
    </row>
    <row r="211" spans="1:39" x14ac:dyDescent="0.2">
      <c r="A211" s="2">
        <v>208</v>
      </c>
      <c r="B211" s="2" t="s">
        <v>51</v>
      </c>
      <c r="C211" s="2" t="s">
        <v>946</v>
      </c>
      <c r="D211" s="2" t="s">
        <v>947</v>
      </c>
      <c r="E211" s="2" t="s">
        <v>43</v>
      </c>
      <c r="F211" s="2" t="s">
        <v>55</v>
      </c>
      <c r="J211" s="2" t="s">
        <v>71</v>
      </c>
      <c r="K211" s="2" t="s">
        <v>140</v>
      </c>
      <c r="O211" s="2" t="s">
        <v>45</v>
      </c>
      <c r="P211" s="2" t="s">
        <v>88</v>
      </c>
      <c r="Q211" s="2" t="s">
        <v>948</v>
      </c>
      <c r="W211" s="2" t="str">
        <f>_xlfn.LET(_xlpm.r, _xlfn.XLOOKUP(MappingGuide[[#This Row],[Description]],'[1]Squirrel SQL Export 1'!D:D,'[1]Squirrel SQL Export 1'!AC:AC),IF(_xlpm.r=0,"",_xlpm.r))</f>
        <v>A01</v>
      </c>
      <c r="AA211" s="2" t="s">
        <v>949</v>
      </c>
      <c r="AC211" s="3" t="s">
        <v>950</v>
      </c>
      <c r="AE211" s="2" t="str" cm="1">
        <f t="array" ref="AE211">_xlfn.LET(_xlpm.r, _xlfn.XLOOKUP(MappingGuide[[#This Row],[ColumnName]] &amp; "|" &amp; MappingGuide[[#This Row],[Description]],'[1]Squirrel SQL Export 1'!C:C &amp; "|" &amp;'[1]Squirrel SQL Export 1'!D:D,'[1]Squirrel SQL Export 1'!Z:Z),IF(_xlpm.r=0,"",_xlpm.r))</f>
        <v>no</v>
      </c>
      <c r="AF211" s="3" t="s">
        <v>1309</v>
      </c>
      <c r="AG211" s="3" t="s">
        <v>48</v>
      </c>
      <c r="AH211" s="2" t="s">
        <v>951</v>
      </c>
      <c r="AI211" s="2" t="str">
        <f>_xlfn.LET(_xlpm.r, _xlfn.XLOOKUP(MappingGuide[[#This Row],[Description]],'[1]Squirrel SQL Export 1'!D:D,'[1]Squirrel SQL Export 1'!Y:Y),IF(_xlpm.r=0,"",_xlpm.r))</f>
        <v>As discussed with Dee/Angie on 01/07, we will pass default value = Corporate Faciility in this field</v>
      </c>
      <c r="AK211" s="2" t="str">
        <f>_xlfn.LET(_xlpm.r, _xlfn.XLOOKUP(MappingGuide[[#This Row],[Description]],'[1]Squirrel SQL Export 1'!D:D,'[1]Squirrel SQL Export 1'!AE:AE),IF(_xlpm.r=0,"",_xlpm.r))</f>
        <v>This appears to be an M3 only attribute.</v>
      </c>
      <c r="AL211" s="3" t="str">
        <f>_xlfn.LET(_xlpm.r, _xlfn.XLOOKUP(MappingGuide[[#This Row],[DataType]],'[1]Squirrel SQL Export 1'!E:E,'[1]Squirrel SQL Export 1'!AF:AF),IF(_xlpm.r=0,"",_xlpm.r))</f>
        <v>No</v>
      </c>
      <c r="AM211" s="2" t="str">
        <f>_xlfn.LET(_xlpm.r, _xlfn.XLOOKUP(MappingGuide[[#This Row],[Length]],'[1]Squirrel SQL Export 1'!F:F,'[1]Squirrel SQL Export 1'!AG:AG),IF(_xlpm.r=0,"",_xlpm.r))</f>
        <v/>
      </c>
    </row>
    <row r="212" spans="1:39" x14ac:dyDescent="0.2">
      <c r="A212" s="2">
        <v>209</v>
      </c>
      <c r="B212" s="2" t="s">
        <v>51</v>
      </c>
      <c r="C212" s="2" t="s">
        <v>952</v>
      </c>
      <c r="D212" s="2" t="s">
        <v>953</v>
      </c>
      <c r="E212" s="2" t="s">
        <v>54</v>
      </c>
      <c r="F212" s="2" t="s">
        <v>702</v>
      </c>
      <c r="W212" s="2" t="str">
        <f>_xlfn.LET(_xlpm.r, _xlfn.XLOOKUP(MappingGuide[[#This Row],[Description]],'[1]Squirrel SQL Export 1'!D:D,'[1]Squirrel SQL Export 1'!AC:AC),IF(_xlpm.r=0,"",_xlpm.r))</f>
        <v/>
      </c>
      <c r="AA212" s="2" t="s">
        <v>954</v>
      </c>
      <c r="AC212" s="2"/>
      <c r="AE212" s="2" t="str" cm="1">
        <f t="array" ref="AE212">_xlfn.LET(_xlpm.r, _xlfn.XLOOKUP(MappingGuide[[#This Row],[ColumnName]] &amp; "|" &amp; MappingGuide[[#This Row],[Description]],'[1]Squirrel SQL Export 1'!C:C &amp; "|" &amp;'[1]Squirrel SQL Export 1'!D:D,'[1]Squirrel SQL Export 1'!Z:Z),IF(_xlpm.r=0,"",_xlpm.r))</f>
        <v>no</v>
      </c>
      <c r="AF212" s="3" t="s">
        <v>1309</v>
      </c>
      <c r="AG212" s="3" t="s">
        <v>101</v>
      </c>
      <c r="AI212" s="2" t="str">
        <f>_xlfn.LET(_xlpm.r, _xlfn.XLOOKUP(MappingGuide[[#This Row],[Description]],'[1]Squirrel SQL Export 1'!D:D,'[1]Squirrel SQL Export 1'!Y:Y),IF(_xlpm.r=0,"",_xlpm.r))</f>
        <v>Not used</v>
      </c>
      <c r="AK212" s="2" t="str">
        <f>_xlfn.LET(_xlpm.r, _xlfn.XLOOKUP(MappingGuide[[#This Row],[Description]],'[1]Squirrel SQL Export 1'!D:D,'[1]Squirrel SQL Export 1'!AE:AE),IF(_xlpm.r=0,"",_xlpm.r))</f>
        <v/>
      </c>
      <c r="AL212" s="3" t="str">
        <f>_xlfn.LET(_xlpm.r, _xlfn.XLOOKUP(MappingGuide[[#This Row],[DataType]],'[1]Squirrel SQL Export 1'!E:E,'[1]Squirrel SQL Export 1'!AF:AF),IF(_xlpm.r=0,"",_xlpm.r))</f>
        <v/>
      </c>
      <c r="AM212" s="2" t="str">
        <f>_xlfn.LET(_xlpm.r, _xlfn.XLOOKUP(MappingGuide[[#This Row],[Length]],'[1]Squirrel SQL Export 1'!F:F,'[1]Squirrel SQL Export 1'!AG:AG),IF(_xlpm.r=0,"",_xlpm.r))</f>
        <v/>
      </c>
    </row>
    <row r="213" spans="1:39" x14ac:dyDescent="0.2">
      <c r="A213" s="2">
        <v>210</v>
      </c>
      <c r="B213" s="2" t="s">
        <v>51</v>
      </c>
      <c r="C213" s="2" t="s">
        <v>955</v>
      </c>
      <c r="D213" s="2" t="s">
        <v>956</v>
      </c>
      <c r="E213" s="2" t="s">
        <v>43</v>
      </c>
      <c r="F213" s="2" t="s">
        <v>70</v>
      </c>
      <c r="J213" s="2" t="s">
        <v>71</v>
      </c>
      <c r="K213" s="2" t="s">
        <v>72</v>
      </c>
      <c r="O213" s="2" t="s">
        <v>45</v>
      </c>
      <c r="P213" s="2" t="s">
        <v>88</v>
      </c>
      <c r="Q213" s="2" t="s">
        <v>957</v>
      </c>
      <c r="W213" s="2" t="str">
        <f>_xlfn.LET(_xlpm.r, _xlfn.XLOOKUP(MappingGuide[[#This Row],[Description]],'[1]Squirrel SQL Export 1'!D:D,'[1]Squirrel SQL Export 1'!AC:AC),IF(_xlpm.r=0,"",_xlpm.r))</f>
        <v>GB</v>
      </c>
      <c r="AA213" s="2" t="s">
        <v>958</v>
      </c>
      <c r="AE213" s="2" t="str" cm="1">
        <f t="array" ref="AE213">_xlfn.LET(_xlpm.r, _xlfn.XLOOKUP(MappingGuide[[#This Row],[ColumnName]] &amp; "|" &amp; MappingGuide[[#This Row],[Description]],'[1]Squirrel SQL Export 1'!C:C &amp; "|" &amp;'[1]Squirrel SQL Export 1'!D:D,'[1]Squirrel SQL Export 1'!Z:Z),IF(_xlpm.r=0,"",_xlpm.r))</f>
        <v>no</v>
      </c>
      <c r="AF213" s="3" t="s">
        <v>1309</v>
      </c>
      <c r="AG213" s="3" t="s">
        <v>48</v>
      </c>
      <c r="AH213" s="2" t="s">
        <v>372</v>
      </c>
      <c r="AI213" s="2" t="str">
        <f>_xlfn.LET(_xlpm.r, _xlfn.XLOOKUP(MappingGuide[[#This Row],[Description]],'[1]Squirrel SQL Export 1'!D:D,'[1]Squirrel SQL Export 1'!Y:Y),IF(_xlpm.r=0,"",_xlpm.r))</f>
        <v>This is needed in M3, but we will set value using template</v>
      </c>
      <c r="AK213" s="2" t="str">
        <f>_xlfn.LET(_xlpm.r, _xlfn.XLOOKUP(MappingGuide[[#This Row],[Description]],'[1]Squirrel SQL Export 1'!D:D,'[1]Squirrel SQL Export 1'!AE:AE),IF(_xlpm.r=0,"",_xlpm.r))</f>
        <v/>
      </c>
      <c r="AL213" s="3" t="str">
        <f>_xlfn.LET(_xlpm.r, _xlfn.XLOOKUP(MappingGuide[[#This Row],[DataType]],'[1]Squirrel SQL Export 1'!E:E,'[1]Squirrel SQL Export 1'!AF:AF),IF(_xlpm.r=0,"",_xlpm.r))</f>
        <v>No</v>
      </c>
      <c r="AM213" s="2" t="str">
        <f>_xlfn.LET(_xlpm.r, _xlfn.XLOOKUP(MappingGuide[[#This Row],[Length]],'[1]Squirrel SQL Export 1'!F:F,'[1]Squirrel SQL Export 1'!AG:AG),IF(_xlpm.r=0,"",_xlpm.r))</f>
        <v>Status</v>
      </c>
    </row>
    <row r="214" spans="1:39" x14ac:dyDescent="0.2">
      <c r="A214" s="2">
        <v>211</v>
      </c>
      <c r="B214" s="2" t="s">
        <v>51</v>
      </c>
      <c r="C214" s="2" t="s">
        <v>959</v>
      </c>
      <c r="D214" s="2" t="s">
        <v>960</v>
      </c>
      <c r="E214" s="2" t="s">
        <v>54</v>
      </c>
      <c r="F214" s="2" t="s">
        <v>96</v>
      </c>
      <c r="J214" s="2" t="s">
        <v>71</v>
      </c>
      <c r="K214" s="2" t="s">
        <v>87</v>
      </c>
      <c r="W214" s="2" t="str">
        <f>_xlfn.LET(_xlpm.r, _xlfn.XLOOKUP(MappingGuide[[#This Row],[Description]],'[1]Squirrel SQL Export 1'!D:D,'[1]Squirrel SQL Export 1'!AC:AC),IF(_xlpm.r=0,"",_xlpm.r))</f>
        <v/>
      </c>
      <c r="AA214" s="2" t="s">
        <v>961</v>
      </c>
      <c r="AB214" s="2" t="s">
        <v>962</v>
      </c>
      <c r="AC214" s="2"/>
      <c r="AE214" s="2" t="str" cm="1">
        <f t="array" ref="AE214">_xlfn.LET(_xlpm.r, _xlfn.XLOOKUP(MappingGuide[[#This Row],[ColumnName]] &amp; "|" &amp; MappingGuide[[#This Row],[Description]],'[1]Squirrel SQL Export 1'!C:C &amp; "|" &amp;'[1]Squirrel SQL Export 1'!D:D,'[1]Squirrel SQL Export 1'!Z:Z),IF(_xlpm.r=0,"",_xlpm.r))</f>
        <v>no</v>
      </c>
      <c r="AF214" s="3" t="s">
        <v>1309</v>
      </c>
      <c r="AG214" s="3" t="s">
        <v>101</v>
      </c>
      <c r="AI214" s="2" t="str">
        <f>_xlfn.LET(_xlpm.r, _xlfn.XLOOKUP(MappingGuide[[#This Row],[Description]],'[1]Squirrel SQL Export 1'!D:D,'[1]Squirrel SQL Export 1'!Y:Y),IF(_xlpm.r=0,"",_xlpm.r))</f>
        <v>Not used</v>
      </c>
      <c r="AK214" s="2" t="str">
        <f>_xlfn.LET(_xlpm.r, _xlfn.XLOOKUP(MappingGuide[[#This Row],[Description]],'[1]Squirrel SQL Export 1'!D:D,'[1]Squirrel SQL Export 1'!AE:AE),IF(_xlpm.r=0,"",_xlpm.r))</f>
        <v/>
      </c>
      <c r="AL214" s="3" t="str">
        <f>_xlfn.LET(_xlpm.r, _xlfn.XLOOKUP(MappingGuide[[#This Row],[DataType]],'[1]Squirrel SQL Export 1'!E:E,'[1]Squirrel SQL Export 1'!AF:AF),IF(_xlpm.r=0,"",_xlpm.r))</f>
        <v/>
      </c>
      <c r="AM214" s="2" t="str">
        <f>_xlfn.LET(_xlpm.r, _xlfn.XLOOKUP(MappingGuide[[#This Row],[Length]],'[1]Squirrel SQL Export 1'!F:F,'[1]Squirrel SQL Export 1'!AG:AG),IF(_xlpm.r=0,"",_xlpm.r))</f>
        <v>Type</v>
      </c>
    </row>
    <row r="215" spans="1:39" x14ac:dyDescent="0.2">
      <c r="A215" s="2">
        <v>212</v>
      </c>
      <c r="B215" s="2" t="s">
        <v>51</v>
      </c>
      <c r="C215" s="2" t="s">
        <v>963</v>
      </c>
      <c r="D215" s="2" t="s">
        <v>964</v>
      </c>
      <c r="E215" s="2" t="s">
        <v>54</v>
      </c>
      <c r="F215" s="2" t="s">
        <v>96</v>
      </c>
      <c r="J215" s="2" t="s">
        <v>71</v>
      </c>
      <c r="K215" s="2" t="s">
        <v>87</v>
      </c>
      <c r="O215" s="2" t="s">
        <v>45</v>
      </c>
      <c r="P215" s="2" t="s">
        <v>88</v>
      </c>
      <c r="Q215" s="2" t="s">
        <v>965</v>
      </c>
      <c r="W215" s="2" t="str">
        <f>_xlfn.LET(_xlpm.r, _xlfn.XLOOKUP(MappingGuide[[#This Row],[Description]],'[1]Squirrel SQL Export 1'!D:D,'[1]Squirrel SQL Export 1'!AC:AC),IF(_xlpm.r=0,"",_xlpm.r))</f>
        <v/>
      </c>
      <c r="AA215" s="2" t="s">
        <v>966</v>
      </c>
      <c r="AC215" s="2"/>
      <c r="AE215" s="2" t="str" cm="1">
        <f t="array" ref="AE215">_xlfn.LET(_xlpm.r, _xlfn.XLOOKUP(MappingGuide[[#This Row],[ColumnName]] &amp; "|" &amp; MappingGuide[[#This Row],[Description]],'[1]Squirrel SQL Export 1'!C:C &amp; "|" &amp;'[1]Squirrel SQL Export 1'!D:D,'[1]Squirrel SQL Export 1'!Z:Z),IF(_xlpm.r=0,"",_xlpm.r))</f>
        <v>no</v>
      </c>
      <c r="AF215" s="3" t="s">
        <v>1309</v>
      </c>
      <c r="AG215" s="3" t="s">
        <v>101</v>
      </c>
      <c r="AI215" s="2" t="str">
        <f>_xlfn.LET(_xlpm.r, _xlfn.XLOOKUP(MappingGuide[[#This Row],[Description]],'[1]Squirrel SQL Export 1'!D:D,'[1]Squirrel SQL Export 1'!Y:Y),IF(_xlpm.r=0,"",_xlpm.r))</f>
        <v>This is needed in M3, but we will set value using template</v>
      </c>
      <c r="AK215" s="2" t="str">
        <f>_xlfn.LET(_xlpm.r, _xlfn.XLOOKUP(MappingGuide[[#This Row],[Description]],'[1]Squirrel SQL Export 1'!D:D,'[1]Squirrel SQL Export 1'!AE:AE),IF(_xlpm.r=0,"",_xlpm.r))</f>
        <v/>
      </c>
      <c r="AL215" s="3" t="str">
        <f>_xlfn.LET(_xlpm.r, _xlfn.XLOOKUP(MappingGuide[[#This Row],[DataType]],'[1]Squirrel SQL Export 1'!E:E,'[1]Squirrel SQL Export 1'!AF:AF),IF(_xlpm.r=0,"",_xlpm.r))</f>
        <v/>
      </c>
      <c r="AM215" s="2" t="str">
        <f>_xlfn.LET(_xlpm.r, _xlfn.XLOOKUP(MappingGuide[[#This Row],[Length]],'[1]Squirrel SQL Export 1'!F:F,'[1]Squirrel SQL Export 1'!AG:AG),IF(_xlpm.r=0,"",_xlpm.r))</f>
        <v>Type</v>
      </c>
    </row>
    <row r="216" spans="1:39" x14ac:dyDescent="0.2">
      <c r="A216" s="2">
        <v>213</v>
      </c>
      <c r="B216" s="2" t="s">
        <v>51</v>
      </c>
      <c r="C216" s="2" t="s">
        <v>967</v>
      </c>
      <c r="D216" s="2" t="s">
        <v>968</v>
      </c>
      <c r="E216" s="2" t="s">
        <v>43</v>
      </c>
      <c r="F216" s="2" t="s">
        <v>407</v>
      </c>
      <c r="J216" s="2" t="s">
        <v>71</v>
      </c>
      <c r="K216" s="2" t="s">
        <v>140</v>
      </c>
      <c r="O216" s="2" t="s">
        <v>45</v>
      </c>
      <c r="P216" s="2" t="s">
        <v>88</v>
      </c>
      <c r="Q216" s="2" t="s">
        <v>969</v>
      </c>
      <c r="W216" s="2" t="str">
        <f>_xlfn.LET(_xlpm.r, _xlfn.XLOOKUP(MappingGuide[[#This Row],[Description]],'[1]Squirrel SQL Export 1'!D:D,'[1]Squirrel SQL Export 1'!AC:AC),IF(_xlpm.r=0,"",_xlpm.r))</f>
        <v/>
      </c>
      <c r="AA216" s="2" t="s">
        <v>970</v>
      </c>
      <c r="AC216" s="2" t="s">
        <v>971</v>
      </c>
      <c r="AE216" s="2" t="str" cm="1">
        <f t="array" ref="AE216">_xlfn.LET(_xlpm.r, _xlfn.XLOOKUP(MappingGuide[[#This Row],[ColumnName]] &amp; "|" &amp; MappingGuide[[#This Row],[Description]],'[1]Squirrel SQL Export 1'!C:C &amp; "|" &amp;'[1]Squirrel SQL Export 1'!D:D,'[1]Squirrel SQL Export 1'!Z:Z),IF(_xlpm.r=0,"",_xlpm.r))</f>
        <v>no</v>
      </c>
      <c r="AF216" s="3" t="s">
        <v>1309</v>
      </c>
      <c r="AG216" s="3" t="s">
        <v>101</v>
      </c>
      <c r="AI216" s="2" t="str">
        <f>_xlfn.LET(_xlpm.r, _xlfn.XLOOKUP(MappingGuide[[#This Row],[Description]],'[1]Squirrel SQL Export 1'!D:D,'[1]Squirrel SQL Export 1'!Y:Y),IF(_xlpm.r=0,"",_xlpm.r))</f>
        <v>This is needed in M3, but we will set value using template</v>
      </c>
      <c r="AK216" s="2" t="str">
        <f>_xlfn.LET(_xlpm.r, _xlfn.XLOOKUP(MappingGuide[[#This Row],[Description]],'[1]Squirrel SQL Export 1'!D:D,'[1]Squirrel SQL Export 1'!AE:AE),IF(_xlpm.r=0,"",_xlpm.r))</f>
        <v/>
      </c>
      <c r="AL216" s="3" t="str">
        <f>_xlfn.LET(_xlpm.r, _xlfn.XLOOKUP(MappingGuide[[#This Row],[DataType]],'[1]Squirrel SQL Export 1'!E:E,'[1]Squirrel SQL Export 1'!AF:AF),IF(_xlpm.r=0,"",_xlpm.r))</f>
        <v>No</v>
      </c>
      <c r="AM216" s="2" t="str">
        <f>_xlfn.LET(_xlpm.r, _xlfn.XLOOKUP(MappingGuide[[#This Row],[Length]],'[1]Squirrel SQL Export 1'!F:F,'[1]Squirrel SQL Export 1'!AG:AG),IF(_xlpm.r=0,"",_xlpm.r))</f>
        <v/>
      </c>
    </row>
    <row r="217" spans="1:39" x14ac:dyDescent="0.2">
      <c r="A217" s="2">
        <v>214</v>
      </c>
      <c r="B217" s="2" t="s">
        <v>51</v>
      </c>
      <c r="C217" s="2" t="s">
        <v>972</v>
      </c>
      <c r="D217" s="2" t="s">
        <v>973</v>
      </c>
      <c r="E217" s="2" t="s">
        <v>54</v>
      </c>
      <c r="F217" s="2" t="s">
        <v>96</v>
      </c>
      <c r="W217" s="2" t="str">
        <f>_xlfn.LET(_xlpm.r, _xlfn.XLOOKUP(MappingGuide[[#This Row],[Description]],'[1]Squirrel SQL Export 1'!D:D,'[1]Squirrel SQL Export 1'!AC:AC),IF(_xlpm.r=0,"",_xlpm.r))</f>
        <v/>
      </c>
      <c r="AC217" s="2"/>
      <c r="AE217" s="2" t="str" cm="1">
        <f t="array" ref="AE217">_xlfn.LET(_xlpm.r, _xlfn.XLOOKUP(MappingGuide[[#This Row],[ColumnName]] &amp; "|" &amp; MappingGuide[[#This Row],[Description]],'[1]Squirrel SQL Export 1'!C:C &amp; "|" &amp;'[1]Squirrel SQL Export 1'!D:D,'[1]Squirrel SQL Export 1'!Z:Z),IF(_xlpm.r=0,"",_xlpm.r))</f>
        <v>no</v>
      </c>
      <c r="AF217" s="3" t="s">
        <v>1309</v>
      </c>
      <c r="AG217" s="3" t="s">
        <v>101</v>
      </c>
      <c r="AI217" s="2" t="str">
        <f>_xlfn.LET(_xlpm.r, _xlfn.XLOOKUP(MappingGuide[[#This Row],[Description]],'[1]Squirrel SQL Export 1'!D:D,'[1]Squirrel SQL Export 1'!Y:Y),IF(_xlpm.r=0,"",_xlpm.r))</f>
        <v>Not used</v>
      </c>
      <c r="AK217" s="2" t="str">
        <f>_xlfn.LET(_xlpm.r, _xlfn.XLOOKUP(MappingGuide[[#This Row],[Description]],'[1]Squirrel SQL Export 1'!D:D,'[1]Squirrel SQL Export 1'!AE:AE),IF(_xlpm.r=0,"",_xlpm.r))</f>
        <v/>
      </c>
      <c r="AL217" s="3" t="str">
        <f>_xlfn.LET(_xlpm.r, _xlfn.XLOOKUP(MappingGuide[[#This Row],[DataType]],'[1]Squirrel SQL Export 1'!E:E,'[1]Squirrel SQL Export 1'!AF:AF),IF(_xlpm.r=0,"",_xlpm.r))</f>
        <v/>
      </c>
      <c r="AM217" s="2" t="str">
        <f>_xlfn.LET(_xlpm.r, _xlfn.XLOOKUP(MappingGuide[[#This Row],[Length]],'[1]Squirrel SQL Export 1'!F:F,'[1]Squirrel SQL Export 1'!AG:AG),IF(_xlpm.r=0,"",_xlpm.r))</f>
        <v>Type</v>
      </c>
    </row>
    <row r="218" spans="1:39" x14ac:dyDescent="0.2">
      <c r="A218" s="2">
        <v>215</v>
      </c>
      <c r="B218" s="2" t="s">
        <v>51</v>
      </c>
      <c r="C218" s="2" t="s">
        <v>974</v>
      </c>
      <c r="D218" s="2" t="s">
        <v>975</v>
      </c>
      <c r="E218" s="2" t="s">
        <v>43</v>
      </c>
      <c r="F218" s="2" t="s">
        <v>96</v>
      </c>
      <c r="J218" s="2" t="s">
        <v>71</v>
      </c>
      <c r="K218" s="2" t="s">
        <v>140</v>
      </c>
      <c r="O218" s="2" t="s">
        <v>45</v>
      </c>
      <c r="P218" s="2" t="s">
        <v>88</v>
      </c>
      <c r="Q218" s="2" t="s">
        <v>976</v>
      </c>
      <c r="W218" s="2" t="str">
        <f>_xlfn.LET(_xlpm.r, _xlfn.XLOOKUP(MappingGuide[[#This Row],[Description]],'[1]Squirrel SQL Export 1'!D:D,'[1]Squirrel SQL Export 1'!AC:AC),IF(_xlpm.r=0,"",_xlpm.r))</f>
        <v>1</v>
      </c>
      <c r="AA218" s="2" t="s">
        <v>977</v>
      </c>
      <c r="AB218" s="2" t="s">
        <v>978</v>
      </c>
      <c r="AE218" s="2" t="str" cm="1">
        <f t="array" ref="AE218">_xlfn.LET(_xlpm.r, _xlfn.XLOOKUP(MappingGuide[[#This Row],[ColumnName]] &amp; "|" &amp; MappingGuide[[#This Row],[Description]],'[1]Squirrel SQL Export 1'!C:C &amp; "|" &amp;'[1]Squirrel SQL Export 1'!D:D,'[1]Squirrel SQL Export 1'!Z:Z),IF(_xlpm.r=0,"",_xlpm.r))</f>
        <v>no</v>
      </c>
      <c r="AF218" s="3" t="s">
        <v>1309</v>
      </c>
      <c r="AG218" s="3" t="s">
        <v>48</v>
      </c>
      <c r="AH218" s="2" t="s">
        <v>96</v>
      </c>
      <c r="AI218" s="2" t="str">
        <f>_xlfn.LET(_xlpm.r, _xlfn.XLOOKUP(MappingGuide[[#This Row],[Description]],'[1]Squirrel SQL Export 1'!D:D,'[1]Squirrel SQL Export 1'!Y:Y),IF(_xlpm.r=0,"",_xlpm.r))</f>
        <v>This is needed in M3, but we will set value using template</v>
      </c>
      <c r="AK218" s="2" t="str">
        <f>_xlfn.LET(_xlpm.r, _xlfn.XLOOKUP(MappingGuide[[#This Row],[Description]],'[1]Squirrel SQL Export 1'!D:D,'[1]Squirrel SQL Export 1'!AE:AE),IF(_xlpm.r=0,"",_xlpm.r))</f>
        <v/>
      </c>
      <c r="AL218" s="3" t="str">
        <f>_xlfn.LET(_xlpm.r, _xlfn.XLOOKUP(MappingGuide[[#This Row],[DataType]],'[1]Squirrel SQL Export 1'!E:E,'[1]Squirrel SQL Export 1'!AF:AF),IF(_xlpm.r=0,"",_xlpm.r))</f>
        <v>No</v>
      </c>
      <c r="AM218" s="2" t="str">
        <f>_xlfn.LET(_xlpm.r, _xlfn.XLOOKUP(MappingGuide[[#This Row],[Length]],'[1]Squirrel SQL Export 1'!F:F,'[1]Squirrel SQL Export 1'!AG:AG),IF(_xlpm.r=0,"",_xlpm.r))</f>
        <v>Type</v>
      </c>
    </row>
    <row r="219" spans="1:39" x14ac:dyDescent="0.2">
      <c r="A219" s="2">
        <v>216</v>
      </c>
      <c r="B219" s="2" t="s">
        <v>51</v>
      </c>
      <c r="C219" s="2" t="s">
        <v>979</v>
      </c>
      <c r="D219" s="2" t="s">
        <v>980</v>
      </c>
      <c r="E219" s="2" t="s">
        <v>43</v>
      </c>
      <c r="F219" s="2" t="s">
        <v>44</v>
      </c>
      <c r="J219" s="2" t="s">
        <v>71</v>
      </c>
      <c r="K219" s="2" t="s">
        <v>140</v>
      </c>
      <c r="O219" s="2" t="s">
        <v>45</v>
      </c>
      <c r="P219" s="2" t="s">
        <v>88</v>
      </c>
      <c r="Q219" s="2" t="s">
        <v>981</v>
      </c>
      <c r="W219" s="2" t="str">
        <f>_xlfn.LET(_xlpm.r, _xlfn.XLOOKUP(MappingGuide[[#This Row],[Description]],'[1]Squirrel SQL Export 1'!D:D,'[1]Squirrel SQL Export 1'!AC:AC),IF(_xlpm.r=0,"",_xlpm.r))</f>
        <v/>
      </c>
      <c r="AA219" s="2" t="s">
        <v>982</v>
      </c>
      <c r="AC219" s="2" t="s">
        <v>983</v>
      </c>
      <c r="AE219" s="2" t="str" cm="1">
        <f t="array" ref="AE219">_xlfn.LET(_xlpm.r, _xlfn.XLOOKUP(MappingGuide[[#This Row],[ColumnName]] &amp; "|" &amp; MappingGuide[[#This Row],[Description]],'[1]Squirrel SQL Export 1'!C:C &amp; "|" &amp;'[1]Squirrel SQL Export 1'!D:D,'[1]Squirrel SQL Export 1'!Z:Z),IF(_xlpm.r=0,"",_xlpm.r))</f>
        <v>no</v>
      </c>
      <c r="AF219" s="3" t="s">
        <v>1309</v>
      </c>
      <c r="AG219" s="3" t="s">
        <v>101</v>
      </c>
      <c r="AI219" s="2" t="str">
        <f>_xlfn.LET(_xlpm.r, _xlfn.XLOOKUP(MappingGuide[[#This Row],[Description]],'[1]Squirrel SQL Export 1'!D:D,'[1]Squirrel SQL Export 1'!Y:Y),IF(_xlpm.r=0,"",_xlpm.r))</f>
        <v>Not used (Connected to security)</v>
      </c>
      <c r="AK219" s="2" t="str">
        <f>_xlfn.LET(_xlpm.r, _xlfn.XLOOKUP(MappingGuide[[#This Row],[Description]],'[1]Squirrel SQL Export 1'!D:D,'[1]Squirrel SQL Export 1'!AE:AE),IF(_xlpm.r=0,"",_xlpm.r))</f>
        <v/>
      </c>
      <c r="AL219" s="3" t="str">
        <f>_xlfn.LET(_xlpm.r, _xlfn.XLOOKUP(MappingGuide[[#This Row],[DataType]],'[1]Squirrel SQL Export 1'!E:E,'[1]Squirrel SQL Export 1'!AF:AF),IF(_xlpm.r=0,"",_xlpm.r))</f>
        <v>No</v>
      </c>
      <c r="AM219" s="2" t="str">
        <f>_xlfn.LET(_xlpm.r, _xlfn.XLOOKUP(MappingGuide[[#This Row],[Length]],'[1]Squirrel SQL Export 1'!F:F,'[1]Squirrel SQL Export 1'!AG:AG),IF(_xlpm.r=0,"",_xlpm.r))</f>
        <v/>
      </c>
    </row>
    <row r="220" spans="1:39" x14ac:dyDescent="0.2">
      <c r="A220" s="2">
        <v>217</v>
      </c>
      <c r="B220" s="2" t="s">
        <v>51</v>
      </c>
      <c r="C220" s="2" t="s">
        <v>984</v>
      </c>
      <c r="D220" s="2" t="s">
        <v>985</v>
      </c>
      <c r="E220" s="2" t="s">
        <v>54</v>
      </c>
      <c r="F220" s="2" t="s">
        <v>96</v>
      </c>
      <c r="J220" s="2" t="s">
        <v>71</v>
      </c>
      <c r="K220" s="2" t="s">
        <v>444</v>
      </c>
      <c r="O220" s="2" t="s">
        <v>45</v>
      </c>
      <c r="P220" s="2" t="s">
        <v>168</v>
      </c>
      <c r="Q220" s="2" t="s">
        <v>986</v>
      </c>
      <c r="W220" s="2" t="str">
        <f>_xlfn.LET(_xlpm.r, _xlfn.XLOOKUP(MappingGuide[[#This Row],[Description]],'[1]Squirrel SQL Export 1'!D:D,'[1]Squirrel SQL Export 1'!AC:AC),IF(_xlpm.r=0,"",_xlpm.r))</f>
        <v>3</v>
      </c>
      <c r="AA220" s="2" t="s">
        <v>987</v>
      </c>
      <c r="AB220" s="2" t="s">
        <v>988</v>
      </c>
      <c r="AE220" s="2" t="str" cm="1">
        <f t="array" ref="AE220">_xlfn.LET(_xlpm.r, _xlfn.XLOOKUP(MappingGuide[[#This Row],[ColumnName]] &amp; "|" &amp; MappingGuide[[#This Row],[Description]],'[1]Squirrel SQL Export 1'!C:C &amp; "|" &amp;'[1]Squirrel SQL Export 1'!D:D,'[1]Squirrel SQL Export 1'!Z:Z),IF(_xlpm.r=0,"",_xlpm.r))</f>
        <v>no</v>
      </c>
      <c r="AF220" s="3" t="s">
        <v>1309</v>
      </c>
      <c r="AG220" s="3" t="s">
        <v>48</v>
      </c>
      <c r="AH220" s="2" t="s">
        <v>55</v>
      </c>
      <c r="AI220" s="2" t="str">
        <f>_xlfn.LET(_xlpm.r, _xlfn.XLOOKUP(MappingGuide[[#This Row],[Description]],'[1]Squirrel SQL Export 1'!D:D,'[1]Squirrel SQL Export 1'!Y:Y),IF(_xlpm.r=0,"",_xlpm.r))</f>
        <v>This is needed in M3, but we will set value using template</v>
      </c>
      <c r="AK220" s="2" t="str">
        <f>_xlfn.LET(_xlpm.r, _xlfn.XLOOKUP(MappingGuide[[#This Row],[Description]],'[1]Squirrel SQL Export 1'!D:D,'[1]Squirrel SQL Export 1'!AE:AE),IF(_xlpm.r=0,"",_xlpm.r))</f>
        <v/>
      </c>
      <c r="AL220" s="3" t="str">
        <f>_xlfn.LET(_xlpm.r, _xlfn.XLOOKUP(MappingGuide[[#This Row],[DataType]],'[1]Squirrel SQL Export 1'!E:E,'[1]Squirrel SQL Export 1'!AF:AF),IF(_xlpm.r=0,"",_xlpm.r))</f>
        <v/>
      </c>
      <c r="AM220" s="2" t="str">
        <f>_xlfn.LET(_xlpm.r, _xlfn.XLOOKUP(MappingGuide[[#This Row],[Length]],'[1]Squirrel SQL Export 1'!F:F,'[1]Squirrel SQL Export 1'!AG:AG),IF(_xlpm.r=0,"",_xlpm.r))</f>
        <v>Type</v>
      </c>
    </row>
    <row r="221" spans="1:39" x14ac:dyDescent="0.2">
      <c r="A221" s="2">
        <v>218</v>
      </c>
      <c r="B221" s="2" t="s">
        <v>51</v>
      </c>
      <c r="C221" s="2" t="s">
        <v>989</v>
      </c>
      <c r="D221" s="2" t="s">
        <v>990</v>
      </c>
      <c r="E221" s="2" t="s">
        <v>43</v>
      </c>
      <c r="F221" s="2" t="s">
        <v>55</v>
      </c>
      <c r="J221" s="2" t="s">
        <v>71</v>
      </c>
      <c r="K221" s="2" t="s">
        <v>444</v>
      </c>
      <c r="O221" s="2" t="s">
        <v>45</v>
      </c>
      <c r="P221" s="2" t="s">
        <v>168</v>
      </c>
      <c r="Q221" s="2" t="s">
        <v>991</v>
      </c>
      <c r="W221" s="2" t="str">
        <f>_xlfn.LET(_xlpm.r, _xlfn.XLOOKUP(MappingGuide[[#This Row],[Description]],'[1]Squirrel SQL Export 1'!D:D,'[1]Squirrel SQL Export 1'!AC:AC),IF(_xlpm.r=0,"",_xlpm.r))</f>
        <v>Z01</v>
      </c>
      <c r="AA221" s="2" t="s">
        <v>992</v>
      </c>
      <c r="AC221" s="3" t="s">
        <v>993</v>
      </c>
      <c r="AE221" s="2" t="str" cm="1">
        <f t="array" ref="AE221">_xlfn.LET(_xlpm.r, _xlfn.XLOOKUP(MappingGuide[[#This Row],[ColumnName]] &amp; "|" &amp; MappingGuide[[#This Row],[Description]],'[1]Squirrel SQL Export 1'!C:C &amp; "|" &amp;'[1]Squirrel SQL Export 1'!D:D,'[1]Squirrel SQL Export 1'!Z:Z),IF(_xlpm.r=0,"",_xlpm.r))</f>
        <v>no</v>
      </c>
      <c r="AF221" s="3" t="s">
        <v>1309</v>
      </c>
      <c r="AG221" s="3" t="s">
        <v>48</v>
      </c>
      <c r="AH221" s="2" t="s">
        <v>465</v>
      </c>
      <c r="AI221" s="2" t="str">
        <f>_xlfn.LET(_xlpm.r, _xlfn.XLOOKUP(MappingGuide[[#This Row],[Description]],'[1]Squirrel SQL Export 1'!D:D,'[1]Squirrel SQL Export 1'!Y:Y),IF(_xlpm.r=0,"",_xlpm.r))</f>
        <v>This is needed in M3, but we will set value using template</v>
      </c>
      <c r="AK221" s="2" t="str">
        <f>_xlfn.LET(_xlpm.r, _xlfn.XLOOKUP(MappingGuide[[#This Row],[Description]],'[1]Squirrel SQL Export 1'!D:D,'[1]Squirrel SQL Export 1'!AE:AE),IF(_xlpm.r=0,"",_xlpm.r))</f>
        <v/>
      </c>
      <c r="AL221" s="3" t="str">
        <f>_xlfn.LET(_xlpm.r, _xlfn.XLOOKUP(MappingGuide[[#This Row],[DataType]],'[1]Squirrel SQL Export 1'!E:E,'[1]Squirrel SQL Export 1'!AF:AF),IF(_xlpm.r=0,"",_xlpm.r))</f>
        <v>No</v>
      </c>
      <c r="AM221" s="2" t="str">
        <f>_xlfn.LET(_xlpm.r, _xlfn.XLOOKUP(MappingGuide[[#This Row],[Length]],'[1]Squirrel SQL Export 1'!F:F,'[1]Squirrel SQL Export 1'!AG:AG),IF(_xlpm.r=0,"",_xlpm.r))</f>
        <v/>
      </c>
    </row>
    <row r="222" spans="1:39" x14ac:dyDescent="0.2">
      <c r="A222" s="2">
        <v>219</v>
      </c>
      <c r="B222" s="2" t="s">
        <v>51</v>
      </c>
      <c r="C222" s="2" t="s">
        <v>994</v>
      </c>
      <c r="D222" s="2" t="s">
        <v>995</v>
      </c>
      <c r="E222" s="2" t="s">
        <v>54</v>
      </c>
      <c r="F222" s="2" t="s">
        <v>96</v>
      </c>
      <c r="J222" s="2" t="s">
        <v>71</v>
      </c>
      <c r="K222" s="2" t="s">
        <v>140</v>
      </c>
      <c r="O222" s="2" t="s">
        <v>45</v>
      </c>
      <c r="P222" s="2" t="s">
        <v>88</v>
      </c>
      <c r="Q222" s="2" t="s">
        <v>996</v>
      </c>
      <c r="W222" s="2" t="str">
        <f>_xlfn.LET(_xlpm.r, _xlfn.XLOOKUP(MappingGuide[[#This Row],[Description]],'[1]Squirrel SQL Export 1'!D:D,'[1]Squirrel SQL Export 1'!AC:AC),IF(_xlpm.r=0,"",_xlpm.r))</f>
        <v>1</v>
      </c>
      <c r="AA222" s="2" t="s">
        <v>997</v>
      </c>
      <c r="AE222" s="2" t="str" cm="1">
        <f t="array" ref="AE222">_xlfn.LET(_xlpm.r, _xlfn.XLOOKUP(MappingGuide[[#This Row],[ColumnName]] &amp; "|" &amp; MappingGuide[[#This Row],[Description]],'[1]Squirrel SQL Export 1'!C:C &amp; "|" &amp;'[1]Squirrel SQL Export 1'!D:D,'[1]Squirrel SQL Export 1'!Z:Z),IF(_xlpm.r=0,"",_xlpm.r))</f>
        <v>no</v>
      </c>
      <c r="AF222" s="3" t="s">
        <v>1309</v>
      </c>
      <c r="AG222" s="3" t="s">
        <v>48</v>
      </c>
      <c r="AH222" s="2" t="s">
        <v>96</v>
      </c>
      <c r="AI222" s="2" t="str">
        <f>_xlfn.LET(_xlpm.r, _xlfn.XLOOKUP(MappingGuide[[#This Row],[Description]],'[1]Squirrel SQL Export 1'!D:D,'[1]Squirrel SQL Export 1'!Y:Y),IF(_xlpm.r=0,"",_xlpm.r))</f>
        <v>This is needed in M3, but we will set value using template</v>
      </c>
      <c r="AK222" s="2" t="str">
        <f>_xlfn.LET(_xlpm.r, _xlfn.XLOOKUP(MappingGuide[[#This Row],[Description]],'[1]Squirrel SQL Export 1'!D:D,'[1]Squirrel SQL Export 1'!AE:AE),IF(_xlpm.r=0,"",_xlpm.r))</f>
        <v/>
      </c>
      <c r="AL222" s="3" t="str">
        <f>_xlfn.LET(_xlpm.r, _xlfn.XLOOKUP(MappingGuide[[#This Row],[DataType]],'[1]Squirrel SQL Export 1'!E:E,'[1]Squirrel SQL Export 1'!AF:AF),IF(_xlpm.r=0,"",_xlpm.r))</f>
        <v/>
      </c>
      <c r="AM222" s="2" t="str">
        <f>_xlfn.LET(_xlpm.r, _xlfn.XLOOKUP(MappingGuide[[#This Row],[Length]],'[1]Squirrel SQL Export 1'!F:F,'[1]Squirrel SQL Export 1'!AG:AG),IF(_xlpm.r=0,"",_xlpm.r))</f>
        <v>Type</v>
      </c>
    </row>
    <row r="223" spans="1:39" x14ac:dyDescent="0.2">
      <c r="A223" s="2">
        <v>220</v>
      </c>
      <c r="B223" s="2" t="s">
        <v>51</v>
      </c>
      <c r="C223" s="2" t="s">
        <v>998</v>
      </c>
      <c r="D223" s="2" t="s">
        <v>999</v>
      </c>
      <c r="E223" s="2" t="s">
        <v>54</v>
      </c>
      <c r="F223" s="2" t="s">
        <v>96</v>
      </c>
      <c r="J223" s="2" t="s">
        <v>71</v>
      </c>
      <c r="K223" s="2" t="s">
        <v>140</v>
      </c>
      <c r="O223" s="2" t="s">
        <v>45</v>
      </c>
      <c r="P223" s="2" t="s">
        <v>88</v>
      </c>
      <c r="Q223" s="2" t="s">
        <v>1000</v>
      </c>
      <c r="W223" s="2" t="str">
        <f>_xlfn.LET(_xlpm.r, _xlfn.XLOOKUP(MappingGuide[[#This Row],[Description]],'[1]Squirrel SQL Export 1'!D:D,'[1]Squirrel SQL Export 1'!AC:AC),IF(_xlpm.r=0,"",_xlpm.r))</f>
        <v>1</v>
      </c>
      <c r="AA223" s="2" t="s">
        <v>1001</v>
      </c>
      <c r="AE223" s="2" t="str" cm="1">
        <f t="array" ref="AE223">_xlfn.LET(_xlpm.r, _xlfn.XLOOKUP(MappingGuide[[#This Row],[ColumnName]] &amp; "|" &amp; MappingGuide[[#This Row],[Description]],'[1]Squirrel SQL Export 1'!C:C &amp; "|" &amp;'[1]Squirrel SQL Export 1'!D:D,'[1]Squirrel SQL Export 1'!Z:Z),IF(_xlpm.r=0,"",_xlpm.r))</f>
        <v>no</v>
      </c>
      <c r="AF223" s="3" t="s">
        <v>1309</v>
      </c>
      <c r="AG223" s="3" t="s">
        <v>48</v>
      </c>
      <c r="AH223" s="2" t="s">
        <v>96</v>
      </c>
      <c r="AI223" s="2" t="str">
        <f>_xlfn.LET(_xlpm.r, _xlfn.XLOOKUP(MappingGuide[[#This Row],[Description]],'[1]Squirrel SQL Export 1'!D:D,'[1]Squirrel SQL Export 1'!Y:Y),IF(_xlpm.r=0,"",_xlpm.r))</f>
        <v>This is needed in M3, but we will set value using template</v>
      </c>
      <c r="AK223" s="2" t="str">
        <f>_xlfn.LET(_xlpm.r, _xlfn.XLOOKUP(MappingGuide[[#This Row],[Description]],'[1]Squirrel SQL Export 1'!D:D,'[1]Squirrel SQL Export 1'!AE:AE),IF(_xlpm.r=0,"",_xlpm.r))</f>
        <v/>
      </c>
      <c r="AL223" s="3" t="str">
        <f>_xlfn.LET(_xlpm.r, _xlfn.XLOOKUP(MappingGuide[[#This Row],[DataType]],'[1]Squirrel SQL Export 1'!E:E,'[1]Squirrel SQL Export 1'!AF:AF),IF(_xlpm.r=0,"",_xlpm.r))</f>
        <v/>
      </c>
      <c r="AM223" s="2" t="str">
        <f>_xlfn.LET(_xlpm.r, _xlfn.XLOOKUP(MappingGuide[[#This Row],[Length]],'[1]Squirrel SQL Export 1'!F:F,'[1]Squirrel SQL Export 1'!AG:AG),IF(_xlpm.r=0,"",_xlpm.r))</f>
        <v>Type</v>
      </c>
    </row>
    <row r="224" spans="1:39" x14ac:dyDescent="0.2">
      <c r="A224" s="2">
        <v>221</v>
      </c>
      <c r="B224" s="2" t="s">
        <v>51</v>
      </c>
      <c r="C224" s="2" t="s">
        <v>1002</v>
      </c>
      <c r="D224" s="2" t="s">
        <v>1003</v>
      </c>
      <c r="E224" s="2" t="s">
        <v>43</v>
      </c>
      <c r="F224" s="2" t="s">
        <v>77</v>
      </c>
      <c r="J224" s="2" t="s">
        <v>71</v>
      </c>
      <c r="K224" s="2" t="s">
        <v>72</v>
      </c>
      <c r="O224" s="2" t="s">
        <v>45</v>
      </c>
      <c r="P224" s="2" t="s">
        <v>46</v>
      </c>
      <c r="Q224" s="2" t="s">
        <v>1004</v>
      </c>
      <c r="T224" s="2" t="s">
        <v>1005</v>
      </c>
      <c r="V224" s="2" t="s">
        <v>1006</v>
      </c>
      <c r="W224" s="2" t="str">
        <f>_xlfn.LET(_xlpm.r, _xlfn.XLOOKUP(MappingGuide[[#This Row],[Description]],'[1]Squirrel SQL Export 1'!D:D,'[1]Squirrel SQL Export 1'!AC:AC),IF(_xlpm.r=0,"",_xlpm.r))</f>
        <v>WINCHESTER</v>
      </c>
      <c r="AA224" s="2" t="s">
        <v>1007</v>
      </c>
      <c r="AE224" s="2" t="str" cm="1">
        <f t="array" ref="AE224">_xlfn.LET(_xlpm.r, _xlfn.XLOOKUP(MappingGuide[[#This Row],[ColumnName]] &amp; "|" &amp; MappingGuide[[#This Row],[Description]],'[1]Squirrel SQL Export 1'!C:C &amp; "|" &amp;'[1]Squirrel SQL Export 1'!D:D,'[1]Squirrel SQL Export 1'!Z:Z),IF(_xlpm.r=0,"",_xlpm.r))</f>
        <v>yes</v>
      </c>
      <c r="AF224" s="3" t="s">
        <v>1309</v>
      </c>
      <c r="AG224" s="3" t="s">
        <v>48</v>
      </c>
      <c r="AH224" s="2" t="s">
        <v>1008</v>
      </c>
      <c r="AI224" s="2" t="str">
        <f>_xlfn.LET(_xlpm.r, _xlfn.XLOOKUP(MappingGuide[[#This Row],[Description]],'[1]Squirrel SQL Export 1'!D:D,'[1]Squirrel SQL Export 1'!Y:Y),IF(_xlpm.r=0,"",_xlpm.r))</f>
        <v>Name of the City (20 pos)</v>
      </c>
      <c r="AK224" s="2" t="str">
        <f>_xlfn.LET(_xlpm.r, _xlfn.XLOOKUP(MappingGuide[[#This Row],[Description]],'[1]Squirrel SQL Export 1'!D:D,'[1]Squirrel SQL Export 1'!AE:AE),IF(_xlpm.r=0,"",_xlpm.r))</f>
        <v>Need to discuss if this is mailing, shipping or billing (That goes for all Address fields).</v>
      </c>
      <c r="AL224" s="3" t="str">
        <f>_xlfn.LET(_xlpm.r, _xlfn.XLOOKUP(MappingGuide[[#This Row],[DataType]],'[1]Squirrel SQL Export 1'!E:E,'[1]Squirrel SQL Export 1'!AF:AF),IF(_xlpm.r=0,"",_xlpm.r))</f>
        <v>No</v>
      </c>
      <c r="AM224" s="2" t="str">
        <f>_xlfn.LET(_xlpm.r, _xlfn.XLOOKUP(MappingGuide[[#This Row],[Length]],'[1]Squirrel SQL Export 1'!F:F,'[1]Squirrel SQL Export 1'!AG:AG),IF(_xlpm.r=0,"",_xlpm.r))</f>
        <v/>
      </c>
    </row>
    <row r="225" spans="1:39" x14ac:dyDescent="0.2">
      <c r="A225" s="2">
        <v>222</v>
      </c>
      <c r="B225" s="2" t="s">
        <v>51</v>
      </c>
      <c r="C225" s="2" t="s">
        <v>1009</v>
      </c>
      <c r="D225" s="2" t="s">
        <v>1010</v>
      </c>
      <c r="E225" s="2" t="s">
        <v>43</v>
      </c>
      <c r="F225" s="2" t="s">
        <v>139</v>
      </c>
      <c r="J225" s="2" t="s">
        <v>71</v>
      </c>
      <c r="K225" s="2" t="s">
        <v>140</v>
      </c>
      <c r="O225" s="2" t="s">
        <v>45</v>
      </c>
      <c r="P225" s="2" t="s">
        <v>88</v>
      </c>
      <c r="Q225" s="2" t="s">
        <v>1011</v>
      </c>
      <c r="W225" s="2" t="str">
        <f>_xlfn.LET(_xlpm.r, _xlfn.XLOOKUP(MappingGuide[[#This Row],[Description]],'[1]Squirrel SQL Export 1'!D:D,'[1]Squirrel SQL Export 1'!AC:AC),IF(_xlpm.r=0,"",_xlpm.r))</f>
        <v/>
      </c>
      <c r="AA225" s="2" t="s">
        <v>1012</v>
      </c>
      <c r="AC225" s="2" t="s">
        <v>1013</v>
      </c>
      <c r="AE225" s="2" t="str" cm="1">
        <f t="array" ref="AE225">_xlfn.LET(_xlpm.r, _xlfn.XLOOKUP(MappingGuide[[#This Row],[ColumnName]] &amp; "|" &amp; MappingGuide[[#This Row],[Description]],'[1]Squirrel SQL Export 1'!C:C &amp; "|" &amp;'[1]Squirrel SQL Export 1'!D:D,'[1]Squirrel SQL Export 1'!Z:Z),IF(_xlpm.r=0,"",_xlpm.r))</f>
        <v>no</v>
      </c>
      <c r="AF225" s="3" t="s">
        <v>1309</v>
      </c>
      <c r="AG225" s="3" t="s">
        <v>101</v>
      </c>
      <c r="AI225" s="2" t="str">
        <f>_xlfn.LET(_xlpm.r, _xlfn.XLOOKUP(MappingGuide[[#This Row],[Description]],'[1]Squirrel SQL Export 1'!D:D,'[1]Squirrel SQL Export 1'!Y:Y),IF(_xlpm.r=0,"",_xlpm.r))</f>
        <v>Only applicable if Ship via addresses is used and predefined per customer. Ship via can also be defined on routes and in separate control table (MWS190).
As discussed with Kyle, we don't have Ship via for any customer</v>
      </c>
      <c r="AK225" s="2" t="str">
        <f>_xlfn.LET(_xlpm.r, _xlfn.XLOOKUP(MappingGuide[[#This Row],[Description]],'[1]Squirrel SQL Export 1'!D:D,'[1]Squirrel SQL Export 1'!AE:AE),IF(_xlpm.r=0,"",_xlpm.r))</f>
        <v>This appears to be an M3 only attribute.</v>
      </c>
      <c r="AL225" s="3" t="str">
        <f>_xlfn.LET(_xlpm.r, _xlfn.XLOOKUP(MappingGuide[[#This Row],[DataType]],'[1]Squirrel SQL Export 1'!E:E,'[1]Squirrel SQL Export 1'!AF:AF),IF(_xlpm.r=0,"",_xlpm.r))</f>
        <v>No</v>
      </c>
      <c r="AM225" s="2" t="str">
        <f>_xlfn.LET(_xlpm.r, _xlfn.XLOOKUP(MappingGuide[[#This Row],[Length]],'[1]Squirrel SQL Export 1'!F:F,'[1]Squirrel SQL Export 1'!AG:AG),IF(_xlpm.r=0,"",_xlpm.r))</f>
        <v/>
      </c>
    </row>
    <row r="226" spans="1:39" x14ac:dyDescent="0.2">
      <c r="A226" s="2">
        <v>223</v>
      </c>
      <c r="B226" s="2" t="s">
        <v>51</v>
      </c>
      <c r="C226" s="2" t="s">
        <v>1014</v>
      </c>
      <c r="D226" s="2" t="s">
        <v>1015</v>
      </c>
      <c r="E226" s="2" t="s">
        <v>54</v>
      </c>
      <c r="F226" s="2" t="s">
        <v>96</v>
      </c>
      <c r="W226" s="2" t="str">
        <f>_xlfn.LET(_xlpm.r, _xlfn.XLOOKUP(MappingGuide[[#This Row],[Description]],'[1]Squirrel SQL Export 1'!D:D,'[1]Squirrel SQL Export 1'!AC:AC),IF(_xlpm.r=0,"",_xlpm.r))</f>
        <v/>
      </c>
      <c r="AC226" s="2"/>
      <c r="AE226" s="2" t="str" cm="1">
        <f t="array" ref="AE226">_xlfn.LET(_xlpm.r, _xlfn.XLOOKUP(MappingGuide[[#This Row],[ColumnName]] &amp; "|" &amp; MappingGuide[[#This Row],[Description]],'[1]Squirrel SQL Export 1'!C:C &amp; "|" &amp;'[1]Squirrel SQL Export 1'!D:D,'[1]Squirrel SQL Export 1'!Z:Z),IF(_xlpm.r=0,"",_xlpm.r))</f>
        <v>no</v>
      </c>
      <c r="AF226" s="3" t="s">
        <v>1309</v>
      </c>
      <c r="AG226" s="3" t="s">
        <v>101</v>
      </c>
      <c r="AI226" s="2" t="str">
        <f>_xlfn.LET(_xlpm.r, _xlfn.XLOOKUP(MappingGuide[[#This Row],[Description]],'[1]Squirrel SQL Export 1'!D:D,'[1]Squirrel SQL Export 1'!Y:Y),IF(_xlpm.r=0,"",_xlpm.r))</f>
        <v>Not used</v>
      </c>
      <c r="AK226" s="2" t="str">
        <f>_xlfn.LET(_xlpm.r, _xlfn.XLOOKUP(MappingGuide[[#This Row],[Description]],'[1]Squirrel SQL Export 1'!D:D,'[1]Squirrel SQL Export 1'!AE:AE),IF(_xlpm.r=0,"",_xlpm.r))</f>
        <v/>
      </c>
      <c r="AL226" s="3" t="str">
        <f>_xlfn.LET(_xlpm.r, _xlfn.XLOOKUP(MappingGuide[[#This Row],[DataType]],'[1]Squirrel SQL Export 1'!E:E,'[1]Squirrel SQL Export 1'!AF:AF),IF(_xlpm.r=0,"",_xlpm.r))</f>
        <v/>
      </c>
      <c r="AM226" s="2" t="str">
        <f>_xlfn.LET(_xlpm.r, _xlfn.XLOOKUP(MappingGuide[[#This Row],[Length]],'[1]Squirrel SQL Export 1'!F:F,'[1]Squirrel SQL Export 1'!AG:AG),IF(_xlpm.r=0,"",_xlpm.r))</f>
        <v>Type</v>
      </c>
    </row>
    <row r="227" spans="1:39" x14ac:dyDescent="0.2">
      <c r="A227" s="2">
        <v>224</v>
      </c>
      <c r="B227" s="2" t="s">
        <v>51</v>
      </c>
      <c r="C227" s="2" t="s">
        <v>1016</v>
      </c>
      <c r="D227" s="2" t="s">
        <v>1017</v>
      </c>
      <c r="E227" s="2" t="s">
        <v>54</v>
      </c>
      <c r="F227" s="2" t="s">
        <v>407</v>
      </c>
      <c r="L227" s="2" t="s">
        <v>48</v>
      </c>
      <c r="W227" s="2" t="str">
        <f>_xlfn.LET(_xlpm.r, _xlfn.XLOOKUP(MappingGuide[[#This Row],[Description]],'[1]Squirrel SQL Export 1'!D:D,'[1]Squirrel SQL Export 1'!AC:AC),IF(_xlpm.r=0,"",_xlpm.r))</f>
        <v/>
      </c>
      <c r="AA227" s="2" t="s">
        <v>1018</v>
      </c>
      <c r="AC227" s="2"/>
      <c r="AE227" s="2" t="str" cm="1">
        <f t="array" ref="AE227">_xlfn.LET(_xlpm.r, _xlfn.XLOOKUP(MappingGuide[[#This Row],[ColumnName]] &amp; "|" &amp; MappingGuide[[#This Row],[Description]],'[1]Squirrel SQL Export 1'!C:C &amp; "|" &amp;'[1]Squirrel SQL Export 1'!D:D,'[1]Squirrel SQL Export 1'!Z:Z),IF(_xlpm.r=0,"",_xlpm.r))</f>
        <v>no</v>
      </c>
      <c r="AF227" s="3" t="s">
        <v>1309</v>
      </c>
      <c r="AG227" s="3" t="s">
        <v>101</v>
      </c>
      <c r="AI227" s="2" t="str">
        <f>_xlfn.LET(_xlpm.r, _xlfn.XLOOKUP(MappingGuide[[#This Row],[Description]],'[1]Squirrel SQL Export 1'!D:D,'[1]Squirrel SQL Export 1'!Y:Y),IF(_xlpm.r=0,"",_xlpm.r))</f>
        <v>Not used (Set automatically in the database when record created)</v>
      </c>
      <c r="AK227" s="2" t="str">
        <f>_xlfn.LET(_xlpm.r, _xlfn.XLOOKUP(MappingGuide[[#This Row],[Description]],'[1]Squirrel SQL Export 1'!D:D,'[1]Squirrel SQL Export 1'!AE:AE),IF(_xlpm.r=0,"",_xlpm.r))</f>
        <v/>
      </c>
      <c r="AL227" s="3" t="str">
        <f>_xlfn.LET(_xlpm.r, _xlfn.XLOOKUP(MappingGuide[[#This Row],[DataType]],'[1]Squirrel SQL Export 1'!E:E,'[1]Squirrel SQL Export 1'!AF:AF),IF(_xlpm.r=0,"",_xlpm.r))</f>
        <v/>
      </c>
      <c r="AM227" s="2" t="str">
        <f>_xlfn.LET(_xlpm.r, _xlfn.XLOOKUP(MappingGuide[[#This Row],[Length]],'[1]Squirrel SQL Export 1'!F:F,'[1]Squirrel SQL Export 1'!AG:AG),IF(_xlpm.r=0,"",_xlpm.r))</f>
        <v/>
      </c>
    </row>
    <row r="228" spans="1:39" x14ac:dyDescent="0.2">
      <c r="A228" s="2">
        <v>225</v>
      </c>
      <c r="B228" s="2" t="s">
        <v>51</v>
      </c>
      <c r="C228" s="2" t="s">
        <v>1019</v>
      </c>
      <c r="D228" s="2" t="s">
        <v>1020</v>
      </c>
      <c r="E228" s="2" t="s">
        <v>54</v>
      </c>
      <c r="F228" s="2" t="s">
        <v>139</v>
      </c>
      <c r="W228" s="2" t="str">
        <f>_xlfn.LET(_xlpm.r, _xlfn.XLOOKUP(MappingGuide[[#This Row],[Description]],'[1]Squirrel SQL Export 1'!D:D,'[1]Squirrel SQL Export 1'!AC:AC),IF(_xlpm.r=0,"",_xlpm.r))</f>
        <v/>
      </c>
      <c r="AA228" s="2" t="s">
        <v>1021</v>
      </c>
      <c r="AC228" s="2"/>
      <c r="AE228" s="2" t="str" cm="1">
        <f t="array" ref="AE228">_xlfn.LET(_xlpm.r, _xlfn.XLOOKUP(MappingGuide[[#This Row],[ColumnName]] &amp; "|" &amp; MappingGuide[[#This Row],[Description]],'[1]Squirrel SQL Export 1'!C:C &amp; "|" &amp;'[1]Squirrel SQL Export 1'!D:D,'[1]Squirrel SQL Export 1'!Z:Z),IF(_xlpm.r=0,"",_xlpm.r))</f>
        <v>no</v>
      </c>
      <c r="AF228" s="3" t="s">
        <v>1309</v>
      </c>
      <c r="AG228" s="3" t="s">
        <v>101</v>
      </c>
      <c r="AI228" s="2" t="str">
        <f>_xlfn.LET(_xlpm.r, _xlfn.XLOOKUP(MappingGuide[[#This Row],[Description]],'[1]Squirrel SQL Export 1'!D:D,'[1]Squirrel SQL Export 1'!Y:Y),IF(_xlpm.r=0,"",_xlpm.r))</f>
        <v>Not used (Set automatically in the database when record created)</v>
      </c>
      <c r="AK228" s="2" t="str">
        <f>_xlfn.LET(_xlpm.r, _xlfn.XLOOKUP(MappingGuide[[#This Row],[Description]],'[1]Squirrel SQL Export 1'!D:D,'[1]Squirrel SQL Export 1'!AE:AE),IF(_xlpm.r=0,"",_xlpm.r))</f>
        <v/>
      </c>
      <c r="AL228" s="3" t="str">
        <f>_xlfn.LET(_xlpm.r, _xlfn.XLOOKUP(MappingGuide[[#This Row],[DataType]],'[1]Squirrel SQL Export 1'!E:E,'[1]Squirrel SQL Export 1'!AF:AF),IF(_xlpm.r=0,"",_xlpm.r))</f>
        <v/>
      </c>
      <c r="AM228" s="2" t="str">
        <f>_xlfn.LET(_xlpm.r, _xlfn.XLOOKUP(MappingGuide[[#This Row],[Length]],'[1]Squirrel SQL Export 1'!F:F,'[1]Squirrel SQL Export 1'!AG:AG),IF(_xlpm.r=0,"",_xlpm.r))</f>
        <v/>
      </c>
    </row>
    <row r="229" spans="1:39" x14ac:dyDescent="0.2">
      <c r="A229" s="2">
        <v>226</v>
      </c>
      <c r="B229" s="2" t="s">
        <v>51</v>
      </c>
      <c r="C229" s="2" t="s">
        <v>1022</v>
      </c>
      <c r="D229" s="2" t="s">
        <v>1023</v>
      </c>
      <c r="E229" s="2" t="s">
        <v>54</v>
      </c>
      <c r="F229" s="2" t="s">
        <v>407</v>
      </c>
      <c r="L229" s="2" t="s">
        <v>48</v>
      </c>
      <c r="W229" s="2" t="str">
        <f>_xlfn.LET(_xlpm.r, _xlfn.XLOOKUP(MappingGuide[[#This Row],[Description]],'[1]Squirrel SQL Export 1'!D:D,'[1]Squirrel SQL Export 1'!AC:AC),IF(_xlpm.r=0,"",_xlpm.r))</f>
        <v/>
      </c>
      <c r="AA229" s="2" t="s">
        <v>1024</v>
      </c>
      <c r="AC229" s="2"/>
      <c r="AE229" s="2" t="str" cm="1">
        <f t="array" ref="AE229">_xlfn.LET(_xlpm.r, _xlfn.XLOOKUP(MappingGuide[[#This Row],[ColumnName]] &amp; "|" &amp; MappingGuide[[#This Row],[Description]],'[1]Squirrel SQL Export 1'!C:C &amp; "|" &amp;'[1]Squirrel SQL Export 1'!D:D,'[1]Squirrel SQL Export 1'!Z:Z),IF(_xlpm.r=0,"",_xlpm.r))</f>
        <v>no</v>
      </c>
      <c r="AF229" s="3" t="s">
        <v>1309</v>
      </c>
      <c r="AG229" s="3" t="s">
        <v>101</v>
      </c>
      <c r="AI229" s="2" t="str">
        <f>_xlfn.LET(_xlpm.r, _xlfn.XLOOKUP(MappingGuide[[#This Row],[Description]],'[1]Squirrel SQL Export 1'!D:D,'[1]Squirrel SQL Export 1'!Y:Y),IF(_xlpm.r=0,"",_xlpm.r))</f>
        <v>Not used (Set automatically in the database when record created)</v>
      </c>
      <c r="AK229" s="2" t="str">
        <f>_xlfn.LET(_xlpm.r, _xlfn.XLOOKUP(MappingGuide[[#This Row],[Description]],'[1]Squirrel SQL Export 1'!D:D,'[1]Squirrel SQL Export 1'!AE:AE),IF(_xlpm.r=0,"",_xlpm.r))</f>
        <v/>
      </c>
      <c r="AL229" s="3" t="str">
        <f>_xlfn.LET(_xlpm.r, _xlfn.XLOOKUP(MappingGuide[[#This Row],[DataType]],'[1]Squirrel SQL Export 1'!E:E,'[1]Squirrel SQL Export 1'!AF:AF),IF(_xlpm.r=0,"",_xlpm.r))</f>
        <v/>
      </c>
      <c r="AM229" s="2" t="str">
        <f>_xlfn.LET(_xlpm.r, _xlfn.XLOOKUP(MappingGuide[[#This Row],[Length]],'[1]Squirrel SQL Export 1'!F:F,'[1]Squirrel SQL Export 1'!AG:AG),IF(_xlpm.r=0,"",_xlpm.r))</f>
        <v/>
      </c>
    </row>
    <row r="230" spans="1:39" x14ac:dyDescent="0.2">
      <c r="A230" s="2">
        <v>227</v>
      </c>
      <c r="B230" s="2" t="s">
        <v>51</v>
      </c>
      <c r="C230" s="2" t="s">
        <v>1025</v>
      </c>
      <c r="D230" s="2" t="s">
        <v>1026</v>
      </c>
      <c r="E230" s="2" t="s">
        <v>54</v>
      </c>
      <c r="F230" s="2" t="s">
        <v>55</v>
      </c>
      <c r="W230" s="2" t="str">
        <f>_xlfn.LET(_xlpm.r, _xlfn.XLOOKUP(MappingGuide[[#This Row],[Description]],'[1]Squirrel SQL Export 1'!D:D,'[1]Squirrel SQL Export 1'!AC:AC),IF(_xlpm.r=0,"",_xlpm.r))</f>
        <v/>
      </c>
      <c r="AA230" s="2" t="s">
        <v>1027</v>
      </c>
      <c r="AC230" s="2"/>
      <c r="AE230" s="2" t="str" cm="1">
        <f t="array" ref="AE230">_xlfn.LET(_xlpm.r, _xlfn.XLOOKUP(MappingGuide[[#This Row],[ColumnName]] &amp; "|" &amp; MappingGuide[[#This Row],[Description]],'[1]Squirrel SQL Export 1'!C:C &amp; "|" &amp;'[1]Squirrel SQL Export 1'!D:D,'[1]Squirrel SQL Export 1'!Z:Z),IF(_xlpm.r=0,"",_xlpm.r))</f>
        <v>no</v>
      </c>
      <c r="AF230" s="3" t="s">
        <v>1309</v>
      </c>
      <c r="AG230" s="3" t="s">
        <v>101</v>
      </c>
      <c r="AI230" s="2" t="str">
        <f>_xlfn.LET(_xlpm.r, _xlfn.XLOOKUP(MappingGuide[[#This Row],[Description]],'[1]Squirrel SQL Export 1'!D:D,'[1]Squirrel SQL Export 1'!Y:Y),IF(_xlpm.r=0,"",_xlpm.r))</f>
        <v>Not used (Set automatically in the database when record created)</v>
      </c>
      <c r="AK230" s="2" t="str">
        <f>_xlfn.LET(_xlpm.r, _xlfn.XLOOKUP(MappingGuide[[#This Row],[Description]],'[1]Squirrel SQL Export 1'!D:D,'[1]Squirrel SQL Export 1'!AE:AE),IF(_xlpm.r=0,"",_xlpm.r))</f>
        <v/>
      </c>
      <c r="AL230" s="3" t="str">
        <f>_xlfn.LET(_xlpm.r, _xlfn.XLOOKUP(MappingGuide[[#This Row],[DataType]],'[1]Squirrel SQL Export 1'!E:E,'[1]Squirrel SQL Export 1'!AF:AF),IF(_xlpm.r=0,"",_xlpm.r))</f>
        <v/>
      </c>
      <c r="AM230" s="2" t="str">
        <f>_xlfn.LET(_xlpm.r, _xlfn.XLOOKUP(MappingGuide[[#This Row],[Length]],'[1]Squirrel SQL Export 1'!F:F,'[1]Squirrel SQL Export 1'!AG:AG),IF(_xlpm.r=0,"",_xlpm.r))</f>
        <v/>
      </c>
    </row>
    <row r="231" spans="1:39" x14ac:dyDescent="0.2">
      <c r="A231" s="2">
        <v>228</v>
      </c>
      <c r="B231" s="2" t="s">
        <v>51</v>
      </c>
      <c r="C231" s="2" t="s">
        <v>1028</v>
      </c>
      <c r="D231" s="2" t="s">
        <v>641</v>
      </c>
      <c r="E231" s="2" t="s">
        <v>43</v>
      </c>
      <c r="F231" s="2" t="s">
        <v>44</v>
      </c>
      <c r="L231" s="2" t="s">
        <v>48</v>
      </c>
      <c r="W231" s="2" t="str">
        <f>_xlfn.LET(_xlpm.r, _xlfn.XLOOKUP(MappingGuide[[#This Row],[Description]],'[1]Squirrel SQL Export 1'!D:D,'[1]Squirrel SQL Export 1'!AC:AC),IF(_xlpm.r=0,"",_xlpm.r))</f>
        <v/>
      </c>
      <c r="AA231" s="2" t="s">
        <v>1029</v>
      </c>
      <c r="AC231" s="2"/>
      <c r="AE231" s="2" t="str" cm="1">
        <f t="array" ref="AE231">_xlfn.LET(_xlpm.r, _xlfn.XLOOKUP(MappingGuide[[#This Row],[ColumnName]] &amp; "|" &amp; MappingGuide[[#This Row],[Description]],'[1]Squirrel SQL Export 1'!C:C &amp; "|" &amp;'[1]Squirrel SQL Export 1'!D:D,'[1]Squirrel SQL Export 1'!Z:Z),IF(_xlpm.r=0,"",_xlpm.r))</f>
        <v>no</v>
      </c>
      <c r="AF231" s="3" t="s">
        <v>1309</v>
      </c>
      <c r="AG231" s="3" t="s">
        <v>101</v>
      </c>
      <c r="AI231" s="2" t="str">
        <f>_xlfn.LET(_xlpm.r, _xlfn.XLOOKUP(MappingGuide[[#This Row],[Description]],'[1]Squirrel SQL Export 1'!D:D,'[1]Squirrel SQL Export 1'!Y:Y),IF(_xlpm.r=0,"",_xlpm.r))</f>
        <v>Calculated value inside M3</v>
      </c>
      <c r="AK231" s="2" t="str">
        <f>_xlfn.LET(_xlpm.r, _xlfn.XLOOKUP(MappingGuide[[#This Row],[Description]],'[1]Squirrel SQL Export 1'!D:D,'[1]Squirrel SQL Export 1'!AE:AE),IF(_xlpm.r=0,"",_xlpm.r))</f>
        <v/>
      </c>
      <c r="AL231" s="3" t="str">
        <f>_xlfn.LET(_xlpm.r, _xlfn.XLOOKUP(MappingGuide[[#This Row],[DataType]],'[1]Squirrel SQL Export 1'!E:E,'[1]Squirrel SQL Export 1'!AF:AF),IF(_xlpm.r=0,"",_xlpm.r))</f>
        <v>No</v>
      </c>
      <c r="AM231" s="2" t="str">
        <f>_xlfn.LET(_xlpm.r, _xlfn.XLOOKUP(MappingGuide[[#This Row],[Length]],'[1]Squirrel SQL Export 1'!F:F,'[1]Squirrel SQL Export 1'!AG:AG),IF(_xlpm.r=0,"",_xlpm.r))</f>
        <v/>
      </c>
    </row>
    <row r="232" spans="1:39" x14ac:dyDescent="0.2">
      <c r="A232" s="2">
        <v>229</v>
      </c>
      <c r="B232" s="2" t="s">
        <v>51</v>
      </c>
      <c r="C232" s="2" t="s">
        <v>1030</v>
      </c>
      <c r="D232" s="2" t="s">
        <v>1031</v>
      </c>
      <c r="E232" s="2" t="s">
        <v>54</v>
      </c>
      <c r="F232" s="2" t="s">
        <v>839</v>
      </c>
      <c r="W232" s="2" t="str">
        <f>_xlfn.LET(_xlpm.r, _xlfn.XLOOKUP(MappingGuide[[#This Row],[Description]],'[1]Squirrel SQL Export 1'!D:D,'[1]Squirrel SQL Export 1'!AC:AC),IF(_xlpm.r=0,"",_xlpm.r))</f>
        <v/>
      </c>
      <c r="AC232" s="2"/>
      <c r="AE232" s="2" t="str" cm="1">
        <f t="array" ref="AE232">_xlfn.LET(_xlpm.r, _xlfn.XLOOKUP(MappingGuide[[#This Row],[ColumnName]] &amp; "|" &amp; MappingGuide[[#This Row],[Description]],'[1]Squirrel SQL Export 1'!C:C &amp; "|" &amp;'[1]Squirrel SQL Export 1'!D:D,'[1]Squirrel SQL Export 1'!Z:Z),IF(_xlpm.r=0,"",_xlpm.r))</f>
        <v>no</v>
      </c>
      <c r="AF232" s="3" t="s">
        <v>1309</v>
      </c>
      <c r="AG232" s="3" t="s">
        <v>101</v>
      </c>
      <c r="AI232" s="2" t="str">
        <f>_xlfn.LET(_xlpm.r, _xlfn.XLOOKUP(MappingGuide[[#This Row],[Description]],'[1]Squirrel SQL Export 1'!D:D,'[1]Squirrel SQL Export 1'!Y:Y),IF(_xlpm.r=0,"",_xlpm.r))</f>
        <v>Not used (Set automatically in the database when record created)</v>
      </c>
      <c r="AK232" s="2" t="str">
        <f>_xlfn.LET(_xlpm.r, _xlfn.XLOOKUP(MappingGuide[[#This Row],[Description]],'[1]Squirrel SQL Export 1'!D:D,'[1]Squirrel SQL Export 1'!AE:AE),IF(_xlpm.r=0,"",_xlpm.r))</f>
        <v/>
      </c>
      <c r="AL232" s="3" t="str">
        <f>_xlfn.LET(_xlpm.r, _xlfn.XLOOKUP(MappingGuide[[#This Row],[DataType]],'[1]Squirrel SQL Export 1'!E:E,'[1]Squirrel SQL Export 1'!AF:AF),IF(_xlpm.r=0,"",_xlpm.r))</f>
        <v/>
      </c>
      <c r="AM232" s="2" t="str">
        <f>_xlfn.LET(_xlpm.r, _xlfn.XLOOKUP(MappingGuide[[#This Row],[Length]],'[1]Squirrel SQL Export 1'!F:F,'[1]Squirrel SQL Export 1'!AG:AG),IF(_xlpm.r=0,"",_xlpm.r))</f>
        <v/>
      </c>
    </row>
    <row r="233" spans="1:39" x14ac:dyDescent="0.2">
      <c r="A233" s="2">
        <v>230</v>
      </c>
      <c r="B233" s="2" t="s">
        <v>51</v>
      </c>
      <c r="C233" s="2" t="s">
        <v>1032</v>
      </c>
      <c r="D233" s="2" t="s">
        <v>1033</v>
      </c>
      <c r="E233" s="2" t="s">
        <v>54</v>
      </c>
      <c r="F233" s="2" t="s">
        <v>96</v>
      </c>
      <c r="J233" s="2" t="s">
        <v>71</v>
      </c>
      <c r="K233" s="2" t="s">
        <v>140</v>
      </c>
      <c r="O233" s="2" t="s">
        <v>45</v>
      </c>
      <c r="P233" s="2" t="s">
        <v>88</v>
      </c>
      <c r="Q233" s="2" t="s">
        <v>1034</v>
      </c>
      <c r="W233" s="2" t="str">
        <f>_xlfn.LET(_xlpm.r, _xlfn.XLOOKUP(MappingGuide[[#This Row],[Description]],'[1]Squirrel SQL Export 1'!D:D,'[1]Squirrel SQL Export 1'!AC:AC),IF(_xlpm.r=0,"",_xlpm.r))</f>
        <v/>
      </c>
      <c r="AA233" s="2" t="s">
        <v>1035</v>
      </c>
      <c r="AC233" s="2"/>
      <c r="AE233" s="2" t="str" cm="1">
        <f t="array" ref="AE233">_xlfn.LET(_xlpm.r, _xlfn.XLOOKUP(MappingGuide[[#This Row],[ColumnName]] &amp; "|" &amp; MappingGuide[[#This Row],[Description]],'[1]Squirrel SQL Export 1'!C:C &amp; "|" &amp;'[1]Squirrel SQL Export 1'!D:D,'[1]Squirrel SQL Export 1'!Z:Z),IF(_xlpm.r=0,"",_xlpm.r))</f>
        <v>no</v>
      </c>
      <c r="AF233" s="3" t="s">
        <v>1309</v>
      </c>
      <c r="AG233" s="3" t="s">
        <v>101</v>
      </c>
      <c r="AI233" s="2" t="str">
        <f>_xlfn.LET(_xlpm.r, _xlfn.XLOOKUP(MappingGuide[[#This Row],[Description]],'[1]Squirrel SQL Export 1'!D:D,'[1]Squirrel SQL Export 1'!Y:Y),IF(_xlpm.r=0,"",_xlpm.r))</f>
        <v>Not used</v>
      </c>
      <c r="AK233" s="2" t="str">
        <f>_xlfn.LET(_xlpm.r, _xlfn.XLOOKUP(MappingGuide[[#This Row],[Description]],'[1]Squirrel SQL Export 1'!D:D,'[1]Squirrel SQL Export 1'!AE:AE),IF(_xlpm.r=0,"",_xlpm.r))</f>
        <v/>
      </c>
      <c r="AL233" s="3" t="str">
        <f>_xlfn.LET(_xlpm.r, _xlfn.XLOOKUP(MappingGuide[[#This Row],[DataType]],'[1]Squirrel SQL Export 1'!E:E,'[1]Squirrel SQL Export 1'!AF:AF),IF(_xlpm.r=0,"",_xlpm.r))</f>
        <v/>
      </c>
      <c r="AM233" s="2" t="str">
        <f>_xlfn.LET(_xlpm.r, _xlfn.XLOOKUP(MappingGuide[[#This Row],[Length]],'[1]Squirrel SQL Export 1'!F:F,'[1]Squirrel SQL Export 1'!AG:AG),IF(_xlpm.r=0,"",_xlpm.r))</f>
        <v>Type</v>
      </c>
    </row>
    <row r="234" spans="1:39" x14ac:dyDescent="0.2">
      <c r="A234" s="2">
        <v>231</v>
      </c>
      <c r="B234" s="2" t="s">
        <v>51</v>
      </c>
      <c r="C234" s="2" t="s">
        <v>1036</v>
      </c>
      <c r="D234" s="2" t="s">
        <v>1037</v>
      </c>
      <c r="E234" s="2" t="s">
        <v>54</v>
      </c>
      <c r="F234" s="2" t="s">
        <v>96</v>
      </c>
      <c r="O234" s="2" t="s">
        <v>45</v>
      </c>
      <c r="P234" s="2" t="s">
        <v>88</v>
      </c>
      <c r="Q234" s="2" t="s">
        <v>1038</v>
      </c>
      <c r="W234" s="2" t="str">
        <f>_xlfn.LET(_xlpm.r, _xlfn.XLOOKUP(MappingGuide[[#This Row],[Description]],'[1]Squirrel SQL Export 1'!D:D,'[1]Squirrel SQL Export 1'!AC:AC),IF(_xlpm.r=0,"",_xlpm.r))</f>
        <v/>
      </c>
      <c r="AA234" s="2" t="s">
        <v>1039</v>
      </c>
      <c r="AB234" s="2" t="s">
        <v>1040</v>
      </c>
      <c r="AC234" s="2"/>
      <c r="AE234" s="2" t="str" cm="1">
        <f t="array" ref="AE234">_xlfn.LET(_xlpm.r, _xlfn.XLOOKUP(MappingGuide[[#This Row],[ColumnName]] &amp; "|" &amp; MappingGuide[[#This Row],[Description]],'[1]Squirrel SQL Export 1'!C:C &amp; "|" &amp;'[1]Squirrel SQL Export 1'!D:D,'[1]Squirrel SQL Export 1'!Z:Z),IF(_xlpm.r=0,"",_xlpm.r))</f>
        <v>no</v>
      </c>
      <c r="AF234" s="3" t="s">
        <v>1309</v>
      </c>
      <c r="AG234" s="3" t="s">
        <v>101</v>
      </c>
      <c r="AI234" s="2" t="str">
        <f>_xlfn.LET(_xlpm.r, _xlfn.XLOOKUP(MappingGuide[[#This Row],[Description]],'[1]Squirrel SQL Export 1'!D:D,'[1]Squirrel SQL Export 1'!Y:Y),IF(_xlpm.r=0,"",_xlpm.r))</f>
        <v>This is needed in M3, but we will set default value = 0 using template</v>
      </c>
      <c r="AK234" s="2" t="str">
        <f>_xlfn.LET(_xlpm.r, _xlfn.XLOOKUP(MappingGuide[[#This Row],[Description]],'[1]Squirrel SQL Export 1'!D:D,'[1]Squirrel SQL Export 1'!AE:AE),IF(_xlpm.r=0,"",_xlpm.r))</f>
        <v/>
      </c>
      <c r="AL234" s="3" t="str">
        <f>_xlfn.LET(_xlpm.r, _xlfn.XLOOKUP(MappingGuide[[#This Row],[DataType]],'[1]Squirrel SQL Export 1'!E:E,'[1]Squirrel SQL Export 1'!AF:AF),IF(_xlpm.r=0,"",_xlpm.r))</f>
        <v/>
      </c>
      <c r="AM234" s="2" t="str">
        <f>_xlfn.LET(_xlpm.r, _xlfn.XLOOKUP(MappingGuide[[#This Row],[Length]],'[1]Squirrel SQL Export 1'!F:F,'[1]Squirrel SQL Export 1'!AG:AG),IF(_xlpm.r=0,"",_xlpm.r))</f>
        <v>Type</v>
      </c>
    </row>
    <row r="235" spans="1:39" x14ac:dyDescent="0.2">
      <c r="A235" s="2">
        <v>232</v>
      </c>
      <c r="B235" s="2" t="s">
        <v>51</v>
      </c>
      <c r="C235" s="2" t="s">
        <v>1041</v>
      </c>
      <c r="D235" s="2" t="s">
        <v>1042</v>
      </c>
      <c r="E235" s="2" t="s">
        <v>54</v>
      </c>
      <c r="F235" s="2" t="s">
        <v>96</v>
      </c>
      <c r="O235" s="2" t="s">
        <v>45</v>
      </c>
      <c r="P235" s="2" t="s">
        <v>88</v>
      </c>
      <c r="Q235" s="2" t="s">
        <v>1043</v>
      </c>
      <c r="W235" s="2" t="str">
        <f>_xlfn.LET(_xlpm.r, _xlfn.XLOOKUP(MappingGuide[[#This Row],[Description]],'[1]Squirrel SQL Export 1'!D:D,'[1]Squirrel SQL Export 1'!AC:AC),IF(_xlpm.r=0,"",_xlpm.r))</f>
        <v/>
      </c>
      <c r="AA235" s="2" t="s">
        <v>1044</v>
      </c>
      <c r="AB235" s="2" t="s">
        <v>1045</v>
      </c>
      <c r="AC235" s="2"/>
      <c r="AE235" s="2" t="str" cm="1">
        <f t="array" ref="AE235">_xlfn.LET(_xlpm.r, _xlfn.XLOOKUP(MappingGuide[[#This Row],[ColumnName]] &amp; "|" &amp; MappingGuide[[#This Row],[Description]],'[1]Squirrel SQL Export 1'!C:C &amp; "|" &amp;'[1]Squirrel SQL Export 1'!D:D,'[1]Squirrel SQL Export 1'!Z:Z),IF(_xlpm.r=0,"",_xlpm.r))</f>
        <v>yes</v>
      </c>
      <c r="AF235" s="3" t="s">
        <v>1309</v>
      </c>
      <c r="AG235" s="3" t="s">
        <v>101</v>
      </c>
      <c r="AI235" s="2" t="str">
        <f>_xlfn.LET(_xlpm.r, _xlfn.XLOOKUP(MappingGuide[[#This Row],[Description]],'[1]Squirrel SQL Export 1'!D:D,'[1]Squirrel SQL Export 1'!Y:Y),IF(_xlpm.r=0,"",_xlpm.r))</f>
        <v>This is needed</v>
      </c>
      <c r="AK235"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235" s="3" t="str">
        <f>_xlfn.LET(_xlpm.r, _xlfn.XLOOKUP(MappingGuide[[#This Row],[DataType]],'[1]Squirrel SQL Export 1'!E:E,'[1]Squirrel SQL Export 1'!AF:AF),IF(_xlpm.r=0,"",_xlpm.r))</f>
        <v/>
      </c>
      <c r="AM235" s="2" t="str">
        <f>_xlfn.LET(_xlpm.r, _xlfn.XLOOKUP(MappingGuide[[#This Row],[Length]],'[1]Squirrel SQL Export 1'!F:F,'[1]Squirrel SQL Export 1'!AG:AG),IF(_xlpm.r=0,"",_xlpm.r))</f>
        <v>Type</v>
      </c>
    </row>
    <row r="236" spans="1:39" x14ac:dyDescent="0.2">
      <c r="A236" s="2">
        <v>233</v>
      </c>
      <c r="B236" s="2" t="s">
        <v>51</v>
      </c>
      <c r="C236" s="2" t="s">
        <v>1046</v>
      </c>
      <c r="D236" s="2" t="s">
        <v>1047</v>
      </c>
      <c r="E236" s="2" t="s">
        <v>43</v>
      </c>
      <c r="F236" s="2" t="s">
        <v>44</v>
      </c>
      <c r="O236" s="2" t="s">
        <v>45</v>
      </c>
      <c r="P236" s="2" t="s">
        <v>1048</v>
      </c>
      <c r="Q236" s="2" t="s">
        <v>1049</v>
      </c>
      <c r="W236" s="2" t="str">
        <f>_xlfn.LET(_xlpm.r, _xlfn.XLOOKUP(MappingGuide[[#This Row],[Description]],'[1]Squirrel SQL Export 1'!D:D,'[1]Squirrel SQL Export 1'!AC:AC),IF(_xlpm.r=0,"",_xlpm.r))</f>
        <v/>
      </c>
      <c r="AA236" s="2" t="s">
        <v>1050</v>
      </c>
      <c r="AC236" s="2"/>
      <c r="AE236" s="2" t="str" cm="1">
        <f t="array" ref="AE236">_xlfn.LET(_xlpm.r, _xlfn.XLOOKUP(MappingGuide[[#This Row],[ColumnName]] &amp; "|" &amp; MappingGuide[[#This Row],[Description]],'[1]Squirrel SQL Export 1'!C:C &amp; "|" &amp;'[1]Squirrel SQL Export 1'!D:D,'[1]Squirrel SQL Export 1'!Z:Z),IF(_xlpm.r=0,"",_xlpm.r))</f>
        <v>no</v>
      </c>
      <c r="AF236" s="3" t="s">
        <v>1309</v>
      </c>
      <c r="AG236" s="3" t="s">
        <v>101</v>
      </c>
      <c r="AI236" s="2" t="str">
        <f>_xlfn.LET(_xlpm.r, _xlfn.XLOOKUP(MappingGuide[[#This Row],[Description]],'[1]Squirrel SQL Export 1'!D:D,'[1]Squirrel SQL Export 1'!Y:Y),IF(_xlpm.r=0,"",_xlpm.r))</f>
        <v>Not used</v>
      </c>
      <c r="AK236" s="2" t="str">
        <f>_xlfn.LET(_xlpm.r, _xlfn.XLOOKUP(MappingGuide[[#This Row],[Description]],'[1]Squirrel SQL Export 1'!D:D,'[1]Squirrel SQL Export 1'!AE:AE),IF(_xlpm.r=0,"",_xlpm.r))</f>
        <v/>
      </c>
      <c r="AL236" s="3" t="str">
        <f>_xlfn.LET(_xlpm.r, _xlfn.XLOOKUP(MappingGuide[[#This Row],[DataType]],'[1]Squirrel SQL Export 1'!E:E,'[1]Squirrel SQL Export 1'!AF:AF),IF(_xlpm.r=0,"",_xlpm.r))</f>
        <v>No</v>
      </c>
      <c r="AM236" s="2" t="str">
        <f>_xlfn.LET(_xlpm.r, _xlfn.XLOOKUP(MappingGuide[[#This Row],[Length]],'[1]Squirrel SQL Export 1'!F:F,'[1]Squirrel SQL Export 1'!AG:AG),IF(_xlpm.r=0,"",_xlpm.r))</f>
        <v/>
      </c>
    </row>
    <row r="237" spans="1:39" x14ac:dyDescent="0.2">
      <c r="A237" s="2">
        <v>234</v>
      </c>
      <c r="B237" s="2" t="s">
        <v>51</v>
      </c>
      <c r="C237" s="2" t="s">
        <v>1051</v>
      </c>
      <c r="D237" s="2" t="s">
        <v>1052</v>
      </c>
      <c r="E237" s="2" t="s">
        <v>43</v>
      </c>
      <c r="F237" s="2" t="s">
        <v>44</v>
      </c>
      <c r="O237" s="2" t="s">
        <v>45</v>
      </c>
      <c r="P237" s="2" t="s">
        <v>1048</v>
      </c>
      <c r="Q237" s="2" t="s">
        <v>1053</v>
      </c>
      <c r="W237" s="2" t="str">
        <f>_xlfn.LET(_xlpm.r, _xlfn.XLOOKUP(MappingGuide[[#This Row],[Description]],'[1]Squirrel SQL Export 1'!D:D,'[1]Squirrel SQL Export 1'!AC:AC),IF(_xlpm.r=0,"",_xlpm.r))</f>
        <v/>
      </c>
      <c r="AA237" s="2" t="s">
        <v>1054</v>
      </c>
      <c r="AC237" s="2" t="s">
        <v>249</v>
      </c>
      <c r="AE237" s="2" t="str" cm="1">
        <f t="array" ref="AE237">_xlfn.LET(_xlpm.r, _xlfn.XLOOKUP(MappingGuide[[#This Row],[ColumnName]] &amp; "|" &amp; MappingGuide[[#This Row],[Description]],'[1]Squirrel SQL Export 1'!C:C &amp; "|" &amp;'[1]Squirrel SQL Export 1'!D:D,'[1]Squirrel SQL Export 1'!Z:Z),IF(_xlpm.r=0,"",_xlpm.r))</f>
        <v>no</v>
      </c>
      <c r="AF237" s="3" t="s">
        <v>1309</v>
      </c>
      <c r="AG237" s="3" t="s">
        <v>101</v>
      </c>
      <c r="AI237" s="2" t="str">
        <f>_xlfn.LET(_xlpm.r, _xlfn.XLOOKUP(MappingGuide[[#This Row],[Description]],'[1]Squirrel SQL Export 1'!D:D,'[1]Squirrel SQL Export 1'!Y:Y),IF(_xlpm.r=0,"",_xlpm.r))</f>
        <v>Not used</v>
      </c>
      <c r="AK237" s="2" t="str">
        <f>_xlfn.LET(_xlpm.r, _xlfn.XLOOKUP(MappingGuide[[#This Row],[Description]],'[1]Squirrel SQL Export 1'!D:D,'[1]Squirrel SQL Export 1'!AE:AE),IF(_xlpm.r=0,"",_xlpm.r))</f>
        <v/>
      </c>
      <c r="AL237" s="3" t="str">
        <f>_xlfn.LET(_xlpm.r, _xlfn.XLOOKUP(MappingGuide[[#This Row],[DataType]],'[1]Squirrel SQL Export 1'!E:E,'[1]Squirrel SQL Export 1'!AF:AF),IF(_xlpm.r=0,"",_xlpm.r))</f>
        <v>No</v>
      </c>
      <c r="AM237" s="2" t="str">
        <f>_xlfn.LET(_xlpm.r, _xlfn.XLOOKUP(MappingGuide[[#This Row],[Length]],'[1]Squirrel SQL Export 1'!F:F,'[1]Squirrel SQL Export 1'!AG:AG),IF(_xlpm.r=0,"",_xlpm.r))</f>
        <v/>
      </c>
    </row>
    <row r="238" spans="1:39" x14ac:dyDescent="0.2">
      <c r="A238" s="2">
        <v>235</v>
      </c>
      <c r="B238" s="2" t="s">
        <v>51</v>
      </c>
      <c r="C238" s="2" t="s">
        <v>1055</v>
      </c>
      <c r="D238" s="2" t="s">
        <v>1056</v>
      </c>
      <c r="E238" s="2" t="s">
        <v>43</v>
      </c>
      <c r="F238" s="2" t="s">
        <v>44</v>
      </c>
      <c r="W238" s="2" t="str">
        <f>_xlfn.LET(_xlpm.r, _xlfn.XLOOKUP(MappingGuide[[#This Row],[Description]],'[1]Squirrel SQL Export 1'!D:D,'[1]Squirrel SQL Export 1'!AC:AC),IF(_xlpm.r=0,"",_xlpm.r))</f>
        <v/>
      </c>
      <c r="AA238" s="2" t="s">
        <v>1057</v>
      </c>
      <c r="AC238" s="2"/>
      <c r="AE238" s="2" t="str" cm="1">
        <f t="array" ref="AE238">_xlfn.LET(_xlpm.r, _xlfn.XLOOKUP(MappingGuide[[#This Row],[ColumnName]] &amp; "|" &amp; MappingGuide[[#This Row],[Description]],'[1]Squirrel SQL Export 1'!C:C &amp; "|" &amp;'[1]Squirrel SQL Export 1'!D:D,'[1]Squirrel SQL Export 1'!Z:Z),IF(_xlpm.r=0,"",_xlpm.r))</f>
        <v>no</v>
      </c>
      <c r="AF238" s="3" t="s">
        <v>1309</v>
      </c>
      <c r="AG238" s="3" t="s">
        <v>101</v>
      </c>
      <c r="AI238" s="2" t="str">
        <f>_xlfn.LET(_xlpm.r, _xlfn.XLOOKUP(MappingGuide[[#This Row],[Description]],'[1]Squirrel SQL Export 1'!D:D,'[1]Squirrel SQL Export 1'!Y:Y),IF(_xlpm.r=0,"",_xlpm.r))</f>
        <v>Not used</v>
      </c>
      <c r="AK238" s="2" t="str">
        <f>_xlfn.LET(_xlpm.r, _xlfn.XLOOKUP(MappingGuide[[#This Row],[Description]],'[1]Squirrel SQL Export 1'!D:D,'[1]Squirrel SQL Export 1'!AE:AE),IF(_xlpm.r=0,"",_xlpm.r))</f>
        <v/>
      </c>
      <c r="AL238" s="3" t="str">
        <f>_xlfn.LET(_xlpm.r, _xlfn.XLOOKUP(MappingGuide[[#This Row],[DataType]],'[1]Squirrel SQL Export 1'!E:E,'[1]Squirrel SQL Export 1'!AF:AF),IF(_xlpm.r=0,"",_xlpm.r))</f>
        <v>No</v>
      </c>
      <c r="AM238" s="2" t="str">
        <f>_xlfn.LET(_xlpm.r, _xlfn.XLOOKUP(MappingGuide[[#This Row],[Length]],'[1]Squirrel SQL Export 1'!F:F,'[1]Squirrel SQL Export 1'!AG:AG),IF(_xlpm.r=0,"",_xlpm.r))</f>
        <v/>
      </c>
    </row>
    <row r="239" spans="1:39" x14ac:dyDescent="0.2">
      <c r="A239" s="2">
        <v>236</v>
      </c>
      <c r="B239" s="2" t="s">
        <v>51</v>
      </c>
      <c r="C239" s="2" t="s">
        <v>1058</v>
      </c>
      <c r="D239" s="2" t="s">
        <v>1059</v>
      </c>
      <c r="E239" s="2" t="s">
        <v>43</v>
      </c>
      <c r="F239" s="2" t="s">
        <v>55</v>
      </c>
      <c r="O239" s="2" t="s">
        <v>45</v>
      </c>
      <c r="P239" s="2" t="s">
        <v>1048</v>
      </c>
      <c r="Q239" s="2" t="s">
        <v>1060</v>
      </c>
      <c r="W239" s="2" t="str">
        <f>_xlfn.LET(_xlpm.r, _xlfn.XLOOKUP(MappingGuide[[#This Row],[Description]],'[1]Squirrel SQL Export 1'!D:D,'[1]Squirrel SQL Export 1'!AC:AC),IF(_xlpm.r=0,"",_xlpm.r))</f>
        <v/>
      </c>
      <c r="AA239" s="2" t="s">
        <v>1061</v>
      </c>
      <c r="AC239" s="2"/>
      <c r="AE239" s="2" t="str" cm="1">
        <f t="array" ref="AE239">_xlfn.LET(_xlpm.r, _xlfn.XLOOKUP(MappingGuide[[#This Row],[ColumnName]] &amp; "|" &amp; MappingGuide[[#This Row],[Description]],'[1]Squirrel SQL Export 1'!C:C &amp; "|" &amp;'[1]Squirrel SQL Export 1'!D:D,'[1]Squirrel SQL Export 1'!Z:Z),IF(_xlpm.r=0,"",_xlpm.r))</f>
        <v>no</v>
      </c>
      <c r="AF239" s="3" t="s">
        <v>1309</v>
      </c>
      <c r="AG239" s="3" t="s">
        <v>101</v>
      </c>
      <c r="AI239" s="2" t="str">
        <f>_xlfn.LET(_xlpm.r, _xlfn.XLOOKUP(MappingGuide[[#This Row],[Description]],'[1]Squirrel SQL Export 1'!D:D,'[1]Squirrel SQL Export 1'!Y:Y),IF(_xlpm.r=0,"",_xlpm.r))</f>
        <v>Not used</v>
      </c>
      <c r="AK239" s="2" t="str">
        <f>_xlfn.LET(_xlpm.r, _xlfn.XLOOKUP(MappingGuide[[#This Row],[Description]],'[1]Squirrel SQL Export 1'!D:D,'[1]Squirrel SQL Export 1'!AE:AE),IF(_xlpm.r=0,"",_xlpm.r))</f>
        <v/>
      </c>
      <c r="AL239" s="3" t="str">
        <f>_xlfn.LET(_xlpm.r, _xlfn.XLOOKUP(MappingGuide[[#This Row],[DataType]],'[1]Squirrel SQL Export 1'!E:E,'[1]Squirrel SQL Export 1'!AF:AF),IF(_xlpm.r=0,"",_xlpm.r))</f>
        <v>No</v>
      </c>
      <c r="AM239" s="2" t="str">
        <f>_xlfn.LET(_xlpm.r, _xlfn.XLOOKUP(MappingGuide[[#This Row],[Length]],'[1]Squirrel SQL Export 1'!F:F,'[1]Squirrel SQL Export 1'!AG:AG),IF(_xlpm.r=0,"",_xlpm.r))</f>
        <v/>
      </c>
    </row>
    <row r="240" spans="1:39" x14ac:dyDescent="0.2">
      <c r="A240" s="2">
        <v>237</v>
      </c>
      <c r="B240" s="2" t="s">
        <v>51</v>
      </c>
      <c r="C240" s="2" t="s">
        <v>1062</v>
      </c>
      <c r="D240" s="2" t="s">
        <v>1063</v>
      </c>
      <c r="E240" s="2" t="s">
        <v>43</v>
      </c>
      <c r="F240" s="2" t="s">
        <v>44</v>
      </c>
      <c r="O240" s="2" t="s">
        <v>45</v>
      </c>
      <c r="P240" s="2" t="s">
        <v>1048</v>
      </c>
      <c r="Q240" s="2" t="s">
        <v>1064</v>
      </c>
      <c r="W240" s="2" t="str">
        <f>_xlfn.LET(_xlpm.r, _xlfn.XLOOKUP(MappingGuide[[#This Row],[Description]],'[1]Squirrel SQL Export 1'!D:D,'[1]Squirrel SQL Export 1'!AC:AC),IF(_xlpm.r=0,"",_xlpm.r))</f>
        <v/>
      </c>
      <c r="AA240" s="2" t="s">
        <v>1065</v>
      </c>
      <c r="AC240" s="2"/>
      <c r="AE240" s="2" t="str" cm="1">
        <f t="array" ref="AE240">_xlfn.LET(_xlpm.r, _xlfn.XLOOKUP(MappingGuide[[#This Row],[ColumnName]] &amp; "|" &amp; MappingGuide[[#This Row],[Description]],'[1]Squirrel SQL Export 1'!C:C &amp; "|" &amp;'[1]Squirrel SQL Export 1'!D:D,'[1]Squirrel SQL Export 1'!Z:Z),IF(_xlpm.r=0,"",_xlpm.r))</f>
        <v>no</v>
      </c>
      <c r="AF240" s="3" t="s">
        <v>1309</v>
      </c>
      <c r="AG240" s="3" t="s">
        <v>101</v>
      </c>
      <c r="AI240" s="2" t="str">
        <f>_xlfn.LET(_xlpm.r, _xlfn.XLOOKUP(MappingGuide[[#This Row],[Description]],'[1]Squirrel SQL Export 1'!D:D,'[1]Squirrel SQL Export 1'!Y:Y),IF(_xlpm.r=0,"",_xlpm.r))</f>
        <v>Not used</v>
      </c>
      <c r="AK240" s="2" t="str">
        <f>_xlfn.LET(_xlpm.r, _xlfn.XLOOKUP(MappingGuide[[#This Row],[Description]],'[1]Squirrel SQL Export 1'!D:D,'[1]Squirrel SQL Export 1'!AE:AE),IF(_xlpm.r=0,"",_xlpm.r))</f>
        <v/>
      </c>
      <c r="AL240" s="3" t="str">
        <f>_xlfn.LET(_xlpm.r, _xlfn.XLOOKUP(MappingGuide[[#This Row],[DataType]],'[1]Squirrel SQL Export 1'!E:E,'[1]Squirrel SQL Export 1'!AF:AF),IF(_xlpm.r=0,"",_xlpm.r))</f>
        <v>No</v>
      </c>
      <c r="AM240" s="2" t="str">
        <f>_xlfn.LET(_xlpm.r, _xlfn.XLOOKUP(MappingGuide[[#This Row],[Length]],'[1]Squirrel SQL Export 1'!F:F,'[1]Squirrel SQL Export 1'!AG:AG),IF(_xlpm.r=0,"",_xlpm.r))</f>
        <v/>
      </c>
    </row>
    <row r="241" spans="1:39" x14ac:dyDescent="0.2">
      <c r="A241" s="2">
        <v>238</v>
      </c>
      <c r="B241" s="2" t="s">
        <v>51</v>
      </c>
      <c r="C241" s="2" t="s">
        <v>1066</v>
      </c>
      <c r="D241" s="2" t="s">
        <v>1067</v>
      </c>
      <c r="E241" s="2" t="s">
        <v>43</v>
      </c>
      <c r="F241" s="2" t="s">
        <v>44</v>
      </c>
      <c r="O241" s="2" t="s">
        <v>45</v>
      </c>
      <c r="P241" s="2" t="s">
        <v>88</v>
      </c>
      <c r="Q241" s="2" t="s">
        <v>1068</v>
      </c>
      <c r="W241" s="2" t="str">
        <f>_xlfn.LET(_xlpm.r, _xlfn.XLOOKUP(MappingGuide[[#This Row],[Description]],'[1]Squirrel SQL Export 1'!D:D,'[1]Squirrel SQL Export 1'!AC:AC),IF(_xlpm.r=0,"",_xlpm.r))</f>
        <v/>
      </c>
      <c r="AA241" s="2" t="s">
        <v>1069</v>
      </c>
      <c r="AC241" s="2" t="s">
        <v>1070</v>
      </c>
      <c r="AE241" s="2" t="str" cm="1">
        <f t="array" ref="AE241">_xlfn.LET(_xlpm.r, _xlfn.XLOOKUP(MappingGuide[[#This Row],[ColumnName]] &amp; "|" &amp; MappingGuide[[#This Row],[Description]],'[1]Squirrel SQL Export 1'!C:C &amp; "|" &amp;'[1]Squirrel SQL Export 1'!D:D,'[1]Squirrel SQL Export 1'!Z:Z),IF(_xlpm.r=0,"",_xlpm.r))</f>
        <v>no</v>
      </c>
      <c r="AF241" s="3" t="s">
        <v>1309</v>
      </c>
      <c r="AG241" s="3" t="s">
        <v>101</v>
      </c>
      <c r="AI241" s="2" t="str">
        <f>_xlfn.LET(_xlpm.r, _xlfn.XLOOKUP(MappingGuide[[#This Row],[Description]],'[1]Squirrel SQL Export 1'!D:D,'[1]Squirrel SQL Export 1'!Y:Y),IF(_xlpm.r=0,"",_xlpm.r))</f>
        <v>Not used</v>
      </c>
      <c r="AK241" s="2" t="str">
        <f>_xlfn.LET(_xlpm.r, _xlfn.XLOOKUP(MappingGuide[[#This Row],[Description]],'[1]Squirrel SQL Export 1'!D:D,'[1]Squirrel SQL Export 1'!AE:AE),IF(_xlpm.r=0,"",_xlpm.r))</f>
        <v/>
      </c>
      <c r="AL241" s="3" t="str">
        <f>_xlfn.LET(_xlpm.r, _xlfn.XLOOKUP(MappingGuide[[#This Row],[DataType]],'[1]Squirrel SQL Export 1'!E:E,'[1]Squirrel SQL Export 1'!AF:AF),IF(_xlpm.r=0,"",_xlpm.r))</f>
        <v>No</v>
      </c>
      <c r="AM241" s="2" t="str">
        <f>_xlfn.LET(_xlpm.r, _xlfn.XLOOKUP(MappingGuide[[#This Row],[Length]],'[1]Squirrel SQL Export 1'!F:F,'[1]Squirrel SQL Export 1'!AG:AG),IF(_xlpm.r=0,"",_xlpm.r))</f>
        <v/>
      </c>
    </row>
    <row r="242" spans="1:39" x14ac:dyDescent="0.2">
      <c r="A242" s="2">
        <v>239</v>
      </c>
      <c r="B242" s="2" t="s">
        <v>51</v>
      </c>
      <c r="C242" s="2" t="s">
        <v>1071</v>
      </c>
      <c r="D242" s="2" t="s">
        <v>1072</v>
      </c>
      <c r="E242" s="2" t="s">
        <v>43</v>
      </c>
      <c r="F242" s="2" t="s">
        <v>55</v>
      </c>
      <c r="O242" s="2" t="s">
        <v>45</v>
      </c>
      <c r="P242" s="2" t="s">
        <v>1048</v>
      </c>
      <c r="Q242" s="2" t="s">
        <v>1073</v>
      </c>
      <c r="W242" s="2" t="str">
        <f>_xlfn.LET(_xlpm.r, _xlfn.XLOOKUP(MappingGuide[[#This Row],[Description]],'[1]Squirrel SQL Export 1'!D:D,'[1]Squirrel SQL Export 1'!AC:AC),IF(_xlpm.r=0,"",_xlpm.r))</f>
        <v/>
      </c>
      <c r="AA242" s="2" t="s">
        <v>1074</v>
      </c>
      <c r="AC242" s="2" t="s">
        <v>1075</v>
      </c>
      <c r="AE242" s="2" t="str" cm="1">
        <f t="array" ref="AE242">_xlfn.LET(_xlpm.r, _xlfn.XLOOKUP(MappingGuide[[#This Row],[ColumnName]] &amp; "|" &amp; MappingGuide[[#This Row],[Description]],'[1]Squirrel SQL Export 1'!C:C &amp; "|" &amp;'[1]Squirrel SQL Export 1'!D:D,'[1]Squirrel SQL Export 1'!Z:Z),IF(_xlpm.r=0,"",_xlpm.r))</f>
        <v>no</v>
      </c>
      <c r="AF242" s="3" t="s">
        <v>1309</v>
      </c>
      <c r="AG242" s="3" t="s">
        <v>101</v>
      </c>
      <c r="AI242" s="2" t="str">
        <f>_xlfn.LET(_xlpm.r, _xlfn.XLOOKUP(MappingGuide[[#This Row],[Description]],'[1]Squirrel SQL Export 1'!D:D,'[1]Squirrel SQL Export 1'!Y:Y),IF(_xlpm.r=0,"",_xlpm.r))</f>
        <v>Not used</v>
      </c>
      <c r="AK242" s="2" t="str">
        <f>_xlfn.LET(_xlpm.r, _xlfn.XLOOKUP(MappingGuide[[#This Row],[Description]],'[1]Squirrel SQL Export 1'!D:D,'[1]Squirrel SQL Export 1'!AE:AE),IF(_xlpm.r=0,"",_xlpm.r))</f>
        <v/>
      </c>
      <c r="AL242" s="3" t="str">
        <f>_xlfn.LET(_xlpm.r, _xlfn.XLOOKUP(MappingGuide[[#This Row],[DataType]],'[1]Squirrel SQL Export 1'!E:E,'[1]Squirrel SQL Export 1'!AF:AF),IF(_xlpm.r=0,"",_xlpm.r))</f>
        <v>No</v>
      </c>
      <c r="AM242" s="2" t="str">
        <f>_xlfn.LET(_xlpm.r, _xlfn.XLOOKUP(MappingGuide[[#This Row],[Length]],'[1]Squirrel SQL Export 1'!F:F,'[1]Squirrel SQL Export 1'!AG:AG),IF(_xlpm.r=0,"",_xlpm.r))</f>
        <v/>
      </c>
    </row>
    <row r="243" spans="1:39" x14ac:dyDescent="0.2">
      <c r="A243" s="2">
        <v>240</v>
      </c>
      <c r="B243" s="2" t="s">
        <v>51</v>
      </c>
      <c r="C243" s="2" t="s">
        <v>1076</v>
      </c>
      <c r="D243" s="2" t="s">
        <v>1077</v>
      </c>
      <c r="E243" s="2" t="s">
        <v>43</v>
      </c>
      <c r="F243" s="2" t="s">
        <v>720</v>
      </c>
      <c r="O243" s="2" t="s">
        <v>45</v>
      </c>
      <c r="P243" s="2" t="s">
        <v>46</v>
      </c>
      <c r="Q243" s="2" t="s">
        <v>1078</v>
      </c>
      <c r="W243" s="2" t="str">
        <f>_xlfn.LET(_xlpm.r, _xlfn.XLOOKUP(MappingGuide[[#This Row],[Description]],'[1]Squirrel SQL Export 1'!D:D,'[1]Squirrel SQL Export 1'!AC:AC),IF(_xlpm.r=0,"",_xlpm.r))</f>
        <v/>
      </c>
      <c r="AA243" s="2" t="s">
        <v>1079</v>
      </c>
      <c r="AC243" s="2" t="s">
        <v>1080</v>
      </c>
      <c r="AE243" s="2" t="str" cm="1">
        <f t="array" ref="AE243">_xlfn.LET(_xlpm.r, _xlfn.XLOOKUP(MappingGuide[[#This Row],[ColumnName]] &amp; "|" &amp; MappingGuide[[#This Row],[Description]],'[1]Squirrel SQL Export 1'!C:C &amp; "|" &amp;'[1]Squirrel SQL Export 1'!D:D,'[1]Squirrel SQL Export 1'!Z:Z),IF(_xlpm.r=0,"",_xlpm.r))</f>
        <v>no</v>
      </c>
      <c r="AF243" s="3" t="s">
        <v>1309</v>
      </c>
      <c r="AG243" s="3" t="s">
        <v>101</v>
      </c>
      <c r="AI243" s="2" t="str">
        <f>_xlfn.LET(_xlpm.r, _xlfn.XLOOKUP(MappingGuide[[#This Row],[Description]],'[1]Squirrel SQL Export 1'!D:D,'[1]Squirrel SQL Export 1'!Y:Y),IF(_xlpm.r=0,"",_xlpm.r))</f>
        <v>Not used</v>
      </c>
      <c r="AK243" s="2" t="str">
        <f>_xlfn.LET(_xlpm.r, _xlfn.XLOOKUP(MappingGuide[[#This Row],[Description]],'[1]Squirrel SQL Export 1'!D:D,'[1]Squirrel SQL Export 1'!AE:AE),IF(_xlpm.r=0,"",_xlpm.r))</f>
        <v/>
      </c>
      <c r="AL243" s="3" t="str">
        <f>_xlfn.LET(_xlpm.r, _xlfn.XLOOKUP(MappingGuide[[#This Row],[DataType]],'[1]Squirrel SQL Export 1'!E:E,'[1]Squirrel SQL Export 1'!AF:AF),IF(_xlpm.r=0,"",_xlpm.r))</f>
        <v>No</v>
      </c>
      <c r="AM243" s="2" t="str">
        <f>_xlfn.LET(_xlpm.r, _xlfn.XLOOKUP(MappingGuide[[#This Row],[Length]],'[1]Squirrel SQL Export 1'!F:F,'[1]Squirrel SQL Export 1'!AG:AG),IF(_xlpm.r=0,"",_xlpm.r))</f>
        <v/>
      </c>
    </row>
    <row r="244" spans="1:39" x14ac:dyDescent="0.2">
      <c r="A244" s="2">
        <v>241</v>
      </c>
      <c r="B244" s="2" t="s">
        <v>51</v>
      </c>
      <c r="C244" s="2" t="s">
        <v>1081</v>
      </c>
      <c r="D244" s="2" t="s">
        <v>1082</v>
      </c>
      <c r="E244" s="2" t="s">
        <v>43</v>
      </c>
      <c r="F244" s="2" t="s">
        <v>44</v>
      </c>
      <c r="O244" s="2" t="s">
        <v>45</v>
      </c>
      <c r="P244" s="2" t="s">
        <v>46</v>
      </c>
      <c r="Q244" s="2" t="s">
        <v>1083</v>
      </c>
      <c r="W244" s="2" t="str">
        <f>_xlfn.LET(_xlpm.r, _xlfn.XLOOKUP(MappingGuide[[#This Row],[Description]],'[1]Squirrel SQL Export 1'!D:D,'[1]Squirrel SQL Export 1'!AC:AC),IF(_xlpm.r=0,"",_xlpm.r))</f>
        <v/>
      </c>
      <c r="AA244" s="2" t="s">
        <v>1084</v>
      </c>
      <c r="AC244" s="2"/>
      <c r="AE244" s="2" t="str" cm="1">
        <f t="array" ref="AE244">_xlfn.LET(_xlpm.r, _xlfn.XLOOKUP(MappingGuide[[#This Row],[ColumnName]] &amp; "|" &amp; MappingGuide[[#This Row],[Description]],'[1]Squirrel SQL Export 1'!C:C &amp; "|" &amp;'[1]Squirrel SQL Export 1'!D:D,'[1]Squirrel SQL Export 1'!Z:Z),IF(_xlpm.r=0,"",_xlpm.r))</f>
        <v>no</v>
      </c>
      <c r="AF244" s="3" t="s">
        <v>1309</v>
      </c>
      <c r="AG244" s="3" t="s">
        <v>101</v>
      </c>
      <c r="AI244" s="2" t="str">
        <f>_xlfn.LET(_xlpm.r, _xlfn.XLOOKUP(MappingGuide[[#This Row],[Description]],'[1]Squirrel SQL Export 1'!D:D,'[1]Squirrel SQL Export 1'!Y:Y),IF(_xlpm.r=0,"",_xlpm.r))</f>
        <v>OKSPLE stores the Standard Point Location Code (SPLC), which is a nine-digit geographical location code used in North America to identify origin or destination points in logistics and transportation processes.
As discussed with Kyle, we don't have SPLE for any customer</v>
      </c>
      <c r="AK244" s="2" t="str">
        <f>_xlfn.LET(_xlpm.r, _xlfn.XLOOKUP(MappingGuide[[#This Row],[Description]],'[1]Squirrel SQL Export 1'!D:D,'[1]Squirrel SQL Export 1'!AE:AE),IF(_xlpm.r=0,"",_xlpm.r))</f>
        <v>This appears to be an M3 only attribute.</v>
      </c>
      <c r="AL244" s="3" t="str">
        <f>_xlfn.LET(_xlpm.r, _xlfn.XLOOKUP(MappingGuide[[#This Row],[DataType]],'[1]Squirrel SQL Export 1'!E:E,'[1]Squirrel SQL Export 1'!AF:AF),IF(_xlpm.r=0,"",_xlpm.r))</f>
        <v>No</v>
      </c>
      <c r="AM244" s="2" t="str">
        <f>_xlfn.LET(_xlpm.r, _xlfn.XLOOKUP(MappingGuide[[#This Row],[Length]],'[1]Squirrel SQL Export 1'!F:F,'[1]Squirrel SQL Export 1'!AG:AG),IF(_xlpm.r=0,"",_xlpm.r))</f>
        <v/>
      </c>
    </row>
    <row r="245" spans="1:39" x14ac:dyDescent="0.2">
      <c r="A245" s="2">
        <v>242</v>
      </c>
      <c r="B245" s="2" t="s">
        <v>51</v>
      </c>
      <c r="C245" s="2" t="s">
        <v>1085</v>
      </c>
      <c r="D245" s="2" t="s">
        <v>1086</v>
      </c>
      <c r="E245" s="2" t="s">
        <v>43</v>
      </c>
      <c r="F245" s="2" t="s">
        <v>44</v>
      </c>
      <c r="O245" s="2" t="s">
        <v>45</v>
      </c>
      <c r="P245" s="2" t="s">
        <v>46</v>
      </c>
      <c r="Q245" s="2" t="s">
        <v>1087</v>
      </c>
      <c r="W245" s="2" t="str">
        <f>_xlfn.LET(_xlpm.r, _xlfn.XLOOKUP(MappingGuide[[#This Row],[Description]],'[1]Squirrel SQL Export 1'!D:D,'[1]Squirrel SQL Export 1'!AC:AC),IF(_xlpm.r=0,"",_xlpm.r))</f>
        <v/>
      </c>
      <c r="AA245" s="2" t="s">
        <v>1088</v>
      </c>
      <c r="AC245" s="2" t="s">
        <v>1089</v>
      </c>
      <c r="AE245" s="2" t="str" cm="1">
        <f t="array" ref="AE245">_xlfn.LET(_xlpm.r, _xlfn.XLOOKUP(MappingGuide[[#This Row],[ColumnName]] &amp; "|" &amp; MappingGuide[[#This Row],[Description]],'[1]Squirrel SQL Export 1'!C:C &amp; "|" &amp;'[1]Squirrel SQL Export 1'!D:D,'[1]Squirrel SQL Export 1'!Z:Z),IF(_xlpm.r=0,"",_xlpm.r))</f>
        <v>no</v>
      </c>
      <c r="AF245" s="3" t="s">
        <v>1309</v>
      </c>
      <c r="AG245" s="3" t="s">
        <v>101</v>
      </c>
      <c r="AI245" s="2" t="str">
        <f>_xlfn.LET(_xlpm.r, _xlfn.XLOOKUP(MappingGuide[[#This Row],[Description]],'[1]Squirrel SQL Export 1'!D:D,'[1]Squirrel SQL Export 1'!Y:Y),IF(_xlpm.r=0,"",_xlpm.r))</f>
        <v>Not used</v>
      </c>
      <c r="AK245" s="2" t="str">
        <f>_xlfn.LET(_xlpm.r, _xlfn.XLOOKUP(MappingGuide[[#This Row],[Description]],'[1]Squirrel SQL Export 1'!D:D,'[1]Squirrel SQL Export 1'!AE:AE),IF(_xlpm.r=0,"",_xlpm.r))</f>
        <v/>
      </c>
      <c r="AL245" s="3" t="str">
        <f>_xlfn.LET(_xlpm.r, _xlfn.XLOOKUP(MappingGuide[[#This Row],[DataType]],'[1]Squirrel SQL Export 1'!E:E,'[1]Squirrel SQL Export 1'!AF:AF),IF(_xlpm.r=0,"",_xlpm.r))</f>
        <v>No</v>
      </c>
      <c r="AM245" s="2" t="str">
        <f>_xlfn.LET(_xlpm.r, _xlfn.XLOOKUP(MappingGuide[[#This Row],[Length]],'[1]Squirrel SQL Export 1'!F:F,'[1]Squirrel SQL Export 1'!AG:AG),IF(_xlpm.r=0,"",_xlpm.r))</f>
        <v/>
      </c>
    </row>
    <row r="246" spans="1:39" x14ac:dyDescent="0.2">
      <c r="A246" s="2">
        <v>243</v>
      </c>
      <c r="B246" s="2" t="s">
        <v>51</v>
      </c>
      <c r="C246" s="2" t="s">
        <v>1090</v>
      </c>
      <c r="D246" s="2" t="s">
        <v>1091</v>
      </c>
      <c r="E246" s="2" t="s">
        <v>43</v>
      </c>
      <c r="F246" s="2" t="s">
        <v>96</v>
      </c>
      <c r="O246" s="2" t="s">
        <v>45</v>
      </c>
      <c r="P246" s="2" t="s">
        <v>1048</v>
      </c>
      <c r="Q246" s="2" t="s">
        <v>1092</v>
      </c>
      <c r="W246" s="2" t="str">
        <f>_xlfn.LET(_xlpm.r, _xlfn.XLOOKUP(MappingGuide[[#This Row],[Description]],'[1]Squirrel SQL Export 1'!D:D,'[1]Squirrel SQL Export 1'!AC:AC),IF(_xlpm.r=0,"",_xlpm.r))</f>
        <v/>
      </c>
      <c r="AA246" s="2" t="s">
        <v>1093</v>
      </c>
      <c r="AB246" s="2" t="s">
        <v>1094</v>
      </c>
      <c r="AC246" s="2"/>
      <c r="AE246" s="2" t="str" cm="1">
        <f t="array" ref="AE246">_xlfn.LET(_xlpm.r, _xlfn.XLOOKUP(MappingGuide[[#This Row],[ColumnName]] &amp; "|" &amp; MappingGuide[[#This Row],[Description]],'[1]Squirrel SQL Export 1'!C:C &amp; "|" &amp;'[1]Squirrel SQL Export 1'!D:D,'[1]Squirrel SQL Export 1'!Z:Z),IF(_xlpm.r=0,"",_xlpm.r))</f>
        <v>no</v>
      </c>
      <c r="AF246" s="3" t="s">
        <v>1309</v>
      </c>
      <c r="AG246" s="3" t="s">
        <v>101</v>
      </c>
      <c r="AI246" s="2" t="str">
        <f>_xlfn.LET(_xlpm.r, _xlfn.XLOOKUP(MappingGuide[[#This Row],[Description]],'[1]Squirrel SQL Export 1'!D:D,'[1]Squirrel SQL Export 1'!Y:Y),IF(_xlpm.r=0,"",_xlpm.r))</f>
        <v>Not used</v>
      </c>
      <c r="AK246" s="2" t="str">
        <f>_xlfn.LET(_xlpm.r, _xlfn.XLOOKUP(MappingGuide[[#This Row],[Description]],'[1]Squirrel SQL Export 1'!D:D,'[1]Squirrel SQL Export 1'!AE:AE),IF(_xlpm.r=0,"",_xlpm.r))</f>
        <v/>
      </c>
      <c r="AL246" s="3" t="str">
        <f>_xlfn.LET(_xlpm.r, _xlfn.XLOOKUP(MappingGuide[[#This Row],[DataType]],'[1]Squirrel SQL Export 1'!E:E,'[1]Squirrel SQL Export 1'!AF:AF),IF(_xlpm.r=0,"",_xlpm.r))</f>
        <v>No</v>
      </c>
      <c r="AM246" s="2" t="str">
        <f>_xlfn.LET(_xlpm.r, _xlfn.XLOOKUP(MappingGuide[[#This Row],[Length]],'[1]Squirrel SQL Export 1'!F:F,'[1]Squirrel SQL Export 1'!AG:AG),IF(_xlpm.r=0,"",_xlpm.r))</f>
        <v>Type</v>
      </c>
    </row>
    <row r="247" spans="1:39" x14ac:dyDescent="0.2">
      <c r="A247" s="2">
        <v>244</v>
      </c>
      <c r="B247" s="2" t="s">
        <v>51</v>
      </c>
      <c r="C247" s="2" t="s">
        <v>1095</v>
      </c>
      <c r="D247" s="2" t="s">
        <v>1096</v>
      </c>
      <c r="E247" s="2" t="s">
        <v>54</v>
      </c>
      <c r="F247" s="2" t="s">
        <v>96</v>
      </c>
      <c r="O247" s="2" t="s">
        <v>45</v>
      </c>
      <c r="P247" s="2" t="s">
        <v>1048</v>
      </c>
      <c r="Q247" s="2" t="s">
        <v>1097</v>
      </c>
      <c r="W247" s="2" t="str">
        <f>_xlfn.LET(_xlpm.r, _xlfn.XLOOKUP(MappingGuide[[#This Row],[Description]],'[1]Squirrel SQL Export 1'!D:D,'[1]Squirrel SQL Export 1'!AC:AC),IF(_xlpm.r=0,"",_xlpm.r))</f>
        <v/>
      </c>
      <c r="AA247" s="2" t="s">
        <v>1098</v>
      </c>
      <c r="AB247" s="2" t="s">
        <v>1099</v>
      </c>
      <c r="AC247" s="2"/>
      <c r="AE247" s="2" t="str" cm="1">
        <f t="array" ref="AE247">_xlfn.LET(_xlpm.r, _xlfn.XLOOKUP(MappingGuide[[#This Row],[ColumnName]] &amp; "|" &amp; MappingGuide[[#This Row],[Description]],'[1]Squirrel SQL Export 1'!C:C &amp; "|" &amp;'[1]Squirrel SQL Export 1'!D:D,'[1]Squirrel SQL Export 1'!Z:Z),IF(_xlpm.r=0,"",_xlpm.r))</f>
        <v>no</v>
      </c>
      <c r="AF247" s="3" t="s">
        <v>1309</v>
      </c>
      <c r="AG247" s="3" t="s">
        <v>101</v>
      </c>
      <c r="AI247" s="2" t="str">
        <f>_xlfn.LET(_xlpm.r, _xlfn.XLOOKUP(MappingGuide[[#This Row],[Description]],'[1]Squirrel SQL Export 1'!D:D,'[1]Squirrel SQL Export 1'!Y:Y),IF(_xlpm.r=0,"",_xlpm.r))</f>
        <v>Not used</v>
      </c>
      <c r="AK247" s="2" t="str">
        <f>_xlfn.LET(_xlpm.r, _xlfn.XLOOKUP(MappingGuide[[#This Row],[Description]],'[1]Squirrel SQL Export 1'!D:D,'[1]Squirrel SQL Export 1'!AE:AE),IF(_xlpm.r=0,"",_xlpm.r))</f>
        <v/>
      </c>
      <c r="AL247" s="3" t="str">
        <f>_xlfn.LET(_xlpm.r, _xlfn.XLOOKUP(MappingGuide[[#This Row],[DataType]],'[1]Squirrel SQL Export 1'!E:E,'[1]Squirrel SQL Export 1'!AF:AF),IF(_xlpm.r=0,"",_xlpm.r))</f>
        <v/>
      </c>
      <c r="AM247" s="2" t="str">
        <f>_xlfn.LET(_xlpm.r, _xlfn.XLOOKUP(MappingGuide[[#This Row],[Length]],'[1]Squirrel SQL Export 1'!F:F,'[1]Squirrel SQL Export 1'!AG:AG),IF(_xlpm.r=0,"",_xlpm.r))</f>
        <v>Type</v>
      </c>
    </row>
    <row r="248" spans="1:39" x14ac:dyDescent="0.2">
      <c r="A248" s="2">
        <v>245</v>
      </c>
      <c r="B248" s="2" t="s">
        <v>51</v>
      </c>
      <c r="C248" s="2" t="s">
        <v>1100</v>
      </c>
      <c r="D248" s="2" t="s">
        <v>1101</v>
      </c>
      <c r="E248" s="2" t="s">
        <v>54</v>
      </c>
      <c r="F248" s="2" t="s">
        <v>96</v>
      </c>
      <c r="O248" s="2" t="s">
        <v>45</v>
      </c>
      <c r="P248" s="2" t="s">
        <v>1048</v>
      </c>
      <c r="Q248" s="2" t="s">
        <v>1102</v>
      </c>
      <c r="W248" s="2" t="str">
        <f>_xlfn.LET(_xlpm.r, _xlfn.XLOOKUP(MappingGuide[[#This Row],[Description]],'[1]Squirrel SQL Export 1'!D:D,'[1]Squirrel SQL Export 1'!AC:AC),IF(_xlpm.r=0,"",_xlpm.r))</f>
        <v/>
      </c>
      <c r="AA248" s="2" t="s">
        <v>1103</v>
      </c>
      <c r="AC248" s="2"/>
      <c r="AE248" s="2" t="str" cm="1">
        <f t="array" ref="AE248">_xlfn.LET(_xlpm.r, _xlfn.XLOOKUP(MappingGuide[[#This Row],[ColumnName]] &amp; "|" &amp; MappingGuide[[#This Row],[Description]],'[1]Squirrel SQL Export 1'!C:C &amp; "|" &amp;'[1]Squirrel SQL Export 1'!D:D,'[1]Squirrel SQL Export 1'!Z:Z),IF(_xlpm.r=0,"",_xlpm.r))</f>
        <v>no</v>
      </c>
      <c r="AF248" s="3" t="s">
        <v>1309</v>
      </c>
      <c r="AG248" s="3" t="s">
        <v>101</v>
      </c>
      <c r="AI248" s="2" t="str">
        <f>_xlfn.LET(_xlpm.r, _xlfn.XLOOKUP(MappingGuide[[#This Row],[Description]],'[1]Squirrel SQL Export 1'!D:D,'[1]Squirrel SQL Export 1'!Y:Y),IF(_xlpm.r=0,"",_xlpm.r))</f>
        <v>Not used</v>
      </c>
      <c r="AK248" s="2" t="str">
        <f>_xlfn.LET(_xlpm.r, _xlfn.XLOOKUP(MappingGuide[[#This Row],[Description]],'[1]Squirrel SQL Export 1'!D:D,'[1]Squirrel SQL Export 1'!AE:AE),IF(_xlpm.r=0,"",_xlpm.r))</f>
        <v/>
      </c>
      <c r="AL248" s="3" t="str">
        <f>_xlfn.LET(_xlpm.r, _xlfn.XLOOKUP(MappingGuide[[#This Row],[DataType]],'[1]Squirrel SQL Export 1'!E:E,'[1]Squirrel SQL Export 1'!AF:AF),IF(_xlpm.r=0,"",_xlpm.r))</f>
        <v/>
      </c>
      <c r="AM248" s="2" t="str">
        <f>_xlfn.LET(_xlpm.r, _xlfn.XLOOKUP(MappingGuide[[#This Row],[Length]],'[1]Squirrel SQL Export 1'!F:F,'[1]Squirrel SQL Export 1'!AG:AG),IF(_xlpm.r=0,"",_xlpm.r))</f>
        <v>Type</v>
      </c>
    </row>
    <row r="249" spans="1:39" x14ac:dyDescent="0.2">
      <c r="A249" s="2">
        <v>246</v>
      </c>
      <c r="B249" s="2" t="s">
        <v>51</v>
      </c>
      <c r="C249" s="2" t="s">
        <v>1104</v>
      </c>
      <c r="D249" s="2" t="s">
        <v>1105</v>
      </c>
      <c r="E249" s="2" t="s">
        <v>54</v>
      </c>
      <c r="F249" s="2" t="s">
        <v>96</v>
      </c>
      <c r="O249" s="2" t="s">
        <v>45</v>
      </c>
      <c r="P249" s="2" t="s">
        <v>1048</v>
      </c>
      <c r="Q249" s="2" t="s">
        <v>1106</v>
      </c>
      <c r="W249" s="2" t="str">
        <f>_xlfn.LET(_xlpm.r, _xlfn.XLOOKUP(MappingGuide[[#This Row],[Description]],'[1]Squirrel SQL Export 1'!D:D,'[1]Squirrel SQL Export 1'!AC:AC),IF(_xlpm.r=0,"",_xlpm.r))</f>
        <v/>
      </c>
      <c r="AA249" s="2" t="s">
        <v>1107</v>
      </c>
      <c r="AC249" s="2"/>
      <c r="AE249" s="2" t="str" cm="1">
        <f t="array" ref="AE249">_xlfn.LET(_xlpm.r, _xlfn.XLOOKUP(MappingGuide[[#This Row],[ColumnName]] &amp; "|" &amp; MappingGuide[[#This Row],[Description]],'[1]Squirrel SQL Export 1'!C:C &amp; "|" &amp;'[1]Squirrel SQL Export 1'!D:D,'[1]Squirrel SQL Export 1'!Z:Z),IF(_xlpm.r=0,"",_xlpm.r))</f>
        <v>no</v>
      </c>
      <c r="AF249" s="3" t="s">
        <v>1309</v>
      </c>
      <c r="AG249" s="3" t="s">
        <v>101</v>
      </c>
      <c r="AI249" s="2" t="str">
        <f>_xlfn.LET(_xlpm.r, _xlfn.XLOOKUP(MappingGuide[[#This Row],[Description]],'[1]Squirrel SQL Export 1'!D:D,'[1]Squirrel SQL Export 1'!Y:Y),IF(_xlpm.r=0,"",_xlpm.r))</f>
        <v>Not used</v>
      </c>
      <c r="AK249" s="2" t="str">
        <f>_xlfn.LET(_xlpm.r, _xlfn.XLOOKUP(MappingGuide[[#This Row],[Description]],'[1]Squirrel SQL Export 1'!D:D,'[1]Squirrel SQL Export 1'!AE:AE),IF(_xlpm.r=0,"",_xlpm.r))</f>
        <v/>
      </c>
      <c r="AL249" s="3" t="str">
        <f>_xlfn.LET(_xlpm.r, _xlfn.XLOOKUP(MappingGuide[[#This Row],[DataType]],'[1]Squirrel SQL Export 1'!E:E,'[1]Squirrel SQL Export 1'!AF:AF),IF(_xlpm.r=0,"",_xlpm.r))</f>
        <v/>
      </c>
      <c r="AM249" s="2" t="str">
        <f>_xlfn.LET(_xlpm.r, _xlfn.XLOOKUP(MappingGuide[[#This Row],[Length]],'[1]Squirrel SQL Export 1'!F:F,'[1]Squirrel SQL Export 1'!AG:AG),IF(_xlpm.r=0,"",_xlpm.r))</f>
        <v>Type</v>
      </c>
    </row>
    <row r="250" spans="1:39" x14ac:dyDescent="0.2">
      <c r="A250" s="2">
        <v>247</v>
      </c>
      <c r="B250" s="2" t="s">
        <v>51</v>
      </c>
      <c r="C250" s="2" t="s">
        <v>1108</v>
      </c>
      <c r="D250" s="2" t="s">
        <v>1109</v>
      </c>
      <c r="E250" s="2" t="s">
        <v>54</v>
      </c>
      <c r="F250" s="2" t="s">
        <v>96</v>
      </c>
      <c r="O250" s="2" t="s">
        <v>45</v>
      </c>
      <c r="P250" s="2" t="s">
        <v>1048</v>
      </c>
      <c r="Q250" s="2" t="s">
        <v>1110</v>
      </c>
      <c r="W250" s="2" t="str">
        <f>_xlfn.LET(_xlpm.r, _xlfn.XLOOKUP(MappingGuide[[#This Row],[Description]],'[1]Squirrel SQL Export 1'!D:D,'[1]Squirrel SQL Export 1'!AC:AC),IF(_xlpm.r=0,"",_xlpm.r))</f>
        <v/>
      </c>
      <c r="AA250" s="2" t="s">
        <v>1111</v>
      </c>
      <c r="AB250" s="2" t="s">
        <v>1112</v>
      </c>
      <c r="AC250" s="2"/>
      <c r="AE250" s="2" t="str" cm="1">
        <f t="array" ref="AE250">_xlfn.LET(_xlpm.r, _xlfn.XLOOKUP(MappingGuide[[#This Row],[ColumnName]] &amp; "|" &amp; MappingGuide[[#This Row],[Description]],'[1]Squirrel SQL Export 1'!C:C &amp; "|" &amp;'[1]Squirrel SQL Export 1'!D:D,'[1]Squirrel SQL Export 1'!Z:Z),IF(_xlpm.r=0,"",_xlpm.r))</f>
        <v>no</v>
      </c>
      <c r="AF250" s="3" t="s">
        <v>1309</v>
      </c>
      <c r="AG250" s="3" t="s">
        <v>101</v>
      </c>
      <c r="AI250" s="2" t="str">
        <f>_xlfn.LET(_xlpm.r, _xlfn.XLOOKUP(MappingGuide[[#This Row],[Description]],'[1]Squirrel SQL Export 1'!D:D,'[1]Squirrel SQL Export 1'!Y:Y),IF(_xlpm.r=0,"",_xlpm.r))</f>
        <v>Not used</v>
      </c>
      <c r="AK250" s="2" t="str">
        <f>_xlfn.LET(_xlpm.r, _xlfn.XLOOKUP(MappingGuide[[#This Row],[Description]],'[1]Squirrel SQL Export 1'!D:D,'[1]Squirrel SQL Export 1'!AE:AE),IF(_xlpm.r=0,"",_xlpm.r))</f>
        <v/>
      </c>
      <c r="AL250" s="3" t="str">
        <f>_xlfn.LET(_xlpm.r, _xlfn.XLOOKUP(MappingGuide[[#This Row],[DataType]],'[1]Squirrel SQL Export 1'!E:E,'[1]Squirrel SQL Export 1'!AF:AF),IF(_xlpm.r=0,"",_xlpm.r))</f>
        <v/>
      </c>
      <c r="AM250" s="2" t="str">
        <f>_xlfn.LET(_xlpm.r, _xlfn.XLOOKUP(MappingGuide[[#This Row],[Length]],'[1]Squirrel SQL Export 1'!F:F,'[1]Squirrel SQL Export 1'!AG:AG),IF(_xlpm.r=0,"",_xlpm.r))</f>
        <v>Type</v>
      </c>
    </row>
    <row r="251" spans="1:39" x14ac:dyDescent="0.2">
      <c r="A251" s="2">
        <v>248</v>
      </c>
      <c r="B251" s="2" t="s">
        <v>51</v>
      </c>
      <c r="C251" s="2" t="s">
        <v>1113</v>
      </c>
      <c r="D251" s="2" t="s">
        <v>1114</v>
      </c>
      <c r="E251" s="2" t="s">
        <v>43</v>
      </c>
      <c r="F251" s="2" t="s">
        <v>96</v>
      </c>
      <c r="O251" s="2" t="s">
        <v>45</v>
      </c>
      <c r="P251" s="2" t="s">
        <v>1048</v>
      </c>
      <c r="Q251" s="2" t="s">
        <v>1115</v>
      </c>
      <c r="W251" s="2" t="str">
        <f>_xlfn.LET(_xlpm.r, _xlfn.XLOOKUP(MappingGuide[[#This Row],[Description]],'[1]Squirrel SQL Export 1'!D:D,'[1]Squirrel SQL Export 1'!AC:AC),IF(_xlpm.r=0,"",_xlpm.r))</f>
        <v/>
      </c>
      <c r="AC251" s="2"/>
      <c r="AE251" s="2" t="str" cm="1">
        <f t="array" ref="AE251">_xlfn.LET(_xlpm.r, _xlfn.XLOOKUP(MappingGuide[[#This Row],[ColumnName]] &amp; "|" &amp; MappingGuide[[#This Row],[Description]],'[1]Squirrel SQL Export 1'!C:C &amp; "|" &amp;'[1]Squirrel SQL Export 1'!D:D,'[1]Squirrel SQL Export 1'!Z:Z),IF(_xlpm.r=0,"",_xlpm.r))</f>
        <v>no</v>
      </c>
      <c r="AF251" s="3" t="s">
        <v>1309</v>
      </c>
      <c r="AG251" s="3" t="s">
        <v>101</v>
      </c>
      <c r="AI251" s="2" t="str">
        <f>_xlfn.LET(_xlpm.r, _xlfn.XLOOKUP(MappingGuide[[#This Row],[Description]],'[1]Squirrel SQL Export 1'!D:D,'[1]Squirrel SQL Export 1'!Y:Y),IF(_xlpm.r=0,"",_xlpm.r))</f>
        <v>Not used</v>
      </c>
      <c r="AK251" s="2" t="str">
        <f>_xlfn.LET(_xlpm.r, _xlfn.XLOOKUP(MappingGuide[[#This Row],[Description]],'[1]Squirrel SQL Export 1'!D:D,'[1]Squirrel SQL Export 1'!AE:AE),IF(_xlpm.r=0,"",_xlpm.r))</f>
        <v/>
      </c>
      <c r="AL251" s="3" t="str">
        <f>_xlfn.LET(_xlpm.r, _xlfn.XLOOKUP(MappingGuide[[#This Row],[DataType]],'[1]Squirrel SQL Export 1'!E:E,'[1]Squirrel SQL Export 1'!AF:AF),IF(_xlpm.r=0,"",_xlpm.r))</f>
        <v>No</v>
      </c>
      <c r="AM251" s="2" t="str">
        <f>_xlfn.LET(_xlpm.r, _xlfn.XLOOKUP(MappingGuide[[#This Row],[Length]],'[1]Squirrel SQL Export 1'!F:F,'[1]Squirrel SQL Export 1'!AG:AG),IF(_xlpm.r=0,"",_xlpm.r))</f>
        <v>Type</v>
      </c>
    </row>
    <row r="252" spans="1:39" x14ac:dyDescent="0.2">
      <c r="A252" s="2">
        <v>249</v>
      </c>
      <c r="B252" s="2" t="s">
        <v>51</v>
      </c>
      <c r="C252" s="2" t="s">
        <v>1116</v>
      </c>
      <c r="D252" s="2" t="s">
        <v>1117</v>
      </c>
      <c r="E252" s="2" t="s">
        <v>54</v>
      </c>
      <c r="F252" s="2" t="s">
        <v>377</v>
      </c>
      <c r="G252" s="2" t="s">
        <v>70</v>
      </c>
      <c r="O252" s="2" t="s">
        <v>45</v>
      </c>
      <c r="P252" s="2" t="s">
        <v>1048</v>
      </c>
      <c r="Q252" s="2" t="s">
        <v>1118</v>
      </c>
      <c r="W252" s="2" t="str">
        <f>_xlfn.LET(_xlpm.r, _xlfn.XLOOKUP(MappingGuide[[#This Row],[Description]],'[1]Squirrel SQL Export 1'!D:D,'[1]Squirrel SQL Export 1'!AC:AC),IF(_xlpm.r=0,"",_xlpm.r))</f>
        <v/>
      </c>
      <c r="AC252" s="2"/>
      <c r="AE252" s="2" t="str" cm="1">
        <f t="array" ref="AE252">_xlfn.LET(_xlpm.r, _xlfn.XLOOKUP(MappingGuide[[#This Row],[ColumnName]] &amp; "|" &amp; MappingGuide[[#This Row],[Description]],'[1]Squirrel SQL Export 1'!C:C &amp; "|" &amp;'[1]Squirrel SQL Export 1'!D:D,'[1]Squirrel SQL Export 1'!Z:Z),IF(_xlpm.r=0,"",_xlpm.r))</f>
        <v>no</v>
      </c>
      <c r="AF252" s="3" t="s">
        <v>1309</v>
      </c>
      <c r="AG252" s="3" t="s">
        <v>101</v>
      </c>
      <c r="AI252" s="2" t="str">
        <f>_xlfn.LET(_xlpm.r, _xlfn.XLOOKUP(MappingGuide[[#This Row],[Description]],'[1]Squirrel SQL Export 1'!D:D,'[1]Squirrel SQL Export 1'!Y:Y),IF(_xlpm.r=0,"",_xlpm.r))</f>
        <v>Not used</v>
      </c>
      <c r="AK252" s="2" t="str">
        <f>_xlfn.LET(_xlpm.r, _xlfn.XLOOKUP(MappingGuide[[#This Row],[Description]],'[1]Squirrel SQL Export 1'!D:D,'[1]Squirrel SQL Export 1'!AE:AE),IF(_xlpm.r=0,"",_xlpm.r))</f>
        <v/>
      </c>
      <c r="AL252" s="3" t="str">
        <f>_xlfn.LET(_xlpm.r, _xlfn.XLOOKUP(MappingGuide[[#This Row],[DataType]],'[1]Squirrel SQL Export 1'!E:E,'[1]Squirrel SQL Export 1'!AF:AF),IF(_xlpm.r=0,"",_xlpm.r))</f>
        <v/>
      </c>
      <c r="AM252" s="2" t="str">
        <f>_xlfn.LET(_xlpm.r, _xlfn.XLOOKUP(MappingGuide[[#This Row],[Length]],'[1]Squirrel SQL Export 1'!F:F,'[1]Squirrel SQL Export 1'!AG:AG),IF(_xlpm.r=0,"",_xlpm.r))</f>
        <v/>
      </c>
    </row>
    <row r="253" spans="1:39" x14ac:dyDescent="0.2">
      <c r="A253" s="2">
        <v>250</v>
      </c>
      <c r="B253" s="2" t="s">
        <v>51</v>
      </c>
      <c r="C253" s="2" t="s">
        <v>1119</v>
      </c>
      <c r="D253" s="2" t="s">
        <v>1120</v>
      </c>
      <c r="E253" s="2" t="s">
        <v>54</v>
      </c>
      <c r="F253" s="2" t="s">
        <v>407</v>
      </c>
      <c r="O253" s="2" t="s">
        <v>45</v>
      </c>
      <c r="P253" s="2" t="s">
        <v>1048</v>
      </c>
      <c r="Q253" s="2" t="s">
        <v>1121</v>
      </c>
      <c r="W253" s="2" t="str">
        <f>_xlfn.LET(_xlpm.r, _xlfn.XLOOKUP(MappingGuide[[#This Row],[Description]],'[1]Squirrel SQL Export 1'!D:D,'[1]Squirrel SQL Export 1'!AC:AC),IF(_xlpm.r=0,"",_xlpm.r))</f>
        <v/>
      </c>
      <c r="AC253" s="2"/>
      <c r="AE253" s="2" t="str" cm="1">
        <f t="array" ref="AE253">_xlfn.LET(_xlpm.r, _xlfn.XLOOKUP(MappingGuide[[#This Row],[ColumnName]] &amp; "|" &amp; MappingGuide[[#This Row],[Description]],'[1]Squirrel SQL Export 1'!C:C &amp; "|" &amp;'[1]Squirrel SQL Export 1'!D:D,'[1]Squirrel SQL Export 1'!Z:Z),IF(_xlpm.r=0,"",_xlpm.r))</f>
        <v>no</v>
      </c>
      <c r="AF253" s="3" t="s">
        <v>1309</v>
      </c>
      <c r="AG253" s="3" t="s">
        <v>101</v>
      </c>
      <c r="AI253" s="2" t="str">
        <f>_xlfn.LET(_xlpm.r, _xlfn.XLOOKUP(MappingGuide[[#This Row],[Description]],'[1]Squirrel SQL Export 1'!D:D,'[1]Squirrel SQL Export 1'!Y:Y),IF(_xlpm.r=0,"",_xlpm.r))</f>
        <v>Not used</v>
      </c>
      <c r="AK253" s="2" t="str">
        <f>_xlfn.LET(_xlpm.r, _xlfn.XLOOKUP(MappingGuide[[#This Row],[Description]],'[1]Squirrel SQL Export 1'!D:D,'[1]Squirrel SQL Export 1'!AE:AE),IF(_xlpm.r=0,"",_xlpm.r))</f>
        <v/>
      </c>
      <c r="AL253" s="3" t="str">
        <f>_xlfn.LET(_xlpm.r, _xlfn.XLOOKUP(MappingGuide[[#This Row],[DataType]],'[1]Squirrel SQL Export 1'!E:E,'[1]Squirrel SQL Export 1'!AF:AF),IF(_xlpm.r=0,"",_xlpm.r))</f>
        <v/>
      </c>
      <c r="AM253" s="2" t="str">
        <f>_xlfn.LET(_xlpm.r, _xlfn.XLOOKUP(MappingGuide[[#This Row],[Length]],'[1]Squirrel SQL Export 1'!F:F,'[1]Squirrel SQL Export 1'!AG:AG),IF(_xlpm.r=0,"",_xlpm.r))</f>
        <v/>
      </c>
    </row>
    <row r="254" spans="1:39" x14ac:dyDescent="0.2">
      <c r="A254" s="2">
        <v>251</v>
      </c>
      <c r="B254" s="2" t="s">
        <v>51</v>
      </c>
      <c r="C254" s="2" t="s">
        <v>1122</v>
      </c>
      <c r="D254" s="2" t="s">
        <v>1123</v>
      </c>
      <c r="E254" s="2" t="s">
        <v>54</v>
      </c>
      <c r="F254" s="2" t="s">
        <v>70</v>
      </c>
      <c r="O254" s="2" t="s">
        <v>45</v>
      </c>
      <c r="P254" s="2" t="s">
        <v>1048</v>
      </c>
      <c r="Q254" s="2" t="s">
        <v>1124</v>
      </c>
      <c r="W254" s="2" t="str">
        <f>_xlfn.LET(_xlpm.r, _xlfn.XLOOKUP(MappingGuide[[#This Row],[Description]],'[1]Squirrel SQL Export 1'!D:D,'[1]Squirrel SQL Export 1'!AC:AC),IF(_xlpm.r=0,"",_xlpm.r))</f>
        <v/>
      </c>
      <c r="AC254" s="2"/>
      <c r="AE254" s="2" t="str" cm="1">
        <f t="array" ref="AE254">_xlfn.LET(_xlpm.r, _xlfn.XLOOKUP(MappingGuide[[#This Row],[ColumnName]] &amp; "|" &amp; MappingGuide[[#This Row],[Description]],'[1]Squirrel SQL Export 1'!C:C &amp; "|" &amp;'[1]Squirrel SQL Export 1'!D:D,'[1]Squirrel SQL Export 1'!Z:Z),IF(_xlpm.r=0,"",_xlpm.r))</f>
        <v>no</v>
      </c>
      <c r="AF254" s="3" t="s">
        <v>1309</v>
      </c>
      <c r="AG254" s="3" t="s">
        <v>101</v>
      </c>
      <c r="AI254" s="2" t="str">
        <f>_xlfn.LET(_xlpm.r, _xlfn.XLOOKUP(MappingGuide[[#This Row],[Description]],'[1]Squirrel SQL Export 1'!D:D,'[1]Squirrel SQL Export 1'!Y:Y),IF(_xlpm.r=0,"",_xlpm.r))</f>
        <v>Not used</v>
      </c>
      <c r="AK254" s="2" t="str">
        <f>_xlfn.LET(_xlpm.r, _xlfn.XLOOKUP(MappingGuide[[#This Row],[Description]],'[1]Squirrel SQL Export 1'!D:D,'[1]Squirrel SQL Export 1'!AE:AE),IF(_xlpm.r=0,"",_xlpm.r))</f>
        <v/>
      </c>
      <c r="AL254" s="3" t="str">
        <f>_xlfn.LET(_xlpm.r, _xlfn.XLOOKUP(MappingGuide[[#This Row],[DataType]],'[1]Squirrel SQL Export 1'!E:E,'[1]Squirrel SQL Export 1'!AF:AF),IF(_xlpm.r=0,"",_xlpm.r))</f>
        <v/>
      </c>
      <c r="AM254" s="2" t="str">
        <f>_xlfn.LET(_xlpm.r, _xlfn.XLOOKUP(MappingGuide[[#This Row],[Length]],'[1]Squirrel SQL Export 1'!F:F,'[1]Squirrel SQL Export 1'!AG:AG),IF(_xlpm.r=0,"",_xlpm.r))</f>
        <v>Status</v>
      </c>
    </row>
    <row r="255" spans="1:39" x14ac:dyDescent="0.2">
      <c r="A255" s="2">
        <v>252</v>
      </c>
      <c r="B255" s="2" t="s">
        <v>51</v>
      </c>
      <c r="C255" s="2" t="s">
        <v>1125</v>
      </c>
      <c r="D255" s="2" t="s">
        <v>1126</v>
      </c>
      <c r="E255" s="2" t="s">
        <v>54</v>
      </c>
      <c r="F255" s="2" t="s">
        <v>70</v>
      </c>
      <c r="O255" s="2" t="s">
        <v>45</v>
      </c>
      <c r="P255" s="2" t="s">
        <v>1048</v>
      </c>
      <c r="Q255" s="2" t="s">
        <v>1127</v>
      </c>
      <c r="W255" s="2" t="str">
        <f>_xlfn.LET(_xlpm.r, _xlfn.XLOOKUP(MappingGuide[[#This Row],[Description]],'[1]Squirrel SQL Export 1'!D:D,'[1]Squirrel SQL Export 1'!AC:AC),IF(_xlpm.r=0,"",_xlpm.r))</f>
        <v/>
      </c>
      <c r="AC255" s="2"/>
      <c r="AE255" s="2" t="str" cm="1">
        <f t="array" ref="AE255">_xlfn.LET(_xlpm.r, _xlfn.XLOOKUP(MappingGuide[[#This Row],[ColumnName]] &amp; "|" &amp; MappingGuide[[#This Row],[Description]],'[1]Squirrel SQL Export 1'!C:C &amp; "|" &amp;'[1]Squirrel SQL Export 1'!D:D,'[1]Squirrel SQL Export 1'!Z:Z),IF(_xlpm.r=0,"",_xlpm.r))</f>
        <v>no</v>
      </c>
      <c r="AF255" s="3" t="s">
        <v>1309</v>
      </c>
      <c r="AG255" s="3" t="s">
        <v>101</v>
      </c>
      <c r="AI255" s="2" t="str">
        <f>_xlfn.LET(_xlpm.r, _xlfn.XLOOKUP(MappingGuide[[#This Row],[Description]],'[1]Squirrel SQL Export 1'!D:D,'[1]Squirrel SQL Export 1'!Y:Y),IF(_xlpm.r=0,"",_xlpm.r))</f>
        <v>Not used</v>
      </c>
      <c r="AK255" s="2" t="str">
        <f>_xlfn.LET(_xlpm.r, _xlfn.XLOOKUP(MappingGuide[[#This Row],[Description]],'[1]Squirrel SQL Export 1'!D:D,'[1]Squirrel SQL Export 1'!AE:AE),IF(_xlpm.r=0,"",_xlpm.r))</f>
        <v/>
      </c>
      <c r="AL255" s="3" t="str">
        <f>_xlfn.LET(_xlpm.r, _xlfn.XLOOKUP(MappingGuide[[#This Row],[DataType]],'[1]Squirrel SQL Export 1'!E:E,'[1]Squirrel SQL Export 1'!AF:AF),IF(_xlpm.r=0,"",_xlpm.r))</f>
        <v/>
      </c>
      <c r="AM255" s="2" t="str">
        <f>_xlfn.LET(_xlpm.r, _xlfn.XLOOKUP(MappingGuide[[#This Row],[Length]],'[1]Squirrel SQL Export 1'!F:F,'[1]Squirrel SQL Export 1'!AG:AG),IF(_xlpm.r=0,"",_xlpm.r))</f>
        <v>Status</v>
      </c>
    </row>
    <row r="256" spans="1:39" x14ac:dyDescent="0.2">
      <c r="A256" s="2">
        <v>253</v>
      </c>
      <c r="B256" s="2" t="s">
        <v>51</v>
      </c>
      <c r="C256" s="2" t="s">
        <v>1128</v>
      </c>
      <c r="D256" s="2" t="s">
        <v>1129</v>
      </c>
      <c r="E256" s="2" t="s">
        <v>54</v>
      </c>
      <c r="F256" s="2" t="s">
        <v>70</v>
      </c>
      <c r="O256" s="2" t="s">
        <v>45</v>
      </c>
      <c r="P256" s="2" t="s">
        <v>1048</v>
      </c>
      <c r="Q256" s="2" t="s">
        <v>1130</v>
      </c>
      <c r="W256" s="2" t="str">
        <f>_xlfn.LET(_xlpm.r, _xlfn.XLOOKUP(MappingGuide[[#This Row],[Description]],'[1]Squirrel SQL Export 1'!D:D,'[1]Squirrel SQL Export 1'!AC:AC),IF(_xlpm.r=0,"",_xlpm.r))</f>
        <v/>
      </c>
      <c r="AA256" s="2" t="s">
        <v>1131</v>
      </c>
      <c r="AC256" s="2"/>
      <c r="AE256" s="2" t="str" cm="1">
        <f t="array" ref="AE256">_xlfn.LET(_xlpm.r, _xlfn.XLOOKUP(MappingGuide[[#This Row],[ColumnName]] &amp; "|" &amp; MappingGuide[[#This Row],[Description]],'[1]Squirrel SQL Export 1'!C:C &amp; "|" &amp;'[1]Squirrel SQL Export 1'!D:D,'[1]Squirrel SQL Export 1'!Z:Z),IF(_xlpm.r=0,"",_xlpm.r))</f>
        <v>no</v>
      </c>
      <c r="AF256" s="3" t="s">
        <v>1309</v>
      </c>
      <c r="AG256" s="3" t="s">
        <v>101</v>
      </c>
      <c r="AI256" s="2" t="str">
        <f>_xlfn.LET(_xlpm.r, _xlfn.XLOOKUP(MappingGuide[[#This Row],[Description]],'[1]Squirrel SQL Export 1'!D:D,'[1]Squirrel SQL Export 1'!Y:Y),IF(_xlpm.r=0,"",_xlpm.r))</f>
        <v>Not used</v>
      </c>
      <c r="AK256" s="2" t="str">
        <f>_xlfn.LET(_xlpm.r, _xlfn.XLOOKUP(MappingGuide[[#This Row],[Description]],'[1]Squirrel SQL Export 1'!D:D,'[1]Squirrel SQL Export 1'!AE:AE),IF(_xlpm.r=0,"",_xlpm.r))</f>
        <v/>
      </c>
      <c r="AL256" s="3" t="str">
        <f>_xlfn.LET(_xlpm.r, _xlfn.XLOOKUP(MappingGuide[[#This Row],[DataType]],'[1]Squirrel SQL Export 1'!E:E,'[1]Squirrel SQL Export 1'!AF:AF),IF(_xlpm.r=0,"",_xlpm.r))</f>
        <v/>
      </c>
      <c r="AM256" s="2" t="str">
        <f>_xlfn.LET(_xlpm.r, _xlfn.XLOOKUP(MappingGuide[[#This Row],[Length]],'[1]Squirrel SQL Export 1'!F:F,'[1]Squirrel SQL Export 1'!AG:AG),IF(_xlpm.r=0,"",_xlpm.r))</f>
        <v>Status</v>
      </c>
    </row>
    <row r="257" spans="1:39" x14ac:dyDescent="0.2">
      <c r="A257" s="2">
        <v>254</v>
      </c>
      <c r="B257" s="2" t="s">
        <v>51</v>
      </c>
      <c r="C257" s="2" t="s">
        <v>1132</v>
      </c>
      <c r="D257" s="2" t="s">
        <v>1133</v>
      </c>
      <c r="E257" s="2" t="s">
        <v>54</v>
      </c>
      <c r="F257" s="2" t="s">
        <v>70</v>
      </c>
      <c r="O257" s="2" t="s">
        <v>45</v>
      </c>
      <c r="P257" s="2" t="s">
        <v>1048</v>
      </c>
      <c r="Q257" s="2" t="s">
        <v>1134</v>
      </c>
      <c r="W257" s="2" t="str">
        <f>_xlfn.LET(_xlpm.r, _xlfn.XLOOKUP(MappingGuide[[#This Row],[Description]],'[1]Squirrel SQL Export 1'!D:D,'[1]Squirrel SQL Export 1'!AC:AC),IF(_xlpm.r=0,"",_xlpm.r))</f>
        <v/>
      </c>
      <c r="AA257" s="2" t="s">
        <v>1135</v>
      </c>
      <c r="AC257" s="2"/>
      <c r="AE257" s="2" t="str" cm="1">
        <f t="array" ref="AE257">_xlfn.LET(_xlpm.r, _xlfn.XLOOKUP(MappingGuide[[#This Row],[ColumnName]] &amp; "|" &amp; MappingGuide[[#This Row],[Description]],'[1]Squirrel SQL Export 1'!C:C &amp; "|" &amp;'[1]Squirrel SQL Export 1'!D:D,'[1]Squirrel SQL Export 1'!Z:Z),IF(_xlpm.r=0,"",_xlpm.r))</f>
        <v>no</v>
      </c>
      <c r="AF257" s="3" t="s">
        <v>1309</v>
      </c>
      <c r="AG257" s="3" t="s">
        <v>101</v>
      </c>
      <c r="AI257" s="2" t="str">
        <f>_xlfn.LET(_xlpm.r, _xlfn.XLOOKUP(MappingGuide[[#This Row],[Description]],'[1]Squirrel SQL Export 1'!D:D,'[1]Squirrel SQL Export 1'!Y:Y),IF(_xlpm.r=0,"",_xlpm.r))</f>
        <v>Not used</v>
      </c>
      <c r="AK257" s="2" t="str">
        <f>_xlfn.LET(_xlpm.r, _xlfn.XLOOKUP(MappingGuide[[#This Row],[Description]],'[1]Squirrel SQL Export 1'!D:D,'[1]Squirrel SQL Export 1'!AE:AE),IF(_xlpm.r=0,"",_xlpm.r))</f>
        <v/>
      </c>
      <c r="AL257" s="3" t="str">
        <f>_xlfn.LET(_xlpm.r, _xlfn.XLOOKUP(MappingGuide[[#This Row],[DataType]],'[1]Squirrel SQL Export 1'!E:E,'[1]Squirrel SQL Export 1'!AF:AF),IF(_xlpm.r=0,"",_xlpm.r))</f>
        <v/>
      </c>
      <c r="AM257" s="2" t="str">
        <f>_xlfn.LET(_xlpm.r, _xlfn.XLOOKUP(MappingGuide[[#This Row],[Length]],'[1]Squirrel SQL Export 1'!F:F,'[1]Squirrel SQL Export 1'!AG:AG),IF(_xlpm.r=0,"",_xlpm.r))</f>
        <v>Status</v>
      </c>
    </row>
    <row r="258" spans="1:39" x14ac:dyDescent="0.2">
      <c r="A258" s="2">
        <v>255</v>
      </c>
      <c r="B258" s="2" t="s">
        <v>51</v>
      </c>
      <c r="C258" s="2" t="s">
        <v>1136</v>
      </c>
      <c r="D258" s="2" t="s">
        <v>1137</v>
      </c>
      <c r="E258" s="2" t="s">
        <v>54</v>
      </c>
      <c r="F258" s="2" t="s">
        <v>70</v>
      </c>
      <c r="O258" s="2" t="s">
        <v>45</v>
      </c>
      <c r="P258" s="2" t="s">
        <v>1048</v>
      </c>
      <c r="Q258" s="2" t="s">
        <v>1138</v>
      </c>
      <c r="W258" s="2" t="str">
        <f>_xlfn.LET(_xlpm.r, _xlfn.XLOOKUP(MappingGuide[[#This Row],[Description]],'[1]Squirrel SQL Export 1'!D:D,'[1]Squirrel SQL Export 1'!AC:AC),IF(_xlpm.r=0,"",_xlpm.r))</f>
        <v/>
      </c>
      <c r="AA258" s="2" t="s">
        <v>1139</v>
      </c>
      <c r="AC258" s="2"/>
      <c r="AE258" s="2" t="str" cm="1">
        <f t="array" ref="AE258">_xlfn.LET(_xlpm.r, _xlfn.XLOOKUP(MappingGuide[[#This Row],[ColumnName]] &amp; "|" &amp; MappingGuide[[#This Row],[Description]],'[1]Squirrel SQL Export 1'!C:C &amp; "|" &amp;'[1]Squirrel SQL Export 1'!D:D,'[1]Squirrel SQL Export 1'!Z:Z),IF(_xlpm.r=0,"",_xlpm.r))</f>
        <v>no</v>
      </c>
      <c r="AF258" s="3" t="s">
        <v>1309</v>
      </c>
      <c r="AG258" s="3" t="s">
        <v>101</v>
      </c>
      <c r="AI258" s="2" t="str">
        <f>_xlfn.LET(_xlpm.r, _xlfn.XLOOKUP(MappingGuide[[#This Row],[Description]],'[1]Squirrel SQL Export 1'!D:D,'[1]Squirrel SQL Export 1'!Y:Y),IF(_xlpm.r=0,"",_xlpm.r))</f>
        <v>Not used</v>
      </c>
      <c r="AK258" s="2" t="str">
        <f>_xlfn.LET(_xlpm.r, _xlfn.XLOOKUP(MappingGuide[[#This Row],[Description]],'[1]Squirrel SQL Export 1'!D:D,'[1]Squirrel SQL Export 1'!AE:AE),IF(_xlpm.r=0,"",_xlpm.r))</f>
        <v/>
      </c>
      <c r="AL258" s="3" t="str">
        <f>_xlfn.LET(_xlpm.r, _xlfn.XLOOKUP(MappingGuide[[#This Row],[DataType]],'[1]Squirrel SQL Export 1'!E:E,'[1]Squirrel SQL Export 1'!AF:AF),IF(_xlpm.r=0,"",_xlpm.r))</f>
        <v/>
      </c>
      <c r="AM258" s="2" t="str">
        <f>_xlfn.LET(_xlpm.r, _xlfn.XLOOKUP(MappingGuide[[#This Row],[Length]],'[1]Squirrel SQL Export 1'!F:F,'[1]Squirrel SQL Export 1'!AG:AG),IF(_xlpm.r=0,"",_xlpm.r))</f>
        <v>Status</v>
      </c>
    </row>
    <row r="259" spans="1:39" x14ac:dyDescent="0.2">
      <c r="A259" s="2">
        <v>256</v>
      </c>
      <c r="B259" s="2" t="s">
        <v>51</v>
      </c>
      <c r="C259" s="2" t="s">
        <v>1140</v>
      </c>
      <c r="D259" s="2" t="s">
        <v>1141</v>
      </c>
      <c r="E259" s="2" t="s">
        <v>43</v>
      </c>
      <c r="F259" s="2" t="s">
        <v>55</v>
      </c>
      <c r="O259" s="2" t="s">
        <v>45</v>
      </c>
      <c r="P259" s="2" t="s">
        <v>1048</v>
      </c>
      <c r="Q259" s="2" t="s">
        <v>1142</v>
      </c>
      <c r="W259" s="2" t="str">
        <f>_xlfn.LET(_xlpm.r, _xlfn.XLOOKUP(MappingGuide[[#This Row],[Description]],'[1]Squirrel SQL Export 1'!D:D,'[1]Squirrel SQL Export 1'!AC:AC),IF(_xlpm.r=0,"",_xlpm.r))</f>
        <v/>
      </c>
      <c r="AA259" s="2" t="s">
        <v>1143</v>
      </c>
      <c r="AC259" s="2" t="s">
        <v>1144</v>
      </c>
      <c r="AE259" s="2" t="str" cm="1">
        <f t="array" ref="AE259">_xlfn.LET(_xlpm.r, _xlfn.XLOOKUP(MappingGuide[[#This Row],[ColumnName]] &amp; "|" &amp; MappingGuide[[#This Row],[Description]],'[1]Squirrel SQL Export 1'!C:C &amp; "|" &amp;'[1]Squirrel SQL Export 1'!D:D,'[1]Squirrel SQL Export 1'!Z:Z),IF(_xlpm.r=0,"",_xlpm.r))</f>
        <v>no</v>
      </c>
      <c r="AF259" s="3" t="s">
        <v>1309</v>
      </c>
      <c r="AG259" s="3" t="s">
        <v>101</v>
      </c>
      <c r="AI259" s="2" t="str">
        <f>_xlfn.LET(_xlpm.r, _xlfn.XLOOKUP(MappingGuide[[#This Row],[Description]],'[1]Squirrel SQL Export 1'!D:D,'[1]Squirrel SQL Export 1'!Y:Y),IF(_xlpm.r=0,"",_xlpm.r))</f>
        <v>Not used</v>
      </c>
      <c r="AK259" s="2" t="str">
        <f>_xlfn.LET(_xlpm.r, _xlfn.XLOOKUP(MappingGuide[[#This Row],[Description]],'[1]Squirrel SQL Export 1'!D:D,'[1]Squirrel SQL Export 1'!AE:AE),IF(_xlpm.r=0,"",_xlpm.r))</f>
        <v/>
      </c>
      <c r="AL259" s="3" t="str">
        <f>_xlfn.LET(_xlpm.r, _xlfn.XLOOKUP(MappingGuide[[#This Row],[DataType]],'[1]Squirrel SQL Export 1'!E:E,'[1]Squirrel SQL Export 1'!AF:AF),IF(_xlpm.r=0,"",_xlpm.r))</f>
        <v>No</v>
      </c>
      <c r="AM259" s="2" t="str">
        <f>_xlfn.LET(_xlpm.r, _xlfn.XLOOKUP(MappingGuide[[#This Row],[Length]],'[1]Squirrel SQL Export 1'!F:F,'[1]Squirrel SQL Export 1'!AG:AG),IF(_xlpm.r=0,"",_xlpm.r))</f>
        <v/>
      </c>
    </row>
    <row r="260" spans="1:39" x14ac:dyDescent="0.2">
      <c r="A260" s="2">
        <v>257</v>
      </c>
      <c r="B260" s="2" t="s">
        <v>51</v>
      </c>
      <c r="C260" s="2" t="s">
        <v>1145</v>
      </c>
      <c r="D260" s="2" t="s">
        <v>1146</v>
      </c>
      <c r="E260" s="2" t="s">
        <v>54</v>
      </c>
      <c r="F260" s="2" t="s">
        <v>96</v>
      </c>
      <c r="O260" s="2" t="s">
        <v>45</v>
      </c>
      <c r="P260" s="2" t="s">
        <v>88</v>
      </c>
      <c r="Q260" s="2" t="s">
        <v>1147</v>
      </c>
      <c r="W260" s="2" t="str">
        <f>_xlfn.LET(_xlpm.r, _xlfn.XLOOKUP(MappingGuide[[#This Row],[Description]],'[1]Squirrel SQL Export 1'!D:D,'[1]Squirrel SQL Export 1'!AC:AC),IF(_xlpm.r=0,"",_xlpm.r))</f>
        <v/>
      </c>
      <c r="AC260" s="2"/>
      <c r="AE260" s="2" t="str" cm="1">
        <f t="array" ref="AE260">_xlfn.LET(_xlpm.r, _xlfn.XLOOKUP(MappingGuide[[#This Row],[ColumnName]] &amp; "|" &amp; MappingGuide[[#This Row],[Description]],'[1]Squirrel SQL Export 1'!C:C &amp; "|" &amp;'[1]Squirrel SQL Export 1'!D:D,'[1]Squirrel SQL Export 1'!Z:Z),IF(_xlpm.r=0,"",_xlpm.r))</f>
        <v>no</v>
      </c>
      <c r="AF260" s="3" t="s">
        <v>1309</v>
      </c>
      <c r="AG260" s="3" t="s">
        <v>101</v>
      </c>
      <c r="AI260" s="2" t="str">
        <f>_xlfn.LET(_xlpm.r, _xlfn.XLOOKUP(MappingGuide[[#This Row],[Description]],'[1]Squirrel SQL Export 1'!D:D,'[1]Squirrel SQL Export 1'!Y:Y),IF(_xlpm.r=0,"",_xlpm.r))</f>
        <v>This is needed in M3, but we will set value using template</v>
      </c>
      <c r="AK260" s="2" t="str">
        <f>_xlfn.LET(_xlpm.r, _xlfn.XLOOKUP(MappingGuide[[#This Row],[Description]],'[1]Squirrel SQL Export 1'!D:D,'[1]Squirrel SQL Export 1'!AE:AE),IF(_xlpm.r=0,"",_xlpm.r))</f>
        <v/>
      </c>
      <c r="AL260" s="3" t="str">
        <f>_xlfn.LET(_xlpm.r, _xlfn.XLOOKUP(MappingGuide[[#This Row],[DataType]],'[1]Squirrel SQL Export 1'!E:E,'[1]Squirrel SQL Export 1'!AF:AF),IF(_xlpm.r=0,"",_xlpm.r))</f>
        <v/>
      </c>
      <c r="AM260" s="2" t="str">
        <f>_xlfn.LET(_xlpm.r, _xlfn.XLOOKUP(MappingGuide[[#This Row],[Length]],'[1]Squirrel SQL Export 1'!F:F,'[1]Squirrel SQL Export 1'!AG:AG),IF(_xlpm.r=0,"",_xlpm.r))</f>
        <v>Type</v>
      </c>
    </row>
    <row r="261" spans="1:39" x14ac:dyDescent="0.2">
      <c r="A261" s="2">
        <v>258</v>
      </c>
      <c r="B261" s="2" t="s">
        <v>51</v>
      </c>
      <c r="C261" s="2" t="s">
        <v>1148</v>
      </c>
      <c r="D261" s="2" t="s">
        <v>1149</v>
      </c>
      <c r="E261" s="2" t="s">
        <v>54</v>
      </c>
      <c r="F261" s="2" t="s">
        <v>96</v>
      </c>
      <c r="O261" s="2" t="s">
        <v>45</v>
      </c>
      <c r="P261" s="2" t="s">
        <v>88</v>
      </c>
      <c r="Q261" s="2" t="s">
        <v>1150</v>
      </c>
      <c r="W261" s="2" t="str">
        <f>_xlfn.LET(_xlpm.r, _xlfn.XLOOKUP(MappingGuide[[#This Row],[Description]],'[1]Squirrel SQL Export 1'!D:D,'[1]Squirrel SQL Export 1'!AC:AC),IF(_xlpm.r=0,"",_xlpm.r))</f>
        <v/>
      </c>
      <c r="AA261" s="2" t="s">
        <v>1151</v>
      </c>
      <c r="AC261" s="2"/>
      <c r="AE261" s="2" t="str" cm="1">
        <f t="array" ref="AE261">_xlfn.LET(_xlpm.r, _xlfn.XLOOKUP(MappingGuide[[#This Row],[ColumnName]] &amp; "|" &amp; MappingGuide[[#This Row],[Description]],'[1]Squirrel SQL Export 1'!C:C &amp; "|" &amp;'[1]Squirrel SQL Export 1'!D:D,'[1]Squirrel SQL Export 1'!Z:Z),IF(_xlpm.r=0,"",_xlpm.r))</f>
        <v>no</v>
      </c>
      <c r="AF261" s="3" t="s">
        <v>1309</v>
      </c>
      <c r="AG261" s="3" t="s">
        <v>101</v>
      </c>
      <c r="AI261" s="2" t="str">
        <f>_xlfn.LET(_xlpm.r, _xlfn.XLOOKUP(MappingGuide[[#This Row],[Description]],'[1]Squirrel SQL Export 1'!D:D,'[1]Squirrel SQL Export 1'!Y:Y),IF(_xlpm.r=0,"",_xlpm.r))</f>
        <v>This is needed in M3, but we will set value using template</v>
      </c>
      <c r="AK261" s="2" t="str">
        <f>_xlfn.LET(_xlpm.r, _xlfn.XLOOKUP(MappingGuide[[#This Row],[Description]],'[1]Squirrel SQL Export 1'!D:D,'[1]Squirrel SQL Export 1'!AE:AE),IF(_xlpm.r=0,"",_xlpm.r))</f>
        <v/>
      </c>
      <c r="AL261" s="3" t="str">
        <f>_xlfn.LET(_xlpm.r, _xlfn.XLOOKUP(MappingGuide[[#This Row],[DataType]],'[1]Squirrel SQL Export 1'!E:E,'[1]Squirrel SQL Export 1'!AF:AF),IF(_xlpm.r=0,"",_xlpm.r))</f>
        <v/>
      </c>
      <c r="AM261" s="2" t="str">
        <f>_xlfn.LET(_xlpm.r, _xlfn.XLOOKUP(MappingGuide[[#This Row],[Length]],'[1]Squirrel SQL Export 1'!F:F,'[1]Squirrel SQL Export 1'!AG:AG),IF(_xlpm.r=0,"",_xlpm.r))</f>
        <v>Type</v>
      </c>
    </row>
    <row r="262" spans="1:39" x14ac:dyDescent="0.2">
      <c r="A262" s="2">
        <v>259</v>
      </c>
      <c r="B262" s="2" t="s">
        <v>51</v>
      </c>
      <c r="C262" s="2" t="s">
        <v>1152</v>
      </c>
      <c r="D262" s="2" t="s">
        <v>1153</v>
      </c>
      <c r="E262" s="2" t="s">
        <v>54</v>
      </c>
      <c r="F262" s="2" t="s">
        <v>96</v>
      </c>
      <c r="O262" s="2" t="s">
        <v>45</v>
      </c>
      <c r="P262" s="2" t="s">
        <v>88</v>
      </c>
      <c r="Q262" s="2" t="s">
        <v>1154</v>
      </c>
      <c r="W262" s="2" t="str">
        <f>_xlfn.LET(_xlpm.r, _xlfn.XLOOKUP(MappingGuide[[#This Row],[Description]],'[1]Squirrel SQL Export 1'!D:D,'[1]Squirrel SQL Export 1'!AC:AC),IF(_xlpm.r=0,"",_xlpm.r))</f>
        <v/>
      </c>
      <c r="AA262" s="2" t="s">
        <v>1155</v>
      </c>
      <c r="AC262" s="2"/>
      <c r="AE262" s="2" t="str" cm="1">
        <f t="array" ref="AE262">_xlfn.LET(_xlpm.r, _xlfn.XLOOKUP(MappingGuide[[#This Row],[ColumnName]] &amp; "|" &amp; MappingGuide[[#This Row],[Description]],'[1]Squirrel SQL Export 1'!C:C &amp; "|" &amp;'[1]Squirrel SQL Export 1'!D:D,'[1]Squirrel SQL Export 1'!Z:Z),IF(_xlpm.r=0,"",_xlpm.r))</f>
        <v>no</v>
      </c>
      <c r="AF262" s="3" t="s">
        <v>1309</v>
      </c>
      <c r="AG262" s="3" t="s">
        <v>101</v>
      </c>
      <c r="AI262" s="2" t="str">
        <f>_xlfn.LET(_xlpm.r, _xlfn.XLOOKUP(MappingGuide[[#This Row],[Description]],'[1]Squirrel SQL Export 1'!D:D,'[1]Squirrel SQL Export 1'!Y:Y),IF(_xlpm.r=0,"",_xlpm.r))</f>
        <v>This is needed in M3, but we will set value using template</v>
      </c>
      <c r="AK262" s="2" t="str">
        <f>_xlfn.LET(_xlpm.r, _xlfn.XLOOKUP(MappingGuide[[#This Row],[Description]],'[1]Squirrel SQL Export 1'!D:D,'[1]Squirrel SQL Export 1'!AE:AE),IF(_xlpm.r=0,"",_xlpm.r))</f>
        <v/>
      </c>
      <c r="AL262" s="3" t="str">
        <f>_xlfn.LET(_xlpm.r, _xlfn.XLOOKUP(MappingGuide[[#This Row],[DataType]],'[1]Squirrel SQL Export 1'!E:E,'[1]Squirrel SQL Export 1'!AF:AF),IF(_xlpm.r=0,"",_xlpm.r))</f>
        <v/>
      </c>
      <c r="AM262" s="2" t="str">
        <f>_xlfn.LET(_xlpm.r, _xlfn.XLOOKUP(MappingGuide[[#This Row],[Length]],'[1]Squirrel SQL Export 1'!F:F,'[1]Squirrel SQL Export 1'!AG:AG),IF(_xlpm.r=0,"",_xlpm.r))</f>
        <v>Type</v>
      </c>
    </row>
    <row r="263" spans="1:39" x14ac:dyDescent="0.2">
      <c r="A263" s="2">
        <v>260</v>
      </c>
      <c r="B263" s="2" t="s">
        <v>51</v>
      </c>
      <c r="C263" s="2" t="s">
        <v>1156</v>
      </c>
      <c r="D263" s="2" t="s">
        <v>1157</v>
      </c>
      <c r="E263" s="2" t="s">
        <v>43</v>
      </c>
      <c r="F263" s="2" t="s">
        <v>70</v>
      </c>
      <c r="O263" s="2" t="s">
        <v>45</v>
      </c>
      <c r="P263" s="2" t="s">
        <v>168</v>
      </c>
      <c r="Q263" s="2" t="s">
        <v>1158</v>
      </c>
      <c r="W263" s="2" t="str">
        <f>_xlfn.LET(_xlpm.r, _xlfn.XLOOKUP(MappingGuide[[#This Row],[Description]],'[1]Squirrel SQL Export 1'!D:D,'[1]Squirrel SQL Export 1'!AC:AC),IF(_xlpm.r=0,"",_xlpm.r))</f>
        <v/>
      </c>
      <c r="AA263" s="2" t="s">
        <v>1159</v>
      </c>
      <c r="AB263" s="2" t="s">
        <v>1160</v>
      </c>
      <c r="AC263" s="2"/>
      <c r="AE263" s="2" t="str" cm="1">
        <f t="array" ref="AE263">_xlfn.LET(_xlpm.r, _xlfn.XLOOKUP(MappingGuide[[#This Row],[ColumnName]] &amp; "|" &amp; MappingGuide[[#This Row],[Description]],'[1]Squirrel SQL Export 1'!C:C &amp; "|" &amp;'[1]Squirrel SQL Export 1'!D:D,'[1]Squirrel SQL Export 1'!Z:Z),IF(_xlpm.r=0,"",_xlpm.r))</f>
        <v>no</v>
      </c>
      <c r="AF263" s="3" t="s">
        <v>1309</v>
      </c>
      <c r="AG263" s="3" t="s">
        <v>101</v>
      </c>
      <c r="AI263" s="2" t="str">
        <f>_xlfn.LET(_xlpm.r, _xlfn.XLOOKUP(MappingGuide[[#This Row],[Description]],'[1]Squirrel SQL Export 1'!D:D,'[1]Squirrel SQL Export 1'!Y:Y),IF(_xlpm.r=0,"",_xlpm.r))</f>
        <v>Vertex to manage</v>
      </c>
      <c r="AK263" s="2" t="str">
        <f>_xlfn.LET(_xlpm.r, _xlfn.XLOOKUP(MappingGuide[[#This Row],[Description]],'[1]Squirrel SQL Export 1'!D:D,'[1]Squirrel SQL Export 1'!AE:AE),IF(_xlpm.r=0,"",_xlpm.r))</f>
        <v/>
      </c>
      <c r="AL263" s="3" t="str">
        <f>_xlfn.LET(_xlpm.r, _xlfn.XLOOKUP(MappingGuide[[#This Row],[DataType]],'[1]Squirrel SQL Export 1'!E:E,'[1]Squirrel SQL Export 1'!AF:AF),IF(_xlpm.r=0,"",_xlpm.r))</f>
        <v>No</v>
      </c>
      <c r="AM263" s="2" t="str">
        <f>_xlfn.LET(_xlpm.r, _xlfn.XLOOKUP(MappingGuide[[#This Row],[Length]],'[1]Squirrel SQL Export 1'!F:F,'[1]Squirrel SQL Export 1'!AG:AG),IF(_xlpm.r=0,"",_xlpm.r))</f>
        <v>Status</v>
      </c>
    </row>
    <row r="264" spans="1:39" x14ac:dyDescent="0.2">
      <c r="A264" s="2">
        <v>261</v>
      </c>
      <c r="B264" s="2" t="s">
        <v>51</v>
      </c>
      <c r="C264" s="2" t="s">
        <v>1161</v>
      </c>
      <c r="D264" s="2" t="s">
        <v>1162</v>
      </c>
      <c r="E264" s="2" t="s">
        <v>54</v>
      </c>
      <c r="F264" s="2" t="s">
        <v>96</v>
      </c>
      <c r="W264" s="2" t="str">
        <f>_xlfn.LET(_xlpm.r, _xlfn.XLOOKUP(MappingGuide[[#This Row],[Description]],'[1]Squirrel SQL Export 1'!D:D,'[1]Squirrel SQL Export 1'!AC:AC),IF(_xlpm.r=0,"",_xlpm.r))</f>
        <v/>
      </c>
      <c r="AC264" s="2"/>
      <c r="AE264" s="2" t="str" cm="1">
        <f t="array" ref="AE264">_xlfn.LET(_xlpm.r, _xlfn.XLOOKUP(MappingGuide[[#This Row],[ColumnName]] &amp; "|" &amp; MappingGuide[[#This Row],[Description]],'[1]Squirrel SQL Export 1'!C:C &amp; "|" &amp;'[1]Squirrel SQL Export 1'!D:D,'[1]Squirrel SQL Export 1'!Z:Z),IF(_xlpm.r=0,"",_xlpm.r))</f>
        <v>no</v>
      </c>
      <c r="AF264" s="3" t="s">
        <v>1309</v>
      </c>
      <c r="AG264" s="3" t="s">
        <v>101</v>
      </c>
      <c r="AI264" s="2" t="str">
        <f>_xlfn.LET(_xlpm.r, _xlfn.XLOOKUP(MappingGuide[[#This Row],[Description]],'[1]Squirrel SQL Export 1'!D:D,'[1]Squirrel SQL Export 1'!Y:Y),IF(_xlpm.r=0,"",_xlpm.r))</f>
        <v>Not used</v>
      </c>
      <c r="AK264" s="2" t="str">
        <f>_xlfn.LET(_xlpm.r, _xlfn.XLOOKUP(MappingGuide[[#This Row],[Description]],'[1]Squirrel SQL Export 1'!D:D,'[1]Squirrel SQL Export 1'!AE:AE),IF(_xlpm.r=0,"",_xlpm.r))</f>
        <v/>
      </c>
      <c r="AL264" s="3" t="str">
        <f>_xlfn.LET(_xlpm.r, _xlfn.XLOOKUP(MappingGuide[[#This Row],[DataType]],'[1]Squirrel SQL Export 1'!E:E,'[1]Squirrel SQL Export 1'!AF:AF),IF(_xlpm.r=0,"",_xlpm.r))</f>
        <v/>
      </c>
      <c r="AM264" s="2" t="str">
        <f>_xlfn.LET(_xlpm.r, _xlfn.XLOOKUP(MappingGuide[[#This Row],[Length]],'[1]Squirrel SQL Export 1'!F:F,'[1]Squirrel SQL Export 1'!AG:AG),IF(_xlpm.r=0,"",_xlpm.r))</f>
        <v>Type</v>
      </c>
    </row>
    <row r="265" spans="1:39" x14ac:dyDescent="0.2">
      <c r="A265" s="2">
        <v>262</v>
      </c>
      <c r="B265" s="2" t="s">
        <v>51</v>
      </c>
      <c r="C265" s="2" t="s">
        <v>1163</v>
      </c>
      <c r="D265" s="2" t="s">
        <v>1164</v>
      </c>
      <c r="E265" s="2" t="s">
        <v>43</v>
      </c>
      <c r="F265" s="2" t="s">
        <v>44</v>
      </c>
      <c r="W265" s="2" t="str">
        <f>_xlfn.LET(_xlpm.r, _xlfn.XLOOKUP(MappingGuide[[#This Row],[Description]],'[1]Squirrel SQL Export 1'!D:D,'[1]Squirrel SQL Export 1'!AC:AC),IF(_xlpm.r=0,"",_xlpm.r))</f>
        <v/>
      </c>
      <c r="AA265" s="2" t="s">
        <v>1165</v>
      </c>
      <c r="AC265" s="2" t="s">
        <v>71</v>
      </c>
      <c r="AE265" s="2" t="str" cm="1">
        <f t="array" ref="AE265">_xlfn.LET(_xlpm.r, _xlfn.XLOOKUP(MappingGuide[[#This Row],[ColumnName]] &amp; "|" &amp; MappingGuide[[#This Row],[Description]],'[1]Squirrel SQL Export 1'!C:C &amp; "|" &amp;'[1]Squirrel SQL Export 1'!D:D,'[1]Squirrel SQL Export 1'!Z:Z),IF(_xlpm.r=0,"",_xlpm.r))</f>
        <v>no</v>
      </c>
      <c r="AF265" s="3" t="s">
        <v>1309</v>
      </c>
      <c r="AG265" s="3" t="s">
        <v>101</v>
      </c>
      <c r="AI265" s="2" t="str">
        <f>_xlfn.LET(_xlpm.r, _xlfn.XLOOKUP(MappingGuide[[#This Row],[Description]],'[1]Squirrel SQL Export 1'!D:D,'[1]Squirrel SQL Export 1'!Y:Y),IF(_xlpm.r=0,"",_xlpm.r))</f>
        <v>As discussed with Dee/Angie on 01/07, this is not needed in MDM. However, it will be updated in M3 as part of the enrichment process</v>
      </c>
      <c r="AK265" s="2" t="str">
        <f>_xlfn.LET(_xlpm.r, _xlfn.XLOOKUP(MappingGuide[[#This Row],[Description]],'[1]Squirrel SQL Export 1'!D:D,'[1]Squirrel SQL Export 1'!AE:AE),IF(_xlpm.r=0,"",_xlpm.r))</f>
        <v>This appears to be an M3 only attribute.</v>
      </c>
      <c r="AL265" s="3" t="str">
        <f>_xlfn.LET(_xlpm.r, _xlfn.XLOOKUP(MappingGuide[[#This Row],[DataType]],'[1]Squirrel SQL Export 1'!E:E,'[1]Squirrel SQL Export 1'!AF:AF),IF(_xlpm.r=0,"",_xlpm.r))</f>
        <v>No</v>
      </c>
      <c r="AM265" s="2" t="str">
        <f>_xlfn.LET(_xlpm.r, _xlfn.XLOOKUP(MappingGuide[[#This Row],[Length]],'[1]Squirrel SQL Export 1'!F:F,'[1]Squirrel SQL Export 1'!AG:AG),IF(_xlpm.r=0,"",_xlpm.r))</f>
        <v/>
      </c>
    </row>
    <row r="266" spans="1:39" x14ac:dyDescent="0.2">
      <c r="A266" s="2">
        <v>263</v>
      </c>
      <c r="B266" s="2" t="s">
        <v>51</v>
      </c>
      <c r="C266" s="2" t="s">
        <v>1166</v>
      </c>
      <c r="D266" s="2" t="s">
        <v>1167</v>
      </c>
      <c r="E266" s="2" t="s">
        <v>43</v>
      </c>
      <c r="F266" s="2" t="s">
        <v>55</v>
      </c>
      <c r="O266" s="2" t="s">
        <v>45</v>
      </c>
      <c r="P266" s="2" t="s">
        <v>168</v>
      </c>
      <c r="Q266" s="2" t="s">
        <v>1168</v>
      </c>
      <c r="W266" s="2" t="str">
        <f>_xlfn.LET(_xlpm.r, _xlfn.XLOOKUP(MappingGuide[[#This Row],[Description]],'[1]Squirrel SQL Export 1'!D:D,'[1]Squirrel SQL Export 1'!AC:AC),IF(_xlpm.r=0,"",_xlpm.r))</f>
        <v/>
      </c>
      <c r="AA266" s="2" t="s">
        <v>1169</v>
      </c>
      <c r="AC266" s="2" t="s">
        <v>1170</v>
      </c>
      <c r="AE266" s="2" t="str" cm="1">
        <f t="array" ref="AE266">_xlfn.LET(_xlpm.r, _xlfn.XLOOKUP(MappingGuide[[#This Row],[ColumnName]] &amp; "|" &amp; MappingGuide[[#This Row],[Description]],'[1]Squirrel SQL Export 1'!C:C &amp; "|" &amp;'[1]Squirrel SQL Export 1'!D:D,'[1]Squirrel SQL Export 1'!Z:Z),IF(_xlpm.r=0,"",_xlpm.r))</f>
        <v>no</v>
      </c>
      <c r="AF266" s="3" t="s">
        <v>1309</v>
      </c>
      <c r="AG266" s="3" t="s">
        <v>101</v>
      </c>
      <c r="AI266" s="2" t="str">
        <f>_xlfn.LET(_xlpm.r, _xlfn.XLOOKUP(MappingGuide[[#This Row],[Description]],'[1]Squirrel SQL Export 1'!D:D,'[1]Squirrel SQL Export 1'!Y:Y),IF(_xlpm.r=0,"",_xlpm.r))</f>
        <v>Vertex to manage</v>
      </c>
      <c r="AK266" s="2" t="str">
        <f>_xlfn.LET(_xlpm.r, _xlfn.XLOOKUP(MappingGuide[[#This Row],[Description]],'[1]Squirrel SQL Export 1'!D:D,'[1]Squirrel SQL Export 1'!AE:AE),IF(_xlpm.r=0,"",_xlpm.r))</f>
        <v/>
      </c>
      <c r="AL266" s="3" t="str">
        <f>_xlfn.LET(_xlpm.r, _xlfn.XLOOKUP(MappingGuide[[#This Row],[DataType]],'[1]Squirrel SQL Export 1'!E:E,'[1]Squirrel SQL Export 1'!AF:AF),IF(_xlpm.r=0,"",_xlpm.r))</f>
        <v>No</v>
      </c>
      <c r="AM266" s="2" t="str">
        <f>_xlfn.LET(_xlpm.r, _xlfn.XLOOKUP(MappingGuide[[#This Row],[Length]],'[1]Squirrel SQL Export 1'!F:F,'[1]Squirrel SQL Export 1'!AG:AG),IF(_xlpm.r=0,"",_xlpm.r))</f>
        <v/>
      </c>
    </row>
    <row r="267" spans="1:39" x14ac:dyDescent="0.2">
      <c r="A267" s="2">
        <v>264</v>
      </c>
      <c r="B267" s="2" t="s">
        <v>51</v>
      </c>
      <c r="C267" s="2" t="s">
        <v>1171</v>
      </c>
      <c r="D267" s="2" t="s">
        <v>1172</v>
      </c>
      <c r="E267" s="2" t="s">
        <v>43</v>
      </c>
      <c r="F267" s="2" t="s">
        <v>44</v>
      </c>
      <c r="O267" s="2" t="s">
        <v>45</v>
      </c>
      <c r="P267" s="2" t="s">
        <v>88</v>
      </c>
      <c r="Q267" s="2" t="s">
        <v>1173</v>
      </c>
      <c r="W267" s="2" t="str">
        <f>_xlfn.LET(_xlpm.r, _xlfn.XLOOKUP(MappingGuide[[#This Row],[Description]],'[1]Squirrel SQL Export 1'!D:D,'[1]Squirrel SQL Export 1'!AC:AC),IF(_xlpm.r=0,"",_xlpm.r))</f>
        <v/>
      </c>
      <c r="AA267" s="2" t="s">
        <v>1174</v>
      </c>
      <c r="AC267" s="2" t="s">
        <v>1175</v>
      </c>
      <c r="AE267" s="2" t="str" cm="1">
        <f t="array" ref="AE267">_xlfn.LET(_xlpm.r, _xlfn.XLOOKUP(MappingGuide[[#This Row],[ColumnName]] &amp; "|" &amp; MappingGuide[[#This Row],[Description]],'[1]Squirrel SQL Export 1'!C:C &amp; "|" &amp;'[1]Squirrel SQL Export 1'!D:D,'[1]Squirrel SQL Export 1'!Z:Z),IF(_xlpm.r=0,"",_xlpm.r))</f>
        <v>no</v>
      </c>
      <c r="AF267" s="3" t="s">
        <v>1309</v>
      </c>
      <c r="AG267" s="3" t="s">
        <v>101</v>
      </c>
      <c r="AI267" s="2" t="str">
        <f>_xlfn.LET(_xlpm.r, _xlfn.XLOOKUP(MappingGuide[[#This Row],[Description]],'[1]Squirrel SQL Export 1'!D:D,'[1]Squirrel SQL Export 1'!Y:Y),IF(_xlpm.r=0,"",_xlpm.r))</f>
        <v>This is needed in M3, but we will set value using template</v>
      </c>
      <c r="AK267" s="2" t="str">
        <f>_xlfn.LET(_xlpm.r, _xlfn.XLOOKUP(MappingGuide[[#This Row],[Description]],'[1]Squirrel SQL Export 1'!D:D,'[1]Squirrel SQL Export 1'!AE:AE),IF(_xlpm.r=0,"",_xlpm.r))</f>
        <v/>
      </c>
      <c r="AL267" s="3" t="str">
        <f>_xlfn.LET(_xlpm.r, _xlfn.XLOOKUP(MappingGuide[[#This Row],[DataType]],'[1]Squirrel SQL Export 1'!E:E,'[1]Squirrel SQL Export 1'!AF:AF),IF(_xlpm.r=0,"",_xlpm.r))</f>
        <v>No</v>
      </c>
      <c r="AM267" s="2" t="str">
        <f>_xlfn.LET(_xlpm.r, _xlfn.XLOOKUP(MappingGuide[[#This Row],[Length]],'[1]Squirrel SQL Export 1'!F:F,'[1]Squirrel SQL Export 1'!AG:AG),IF(_xlpm.r=0,"",_xlpm.r))</f>
        <v/>
      </c>
    </row>
    <row r="268" spans="1:39" x14ac:dyDescent="0.2">
      <c r="A268" s="2">
        <v>265</v>
      </c>
      <c r="B268" s="2" t="s">
        <v>51</v>
      </c>
      <c r="C268" s="2" t="s">
        <v>1176</v>
      </c>
      <c r="D268" s="2" t="s">
        <v>1177</v>
      </c>
      <c r="E268" s="2" t="s">
        <v>54</v>
      </c>
      <c r="F268" s="2" t="s">
        <v>96</v>
      </c>
      <c r="O268" s="2" t="s">
        <v>45</v>
      </c>
      <c r="P268" s="2" t="s">
        <v>168</v>
      </c>
      <c r="Q268" s="2" t="s">
        <v>1178</v>
      </c>
      <c r="W268" s="2" t="str">
        <f>_xlfn.LET(_xlpm.r, _xlfn.XLOOKUP(MappingGuide[[#This Row],[Description]],'[1]Squirrel SQL Export 1'!D:D,'[1]Squirrel SQL Export 1'!AC:AC),IF(_xlpm.r=0,"",_xlpm.r))</f>
        <v/>
      </c>
      <c r="AA268" s="2" t="s">
        <v>1179</v>
      </c>
      <c r="AB268" s="2" t="s">
        <v>1180</v>
      </c>
      <c r="AC268" s="2"/>
      <c r="AE268" s="2" t="str" cm="1">
        <f t="array" ref="AE268">_xlfn.LET(_xlpm.r, _xlfn.XLOOKUP(MappingGuide[[#This Row],[ColumnName]] &amp; "|" &amp; MappingGuide[[#This Row],[Description]],'[1]Squirrel SQL Export 1'!C:C &amp; "|" &amp;'[1]Squirrel SQL Export 1'!D:D,'[1]Squirrel SQL Export 1'!Z:Z),IF(_xlpm.r=0,"",_xlpm.r))</f>
        <v>no</v>
      </c>
      <c r="AF268" s="3" t="s">
        <v>1309</v>
      </c>
      <c r="AG268" s="3" t="s">
        <v>101</v>
      </c>
      <c r="AI268" s="2" t="str">
        <f>_xlfn.LET(_xlpm.r, _xlfn.XLOOKUP(MappingGuide[[#This Row],[Description]],'[1]Squirrel SQL Export 1'!D:D,'[1]Squirrel SQL Export 1'!Y:Y),IF(_xlpm.r=0,"",_xlpm.r))</f>
        <v>This is needed in M3, but we will set value = 1 most probably using template. Finance team</v>
      </c>
      <c r="AK268" s="2" t="str">
        <f>_xlfn.LET(_xlpm.r, _xlfn.XLOOKUP(MappingGuide[[#This Row],[Description]],'[1]Squirrel SQL Export 1'!D:D,'[1]Squirrel SQL Export 1'!AE:AE),IF(_xlpm.r=0,"",_xlpm.r))</f>
        <v/>
      </c>
      <c r="AL268" s="3" t="str">
        <f>_xlfn.LET(_xlpm.r, _xlfn.XLOOKUP(MappingGuide[[#This Row],[DataType]],'[1]Squirrel SQL Export 1'!E:E,'[1]Squirrel SQL Export 1'!AF:AF),IF(_xlpm.r=0,"",_xlpm.r))</f>
        <v/>
      </c>
      <c r="AM268" s="2" t="str">
        <f>_xlfn.LET(_xlpm.r, _xlfn.XLOOKUP(MappingGuide[[#This Row],[Length]],'[1]Squirrel SQL Export 1'!F:F,'[1]Squirrel SQL Export 1'!AG:AG),IF(_xlpm.r=0,"",_xlpm.r))</f>
        <v>Type</v>
      </c>
    </row>
    <row r="269" spans="1:39" x14ac:dyDescent="0.2">
      <c r="A269" s="2">
        <v>266</v>
      </c>
      <c r="B269" s="2" t="s">
        <v>51</v>
      </c>
      <c r="C269" s="2" t="s">
        <v>1181</v>
      </c>
      <c r="D269" s="2" t="s">
        <v>1182</v>
      </c>
      <c r="E269" s="2" t="s">
        <v>54</v>
      </c>
      <c r="F269" s="2" t="s">
        <v>96</v>
      </c>
      <c r="O269" s="2" t="s">
        <v>45</v>
      </c>
      <c r="P269" s="2" t="s">
        <v>168</v>
      </c>
      <c r="Q269" s="2" t="s">
        <v>1183</v>
      </c>
      <c r="W269" s="2" t="str">
        <f>_xlfn.LET(_xlpm.r, _xlfn.XLOOKUP(MappingGuide[[#This Row],[Description]],'[1]Squirrel SQL Export 1'!D:D,'[1]Squirrel SQL Export 1'!AC:AC),IF(_xlpm.r=0,"",_xlpm.r))</f>
        <v/>
      </c>
      <c r="AA269" s="2" t="s">
        <v>1184</v>
      </c>
      <c r="AC269" s="2"/>
      <c r="AE269" s="2" t="str" cm="1">
        <f t="array" ref="AE269">_xlfn.LET(_xlpm.r, _xlfn.XLOOKUP(MappingGuide[[#This Row],[ColumnName]] &amp; "|" &amp; MappingGuide[[#This Row],[Description]],'[1]Squirrel SQL Export 1'!C:C &amp; "|" &amp;'[1]Squirrel SQL Export 1'!D:D,'[1]Squirrel SQL Export 1'!Z:Z),IF(_xlpm.r=0,"",_xlpm.r))</f>
        <v>no</v>
      </c>
      <c r="AF269" s="3" t="s">
        <v>1309</v>
      </c>
      <c r="AG269" s="3" t="s">
        <v>101</v>
      </c>
      <c r="AI269" s="2" t="str">
        <f>_xlfn.LET(_xlpm.r, _xlfn.XLOOKUP(MappingGuide[[#This Row],[Description]],'[1]Squirrel SQL Export 1'!D:D,'[1]Squirrel SQL Export 1'!Y:Y),IF(_xlpm.r=0,"",_xlpm.r))</f>
        <v>Not used</v>
      </c>
      <c r="AK269" s="2" t="str">
        <f>_xlfn.LET(_xlpm.r, _xlfn.XLOOKUP(MappingGuide[[#This Row],[Description]],'[1]Squirrel SQL Export 1'!D:D,'[1]Squirrel SQL Export 1'!AE:AE),IF(_xlpm.r=0,"",_xlpm.r))</f>
        <v/>
      </c>
      <c r="AL269" s="3" t="str">
        <f>_xlfn.LET(_xlpm.r, _xlfn.XLOOKUP(MappingGuide[[#This Row],[DataType]],'[1]Squirrel SQL Export 1'!E:E,'[1]Squirrel SQL Export 1'!AF:AF),IF(_xlpm.r=0,"",_xlpm.r))</f>
        <v/>
      </c>
      <c r="AM269" s="2" t="str">
        <f>_xlfn.LET(_xlpm.r, _xlfn.XLOOKUP(MappingGuide[[#This Row],[Length]],'[1]Squirrel SQL Export 1'!F:F,'[1]Squirrel SQL Export 1'!AG:AG),IF(_xlpm.r=0,"",_xlpm.r))</f>
        <v>Type</v>
      </c>
    </row>
    <row r="270" spans="1:39" x14ac:dyDescent="0.2">
      <c r="A270" s="2">
        <v>267</v>
      </c>
      <c r="B270" s="2" t="s">
        <v>51</v>
      </c>
      <c r="C270" s="2" t="s">
        <v>1185</v>
      </c>
      <c r="D270" s="2" t="s">
        <v>1186</v>
      </c>
      <c r="E270" s="2" t="s">
        <v>54</v>
      </c>
      <c r="F270" s="2" t="s">
        <v>96</v>
      </c>
      <c r="O270" s="2" t="s">
        <v>45</v>
      </c>
      <c r="P270" s="2" t="s">
        <v>168</v>
      </c>
      <c r="Q270" s="2" t="s">
        <v>1187</v>
      </c>
      <c r="W270" s="2" t="str">
        <f>_xlfn.LET(_xlpm.r, _xlfn.XLOOKUP(MappingGuide[[#This Row],[Description]],'[1]Squirrel SQL Export 1'!D:D,'[1]Squirrel SQL Export 1'!AC:AC),IF(_xlpm.r=0,"",_xlpm.r))</f>
        <v/>
      </c>
      <c r="AA270" s="2" t="s">
        <v>1188</v>
      </c>
      <c r="AC270" s="2"/>
      <c r="AE270" s="2" t="str" cm="1">
        <f t="array" ref="AE270">_xlfn.LET(_xlpm.r, _xlfn.XLOOKUP(MappingGuide[[#This Row],[ColumnName]] &amp; "|" &amp; MappingGuide[[#This Row],[Description]],'[1]Squirrel SQL Export 1'!C:C &amp; "|" &amp;'[1]Squirrel SQL Export 1'!D:D,'[1]Squirrel SQL Export 1'!Z:Z),IF(_xlpm.r=0,"",_xlpm.r))</f>
        <v>no</v>
      </c>
      <c r="AF270" s="3" t="s">
        <v>1309</v>
      </c>
      <c r="AG270" s="3" t="s">
        <v>101</v>
      </c>
      <c r="AI270" s="2" t="str">
        <f>_xlfn.LET(_xlpm.r, _xlfn.XLOOKUP(MappingGuide[[#This Row],[Description]],'[1]Squirrel SQL Export 1'!D:D,'[1]Squirrel SQL Export 1'!Y:Y),IF(_xlpm.r=0,"",_xlpm.r))</f>
        <v>This is needed in M3, but we will set value using template</v>
      </c>
      <c r="AK270" s="2" t="str">
        <f>_xlfn.LET(_xlpm.r, _xlfn.XLOOKUP(MappingGuide[[#This Row],[Description]],'[1]Squirrel SQL Export 1'!D:D,'[1]Squirrel SQL Export 1'!AE:AE),IF(_xlpm.r=0,"",_xlpm.r))</f>
        <v/>
      </c>
      <c r="AL270" s="3" t="str">
        <f>_xlfn.LET(_xlpm.r, _xlfn.XLOOKUP(MappingGuide[[#This Row],[DataType]],'[1]Squirrel SQL Export 1'!E:E,'[1]Squirrel SQL Export 1'!AF:AF),IF(_xlpm.r=0,"",_xlpm.r))</f>
        <v/>
      </c>
      <c r="AM270" s="2" t="str">
        <f>_xlfn.LET(_xlpm.r, _xlfn.XLOOKUP(MappingGuide[[#This Row],[Length]],'[1]Squirrel SQL Export 1'!F:F,'[1]Squirrel SQL Export 1'!AG:AG),IF(_xlpm.r=0,"",_xlpm.r))</f>
        <v>Type</v>
      </c>
    </row>
    <row r="271" spans="1:39" x14ac:dyDescent="0.2">
      <c r="A271" s="2">
        <v>268</v>
      </c>
      <c r="B271" s="2" t="s">
        <v>51</v>
      </c>
      <c r="C271" s="2" t="s">
        <v>1189</v>
      </c>
      <c r="D271" s="2" t="s">
        <v>1190</v>
      </c>
      <c r="E271" s="2" t="s">
        <v>54</v>
      </c>
      <c r="F271" s="2" t="s">
        <v>96</v>
      </c>
      <c r="O271" s="2" t="s">
        <v>45</v>
      </c>
      <c r="P271" s="2" t="s">
        <v>168</v>
      </c>
      <c r="Q271" s="2" t="s">
        <v>1191</v>
      </c>
      <c r="W271" s="2" t="str">
        <f>_xlfn.LET(_xlpm.r, _xlfn.XLOOKUP(MappingGuide[[#This Row],[Description]],'[1]Squirrel SQL Export 1'!D:D,'[1]Squirrel SQL Export 1'!AC:AC),IF(_xlpm.r=0,"",_xlpm.r))</f>
        <v/>
      </c>
      <c r="AA271" s="2" t="s">
        <v>1192</v>
      </c>
      <c r="AC271" s="2"/>
      <c r="AE271" s="2" t="str" cm="1">
        <f t="array" ref="AE271">_xlfn.LET(_xlpm.r, _xlfn.XLOOKUP(MappingGuide[[#This Row],[ColumnName]] &amp; "|" &amp; MappingGuide[[#This Row],[Description]],'[1]Squirrel SQL Export 1'!C:C &amp; "|" &amp;'[1]Squirrel SQL Export 1'!D:D,'[1]Squirrel SQL Export 1'!Z:Z),IF(_xlpm.r=0,"",_xlpm.r))</f>
        <v>no</v>
      </c>
      <c r="AF271" s="3" t="s">
        <v>1309</v>
      </c>
      <c r="AG271" s="3" t="s">
        <v>101</v>
      </c>
      <c r="AI271" s="2" t="str">
        <f>_xlfn.LET(_xlpm.r, _xlfn.XLOOKUP(MappingGuide[[#This Row],[Description]],'[1]Squirrel SQL Export 1'!D:D,'[1]Squirrel SQL Export 1'!Y:Y),IF(_xlpm.r=0,"",_xlpm.r))</f>
        <v>This is needed in M3, but we will set value using template</v>
      </c>
      <c r="AK271" s="2" t="str">
        <f>_xlfn.LET(_xlpm.r, _xlfn.XLOOKUP(MappingGuide[[#This Row],[Description]],'[1]Squirrel SQL Export 1'!D:D,'[1]Squirrel SQL Export 1'!AE:AE),IF(_xlpm.r=0,"",_xlpm.r))</f>
        <v/>
      </c>
      <c r="AL271" s="3" t="str">
        <f>_xlfn.LET(_xlpm.r, _xlfn.XLOOKUP(MappingGuide[[#This Row],[DataType]],'[1]Squirrel SQL Export 1'!E:E,'[1]Squirrel SQL Export 1'!AF:AF),IF(_xlpm.r=0,"",_xlpm.r))</f>
        <v/>
      </c>
      <c r="AM271" s="2" t="str">
        <f>_xlfn.LET(_xlpm.r, _xlfn.XLOOKUP(MappingGuide[[#This Row],[Length]],'[1]Squirrel SQL Export 1'!F:F,'[1]Squirrel SQL Export 1'!AG:AG),IF(_xlpm.r=0,"",_xlpm.r))</f>
        <v>Type</v>
      </c>
    </row>
    <row r="272" spans="1:39" x14ac:dyDescent="0.2">
      <c r="A272" s="2">
        <v>1135</v>
      </c>
      <c r="B272" s="2" t="s">
        <v>1193</v>
      </c>
      <c r="C272" s="2" t="s">
        <v>1194</v>
      </c>
      <c r="D272" s="2" t="s">
        <v>53</v>
      </c>
      <c r="E272" s="2" t="s">
        <v>54</v>
      </c>
      <c r="F272" s="2" t="s">
        <v>55</v>
      </c>
      <c r="H272" s="2" t="s">
        <v>56</v>
      </c>
      <c r="O272" s="2" t="s">
        <v>45</v>
      </c>
      <c r="P272" s="2" t="s">
        <v>1195</v>
      </c>
      <c r="Q272" s="2" t="s">
        <v>57</v>
      </c>
      <c r="W272" s="2" t="str">
        <f>_xlfn.LET(_xlpm.r, _xlfn.XLOOKUP(MappingGuide[[#This Row],[Description]],'[1]Squirrel SQL Export 1'!D:D,'[1]Squirrel SQL Export 1'!AC:AC),IF(_xlpm.r=0,"",_xlpm.r))</f>
        <v/>
      </c>
      <c r="AA272" s="2" t="s">
        <v>59</v>
      </c>
      <c r="AC272" s="3" t="s">
        <v>60</v>
      </c>
      <c r="AE272" s="2" t="str" cm="1">
        <f t="array" ref="AE272">_xlfn.LET(_xlpm.r, _xlfn.XLOOKUP(MappingGuide[[#This Row],[ColumnName]] &amp; "|" &amp; MappingGuide[[#This Row],[Description]],'[1]Squirrel SQL Export 1'!C:C &amp; "|" &amp;'[1]Squirrel SQL Export 1'!D:D,'[1]Squirrel SQL Export 1'!Z:Z),IF(_xlpm.r=0,"",_xlpm.r))</f>
        <v>no</v>
      </c>
      <c r="AF272" s="3" t="s">
        <v>1309</v>
      </c>
      <c r="AG272" s="3" t="s">
        <v>48</v>
      </c>
      <c r="AH272" s="2" t="s">
        <v>61</v>
      </c>
      <c r="AI272" s="2" t="str">
        <f>_xlfn.LET(_xlpm.r, _xlfn.XLOOKUP(MappingGuide[[#This Row],[Description]],'[1]Squirrel SQL Export 1'!D:D,'[1]Squirrel SQL Export 1'!Y:Y),IF(_xlpm.r=0,"",_xlpm.r))</f>
        <v>Field is not maintained. CONO auto populated based upon the system set up</v>
      </c>
      <c r="AK272" s="2" t="str">
        <f>_xlfn.LET(_xlpm.r, _xlfn.XLOOKUP(MappingGuide[[#This Row],[Description]],'[1]Squirrel SQL Export 1'!D:D,'[1]Squirrel SQL Export 1'!AE:AE),IF(_xlpm.r=0,"",_xlpm.r))</f>
        <v/>
      </c>
      <c r="AL272" s="3" t="str">
        <f>_xlfn.LET(_xlpm.r, _xlfn.XLOOKUP(MappingGuide[[#This Row],[DataType]],'[1]Squirrel SQL Export 1'!E:E,'[1]Squirrel SQL Export 1'!AF:AF),IF(_xlpm.r=0,"",_xlpm.r))</f>
        <v/>
      </c>
      <c r="AM272" s="2" t="str">
        <f>_xlfn.LET(_xlpm.r, _xlfn.XLOOKUP(MappingGuide[[#This Row],[Length]],'[1]Squirrel SQL Export 1'!F:F,'[1]Squirrel SQL Export 1'!AG:AG),IF(_xlpm.r=0,"",_xlpm.r))</f>
        <v/>
      </c>
    </row>
    <row r="273" spans="1:39" x14ac:dyDescent="0.2">
      <c r="A273" s="2">
        <v>1136</v>
      </c>
      <c r="B273" s="2" t="s">
        <v>1193</v>
      </c>
      <c r="C273" s="2" t="s">
        <v>1196</v>
      </c>
      <c r="D273" s="2" t="s">
        <v>63</v>
      </c>
      <c r="E273" s="2" t="s">
        <v>43</v>
      </c>
      <c r="F273" s="2" t="s">
        <v>55</v>
      </c>
      <c r="O273" s="2" t="s">
        <v>45</v>
      </c>
      <c r="P273" s="2" t="s">
        <v>1195</v>
      </c>
      <c r="Q273" s="2" t="s">
        <v>64</v>
      </c>
      <c r="W273" s="2" t="str">
        <f>_xlfn.LET(_xlpm.r, _xlfn.XLOOKUP(MappingGuide[[#This Row],[Description]],'[1]Squirrel SQL Export 1'!D:D,'[1]Squirrel SQL Export 1'!AC:AC),IF(_xlpm.r=0,"",_xlpm.r))</f>
        <v/>
      </c>
      <c r="AA273" s="2" t="s">
        <v>65</v>
      </c>
      <c r="AC273" s="3" t="s">
        <v>66</v>
      </c>
      <c r="AE273" s="2" t="str" cm="1">
        <f t="array" ref="AE273">_xlfn.LET(_xlpm.r, _xlfn.XLOOKUP(MappingGuide[[#This Row],[ColumnName]] &amp; "|" &amp; MappingGuide[[#This Row],[Description]],'[1]Squirrel SQL Export 1'!C:C &amp; "|" &amp;'[1]Squirrel SQL Export 1'!D:D,'[1]Squirrel SQL Export 1'!Z:Z),IF(_xlpm.r=0,"",_xlpm.r))</f>
        <v>no</v>
      </c>
      <c r="AF273" s="3" t="s">
        <v>1309</v>
      </c>
      <c r="AG273" s="3" t="s">
        <v>48</v>
      </c>
      <c r="AH273" s="2" t="s">
        <v>67</v>
      </c>
      <c r="AI273" s="2" t="str">
        <f>_xlfn.LET(_xlpm.r, _xlfn.XLOOKUP(MappingGuide[[#This Row],[Description]],'[1]Squirrel SQL Export 1'!D:D,'[1]Squirrel SQL Export 1'!Y:Y),IF(_xlpm.r=0,"",_xlpm.r))</f>
        <v>Field not used - Always blank (Customer Master is global)</v>
      </c>
      <c r="AK273" s="2" t="str">
        <f>_xlfn.LET(_xlpm.r, _xlfn.XLOOKUP(MappingGuide[[#This Row],[Description]],'[1]Squirrel SQL Export 1'!D:D,'[1]Squirrel SQL Export 1'!AE:AE),IF(_xlpm.r=0,"",_xlpm.r))</f>
        <v/>
      </c>
      <c r="AL273" s="3" t="str">
        <f>_xlfn.LET(_xlpm.r, _xlfn.XLOOKUP(MappingGuide[[#This Row],[DataType]],'[1]Squirrel SQL Export 1'!E:E,'[1]Squirrel SQL Export 1'!AF:AF),IF(_xlpm.r=0,"",_xlpm.r))</f>
        <v>No</v>
      </c>
      <c r="AM273" s="2" t="str">
        <f>_xlfn.LET(_xlpm.r, _xlfn.XLOOKUP(MappingGuide[[#This Row],[Length]],'[1]Squirrel SQL Export 1'!F:F,'[1]Squirrel SQL Export 1'!AG:AG),IF(_xlpm.r=0,"",_xlpm.r))</f>
        <v/>
      </c>
    </row>
    <row r="274" spans="1:39" x14ac:dyDescent="0.2">
      <c r="A274" s="2">
        <v>1137</v>
      </c>
      <c r="B274" s="2" t="s">
        <v>1193</v>
      </c>
      <c r="C274" s="2" t="s">
        <v>1197</v>
      </c>
      <c r="D274" s="2" t="s">
        <v>79</v>
      </c>
      <c r="E274" s="2" t="s">
        <v>43</v>
      </c>
      <c r="F274" s="2" t="s">
        <v>44</v>
      </c>
      <c r="H274" s="2" t="s">
        <v>56</v>
      </c>
      <c r="J274" s="2" t="s">
        <v>143</v>
      </c>
      <c r="K274" s="2" t="s">
        <v>72</v>
      </c>
      <c r="O274" s="2" t="s">
        <v>45</v>
      </c>
      <c r="P274" s="2" t="s">
        <v>1195</v>
      </c>
      <c r="Q274" s="2" t="s">
        <v>80</v>
      </c>
      <c r="R274" s="2" t="s">
        <v>48</v>
      </c>
      <c r="W274" s="2" t="str">
        <f>_xlfn.LET(_xlpm.r, _xlfn.XLOOKUP(MappingGuide[[#This Row],[Description]],'[1]Squirrel SQL Export 1'!D:D,'[1]Squirrel SQL Export 1'!AC:AC),IF(_xlpm.r=0,"",_xlpm.r))</f>
        <v>A000000001</v>
      </c>
      <c r="AA274" s="2" t="s">
        <v>83</v>
      </c>
      <c r="AC274" s="2" t="s">
        <v>71</v>
      </c>
      <c r="AE274" s="2" t="str" cm="1">
        <f t="array" ref="AE274">_xlfn.LET(_xlpm.r, _xlfn.XLOOKUP(MappingGuide[[#This Row],[ColumnName]] &amp; "|" &amp; MappingGuide[[#This Row],[Description]],'[1]Squirrel SQL Export 1'!C:C &amp; "|" &amp;'[1]Squirrel SQL Export 1'!D:D,'[1]Squirrel SQL Export 1'!Z:Z),IF(_xlpm.r=0,"",_xlpm.r))</f>
        <v>yes</v>
      </c>
      <c r="AF274" s="3" t="s">
        <v>1309</v>
      </c>
      <c r="AG274" s="3" t="s">
        <v>101</v>
      </c>
      <c r="AI274" s="2" t="str">
        <f>_xlfn.LET(_xlpm.r, _xlfn.XLOOKUP(MappingGuide[[#This Row],[Description]],'[1]Squirrel SQL Export 1'!D:D,'[1]Squirrel SQL Export 1'!Y:Y),IF(_xlpm.r=0,"",_xlpm.r))</f>
        <v>This is the customer number</v>
      </c>
      <c r="AK274" s="2" t="str">
        <f>_xlfn.LET(_xlpm.r, _xlfn.XLOOKUP(MappingGuide[[#This Row],[Description]],'[1]Squirrel SQL Export 1'!D:D,'[1]Squirrel SQL Export 1'!AE:AE),IF(_xlpm.r=0,"",_xlpm.r))</f>
        <v>Will exist in both Syndigo &amp; M3</v>
      </c>
      <c r="AL274" s="3" t="str">
        <f>_xlfn.LET(_xlpm.r, _xlfn.XLOOKUP(MappingGuide[[#This Row],[DataType]],'[1]Squirrel SQL Export 1'!E:E,'[1]Squirrel SQL Export 1'!AF:AF),IF(_xlpm.r=0,"",_xlpm.r))</f>
        <v>No</v>
      </c>
      <c r="AM274" s="2" t="str">
        <f>_xlfn.LET(_xlpm.r, _xlfn.XLOOKUP(MappingGuide[[#This Row],[Length]],'[1]Squirrel SQL Export 1'!F:F,'[1]Squirrel SQL Export 1'!AG:AG),IF(_xlpm.r=0,"",_xlpm.r))</f>
        <v/>
      </c>
    </row>
    <row r="275" spans="1:39" x14ac:dyDescent="0.2">
      <c r="A275" s="2">
        <v>1138</v>
      </c>
      <c r="B275" s="2" t="s">
        <v>1193</v>
      </c>
      <c r="C275" s="2" t="s">
        <v>1198</v>
      </c>
      <c r="D275" s="2" t="s">
        <v>1199</v>
      </c>
      <c r="E275" s="2" t="s">
        <v>54</v>
      </c>
      <c r="F275" s="2" t="s">
        <v>70</v>
      </c>
      <c r="H275" s="2" t="s">
        <v>56</v>
      </c>
      <c r="J275" s="2" t="s">
        <v>143</v>
      </c>
      <c r="K275" s="2" t="s">
        <v>72</v>
      </c>
      <c r="O275" s="2" t="s">
        <v>45</v>
      </c>
      <c r="P275" s="2" t="s">
        <v>1195</v>
      </c>
      <c r="Q275" s="2" t="s">
        <v>1200</v>
      </c>
      <c r="R275" s="2" t="s">
        <v>48</v>
      </c>
      <c r="W275" s="2" t="str">
        <f>_xlfn.LET(_xlpm.r, _xlfn.XLOOKUP(MappingGuide[[#This Row],[Description]],'[1]Squirrel SQL Export 1'!D:D,'[1]Squirrel SQL Export 1'!AC:AC),IF(_xlpm.r=0,"",_xlpm.r))</f>
        <v/>
      </c>
      <c r="AA275" s="2" t="s">
        <v>1201</v>
      </c>
      <c r="AB275" s="2" t="s">
        <v>1202</v>
      </c>
      <c r="AC275" s="2" t="s">
        <v>143</v>
      </c>
      <c r="AE275" s="2" t="str" cm="1">
        <f t="array" ref="AE275">_xlfn.LET(_xlpm.r, _xlfn.XLOOKUP(MappingGuide[[#This Row],[ColumnName]] &amp; "|" &amp; MappingGuide[[#This Row],[Description]],'[1]Squirrel SQL Export 1'!C:C &amp; "|" &amp;'[1]Squirrel SQL Export 1'!D:D,'[1]Squirrel SQL Export 1'!Z:Z),IF(_xlpm.r=0,"",_xlpm.r))</f>
        <v>yes</v>
      </c>
      <c r="AF275" s="3" t="s">
        <v>1309</v>
      </c>
      <c r="AG275" s="3" t="s">
        <v>101</v>
      </c>
      <c r="AI275" s="2" t="str">
        <f>_xlfn.LET(_xlpm.r, _xlfn.XLOOKUP(MappingGuide[[#This Row],[Description]],'[1]Squirrel SQL Export 1'!D:D,'[1]Squirrel SQL Export 1'!Y:Y),IF(_xlpm.r=0,"",_xlpm.r))</f>
        <v>This is needed</v>
      </c>
      <c r="AK275" s="2" t="str">
        <f>_xlfn.LET(_xlpm.r, _xlfn.XLOOKUP(MappingGuide[[#This Row],[Description]],'[1]Squirrel SQL Export 1'!D:D,'[1]Squirrel SQL Export 1'!AE:AE),IF(_xlpm.r=0,"",_xlpm.r))</f>
        <v>Need to discuss address fields. In MDM, we have separate fields for mailing, shipping, billing, etc but no address type field.</v>
      </c>
      <c r="AL275" s="3" t="str">
        <f>_xlfn.LET(_xlpm.r, _xlfn.XLOOKUP(MappingGuide[[#This Row],[DataType]],'[1]Squirrel SQL Export 1'!E:E,'[1]Squirrel SQL Export 1'!AF:AF),IF(_xlpm.r=0,"",_xlpm.r))</f>
        <v/>
      </c>
      <c r="AM275" s="2" t="str">
        <f>_xlfn.LET(_xlpm.r, _xlfn.XLOOKUP(MappingGuide[[#This Row],[Length]],'[1]Squirrel SQL Export 1'!F:F,'[1]Squirrel SQL Export 1'!AG:AG),IF(_xlpm.r=0,"",_xlpm.r))</f>
        <v>Status</v>
      </c>
    </row>
    <row r="276" spans="1:39" x14ac:dyDescent="0.2">
      <c r="A276" s="2">
        <v>1139</v>
      </c>
      <c r="B276" s="2" t="s">
        <v>1193</v>
      </c>
      <c r="C276" s="2" t="s">
        <v>1203</v>
      </c>
      <c r="D276" s="2" t="s">
        <v>138</v>
      </c>
      <c r="E276" s="2" t="s">
        <v>43</v>
      </c>
      <c r="F276" s="2" t="s">
        <v>139</v>
      </c>
      <c r="H276" s="2" t="s">
        <v>56</v>
      </c>
      <c r="J276" s="2" t="s">
        <v>143</v>
      </c>
      <c r="K276" s="2" t="s">
        <v>72</v>
      </c>
      <c r="O276" s="2" t="s">
        <v>45</v>
      </c>
      <c r="P276" s="2" t="s">
        <v>1195</v>
      </c>
      <c r="Q276" s="2" t="s">
        <v>141</v>
      </c>
      <c r="R276" s="2" t="s">
        <v>48</v>
      </c>
      <c r="W276" s="2" t="str">
        <f>_xlfn.LET(_xlpm.r, _xlfn.XLOOKUP(MappingGuide[[#This Row],[Description]],'[1]Squirrel SQL Export 1'!D:D,'[1]Squirrel SQL Export 1'!AC:AC),IF(_xlpm.r=0,"",_xlpm.r))</f>
        <v/>
      </c>
      <c r="AA276" s="2" t="s">
        <v>1204</v>
      </c>
      <c r="AC276" s="2" t="s">
        <v>143</v>
      </c>
      <c r="AE276" s="2" t="str" cm="1">
        <f t="array" ref="AE276">_xlfn.LET(_xlpm.r, _xlfn.XLOOKUP(MappingGuide[[#This Row],[ColumnName]] &amp; "|" &amp; MappingGuide[[#This Row],[Description]],'[1]Squirrel SQL Export 1'!C:C &amp; "|" &amp;'[1]Squirrel SQL Export 1'!D:D,'[1]Squirrel SQL Export 1'!Z:Z),IF(_xlpm.r=0,"",_xlpm.r))</f>
        <v>yes</v>
      </c>
      <c r="AF276" s="3" t="s">
        <v>1309</v>
      </c>
      <c r="AG276" s="3" t="s">
        <v>101</v>
      </c>
      <c r="AI276" s="2" t="str">
        <f>_xlfn.LET(_xlpm.r, _xlfn.XLOOKUP(MappingGuide[[#This Row],[Description]],'[1]Squirrel SQL Export 1'!D:D,'[1]Squirrel SQL Export 1'!Y:Y),IF(_xlpm.r=0,"",_xlpm.r))</f>
        <v>Will be set as blank. Delivery address will be specified during CO creation. (If a default delivery address must be specified this field needs to be updated after address creation)</v>
      </c>
      <c r="AK276" s="2" t="str">
        <f>_xlfn.LET(_xlpm.r, _xlfn.XLOOKUP(MappingGuide[[#This Row],[Description]],'[1]Squirrel SQL Export 1'!D:D,'[1]Squirrel SQL Export 1'!AE:AE),IF(_xlpm.r=0,"",_xlpm.r))</f>
        <v/>
      </c>
      <c r="AL276" s="3" t="str">
        <f>_xlfn.LET(_xlpm.r, _xlfn.XLOOKUP(MappingGuide[[#This Row],[DataType]],'[1]Squirrel SQL Export 1'!E:E,'[1]Squirrel SQL Export 1'!AF:AF),IF(_xlpm.r=0,"",_xlpm.r))</f>
        <v>No</v>
      </c>
      <c r="AM276" s="2" t="str">
        <f>_xlfn.LET(_xlpm.r, _xlfn.XLOOKUP(MappingGuide[[#This Row],[Length]],'[1]Squirrel SQL Export 1'!F:F,'[1]Squirrel SQL Export 1'!AG:AG),IF(_xlpm.r=0,"",_xlpm.r))</f>
        <v/>
      </c>
    </row>
    <row r="277" spans="1:39" x14ac:dyDescent="0.2">
      <c r="A277" s="2">
        <v>1140</v>
      </c>
      <c r="B277" s="2" t="s">
        <v>1193</v>
      </c>
      <c r="C277" s="2" t="s">
        <v>1205</v>
      </c>
      <c r="D277" s="2" t="s">
        <v>108</v>
      </c>
      <c r="E277" s="2" t="s">
        <v>43</v>
      </c>
      <c r="F277" s="2" t="s">
        <v>109</v>
      </c>
      <c r="J277" s="2" t="s">
        <v>143</v>
      </c>
      <c r="K277" s="2" t="s">
        <v>72</v>
      </c>
      <c r="O277" s="2" t="s">
        <v>45</v>
      </c>
      <c r="P277" s="2" t="s">
        <v>1195</v>
      </c>
      <c r="Q277" s="2" t="s">
        <v>110</v>
      </c>
      <c r="W277" s="2" t="str">
        <f>_xlfn.LET(_xlpm.r, _xlfn.XLOOKUP(MappingGuide[[#This Row],[Description]],'[1]Squirrel SQL Export 1'!D:D,'[1]Squirrel SQL Export 1'!AC:AC),IF(_xlpm.r=0,"",_xlpm.r))</f>
        <v>WINCHESTER PUBLIC SCHOOLS</v>
      </c>
      <c r="AA277" s="2" t="s">
        <v>1206</v>
      </c>
      <c r="AC277" s="2"/>
      <c r="AE277" s="2" t="str" cm="1">
        <f t="array" ref="AE277">_xlfn.LET(_xlpm.r, _xlfn.XLOOKUP(MappingGuide[[#This Row],[ColumnName]] &amp; "|" &amp; MappingGuide[[#This Row],[Description]],'[1]Squirrel SQL Export 1'!C:C &amp; "|" &amp;'[1]Squirrel SQL Export 1'!D:D,'[1]Squirrel SQL Export 1'!Z:Z),IF(_xlpm.r=0,"",_xlpm.r))</f>
        <v>yes</v>
      </c>
      <c r="AF277" s="3" t="s">
        <v>1309</v>
      </c>
      <c r="AG277" s="3" t="s">
        <v>101</v>
      </c>
      <c r="AI277" s="2" t="str">
        <f>_xlfn.LET(_xlpm.r, _xlfn.XLOOKUP(MappingGuide[[#This Row],[Description]],'[1]Squirrel SQL Export 1'!D:D,'[1]Squirrel SQL Export 1'!Y:Y),IF(_xlpm.r=0,"",_xlpm.r))</f>
        <v>This is self explanatory</v>
      </c>
      <c r="AK277" s="2" t="str">
        <f>_xlfn.LET(_xlpm.r, _xlfn.XLOOKUP(MappingGuide[[#This Row],[Description]],'[1]Squirrel SQL Export 1'!D:D,'[1]Squirrel SQL Export 1'!AE:AE),IF(_xlpm.r=0,"",_xlpm.r))</f>
        <v>Need to determine whether Legal or Public name is preferred.</v>
      </c>
      <c r="AL277" s="3" t="str">
        <f>_xlfn.LET(_xlpm.r, _xlfn.XLOOKUP(MappingGuide[[#This Row],[DataType]],'[1]Squirrel SQL Export 1'!E:E,'[1]Squirrel SQL Export 1'!AF:AF),IF(_xlpm.r=0,"",_xlpm.r))</f>
        <v>No</v>
      </c>
      <c r="AM277" s="2" t="str">
        <f>_xlfn.LET(_xlpm.r, _xlfn.XLOOKUP(MappingGuide[[#This Row],[Length]],'[1]Squirrel SQL Export 1'!F:F,'[1]Squirrel SQL Export 1'!AG:AG),IF(_xlpm.r=0,"",_xlpm.r))</f>
        <v>Legal Name / Public Name</v>
      </c>
    </row>
    <row r="278" spans="1:39" x14ac:dyDescent="0.2">
      <c r="A278" s="2">
        <v>1141</v>
      </c>
      <c r="B278" s="2" t="s">
        <v>1193</v>
      </c>
      <c r="C278" s="2" t="s">
        <v>1207</v>
      </c>
      <c r="D278" s="2" t="s">
        <v>116</v>
      </c>
      <c r="E278" s="2" t="s">
        <v>43</v>
      </c>
      <c r="F278" s="2" t="s">
        <v>109</v>
      </c>
      <c r="J278" s="2" t="s">
        <v>143</v>
      </c>
      <c r="K278" s="2" t="s">
        <v>72</v>
      </c>
      <c r="O278" s="2" t="s">
        <v>45</v>
      </c>
      <c r="P278" s="2" t="s">
        <v>1195</v>
      </c>
      <c r="Q278" s="2" t="s">
        <v>117</v>
      </c>
      <c r="R278" s="2" t="s">
        <v>48</v>
      </c>
      <c r="W278" s="2" t="str">
        <f>_xlfn.LET(_xlpm.r, _xlfn.XLOOKUP(MappingGuide[[#This Row],[Description]],'[1]Squirrel SQL Export 1'!D:D,'[1]Squirrel SQL Export 1'!AC:AC),IF(_xlpm.r=0,"",_xlpm.r))</f>
        <v>12 N WASHINGTON ST</v>
      </c>
      <c r="AA278" s="2" t="s">
        <v>120</v>
      </c>
      <c r="AC278" s="2"/>
      <c r="AE278" s="2" t="str" cm="1">
        <f t="array" ref="AE278">_xlfn.LET(_xlpm.r, _xlfn.XLOOKUP(MappingGuide[[#This Row],[ColumnName]] &amp; "|" &amp; MappingGuide[[#This Row],[Description]],'[1]Squirrel SQL Export 1'!C:C &amp; "|" &amp;'[1]Squirrel SQL Export 1'!D:D,'[1]Squirrel SQL Export 1'!Z:Z),IF(_xlpm.r=0,"",_xlpm.r))</f>
        <v>yes</v>
      </c>
      <c r="AF278" s="3" t="s">
        <v>1309</v>
      </c>
      <c r="AG278" s="3" t="s">
        <v>101</v>
      </c>
      <c r="AI278" s="2" t="str">
        <f>_xlfn.LET(_xlpm.r, _xlfn.XLOOKUP(MappingGuide[[#This Row],[Description]],'[1]Squirrel SQL Export 1'!D:D,'[1]Squirrel SQL Export 1'!Y:Y),IF(_xlpm.r=0,"",_xlpm.r))</f>
        <v>This is self explanatory</v>
      </c>
      <c r="AK278" s="2" t="str">
        <f>_xlfn.LET(_xlpm.r, _xlfn.XLOOKUP(MappingGuide[[#This Row],[Description]],'[1]Squirrel SQL Export 1'!D:D,'[1]Squirrel SQL Export 1'!AE:AE),IF(_xlpm.r=0,"",_xlpm.r))</f>
        <v>Need to confirm which Address fields this appies we have a  Mail, Bill and Ship To</v>
      </c>
      <c r="AL278" s="3" t="str">
        <f>_xlfn.LET(_xlpm.r, _xlfn.XLOOKUP(MappingGuide[[#This Row],[DataType]],'[1]Squirrel SQL Export 1'!E:E,'[1]Squirrel SQL Export 1'!AF:AF),IF(_xlpm.r=0,"",_xlpm.r))</f>
        <v>No</v>
      </c>
      <c r="AM278" s="2" t="str">
        <f>_xlfn.LET(_xlpm.r, _xlfn.XLOOKUP(MappingGuide[[#This Row],[Length]],'[1]Squirrel SQL Export 1'!F:F,'[1]Squirrel SQL Export 1'!AG:AG),IF(_xlpm.r=0,"",_xlpm.r))</f>
        <v>Legal Name / Public Name</v>
      </c>
    </row>
    <row r="279" spans="1:39" x14ac:dyDescent="0.2">
      <c r="A279" s="2">
        <v>1142</v>
      </c>
      <c r="B279" s="2" t="s">
        <v>1193</v>
      </c>
      <c r="C279" s="2" t="s">
        <v>1208</v>
      </c>
      <c r="D279" s="2" t="s">
        <v>123</v>
      </c>
      <c r="E279" s="2" t="s">
        <v>43</v>
      </c>
      <c r="F279" s="2" t="s">
        <v>109</v>
      </c>
      <c r="J279" s="2" t="s">
        <v>143</v>
      </c>
      <c r="K279" s="2" t="s">
        <v>72</v>
      </c>
      <c r="O279" s="2" t="s">
        <v>45</v>
      </c>
      <c r="P279" s="2" t="s">
        <v>1195</v>
      </c>
      <c r="Q279" s="2" t="s">
        <v>124</v>
      </c>
      <c r="W279" s="2" t="str">
        <f>_xlfn.LET(_xlpm.r, _xlfn.XLOOKUP(MappingGuide[[#This Row],[Description]],'[1]Squirrel SQL Export 1'!D:D,'[1]Squirrel SQL Export 1'!AC:AC),IF(_xlpm.r=0,"",_xlpm.r))</f>
        <v/>
      </c>
      <c r="AA279" s="2" t="s">
        <v>120</v>
      </c>
      <c r="AC279" s="2"/>
      <c r="AE279" s="2" t="str" cm="1">
        <f t="array" ref="AE279">_xlfn.LET(_xlpm.r, _xlfn.XLOOKUP(MappingGuide[[#This Row],[ColumnName]] &amp; "|" &amp; MappingGuide[[#This Row],[Description]],'[1]Squirrel SQL Export 1'!C:C &amp; "|" &amp;'[1]Squirrel SQL Export 1'!D:D,'[1]Squirrel SQL Export 1'!Z:Z),IF(_xlpm.r=0,"",_xlpm.r))</f>
        <v>yes</v>
      </c>
      <c r="AF279" s="3" t="s">
        <v>1309</v>
      </c>
      <c r="AG279" s="3" t="s">
        <v>101</v>
      </c>
      <c r="AI279" s="2" t="str">
        <f>_xlfn.LET(_xlpm.r, _xlfn.XLOOKUP(MappingGuide[[#This Row],[Description]],'[1]Squirrel SQL Export 1'!D:D,'[1]Squirrel SQL Export 1'!Y:Y),IF(_xlpm.r=0,"",_xlpm.r))</f>
        <v>This is self explanatory</v>
      </c>
      <c r="AK279" s="2" t="str">
        <f>_xlfn.LET(_xlpm.r, _xlfn.XLOOKUP(MappingGuide[[#This Row],[Description]],'[1]Squirrel SQL Export 1'!D:D,'[1]Squirrel SQL Export 1'!AE:AE),IF(_xlpm.r=0,"",_xlpm.r))</f>
        <v>Need to confirm which Address fields this appies we have a  Mail, Bill and Ship To</v>
      </c>
      <c r="AL279" s="3" t="str">
        <f>_xlfn.LET(_xlpm.r, _xlfn.XLOOKUP(MappingGuide[[#This Row],[DataType]],'[1]Squirrel SQL Export 1'!E:E,'[1]Squirrel SQL Export 1'!AF:AF),IF(_xlpm.r=0,"",_xlpm.r))</f>
        <v>No</v>
      </c>
      <c r="AM279" s="2" t="str">
        <f>_xlfn.LET(_xlpm.r, _xlfn.XLOOKUP(MappingGuide[[#This Row],[Length]],'[1]Squirrel SQL Export 1'!F:F,'[1]Squirrel SQL Export 1'!AG:AG),IF(_xlpm.r=0,"",_xlpm.r))</f>
        <v>Legal Name / Public Name</v>
      </c>
    </row>
    <row r="280" spans="1:39" x14ac:dyDescent="0.2">
      <c r="A280" s="2">
        <v>1143</v>
      </c>
      <c r="B280" s="2" t="s">
        <v>1193</v>
      </c>
      <c r="C280" s="2" t="s">
        <v>1209</v>
      </c>
      <c r="D280" s="2" t="s">
        <v>127</v>
      </c>
      <c r="E280" s="2" t="s">
        <v>43</v>
      </c>
      <c r="F280" s="2" t="s">
        <v>109</v>
      </c>
      <c r="J280" s="2" t="s">
        <v>143</v>
      </c>
      <c r="K280" s="2" t="s">
        <v>72</v>
      </c>
      <c r="O280" s="2" t="s">
        <v>45</v>
      </c>
      <c r="P280" s="2" t="s">
        <v>1195</v>
      </c>
      <c r="Q280" s="2" t="s">
        <v>128</v>
      </c>
      <c r="W280" s="2" t="str">
        <f>_xlfn.LET(_xlpm.r, _xlfn.XLOOKUP(MappingGuide[[#This Row],[Description]],'[1]Squirrel SQL Export 1'!D:D,'[1]Squirrel SQL Export 1'!AC:AC),IF(_xlpm.r=0,"",_xlpm.r))</f>
        <v>WINCHESTER VA 22601</v>
      </c>
      <c r="AA280" s="2" t="s">
        <v>130</v>
      </c>
      <c r="AC280" s="2"/>
      <c r="AE280" s="2" t="str" cm="1">
        <f t="array" ref="AE280">_xlfn.LET(_xlpm.r, _xlfn.XLOOKUP(MappingGuide[[#This Row],[ColumnName]] &amp; "|" &amp; MappingGuide[[#This Row],[Description]],'[1]Squirrel SQL Export 1'!C:C &amp; "|" &amp;'[1]Squirrel SQL Export 1'!D:D,'[1]Squirrel SQL Export 1'!Z:Z),IF(_xlpm.r=0,"",_xlpm.r))</f>
        <v>No</v>
      </c>
      <c r="AF280" s="3" t="s">
        <v>1309</v>
      </c>
      <c r="AG280" s="3" t="s">
        <v>101</v>
      </c>
      <c r="AI280" s="2" t="str">
        <f>_xlfn.LET(_xlpm.r, _xlfn.XLOOKUP(MappingGuide[[#This Row],[Description]],'[1]Squirrel SQL Export 1'!D:D,'[1]Squirrel SQL Export 1'!Y:Y),IF(_xlpm.r=0,"",_xlpm.r))</f>
        <v>Depending on the address formating rule in M3 (CRS117) - If auto formatted you can't populate it manually.</v>
      </c>
      <c r="AK280" s="2" t="str">
        <f>_xlfn.LET(_xlpm.r, _xlfn.XLOOKUP(MappingGuide[[#This Row],[Description]],'[1]Squirrel SQL Export 1'!D:D,'[1]Squirrel SQL Export 1'!AE:AE),IF(_xlpm.r=0,"",_xlpm.r))</f>
        <v>Need to confirm which Address fields this appies we have a  Mail, Bill and Ship To</v>
      </c>
      <c r="AL280" s="3" t="str">
        <f>_xlfn.LET(_xlpm.r, _xlfn.XLOOKUP(MappingGuide[[#This Row],[DataType]],'[1]Squirrel SQL Export 1'!E:E,'[1]Squirrel SQL Export 1'!AF:AF),IF(_xlpm.r=0,"",_xlpm.r))</f>
        <v>No</v>
      </c>
      <c r="AM280" s="2" t="str">
        <f>_xlfn.LET(_xlpm.r, _xlfn.XLOOKUP(MappingGuide[[#This Row],[Length]],'[1]Squirrel SQL Export 1'!F:F,'[1]Squirrel SQL Export 1'!AG:AG),IF(_xlpm.r=0,"",_xlpm.r))</f>
        <v>Legal Name / Public Name</v>
      </c>
    </row>
    <row r="281" spans="1:39" x14ac:dyDescent="0.2">
      <c r="A281" s="2">
        <v>1144</v>
      </c>
      <c r="B281" s="2" t="s">
        <v>1193</v>
      </c>
      <c r="C281" s="2" t="s">
        <v>1210</v>
      </c>
      <c r="D281" s="2" t="s">
        <v>133</v>
      </c>
      <c r="E281" s="2" t="s">
        <v>43</v>
      </c>
      <c r="F281" s="2" t="s">
        <v>109</v>
      </c>
      <c r="J281" s="2" t="s">
        <v>143</v>
      </c>
      <c r="K281" s="2" t="s">
        <v>72</v>
      </c>
      <c r="O281" s="2" t="s">
        <v>45</v>
      </c>
      <c r="P281" s="2" t="s">
        <v>1195</v>
      </c>
      <c r="Q281" s="2" t="s">
        <v>134</v>
      </c>
      <c r="W281" s="2" t="str">
        <f>_xlfn.LET(_xlpm.r, _xlfn.XLOOKUP(MappingGuide[[#This Row],[Description]],'[1]Squirrel SQL Export 1'!D:D,'[1]Squirrel SQL Export 1'!AC:AC),IF(_xlpm.r=0,"",_xlpm.r))</f>
        <v>United States</v>
      </c>
      <c r="AA281" s="2" t="s">
        <v>130</v>
      </c>
      <c r="AC281" s="2"/>
      <c r="AE281" s="2" t="str" cm="1">
        <f t="array" ref="AE281">_xlfn.LET(_xlpm.r, _xlfn.XLOOKUP(MappingGuide[[#This Row],[ColumnName]] &amp; "|" &amp; MappingGuide[[#This Row],[Description]],'[1]Squirrel SQL Export 1'!C:C &amp; "|" &amp;'[1]Squirrel SQL Export 1'!D:D,'[1]Squirrel SQL Export 1'!Z:Z),IF(_xlpm.r=0,"",_xlpm.r))</f>
        <v>No</v>
      </c>
      <c r="AF281" s="3" t="s">
        <v>1309</v>
      </c>
      <c r="AG281" s="3" t="s">
        <v>101</v>
      </c>
      <c r="AI281" s="2" t="str">
        <f>_xlfn.LET(_xlpm.r, _xlfn.XLOOKUP(MappingGuide[[#This Row],[Description]],'[1]Squirrel SQL Export 1'!D:D,'[1]Squirrel SQL Export 1'!Y:Y),IF(_xlpm.r=0,"",_xlpm.r))</f>
        <v>Depending on the address formating rule in M3 (CRS117) - If auto formatted you can't populate it manually.</v>
      </c>
      <c r="AK281" s="2" t="str">
        <f>_xlfn.LET(_xlpm.r, _xlfn.XLOOKUP(MappingGuide[[#This Row],[Description]],'[1]Squirrel SQL Export 1'!D:D,'[1]Squirrel SQL Export 1'!AE:AE),IF(_xlpm.r=0,"",_xlpm.r))</f>
        <v>Need to confirm which Address fields this appies we have a  Mail, Bill and Ship To</v>
      </c>
      <c r="AL281" s="3" t="str">
        <f>_xlfn.LET(_xlpm.r, _xlfn.XLOOKUP(MappingGuide[[#This Row],[DataType]],'[1]Squirrel SQL Export 1'!E:E,'[1]Squirrel SQL Export 1'!AF:AF),IF(_xlpm.r=0,"",_xlpm.r))</f>
        <v>No</v>
      </c>
      <c r="AM281" s="2" t="str">
        <f>_xlfn.LET(_xlpm.r, _xlfn.XLOOKUP(MappingGuide[[#This Row],[Length]],'[1]Squirrel SQL Export 1'!F:F,'[1]Squirrel SQL Export 1'!AG:AG),IF(_xlpm.r=0,"",_xlpm.r))</f>
        <v>Legal Name / Public Name</v>
      </c>
    </row>
    <row r="282" spans="1:39" x14ac:dyDescent="0.2">
      <c r="A282" s="2">
        <v>1145</v>
      </c>
      <c r="B282" s="2" t="s">
        <v>1193</v>
      </c>
      <c r="C282" s="2" t="s">
        <v>1211</v>
      </c>
      <c r="D282" s="2" t="s">
        <v>481</v>
      </c>
      <c r="E282" s="2" t="s">
        <v>43</v>
      </c>
      <c r="F282" s="2" t="s">
        <v>44</v>
      </c>
      <c r="J282" s="2" t="s">
        <v>143</v>
      </c>
      <c r="K282" s="2" t="s">
        <v>72</v>
      </c>
      <c r="O282" s="2" t="s">
        <v>45</v>
      </c>
      <c r="P282" s="2" t="s">
        <v>1195</v>
      </c>
      <c r="Q282" s="2" t="s">
        <v>482</v>
      </c>
      <c r="R282" s="2" t="s">
        <v>48</v>
      </c>
      <c r="W282" s="2" t="str">
        <f>_xlfn.LET(_xlpm.r, _xlfn.XLOOKUP(MappingGuide[[#This Row],[Description]],'[1]Squirrel SQL Export 1'!D:D,'[1]Squirrel SQL Export 1'!AC:AC),IF(_xlpm.r=0,"",_xlpm.r))</f>
        <v>22601</v>
      </c>
      <c r="AA282" s="2" t="s">
        <v>485</v>
      </c>
      <c r="AC282" s="2" t="s">
        <v>486</v>
      </c>
      <c r="AE282" s="2" t="str" cm="1">
        <f t="array" ref="AE282">_xlfn.LET(_xlpm.r, _xlfn.XLOOKUP(MappingGuide[[#This Row],[ColumnName]] &amp; "|" &amp; MappingGuide[[#This Row],[Description]],'[1]Squirrel SQL Export 1'!C:C &amp; "|" &amp;'[1]Squirrel SQL Export 1'!D:D,'[1]Squirrel SQL Export 1'!Z:Z),IF(_xlpm.r=0,"",_xlpm.r))</f>
        <v>yes</v>
      </c>
      <c r="AF282" s="3" t="s">
        <v>1309</v>
      </c>
      <c r="AG282" s="3" t="s">
        <v>101</v>
      </c>
      <c r="AI282" s="2" t="str">
        <f>_xlfn.LET(_xlpm.r, _xlfn.XLOOKUP(MappingGuide[[#This Row],[Description]],'[1]Squirrel SQL Export 1'!D:D,'[1]Squirrel SQL Export 1'!Y:Y),IF(_xlpm.r=0,"",_xlpm.r))</f>
        <v>Postal code</v>
      </c>
      <c r="AK282" s="2" t="str">
        <f>_xlfn.LET(_xlpm.r, _xlfn.XLOOKUP(MappingGuide[[#This Row],[Description]],'[1]Squirrel SQL Export 1'!D:D,'[1]Squirrel SQL Export 1'!AE:AE),IF(_xlpm.r=0,"",_xlpm.r))</f>
        <v>Need to discuss if this is mailing, shipping or billing (That goes for all Address fields).</v>
      </c>
      <c r="AL282" s="3" t="str">
        <f>_xlfn.LET(_xlpm.r, _xlfn.XLOOKUP(MappingGuide[[#This Row],[DataType]],'[1]Squirrel SQL Export 1'!E:E,'[1]Squirrel SQL Export 1'!AF:AF),IF(_xlpm.r=0,"",_xlpm.r))</f>
        <v>No</v>
      </c>
      <c r="AM282" s="2" t="str">
        <f>_xlfn.LET(_xlpm.r, _xlfn.XLOOKUP(MappingGuide[[#This Row],[Length]],'[1]Squirrel SQL Export 1'!F:F,'[1]Squirrel SQL Export 1'!AG:AG),IF(_xlpm.r=0,"",_xlpm.r))</f>
        <v/>
      </c>
    </row>
    <row r="283" spans="1:39" x14ac:dyDescent="0.2">
      <c r="A283" s="2">
        <v>1146</v>
      </c>
      <c r="B283" s="2" t="s">
        <v>1193</v>
      </c>
      <c r="C283" s="2" t="s">
        <v>1212</v>
      </c>
      <c r="D283" s="2" t="s">
        <v>812</v>
      </c>
      <c r="E283" s="2" t="s">
        <v>54</v>
      </c>
      <c r="F283" s="2" t="s">
        <v>702</v>
      </c>
      <c r="J283" s="2" t="s">
        <v>143</v>
      </c>
      <c r="K283" s="2" t="s">
        <v>87</v>
      </c>
      <c r="O283" s="2" t="s">
        <v>45</v>
      </c>
      <c r="P283" s="2" t="s">
        <v>1195</v>
      </c>
      <c r="Q283" s="2" t="s">
        <v>813</v>
      </c>
      <c r="W283" s="2" t="str">
        <f>_xlfn.LET(_xlpm.r, _xlfn.XLOOKUP(MappingGuide[[#This Row],[Description]],'[1]Squirrel SQL Export 1'!D:D,'[1]Squirrel SQL Export 1'!AC:AC),IF(_xlpm.r=0,"",_xlpm.r))</f>
        <v/>
      </c>
      <c r="AC283" s="2"/>
      <c r="AE283" s="2" t="str" cm="1">
        <f t="array" ref="AE283">_xlfn.LET(_xlpm.r, _xlfn.XLOOKUP(MappingGuide[[#This Row],[ColumnName]] &amp; "|" &amp; MappingGuide[[#This Row],[Description]],'[1]Squirrel SQL Export 1'!C:C &amp; "|" &amp;'[1]Squirrel SQL Export 1'!D:D,'[1]Squirrel SQL Export 1'!Z:Z),IF(_xlpm.r=0,"",_xlpm.r))</f>
        <v>tbd</v>
      </c>
      <c r="AF283" s="3" t="s">
        <v>1309</v>
      </c>
      <c r="AG283" s="3" t="s">
        <v>101</v>
      </c>
      <c r="AI283" s="2" t="str">
        <f>_xlfn.LET(_xlpm.r, _xlfn.XLOOKUP(MappingGuide[[#This Row],[Description]],'[1]Squirrel SQL Export 1'!D:D,'[1]Squirrel SQL Export 1'!Y:Y),IF(_xlpm.r=0,"",_xlpm.r))</f>
        <v>OKEALO stores the EAN location code of the customer. This is a globally unique identifier issued by the local EAN/GS1 organization and is used to identify a company or physical location in EDI and supply-chain messaging.</v>
      </c>
      <c r="AK283" s="2" t="str">
        <f>_xlfn.LET(_xlpm.r, _xlfn.XLOOKUP(MappingGuide[[#This Row],[Description]],'[1]Squirrel SQL Export 1'!D:D,'[1]Squirrel SQL Export 1'!AE:AE),IF(_xlpm.r=0,"",_xlpm.r))</f>
        <v>This appears to be an M3 only attribute.</v>
      </c>
      <c r="AL283" s="3" t="str">
        <f>_xlfn.LET(_xlpm.r, _xlfn.XLOOKUP(MappingGuide[[#This Row],[DataType]],'[1]Squirrel SQL Export 1'!E:E,'[1]Squirrel SQL Export 1'!AF:AF),IF(_xlpm.r=0,"",_xlpm.r))</f>
        <v/>
      </c>
      <c r="AM283" s="2" t="str">
        <f>_xlfn.LET(_xlpm.r, _xlfn.XLOOKUP(MappingGuide[[#This Row],[Length]],'[1]Squirrel SQL Export 1'!F:F,'[1]Squirrel SQL Export 1'!AG:AG),IF(_xlpm.r=0,"",_xlpm.r))</f>
        <v/>
      </c>
    </row>
    <row r="284" spans="1:39" x14ac:dyDescent="0.2">
      <c r="A284" s="2">
        <v>1147</v>
      </c>
      <c r="B284" s="2" t="s">
        <v>1193</v>
      </c>
      <c r="C284" s="2" t="s">
        <v>1213</v>
      </c>
      <c r="D284" s="2" t="s">
        <v>816</v>
      </c>
      <c r="E284" s="2" t="s">
        <v>43</v>
      </c>
      <c r="F284" s="2" t="s">
        <v>70</v>
      </c>
      <c r="J284" s="2" t="s">
        <v>143</v>
      </c>
      <c r="K284" s="2" t="s">
        <v>72</v>
      </c>
      <c r="O284" s="2" t="s">
        <v>45</v>
      </c>
      <c r="P284" s="2" t="s">
        <v>1195</v>
      </c>
      <c r="Q284" s="2" t="s">
        <v>817</v>
      </c>
      <c r="W284" s="2" t="str">
        <f>_xlfn.LET(_xlpm.r, _xlfn.XLOOKUP(MappingGuide[[#This Row],[Description]],'[1]Squirrel SQL Export 1'!D:D,'[1]Squirrel SQL Export 1'!AC:AC),IF(_xlpm.r=0,"",_xlpm.r))</f>
        <v>VA</v>
      </c>
      <c r="AA284" s="2" t="s">
        <v>1214</v>
      </c>
      <c r="AC284" s="2" t="s">
        <v>821</v>
      </c>
      <c r="AE284" s="2" t="str" cm="1">
        <f t="array" ref="AE284">_xlfn.LET(_xlpm.r, _xlfn.XLOOKUP(MappingGuide[[#This Row],[ColumnName]] &amp; "|" &amp; MappingGuide[[#This Row],[Description]],'[1]Squirrel SQL Export 1'!C:C &amp; "|" &amp;'[1]Squirrel SQL Export 1'!D:D,'[1]Squirrel SQL Export 1'!Z:Z),IF(_xlpm.r=0,"",_xlpm.r))</f>
        <v>yes</v>
      </c>
      <c r="AF284" s="3" t="s">
        <v>1309</v>
      </c>
      <c r="AG284" s="3" t="s">
        <v>101</v>
      </c>
      <c r="AI284" s="2" t="str">
        <f>_xlfn.LET(_xlpm.r, _xlfn.XLOOKUP(MappingGuide[[#This Row],[Description]],'[1]Squirrel SQL Export 1'!D:D,'[1]Squirrel SQL Export 1'!Y:Y),IF(_xlpm.r=0,"",_xlpm.r))</f>
        <v>Two-digit code for State</v>
      </c>
      <c r="AK284" s="2" t="str">
        <f>_xlfn.LET(_xlpm.r, _xlfn.XLOOKUP(MappingGuide[[#This Row],[Description]],'[1]Squirrel SQL Export 1'!D:D,'[1]Squirrel SQL Export 1'!AE:AE),IF(_xlpm.r=0,"",_xlpm.r))</f>
        <v>Need to discuss if this is mailing, shipping or billing (That goes for all Address fields).</v>
      </c>
      <c r="AL284" s="3" t="str">
        <f>_xlfn.LET(_xlpm.r, _xlfn.XLOOKUP(MappingGuide[[#This Row],[DataType]],'[1]Squirrel SQL Export 1'!E:E,'[1]Squirrel SQL Export 1'!AF:AF),IF(_xlpm.r=0,"",_xlpm.r))</f>
        <v>No</v>
      </c>
      <c r="AM284" s="2" t="str">
        <f>_xlfn.LET(_xlpm.r, _xlfn.XLOOKUP(MappingGuide[[#This Row],[Length]],'[1]Squirrel SQL Export 1'!F:F,'[1]Squirrel SQL Export 1'!AG:AG),IF(_xlpm.r=0,"",_xlpm.r))</f>
        <v>Status</v>
      </c>
    </row>
    <row r="285" spans="1:39" x14ac:dyDescent="0.2">
      <c r="A285" s="2">
        <v>1148</v>
      </c>
      <c r="B285" s="2" t="s">
        <v>1193</v>
      </c>
      <c r="C285" s="2" t="s">
        <v>1215</v>
      </c>
      <c r="D285" s="2" t="s">
        <v>238</v>
      </c>
      <c r="E285" s="2" t="s">
        <v>43</v>
      </c>
      <c r="F285" s="2" t="s">
        <v>55</v>
      </c>
      <c r="J285" s="2" t="s">
        <v>143</v>
      </c>
      <c r="K285" s="2" t="s">
        <v>72</v>
      </c>
      <c r="O285" s="2" t="s">
        <v>45</v>
      </c>
      <c r="P285" s="2" t="s">
        <v>1195</v>
      </c>
      <c r="Q285" s="2" t="s">
        <v>1216</v>
      </c>
      <c r="W285" s="2" t="str">
        <f>_xlfn.LET(_xlpm.r, _xlfn.XLOOKUP(MappingGuide[[#This Row],[Description]],'[1]Squirrel SQL Export 1'!D:D,'[1]Squirrel SQL Export 1'!AC:AC),IF(_xlpm.r=0,"",_xlpm.r))</f>
        <v/>
      </c>
      <c r="AA285" s="2" t="s">
        <v>239</v>
      </c>
      <c r="AC285" s="2"/>
      <c r="AE285" s="2" t="str" cm="1">
        <f t="array" ref="AE285">_xlfn.LET(_xlpm.r, _xlfn.XLOOKUP(MappingGuide[[#This Row],[ColumnName]] &amp; "|" &amp; MappingGuide[[#This Row],[Description]],'[1]Squirrel SQL Export 1'!C:C &amp; "|" &amp;'[1]Squirrel SQL Export 1'!D:D,'[1]Squirrel SQL Export 1'!Z:Z),IF(_xlpm.r=0,"",_xlpm.r))</f>
        <v>no</v>
      </c>
      <c r="AF285" s="3" t="s">
        <v>1309</v>
      </c>
      <c r="AG285" s="3" t="s">
        <v>101</v>
      </c>
      <c r="AI285" s="2" t="str">
        <f>_xlfn.LET(_xlpm.r, _xlfn.XLOOKUP(MappingGuide[[#This Row],[Description]],'[1]Squirrel SQL Export 1'!D:D,'[1]Squirrel SQL Export 1'!Y:Y),IF(_xlpm.r=0,"",_xlpm.r))</f>
        <v>Not used (Relates to old functionality in M3)</v>
      </c>
      <c r="AK285" s="2" t="str">
        <f>_xlfn.LET(_xlpm.r, _xlfn.XLOOKUP(MappingGuide[[#This Row],[Description]],'[1]Squirrel SQL Export 1'!D:D,'[1]Squirrel SQL Export 1'!AE:AE),IF(_xlpm.r=0,"",_xlpm.r))</f>
        <v/>
      </c>
      <c r="AL285" s="3" t="str">
        <f>_xlfn.LET(_xlpm.r, _xlfn.XLOOKUP(MappingGuide[[#This Row],[DataType]],'[1]Squirrel SQL Export 1'!E:E,'[1]Squirrel SQL Export 1'!AF:AF),IF(_xlpm.r=0,"",_xlpm.r))</f>
        <v>No</v>
      </c>
      <c r="AM285" s="2" t="str">
        <f>_xlfn.LET(_xlpm.r, _xlfn.XLOOKUP(MappingGuide[[#This Row],[Length]],'[1]Squirrel SQL Export 1'!F:F,'[1]Squirrel SQL Export 1'!AG:AG),IF(_xlpm.r=0,"",_xlpm.r))</f>
        <v/>
      </c>
    </row>
    <row r="286" spans="1:39" x14ac:dyDescent="0.2">
      <c r="A286" s="2">
        <v>1149</v>
      </c>
      <c r="B286" s="2" t="s">
        <v>1193</v>
      </c>
      <c r="C286" s="2" t="s">
        <v>1217</v>
      </c>
      <c r="D286" s="2" t="s">
        <v>222</v>
      </c>
      <c r="E286" s="2" t="s">
        <v>43</v>
      </c>
      <c r="F286" s="2" t="s">
        <v>55</v>
      </c>
      <c r="J286" s="2" t="s">
        <v>143</v>
      </c>
      <c r="K286" s="2" t="s">
        <v>87</v>
      </c>
      <c r="O286" s="2" t="s">
        <v>45</v>
      </c>
      <c r="P286" s="2" t="s">
        <v>1195</v>
      </c>
      <c r="Q286" s="2" t="s">
        <v>223</v>
      </c>
      <c r="W286" s="2" t="str">
        <f>_xlfn.LET(_xlpm.r, _xlfn.XLOOKUP(MappingGuide[[#This Row],[Description]],'[1]Squirrel SQL Export 1'!D:D,'[1]Squirrel SQL Export 1'!AC:AC),IF(_xlpm.r=0,"",_xlpm.r))</f>
        <v>3</v>
      </c>
      <c r="AA286" s="2" t="s">
        <v>1218</v>
      </c>
      <c r="AC286" s="2" t="s">
        <v>225</v>
      </c>
      <c r="AE286" s="2" t="str" cm="1">
        <f t="array" ref="AE286">_xlfn.LET(_xlpm.r, _xlfn.XLOOKUP(MappingGuide[[#This Row],[ColumnName]] &amp; "|" &amp; MappingGuide[[#This Row],[Description]],'[1]Squirrel SQL Export 1'!C:C &amp; "|" &amp;'[1]Squirrel SQL Export 1'!D:D,'[1]Squirrel SQL Export 1'!Z:Z),IF(_xlpm.r=0,"",_xlpm.r))</f>
        <v>no</v>
      </c>
      <c r="AF286" s="3" t="s">
        <v>1309</v>
      </c>
      <c r="AG286" s="3" t="s">
        <v>101</v>
      </c>
      <c r="AI286" s="2" t="str">
        <f>_xlfn.LET(_xlpm.r, _xlfn.XLOOKUP(MappingGuide[[#This Row],[Description]],'[1]Squirrel SQL Export 1'!D:D,'[1]Squirrel SQL Export 1'!Y:Y),IF(_xlpm.r=0,"",_xlpm.r))</f>
        <v>Normally dynamic, and should be maintained in MDM</v>
      </c>
      <c r="AK286" s="2" t="str">
        <f>_xlfn.LET(_xlpm.r, _xlfn.XLOOKUP(MappingGuide[[#This Row],[Description]],'[1]Squirrel SQL Export 1'!D:D,'[1]Squirrel SQL Export 1'!AE:AE),IF(_xlpm.r=0,"",_xlpm.r))</f>
        <v>This the field that we have the most questions about if it does not change can this be handled in the Template, if it is needed to be updated or seen then we can include in MDM.</v>
      </c>
      <c r="AL286" s="3" t="str">
        <f>_xlfn.LET(_xlpm.r, _xlfn.XLOOKUP(MappingGuide[[#This Row],[DataType]],'[1]Squirrel SQL Export 1'!E:E,'[1]Squirrel SQL Export 1'!AF:AF),IF(_xlpm.r=0,"",_xlpm.r))</f>
        <v>No</v>
      </c>
      <c r="AM286" s="2" t="str">
        <f>_xlfn.LET(_xlpm.r, _xlfn.XLOOKUP(MappingGuide[[#This Row],[Length]],'[1]Squirrel SQL Export 1'!F:F,'[1]Squirrel SQL Export 1'!AG:AG),IF(_xlpm.r=0,"",_xlpm.r))</f>
        <v/>
      </c>
    </row>
    <row r="287" spans="1:39" x14ac:dyDescent="0.2">
      <c r="A287" s="2">
        <v>1150</v>
      </c>
      <c r="B287" s="2" t="s">
        <v>1193</v>
      </c>
      <c r="C287" s="2" t="s">
        <v>1219</v>
      </c>
      <c r="D287" s="2" t="s">
        <v>216</v>
      </c>
      <c r="E287" s="2" t="s">
        <v>43</v>
      </c>
      <c r="F287" s="2" t="s">
        <v>55</v>
      </c>
      <c r="J287" s="2" t="s">
        <v>143</v>
      </c>
      <c r="K287" s="2" t="s">
        <v>87</v>
      </c>
      <c r="O287" s="2" t="s">
        <v>45</v>
      </c>
      <c r="P287" s="2" t="s">
        <v>1195</v>
      </c>
      <c r="Q287" s="2" t="s">
        <v>217</v>
      </c>
      <c r="W287" s="2" t="str">
        <f>_xlfn.LET(_xlpm.r, _xlfn.XLOOKUP(MappingGuide[[#This Row],[Description]],'[1]Squirrel SQL Export 1'!D:D,'[1]Squirrel SQL Export 1'!AC:AC),IF(_xlpm.r=0,"",_xlpm.r))</f>
        <v>CIF</v>
      </c>
      <c r="AA287" s="2" t="s">
        <v>1220</v>
      </c>
      <c r="AC287" s="2" t="s">
        <v>219</v>
      </c>
      <c r="AE287" s="2" t="str" cm="1">
        <f t="array" ref="AE287">_xlfn.LET(_xlpm.r, _xlfn.XLOOKUP(MappingGuide[[#This Row],[ColumnName]] &amp; "|" &amp; MappingGuide[[#This Row],[Description]],'[1]Squirrel SQL Export 1'!C:C &amp; "|" &amp;'[1]Squirrel SQL Export 1'!D:D,'[1]Squirrel SQL Export 1'!Z:Z),IF(_xlpm.r=0,"",_xlpm.r))</f>
        <v>no</v>
      </c>
      <c r="AF287" s="3" t="s">
        <v>1309</v>
      </c>
      <c r="AG287" s="3" t="s">
        <v>101</v>
      </c>
      <c r="AI287" s="2" t="str">
        <f>_xlfn.LET(_xlpm.r, _xlfn.XLOOKUP(MappingGuide[[#This Row],[Description]],'[1]Squirrel SQL Export 1'!D:D,'[1]Squirrel SQL Export 1'!Y:Y),IF(_xlpm.r=0,"",_xlpm.r))</f>
        <v>Normally dynamic, and should be maintained in MDM</v>
      </c>
      <c r="AK287" s="2" t="str">
        <f>_xlfn.LET(_xlpm.r, _xlfn.XLOOKUP(MappingGuide[[#This Row],[Description]],'[1]Squirrel SQL Export 1'!D:D,'[1]Squirrel SQL Export 1'!AE:AE),IF(_xlpm.r=0,"",_xlpm.r))</f>
        <v>This the field that we have the most questions about if it does not change can this be handled in the Template, if it is needed to be updated or seen then we can include in MDM.</v>
      </c>
      <c r="AL287" s="3" t="str">
        <f>_xlfn.LET(_xlpm.r, _xlfn.XLOOKUP(MappingGuide[[#This Row],[DataType]],'[1]Squirrel SQL Export 1'!E:E,'[1]Squirrel SQL Export 1'!AF:AF),IF(_xlpm.r=0,"",_xlpm.r))</f>
        <v>No</v>
      </c>
      <c r="AM287" s="2" t="str">
        <f>_xlfn.LET(_xlpm.r, _xlfn.XLOOKUP(MappingGuide[[#This Row],[Length]],'[1]Squirrel SQL Export 1'!F:F,'[1]Squirrel SQL Export 1'!AG:AG),IF(_xlpm.r=0,"",_xlpm.r))</f>
        <v/>
      </c>
    </row>
    <row r="288" spans="1:39" x14ac:dyDescent="0.2">
      <c r="A288" s="2">
        <v>1151</v>
      </c>
      <c r="B288" s="2" t="s">
        <v>1193</v>
      </c>
      <c r="C288" s="2" t="s">
        <v>1221</v>
      </c>
      <c r="D288" s="2" t="s">
        <v>1222</v>
      </c>
      <c r="E288" s="2" t="s">
        <v>43</v>
      </c>
      <c r="F288" s="2" t="s">
        <v>109</v>
      </c>
      <c r="J288" s="2" t="s">
        <v>143</v>
      </c>
      <c r="K288" s="2" t="s">
        <v>87</v>
      </c>
      <c r="O288" s="2" t="s">
        <v>45</v>
      </c>
      <c r="P288" s="2" t="s">
        <v>1195</v>
      </c>
      <c r="Q288" s="2" t="s">
        <v>1223</v>
      </c>
      <c r="W288" s="2" t="str">
        <f>_xlfn.LET(_xlpm.r, _xlfn.XLOOKUP(MappingGuide[[#This Row],[Description]],'[1]Squirrel SQL Export 1'!D:D,'[1]Squirrel SQL Export 1'!AC:AC),IF(_xlpm.r=0,"",_xlpm.r))</f>
        <v/>
      </c>
      <c r="AA288" s="2" t="s">
        <v>1224</v>
      </c>
      <c r="AC288" s="2"/>
      <c r="AE288" s="2" t="str" cm="1">
        <f t="array" ref="AE288">_xlfn.LET(_xlpm.r, _xlfn.XLOOKUP(MappingGuide[[#This Row],[ColumnName]] &amp; "|" &amp; MappingGuide[[#This Row],[Description]],'[1]Squirrel SQL Export 1'!C:C &amp; "|" &amp;'[1]Squirrel SQL Export 1'!D:D,'[1]Squirrel SQL Export 1'!Z:Z),IF(_xlpm.r=0,"",_xlpm.r))</f>
        <v>yes</v>
      </c>
      <c r="AF288" s="3" t="s">
        <v>1309</v>
      </c>
      <c r="AG288" s="3" t="s">
        <v>101</v>
      </c>
      <c r="AI288" s="2" t="str">
        <f>_xlfn.LET(_xlpm.r, _xlfn.XLOOKUP(MappingGuide[[#This Row],[Description]],'[1]Squirrel SQL Export 1'!D:D,'[1]Squirrel SQL Export 1'!Y:Y),IF(_xlpm.r=0,"",_xlpm.r))</f>
        <v>Normally the place to where the delivery term is valid.
Example using Incoterms: DAP Boston</v>
      </c>
      <c r="AK288"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288" s="3" t="str">
        <f>_xlfn.LET(_xlpm.r, _xlfn.XLOOKUP(MappingGuide[[#This Row],[DataType]],'[1]Squirrel SQL Export 1'!E:E,'[1]Squirrel SQL Export 1'!AF:AF),IF(_xlpm.r=0,"",_xlpm.r))</f>
        <v>No</v>
      </c>
      <c r="AM288" s="2" t="str">
        <f>_xlfn.LET(_xlpm.r, _xlfn.XLOOKUP(MappingGuide[[#This Row],[Length]],'[1]Squirrel SQL Export 1'!F:F,'[1]Squirrel SQL Export 1'!AG:AG),IF(_xlpm.r=0,"",_xlpm.r))</f>
        <v>Legal Name / Public Name</v>
      </c>
    </row>
    <row r="289" spans="1:39" x14ac:dyDescent="0.2">
      <c r="A289" s="2">
        <v>1152</v>
      </c>
      <c r="B289" s="2" t="s">
        <v>1193</v>
      </c>
      <c r="C289" s="2" t="s">
        <v>1225</v>
      </c>
      <c r="D289" s="2" t="s">
        <v>151</v>
      </c>
      <c r="E289" s="2" t="s">
        <v>43</v>
      </c>
      <c r="F289" s="2" t="s">
        <v>152</v>
      </c>
      <c r="J289" s="2" t="s">
        <v>143</v>
      </c>
      <c r="K289" s="2" t="s">
        <v>87</v>
      </c>
      <c r="L289" s="2" t="s">
        <v>48</v>
      </c>
      <c r="O289" s="2" t="s">
        <v>45</v>
      </c>
      <c r="P289" s="2" t="s">
        <v>1195</v>
      </c>
      <c r="Q289" s="2" t="s">
        <v>153</v>
      </c>
      <c r="W289" s="2" t="str">
        <f>_xlfn.LET(_xlpm.r, _xlfn.XLOOKUP(MappingGuide[[#This Row],[Description]],'[1]Squirrel SQL Export 1'!D:D,'[1]Squirrel SQL Export 1'!AC:AC),IF(_xlpm.r=0,"",_xlpm.r))</f>
        <v/>
      </c>
      <c r="AA289" s="2" t="s">
        <v>1226</v>
      </c>
      <c r="AC289" s="2"/>
      <c r="AE289" s="2" t="str" cm="1">
        <f t="array" ref="AE289">_xlfn.LET(_xlpm.r, _xlfn.XLOOKUP(MappingGuide[[#This Row],[ColumnName]] &amp; "|" &amp; MappingGuide[[#This Row],[Description]],'[1]Squirrel SQL Export 1'!C:C &amp; "|" &amp;'[1]Squirrel SQL Export 1'!D:D,'[1]Squirrel SQL Export 1'!Z:Z),IF(_xlpm.r=0,"",_xlpm.r))</f>
        <v>tbd</v>
      </c>
      <c r="AF289" s="3" t="s">
        <v>1309</v>
      </c>
      <c r="AG289" s="3" t="s">
        <v>101</v>
      </c>
      <c r="AI289" s="2" t="str">
        <f>_xlfn.LET(_xlpm.r, _xlfn.XLOOKUP(MappingGuide[[#This Row],[Description]],'[1]Squirrel SQL Export 1'!D:D,'[1]Squirrel SQL Export 1'!Y:Y),IF(_xlpm.r=0,"",_xlpm.r))</f>
        <v>If info needed in M3 it should be maintained in MDM</v>
      </c>
      <c r="AK289" s="2" t="str">
        <f>_xlfn.LET(_xlpm.r, _xlfn.XLOOKUP(MappingGuide[[#This Row],[Description]],'[1]Squirrel SQL Export 1'!D:D,'[1]Squirrel SQL Export 1'!AE:AE),IF(_xlpm.r=0,"",_xlpm.r))</f>
        <v/>
      </c>
      <c r="AL289" s="3" t="str">
        <f>_xlfn.LET(_xlpm.r, _xlfn.XLOOKUP(MappingGuide[[#This Row],[DataType]],'[1]Squirrel SQL Export 1'!E:E,'[1]Squirrel SQL Export 1'!AF:AF),IF(_xlpm.r=0,"",_xlpm.r))</f>
        <v>No</v>
      </c>
      <c r="AM289" s="2" t="str">
        <f>_xlfn.LET(_xlpm.r, _xlfn.XLOOKUP(MappingGuide[[#This Row],[Length]],'[1]Squirrel SQL Export 1'!F:F,'[1]Squirrel SQL Export 1'!AG:AG),IF(_xlpm.r=0,"",_xlpm.r))</f>
        <v>MDR NUMBER</v>
      </c>
    </row>
    <row r="290" spans="1:39" x14ac:dyDescent="0.2">
      <c r="A290" s="2">
        <v>1153</v>
      </c>
      <c r="B290" s="2" t="s">
        <v>1193</v>
      </c>
      <c r="C290" s="2" t="s">
        <v>1227</v>
      </c>
      <c r="D290" s="2" t="s">
        <v>160</v>
      </c>
      <c r="E290" s="2" t="s">
        <v>43</v>
      </c>
      <c r="F290" s="2" t="s">
        <v>152</v>
      </c>
      <c r="J290" s="2" t="s">
        <v>143</v>
      </c>
      <c r="K290" s="2" t="s">
        <v>87</v>
      </c>
      <c r="O290" s="2" t="s">
        <v>45</v>
      </c>
      <c r="P290" s="2" t="s">
        <v>1195</v>
      </c>
      <c r="Q290" s="2" t="s">
        <v>161</v>
      </c>
      <c r="W290" s="2" t="str">
        <f>_xlfn.LET(_xlpm.r, _xlfn.XLOOKUP(MappingGuide[[#This Row],[Description]],'[1]Squirrel SQL Export 1'!D:D,'[1]Squirrel SQL Export 1'!AC:AC),IF(_xlpm.r=0,"",_xlpm.r))</f>
        <v/>
      </c>
      <c r="AA290" s="2" t="s">
        <v>1228</v>
      </c>
      <c r="AC290" s="2"/>
      <c r="AE290" s="2" t="str" cm="1">
        <f t="array" ref="AE290">_xlfn.LET(_xlpm.r, _xlfn.XLOOKUP(MappingGuide[[#This Row],[ColumnName]] &amp; "|" &amp; MappingGuide[[#This Row],[Description]],'[1]Squirrel SQL Export 1'!C:C &amp; "|" &amp;'[1]Squirrel SQL Export 1'!D:D,'[1]Squirrel SQL Export 1'!Z:Z),IF(_xlpm.r=0,"",_xlpm.r))</f>
        <v>tbd</v>
      </c>
      <c r="AF290" s="3" t="s">
        <v>1309</v>
      </c>
      <c r="AG290" s="3" t="s">
        <v>101</v>
      </c>
      <c r="AI290" s="2" t="str">
        <f>_xlfn.LET(_xlpm.r, _xlfn.XLOOKUP(MappingGuide[[#This Row],[Description]],'[1]Squirrel SQL Export 1'!D:D,'[1]Squirrel SQL Export 1'!Y:Y),IF(_xlpm.r=0,"",_xlpm.r))</f>
        <v>If info needed in M3 it should be maintained in MDM</v>
      </c>
      <c r="AK290" s="2" t="str">
        <f>_xlfn.LET(_xlpm.r, _xlfn.XLOOKUP(MappingGuide[[#This Row],[Description]],'[1]Squirrel SQL Export 1'!D:D,'[1]Squirrel SQL Export 1'!AE:AE),IF(_xlpm.r=0,"",_xlpm.r))</f>
        <v>There is a field in CCM Data but not currenlty in MDM we will need to discuss if we need to add</v>
      </c>
      <c r="AL290" s="3" t="str">
        <f>_xlfn.LET(_xlpm.r, _xlfn.XLOOKUP(MappingGuide[[#This Row],[DataType]],'[1]Squirrel SQL Export 1'!E:E,'[1]Squirrel SQL Export 1'!AF:AF),IF(_xlpm.r=0,"",_xlpm.r))</f>
        <v>No</v>
      </c>
      <c r="AM290" s="2" t="str">
        <f>_xlfn.LET(_xlpm.r, _xlfn.XLOOKUP(MappingGuide[[#This Row],[Length]],'[1]Squirrel SQL Export 1'!F:F,'[1]Squirrel SQL Export 1'!AG:AG),IF(_xlpm.r=0,"",_xlpm.r))</f>
        <v>MDR NUMBER</v>
      </c>
    </row>
    <row r="291" spans="1:39" x14ac:dyDescent="0.2">
      <c r="A291" s="2">
        <v>1154</v>
      </c>
      <c r="B291" s="2" t="s">
        <v>1193</v>
      </c>
      <c r="C291" s="2" t="s">
        <v>1229</v>
      </c>
      <c r="D291" s="2" t="s">
        <v>178</v>
      </c>
      <c r="E291" s="2" t="s">
        <v>43</v>
      </c>
      <c r="F291" s="2" t="s">
        <v>179</v>
      </c>
      <c r="J291" s="2" t="s">
        <v>143</v>
      </c>
      <c r="K291" s="2" t="s">
        <v>87</v>
      </c>
      <c r="O291" s="2" t="s">
        <v>45</v>
      </c>
      <c r="P291" s="2" t="s">
        <v>1195</v>
      </c>
      <c r="Q291" s="2" t="s">
        <v>180</v>
      </c>
      <c r="W291" s="2" t="str">
        <f>_xlfn.LET(_xlpm.r, _xlfn.XLOOKUP(MappingGuide[[#This Row],[Description]],'[1]Squirrel SQL Export 1'!D:D,'[1]Squirrel SQL Export 1'!AC:AC),IF(_xlpm.r=0,"",_xlpm.r))</f>
        <v/>
      </c>
      <c r="AA291" s="2" t="s">
        <v>1230</v>
      </c>
      <c r="AC291" s="2"/>
      <c r="AE291" s="2" t="str" cm="1">
        <f t="array" ref="AE291">_xlfn.LET(_xlpm.r, _xlfn.XLOOKUP(MappingGuide[[#This Row],[ColumnName]] &amp; "|" &amp; MappingGuide[[#This Row],[Description]],'[1]Squirrel SQL Export 1'!C:C &amp; "|" &amp;'[1]Squirrel SQL Export 1'!D:D,'[1]Squirrel SQL Export 1'!Z:Z),IF(_xlpm.r=0,"",_xlpm.r))</f>
        <v>tbd</v>
      </c>
      <c r="AF291" s="3" t="s">
        <v>1309</v>
      </c>
      <c r="AG291" s="3" t="s">
        <v>101</v>
      </c>
      <c r="AI291" s="2" t="str">
        <f>_xlfn.LET(_xlpm.r, _xlfn.XLOOKUP(MappingGuide[[#This Row],[Description]],'[1]Squirrel SQL Export 1'!D:D,'[1]Squirrel SQL Export 1'!Y:Y),IF(_xlpm.r=0,"",_xlpm.r))</f>
        <v>The field indicates the customer's contact person.
Generally left blank, and used as a free field for saving some other info</v>
      </c>
      <c r="AK291" s="2" t="str">
        <f>_xlfn.LET(_xlpm.r, _xlfn.XLOOKUP(MappingGuide[[#This Row],[Description]],'[1]Squirrel SQL Export 1'!D:D,'[1]Squirrel SQL Export 1'!AE:AE),IF(_xlpm.r=0,"",_xlpm.r))</f>
        <v>There is not currently a field in MDM at the Organization level</v>
      </c>
      <c r="AL291" s="3" t="str">
        <f>_xlfn.LET(_xlpm.r, _xlfn.XLOOKUP(MappingGuide[[#This Row],[DataType]],'[1]Squirrel SQL Export 1'!E:E,'[1]Squirrel SQL Export 1'!AF:AF),IF(_xlpm.r=0,"",_xlpm.r))</f>
        <v>No</v>
      </c>
      <c r="AM291" s="2" t="str">
        <f>_xlfn.LET(_xlpm.r, _xlfn.XLOOKUP(MappingGuide[[#This Row],[Length]],'[1]Squirrel SQL Export 1'!F:F,'[1]Squirrel SQL Export 1'!AG:AG),IF(_xlpm.r=0,"",_xlpm.r))</f>
        <v/>
      </c>
    </row>
    <row r="292" spans="1:39" x14ac:dyDescent="0.2">
      <c r="A292" s="2">
        <v>1155</v>
      </c>
      <c r="B292" s="2" t="s">
        <v>1193</v>
      </c>
      <c r="C292" s="2" t="s">
        <v>1231</v>
      </c>
      <c r="D292" s="2" t="s">
        <v>564</v>
      </c>
      <c r="E292" s="2" t="s">
        <v>43</v>
      </c>
      <c r="F292" s="2" t="s">
        <v>407</v>
      </c>
      <c r="J292" s="2" t="s">
        <v>143</v>
      </c>
      <c r="K292" s="2" t="s">
        <v>87</v>
      </c>
      <c r="O292" s="2" t="s">
        <v>45</v>
      </c>
      <c r="P292" s="2" t="s">
        <v>1195</v>
      </c>
      <c r="Q292" s="2" t="s">
        <v>566</v>
      </c>
      <c r="W292" s="2" t="str">
        <f>_xlfn.LET(_xlpm.r, _xlfn.XLOOKUP(MappingGuide[[#This Row],[Description]],'[1]Squirrel SQL Export 1'!D:D,'[1]Squirrel SQL Export 1'!AC:AC),IF(_xlpm.r=0,"",_xlpm.r))</f>
        <v/>
      </c>
      <c r="AA292" s="2" t="s">
        <v>567</v>
      </c>
      <c r="AC292" s="2"/>
      <c r="AE292" s="2" t="str" cm="1">
        <f t="array" ref="AE292">_xlfn.LET(_xlpm.r, _xlfn.XLOOKUP(MappingGuide[[#This Row],[ColumnName]] &amp; "|" &amp; MappingGuide[[#This Row],[Description]],'[1]Squirrel SQL Export 1'!C:C &amp; "|" &amp;'[1]Squirrel SQL Export 1'!D:D,'[1]Squirrel SQL Export 1'!Z:Z),IF(_xlpm.r=0,"",_xlpm.r))</f>
        <v>no</v>
      </c>
      <c r="AF292" s="3" t="s">
        <v>1309</v>
      </c>
      <c r="AG292" s="3" t="s">
        <v>101</v>
      </c>
      <c r="AI292" s="2" t="str">
        <f>_xlfn.LET(_xlpm.r, _xlfn.XLOOKUP(MappingGuide[[#This Row],[Description]],'[1]Squirrel SQL Export 1'!D:D,'[1]Squirrel SQL Export 1'!Y:Y),IF(_xlpm.r=0,"",_xlpm.r))</f>
        <v>Not used</v>
      </c>
      <c r="AK292" s="2" t="str">
        <f>_xlfn.LET(_xlpm.r, _xlfn.XLOOKUP(MappingGuide[[#This Row],[Description]],'[1]Squirrel SQL Export 1'!D:D,'[1]Squirrel SQL Export 1'!AE:AE),IF(_xlpm.r=0,"",_xlpm.r))</f>
        <v/>
      </c>
      <c r="AL292" s="3" t="str">
        <f>_xlfn.LET(_xlpm.r, _xlfn.XLOOKUP(MappingGuide[[#This Row],[DataType]],'[1]Squirrel SQL Export 1'!E:E,'[1]Squirrel SQL Export 1'!AF:AF),IF(_xlpm.r=0,"",_xlpm.r))</f>
        <v>No</v>
      </c>
      <c r="AM292" s="2" t="str">
        <f>_xlfn.LET(_xlpm.r, _xlfn.XLOOKUP(MappingGuide[[#This Row],[Length]],'[1]Squirrel SQL Export 1'!F:F,'[1]Squirrel SQL Export 1'!AG:AG),IF(_xlpm.r=0,"",_xlpm.r))</f>
        <v/>
      </c>
    </row>
    <row r="293" spans="1:39" x14ac:dyDescent="0.2">
      <c r="A293" s="2">
        <v>1156</v>
      </c>
      <c r="B293" s="2" t="s">
        <v>1193</v>
      </c>
      <c r="C293" s="2" t="s">
        <v>1232</v>
      </c>
      <c r="D293" s="2" t="s">
        <v>569</v>
      </c>
      <c r="E293" s="2" t="s">
        <v>43</v>
      </c>
      <c r="F293" s="2" t="s">
        <v>407</v>
      </c>
      <c r="J293" s="2" t="s">
        <v>143</v>
      </c>
      <c r="K293" s="2" t="s">
        <v>87</v>
      </c>
      <c r="O293" s="2" t="s">
        <v>45</v>
      </c>
      <c r="P293" s="2" t="s">
        <v>1195</v>
      </c>
      <c r="Q293" s="2" t="s">
        <v>570</v>
      </c>
      <c r="W293" s="2" t="str">
        <f>_xlfn.LET(_xlpm.r, _xlfn.XLOOKUP(MappingGuide[[#This Row],[Description]],'[1]Squirrel SQL Export 1'!D:D,'[1]Squirrel SQL Export 1'!AC:AC),IF(_xlpm.r=0,"",_xlpm.r))</f>
        <v/>
      </c>
      <c r="AA293" s="2" t="s">
        <v>571</v>
      </c>
      <c r="AC293" s="2"/>
      <c r="AE293" s="2" t="str" cm="1">
        <f t="array" ref="AE293">_xlfn.LET(_xlpm.r, _xlfn.XLOOKUP(MappingGuide[[#This Row],[ColumnName]] &amp; "|" &amp; MappingGuide[[#This Row],[Description]],'[1]Squirrel SQL Export 1'!C:C &amp; "|" &amp;'[1]Squirrel SQL Export 1'!D:D,'[1]Squirrel SQL Export 1'!Z:Z),IF(_xlpm.r=0,"",_xlpm.r))</f>
        <v>no</v>
      </c>
      <c r="AF293" s="3" t="s">
        <v>1309</v>
      </c>
      <c r="AG293" s="3" t="s">
        <v>101</v>
      </c>
      <c r="AI293" s="2" t="str">
        <f>_xlfn.LET(_xlpm.r, _xlfn.XLOOKUP(MappingGuide[[#This Row],[Description]],'[1]Squirrel SQL Export 1'!D:D,'[1]Squirrel SQL Export 1'!Y:Y),IF(_xlpm.r=0,"",_xlpm.r))</f>
        <v>Not used</v>
      </c>
      <c r="AK293" s="2" t="str">
        <f>_xlfn.LET(_xlpm.r, _xlfn.XLOOKUP(MappingGuide[[#This Row],[Description]],'[1]Squirrel SQL Export 1'!D:D,'[1]Squirrel SQL Export 1'!AE:AE),IF(_xlpm.r=0,"",_xlpm.r))</f>
        <v/>
      </c>
      <c r="AL293" s="3" t="str">
        <f>_xlfn.LET(_xlpm.r, _xlfn.XLOOKUP(MappingGuide[[#This Row],[DataType]],'[1]Squirrel SQL Export 1'!E:E,'[1]Squirrel SQL Export 1'!AF:AF),IF(_xlpm.r=0,"",_xlpm.r))</f>
        <v>No</v>
      </c>
      <c r="AM293" s="2" t="str">
        <f>_xlfn.LET(_xlpm.r, _xlfn.XLOOKUP(MappingGuide[[#This Row],[Length]],'[1]Squirrel SQL Export 1'!F:F,'[1]Squirrel SQL Export 1'!AG:AG),IF(_xlpm.r=0,"",_xlpm.r))</f>
        <v/>
      </c>
    </row>
    <row r="294" spans="1:39" x14ac:dyDescent="0.2">
      <c r="A294" s="2">
        <v>1157</v>
      </c>
      <c r="B294" s="2" t="s">
        <v>1193</v>
      </c>
      <c r="C294" s="2" t="s">
        <v>1233</v>
      </c>
      <c r="D294" s="2" t="s">
        <v>573</v>
      </c>
      <c r="E294" s="2" t="s">
        <v>43</v>
      </c>
      <c r="F294" s="2" t="s">
        <v>44</v>
      </c>
      <c r="J294" s="2" t="s">
        <v>143</v>
      </c>
      <c r="K294" s="2" t="s">
        <v>87</v>
      </c>
      <c r="O294" s="2" t="s">
        <v>45</v>
      </c>
      <c r="P294" s="2" t="s">
        <v>1195</v>
      </c>
      <c r="Q294" s="2" t="s">
        <v>574</v>
      </c>
      <c r="W294" s="2" t="str">
        <f>_xlfn.LET(_xlpm.r, _xlfn.XLOOKUP(MappingGuide[[#This Row],[Description]],'[1]Squirrel SQL Export 1'!D:D,'[1]Squirrel SQL Export 1'!AC:AC),IF(_xlpm.r=0,"",_xlpm.r))</f>
        <v>1</v>
      </c>
      <c r="AA294" s="2" t="s">
        <v>575</v>
      </c>
      <c r="AB294" s="2" t="s">
        <v>576</v>
      </c>
      <c r="AC294" s="2"/>
      <c r="AE294" s="2" t="str" cm="1">
        <f t="array" ref="AE294">_xlfn.LET(_xlpm.r, _xlfn.XLOOKUP(MappingGuide[[#This Row],[ColumnName]] &amp; "|" &amp; MappingGuide[[#This Row],[Description]],'[1]Squirrel SQL Export 1'!C:C &amp; "|" &amp;'[1]Squirrel SQL Export 1'!D:D,'[1]Squirrel SQL Export 1'!Z:Z),IF(_xlpm.r=0,"",_xlpm.r))</f>
        <v>no</v>
      </c>
      <c r="AF294" s="3" t="s">
        <v>1309</v>
      </c>
      <c r="AG294" s="3" t="s">
        <v>101</v>
      </c>
      <c r="AI294" s="2" t="str">
        <f>_xlfn.LET(_xlpm.r, _xlfn.XLOOKUP(MappingGuide[[#This Row],[Description]],'[1]Squirrel SQL Export 1'!D:D,'[1]Squirrel SQL Export 1'!Y:Y),IF(_xlpm.r=0,"",_xlpm.r))</f>
        <v>Not used</v>
      </c>
      <c r="AK294" s="2" t="str">
        <f>_xlfn.LET(_xlpm.r, _xlfn.XLOOKUP(MappingGuide[[#This Row],[Description]],'[1]Squirrel SQL Export 1'!D:D,'[1]Squirrel SQL Export 1'!AE:AE),IF(_xlpm.r=0,"",_xlpm.r))</f>
        <v/>
      </c>
      <c r="AL294" s="3" t="str">
        <f>_xlfn.LET(_xlpm.r, _xlfn.XLOOKUP(MappingGuide[[#This Row],[DataType]],'[1]Squirrel SQL Export 1'!E:E,'[1]Squirrel SQL Export 1'!AF:AF),IF(_xlpm.r=0,"",_xlpm.r))</f>
        <v>No</v>
      </c>
      <c r="AM294" s="2" t="str">
        <f>_xlfn.LET(_xlpm.r, _xlfn.XLOOKUP(MappingGuide[[#This Row],[Length]],'[1]Squirrel SQL Export 1'!F:F,'[1]Squirrel SQL Export 1'!AG:AG),IF(_xlpm.r=0,"",_xlpm.r))</f>
        <v/>
      </c>
    </row>
    <row r="295" spans="1:39" x14ac:dyDescent="0.2">
      <c r="A295" s="2">
        <v>1158</v>
      </c>
      <c r="B295" s="2" t="s">
        <v>1193</v>
      </c>
      <c r="C295" s="2" t="s">
        <v>1234</v>
      </c>
      <c r="D295" s="2" t="s">
        <v>330</v>
      </c>
      <c r="E295" s="2" t="s">
        <v>43</v>
      </c>
      <c r="F295" s="2" t="s">
        <v>55</v>
      </c>
      <c r="J295" s="2" t="s">
        <v>143</v>
      </c>
      <c r="K295" s="2" t="s">
        <v>72</v>
      </c>
      <c r="O295" s="2" t="s">
        <v>45</v>
      </c>
      <c r="P295" s="2" t="s">
        <v>1195</v>
      </c>
      <c r="Q295" s="2" t="s">
        <v>331</v>
      </c>
      <c r="R295" s="2" t="s">
        <v>48</v>
      </c>
      <c r="W295" s="2" t="str">
        <f>_xlfn.LET(_xlpm.r, _xlfn.XLOOKUP(MappingGuide[[#This Row],[Description]],'[1]Squirrel SQL Export 1'!D:D,'[1]Squirrel SQL Export 1'!AC:AC),IF(_xlpm.r=0,"",_xlpm.r))</f>
        <v>US</v>
      </c>
      <c r="AA295" s="2" t="s">
        <v>334</v>
      </c>
      <c r="AC295" s="2" t="s">
        <v>335</v>
      </c>
      <c r="AE295" s="2" t="str" cm="1">
        <f t="array" ref="AE295">_xlfn.LET(_xlpm.r, _xlfn.XLOOKUP(MappingGuide[[#This Row],[ColumnName]] &amp; "|" &amp; MappingGuide[[#This Row],[Description]],'[1]Squirrel SQL Export 1'!C:C &amp; "|" &amp;'[1]Squirrel SQL Export 1'!D:D,'[1]Squirrel SQL Export 1'!Z:Z),IF(_xlpm.r=0,"",_xlpm.r))</f>
        <v>yes</v>
      </c>
      <c r="AF295" s="3" t="s">
        <v>1309</v>
      </c>
      <c r="AG295" s="3" t="s">
        <v>101</v>
      </c>
      <c r="AI295" s="2" t="str">
        <f>_xlfn.LET(_xlpm.r, _xlfn.XLOOKUP(MappingGuide[[#This Row],[Description]],'[1]Squirrel SQL Export 1'!D:D,'[1]Squirrel SQL Export 1'!Y:Y),IF(_xlpm.r=0,"",_xlpm.r))</f>
        <v>Two digit code for country.</v>
      </c>
      <c r="AK295" s="2" t="str">
        <f>_xlfn.LET(_xlpm.r, _xlfn.XLOOKUP(MappingGuide[[#This Row],[Description]],'[1]Squirrel SQL Export 1'!D:D,'[1]Squirrel SQL Export 1'!AE:AE),IF(_xlpm.r=0,"",_xlpm.r))</f>
        <v>Not a field but we currently assumed this can be defaulted in the Template.</v>
      </c>
      <c r="AL295" s="3" t="str">
        <f>_xlfn.LET(_xlpm.r, _xlfn.XLOOKUP(MappingGuide[[#This Row],[DataType]],'[1]Squirrel SQL Export 1'!E:E,'[1]Squirrel SQL Export 1'!AF:AF),IF(_xlpm.r=0,"",_xlpm.r))</f>
        <v>No</v>
      </c>
      <c r="AM295" s="2" t="str">
        <f>_xlfn.LET(_xlpm.r, _xlfn.XLOOKUP(MappingGuide[[#This Row],[Length]],'[1]Squirrel SQL Export 1'!F:F,'[1]Squirrel SQL Export 1'!AG:AG),IF(_xlpm.r=0,"",_xlpm.r))</f>
        <v/>
      </c>
    </row>
    <row r="296" spans="1:39" x14ac:dyDescent="0.2">
      <c r="A296" s="2">
        <v>1159</v>
      </c>
      <c r="B296" s="2" t="s">
        <v>1193</v>
      </c>
      <c r="C296" s="2" t="s">
        <v>1235</v>
      </c>
      <c r="D296" s="2" t="s">
        <v>578</v>
      </c>
      <c r="E296" s="2" t="s">
        <v>43</v>
      </c>
      <c r="F296" s="2" t="s">
        <v>152</v>
      </c>
      <c r="J296" s="2" t="s">
        <v>143</v>
      </c>
      <c r="K296" s="2" t="s">
        <v>87</v>
      </c>
      <c r="O296" s="2" t="s">
        <v>45</v>
      </c>
      <c r="P296" s="2" t="s">
        <v>1195</v>
      </c>
      <c r="Q296" s="2" t="s">
        <v>579</v>
      </c>
      <c r="W296" s="2" t="str">
        <f>_xlfn.LET(_xlpm.r, _xlfn.XLOOKUP(MappingGuide[[#This Row],[Description]],'[1]Squirrel SQL Export 1'!D:D,'[1]Squirrel SQL Export 1'!AC:AC),IF(_xlpm.r=0,"",_xlpm.r))</f>
        <v/>
      </c>
      <c r="AA296" s="2" t="s">
        <v>580</v>
      </c>
      <c r="AC296" s="2" t="s">
        <v>581</v>
      </c>
      <c r="AE296" s="2" t="str" cm="1">
        <f t="array" ref="AE296">_xlfn.LET(_xlpm.r, _xlfn.XLOOKUP(MappingGuide[[#This Row],[ColumnName]] &amp; "|" &amp; MappingGuide[[#This Row],[Description]],'[1]Squirrel SQL Export 1'!C:C &amp; "|" &amp;'[1]Squirrel SQL Export 1'!D:D,'[1]Squirrel SQL Export 1'!Z:Z),IF(_xlpm.r=0,"",_xlpm.r))</f>
        <v>no</v>
      </c>
      <c r="AF296" s="3" t="s">
        <v>1309</v>
      </c>
      <c r="AG296" s="3" t="s">
        <v>101</v>
      </c>
      <c r="AI296" s="2" t="str">
        <f>_xlfn.LET(_xlpm.r, _xlfn.XLOOKUP(MappingGuide[[#This Row],[Description]],'[1]Squirrel SQL Export 1'!D:D,'[1]Squirrel SQL Export 1'!Y:Y),IF(_xlpm.r=0,"",_xlpm.r))</f>
        <v>Not used</v>
      </c>
      <c r="AK296" s="2" t="str">
        <f>_xlfn.LET(_xlpm.r, _xlfn.XLOOKUP(MappingGuide[[#This Row],[Description]],'[1]Squirrel SQL Export 1'!D:D,'[1]Squirrel SQL Export 1'!AE:AE),IF(_xlpm.r=0,"",_xlpm.r))</f>
        <v/>
      </c>
      <c r="AL296" s="3" t="str">
        <f>_xlfn.LET(_xlpm.r, _xlfn.XLOOKUP(MappingGuide[[#This Row],[DataType]],'[1]Squirrel SQL Export 1'!E:E,'[1]Squirrel SQL Export 1'!AF:AF),IF(_xlpm.r=0,"",_xlpm.r))</f>
        <v>No</v>
      </c>
      <c r="AM296" s="2" t="str">
        <f>_xlfn.LET(_xlpm.r, _xlfn.XLOOKUP(MappingGuide[[#This Row],[Length]],'[1]Squirrel SQL Export 1'!F:F,'[1]Squirrel SQL Export 1'!AG:AG),IF(_xlpm.r=0,"",_xlpm.r))</f>
        <v>MDR NUMBER</v>
      </c>
    </row>
    <row r="297" spans="1:39" x14ac:dyDescent="0.2">
      <c r="A297" s="2">
        <v>1160</v>
      </c>
      <c r="B297" s="2" t="s">
        <v>1193</v>
      </c>
      <c r="C297" s="2" t="s">
        <v>1236</v>
      </c>
      <c r="D297" s="2" t="s">
        <v>657</v>
      </c>
      <c r="E297" s="2" t="s">
        <v>43</v>
      </c>
      <c r="F297" s="2" t="s">
        <v>44</v>
      </c>
      <c r="J297" s="2" t="s">
        <v>143</v>
      </c>
      <c r="K297" s="2" t="s">
        <v>72</v>
      </c>
      <c r="O297" s="2" t="s">
        <v>45</v>
      </c>
      <c r="P297" s="2" t="s">
        <v>1195</v>
      </c>
      <c r="Q297" s="2" t="s">
        <v>658</v>
      </c>
      <c r="W297" s="2" t="str">
        <f>_xlfn.LET(_xlpm.r, _xlfn.XLOOKUP(MappingGuide[[#This Row],[Description]],'[1]Squirrel SQL Export 1'!D:D,'[1]Squirrel SQL Export 1'!AC:AC),IF(_xlpm.r=0,"",_xlpm.r))</f>
        <v>YUSMN</v>
      </c>
      <c r="AA297" s="2" t="s">
        <v>659</v>
      </c>
      <c r="AC297" s="2" t="s">
        <v>660</v>
      </c>
      <c r="AE297" s="2" t="str" cm="1">
        <f t="array" ref="AE297">_xlfn.LET(_xlpm.r, _xlfn.XLOOKUP(MappingGuide[[#This Row],[ColumnName]] &amp; "|" &amp; MappingGuide[[#This Row],[Description]],'[1]Squirrel SQL Export 1'!C:C &amp; "|" &amp;'[1]Squirrel SQL Export 1'!D:D,'[1]Squirrel SQL Export 1'!Z:Z),IF(_xlpm.r=0,"",_xlpm.r))</f>
        <v>yes</v>
      </c>
      <c r="AF297" s="3" t="s">
        <v>1309</v>
      </c>
      <c r="AG297" s="3" t="s">
        <v>101</v>
      </c>
      <c r="AI297" s="2" t="str">
        <f>_xlfn.LET(_xlpm.r, _xlfn.XLOOKUP(MappingGuide[[#This Row],[Description]],'[1]Squirrel SQL Export 1'!D:D,'[1]Squirrel SQL Export 1'!Y:Y),IF(_xlpm.r=0,"",_xlpm.r))</f>
        <v>Mandatory field that is used to define a "place" within a country. Table of places defined in M3 (MMS008), and used for route selection.</v>
      </c>
      <c r="AK297" s="2" t="str">
        <f>_xlfn.LET(_xlpm.r, _xlfn.XLOOKUP(MappingGuide[[#This Row],[Description]],'[1]Squirrel SQL Export 1'!D:D,'[1]Squirrel SQL Export 1'!AE:AE),IF(_xlpm.r=0,"",_xlpm.r))</f>
        <v>This appears to be an M3 only attribute.</v>
      </c>
      <c r="AL297" s="3" t="str">
        <f>_xlfn.LET(_xlpm.r, _xlfn.XLOOKUP(MappingGuide[[#This Row],[DataType]],'[1]Squirrel SQL Export 1'!E:E,'[1]Squirrel SQL Export 1'!AF:AF),IF(_xlpm.r=0,"",_xlpm.r))</f>
        <v>No</v>
      </c>
      <c r="AM297" s="2" t="str">
        <f>_xlfn.LET(_xlpm.r, _xlfn.XLOOKUP(MappingGuide[[#This Row],[Length]],'[1]Squirrel SQL Export 1'!F:F,'[1]Squirrel SQL Export 1'!AG:AG),IF(_xlpm.r=0,"",_xlpm.r))</f>
        <v/>
      </c>
    </row>
    <row r="298" spans="1:39" x14ac:dyDescent="0.2">
      <c r="A298" s="2">
        <v>1161</v>
      </c>
      <c r="B298" s="2" t="s">
        <v>1193</v>
      </c>
      <c r="C298" s="2" t="s">
        <v>1237</v>
      </c>
      <c r="D298" s="2" t="s">
        <v>663</v>
      </c>
      <c r="E298" s="2" t="s">
        <v>43</v>
      </c>
      <c r="F298" s="2" t="s">
        <v>139</v>
      </c>
      <c r="O298" s="2" t="s">
        <v>45</v>
      </c>
      <c r="P298" s="2" t="s">
        <v>1195</v>
      </c>
      <c r="Q298" s="2" t="s">
        <v>1238</v>
      </c>
      <c r="W298" s="2" t="str">
        <f>_xlfn.LET(_xlpm.r, _xlfn.XLOOKUP(MappingGuide[[#This Row],[Description]],'[1]Squirrel SQL Export 1'!D:D,'[1]Squirrel SQL Export 1'!AC:AC),IF(_xlpm.r=0,"",_xlpm.r))</f>
        <v/>
      </c>
      <c r="AA298" s="2" t="s">
        <v>664</v>
      </c>
      <c r="AC298" s="2" t="s">
        <v>665</v>
      </c>
      <c r="AE298" s="2" t="str" cm="1">
        <f t="array" ref="AE298">_xlfn.LET(_xlpm.r, _xlfn.XLOOKUP(MappingGuide[[#This Row],[ColumnName]] &amp; "|" &amp; MappingGuide[[#This Row],[Description]],'[1]Squirrel SQL Export 1'!C:C &amp; "|" &amp;'[1]Squirrel SQL Export 1'!D:D,'[1]Squirrel SQL Export 1'!Z:Z),IF(_xlpm.r=0,"",_xlpm.r))</f>
        <v>no</v>
      </c>
      <c r="AF298" s="3" t="s">
        <v>1309</v>
      </c>
      <c r="AG298" s="3" t="s">
        <v>101</v>
      </c>
      <c r="AI298" s="2" t="str">
        <f>_xlfn.LET(_xlpm.r, _xlfn.XLOOKUP(MappingGuide[[#This Row],[Description]],'[1]Squirrel SQL Export 1'!D:D,'[1]Squirrel SQL Export 1'!Y:Y),IF(_xlpm.r=0,"",_xlpm.r))</f>
        <v>Not used</v>
      </c>
      <c r="AK298" s="2" t="str">
        <f>_xlfn.LET(_xlpm.r, _xlfn.XLOOKUP(MappingGuide[[#This Row],[Description]],'[1]Squirrel SQL Export 1'!D:D,'[1]Squirrel SQL Export 1'!AE:AE),IF(_xlpm.r=0,"",_xlpm.r))</f>
        <v/>
      </c>
      <c r="AL298" s="3" t="str">
        <f>_xlfn.LET(_xlpm.r, _xlfn.XLOOKUP(MappingGuide[[#This Row],[DataType]],'[1]Squirrel SQL Export 1'!E:E,'[1]Squirrel SQL Export 1'!AF:AF),IF(_xlpm.r=0,"",_xlpm.r))</f>
        <v>No</v>
      </c>
      <c r="AM298" s="2" t="str">
        <f>_xlfn.LET(_xlpm.r, _xlfn.XLOOKUP(MappingGuide[[#This Row],[Length]],'[1]Squirrel SQL Export 1'!F:F,'[1]Squirrel SQL Export 1'!AG:AG),IF(_xlpm.r=0,"",_xlpm.r))</f>
        <v/>
      </c>
    </row>
    <row r="299" spans="1:39" x14ac:dyDescent="0.2">
      <c r="A299" s="2">
        <v>1162</v>
      </c>
      <c r="B299" s="2" t="s">
        <v>1193</v>
      </c>
      <c r="C299" s="2" t="s">
        <v>1239</v>
      </c>
      <c r="D299" s="2" t="s">
        <v>667</v>
      </c>
      <c r="E299" s="2" t="s">
        <v>54</v>
      </c>
      <c r="F299" s="2" t="s">
        <v>55</v>
      </c>
      <c r="O299" s="2" t="s">
        <v>45</v>
      </c>
      <c r="P299" s="2" t="s">
        <v>1195</v>
      </c>
      <c r="Q299" s="2" t="s">
        <v>1240</v>
      </c>
      <c r="W299" s="2" t="str">
        <f>_xlfn.LET(_xlpm.r, _xlfn.XLOOKUP(MappingGuide[[#This Row],[Description]],'[1]Squirrel SQL Export 1'!D:D,'[1]Squirrel SQL Export 1'!AC:AC),IF(_xlpm.r=0,"",_xlpm.r))</f>
        <v/>
      </c>
      <c r="AA299" s="2" t="s">
        <v>668</v>
      </c>
      <c r="AC299" s="2"/>
      <c r="AE299" s="2" t="str" cm="1">
        <f t="array" ref="AE299">_xlfn.LET(_xlpm.r, _xlfn.XLOOKUP(MappingGuide[[#This Row],[ColumnName]] &amp; "|" &amp; MappingGuide[[#This Row],[Description]],'[1]Squirrel SQL Export 1'!C:C &amp; "|" &amp;'[1]Squirrel SQL Export 1'!D:D,'[1]Squirrel SQL Export 1'!Z:Z),IF(_xlpm.r=0,"",_xlpm.r))</f>
        <v>no</v>
      </c>
      <c r="AF299" s="3" t="s">
        <v>1309</v>
      </c>
      <c r="AG299" s="3" t="s">
        <v>101</v>
      </c>
      <c r="AI299" s="2" t="str">
        <f>_xlfn.LET(_xlpm.r, _xlfn.XLOOKUP(MappingGuide[[#This Row],[Description]],'[1]Squirrel SQL Export 1'!D:D,'[1]Squirrel SQL Export 1'!Y:Y),IF(_xlpm.r=0,"",_xlpm.r))</f>
        <v>Not used</v>
      </c>
      <c r="AK299" s="2" t="str">
        <f>_xlfn.LET(_xlpm.r, _xlfn.XLOOKUP(MappingGuide[[#This Row],[Description]],'[1]Squirrel SQL Export 1'!D:D,'[1]Squirrel SQL Export 1'!AE:AE),IF(_xlpm.r=0,"",_xlpm.r))</f>
        <v/>
      </c>
      <c r="AL299" s="3" t="str">
        <f>_xlfn.LET(_xlpm.r, _xlfn.XLOOKUP(MappingGuide[[#This Row],[DataType]],'[1]Squirrel SQL Export 1'!E:E,'[1]Squirrel SQL Export 1'!AF:AF),IF(_xlpm.r=0,"",_xlpm.r))</f>
        <v/>
      </c>
      <c r="AM299" s="2" t="str">
        <f>_xlfn.LET(_xlpm.r, _xlfn.XLOOKUP(MappingGuide[[#This Row],[Length]],'[1]Squirrel SQL Export 1'!F:F,'[1]Squirrel SQL Export 1'!AG:AG),IF(_xlpm.r=0,"",_xlpm.r))</f>
        <v/>
      </c>
    </row>
    <row r="300" spans="1:39" x14ac:dyDescent="0.2">
      <c r="A300" s="2">
        <v>1163</v>
      </c>
      <c r="B300" s="2" t="s">
        <v>1193</v>
      </c>
      <c r="C300" s="2" t="s">
        <v>1241</v>
      </c>
      <c r="D300" s="2" t="s">
        <v>670</v>
      </c>
      <c r="E300" s="2" t="s">
        <v>43</v>
      </c>
      <c r="F300" s="2" t="s">
        <v>242</v>
      </c>
      <c r="J300" s="2" t="s">
        <v>143</v>
      </c>
      <c r="K300" s="2" t="s">
        <v>72</v>
      </c>
      <c r="O300" s="2" t="s">
        <v>45</v>
      </c>
      <c r="P300" s="2" t="s">
        <v>1195</v>
      </c>
      <c r="Q300" s="2" t="s">
        <v>671</v>
      </c>
      <c r="W300" s="2" t="str">
        <f>_xlfn.LET(_xlpm.r, _xlfn.XLOOKUP(MappingGuide[[#This Row],[Description]],'[1]Squirrel SQL Export 1'!D:D,'[1]Squirrel SQL Export 1'!AC:AC),IF(_xlpm.r=0,"",_xlpm.r))</f>
        <v/>
      </c>
      <c r="AA300" s="2" t="s">
        <v>672</v>
      </c>
      <c r="AC300" s="2"/>
      <c r="AE300" s="2" t="str" cm="1">
        <f t="array" ref="AE300">_xlfn.LET(_xlpm.r, _xlfn.XLOOKUP(MappingGuide[[#This Row],[ColumnName]] &amp; "|" &amp; MappingGuide[[#This Row],[Description]],'[1]Squirrel SQL Export 1'!C:C &amp; "|" &amp;'[1]Squirrel SQL Export 1'!D:D,'[1]Squirrel SQL Export 1'!Z:Z),IF(_xlpm.r=0,"",_xlpm.r))</f>
        <v>no</v>
      </c>
      <c r="AF300" s="3" t="s">
        <v>1309</v>
      </c>
      <c r="AG300" s="3" t="s">
        <v>101</v>
      </c>
      <c r="AI300" s="2" t="str">
        <f>_xlfn.LET(_xlpm.r, _xlfn.XLOOKUP(MappingGuide[[#This Row],[Description]],'[1]Squirrel SQL Export 1'!D:D,'[1]Squirrel SQL Export 1'!Y:Y),IF(_xlpm.r=0,"",_xlpm.r))</f>
        <v>Not used (Can be used if advanced route selection is needed)</v>
      </c>
      <c r="AK300" s="2" t="str">
        <f>_xlfn.LET(_xlpm.r, _xlfn.XLOOKUP(MappingGuide[[#This Row],[Description]],'[1]Squirrel SQL Export 1'!D:D,'[1]Squirrel SQL Export 1'!AE:AE),IF(_xlpm.r=0,"",_xlpm.r))</f>
        <v/>
      </c>
      <c r="AL300" s="3" t="str">
        <f>_xlfn.LET(_xlpm.r, _xlfn.XLOOKUP(MappingGuide[[#This Row],[DataType]],'[1]Squirrel SQL Export 1'!E:E,'[1]Squirrel SQL Export 1'!AF:AF),IF(_xlpm.r=0,"",_xlpm.r))</f>
        <v>No</v>
      </c>
      <c r="AM300" s="2" t="str">
        <f>_xlfn.LET(_xlpm.r, _xlfn.XLOOKUP(MappingGuide[[#This Row],[Length]],'[1]Squirrel SQL Export 1'!F:F,'[1]Squirrel SQL Export 1'!AG:AG),IF(_xlpm.r=0,"",_xlpm.r))</f>
        <v/>
      </c>
    </row>
    <row r="301" spans="1:39" x14ac:dyDescent="0.2">
      <c r="A301" s="2">
        <v>1164</v>
      </c>
      <c r="B301" s="2" t="s">
        <v>1193</v>
      </c>
      <c r="C301" s="2" t="s">
        <v>1242</v>
      </c>
      <c r="D301" s="2" t="s">
        <v>888</v>
      </c>
      <c r="E301" s="2" t="s">
        <v>43</v>
      </c>
      <c r="F301" s="2" t="s">
        <v>889</v>
      </c>
      <c r="O301" s="2" t="s">
        <v>45</v>
      </c>
      <c r="P301" s="2" t="s">
        <v>1195</v>
      </c>
      <c r="Q301" s="2" t="s">
        <v>890</v>
      </c>
      <c r="W301" s="2" t="str">
        <f>_xlfn.LET(_xlpm.r, _xlfn.XLOOKUP(MappingGuide[[#This Row],[Description]],'[1]Squirrel SQL Export 1'!D:D,'[1]Squirrel SQL Export 1'!AC:AC),IF(_xlpm.r=0,"",_xlpm.r))</f>
        <v/>
      </c>
      <c r="AC301" s="2"/>
      <c r="AE301" s="2" t="str" cm="1">
        <f t="array" ref="AE301">_xlfn.LET(_xlpm.r, _xlfn.XLOOKUP(MappingGuide[[#This Row],[ColumnName]] &amp; "|" &amp; MappingGuide[[#This Row],[Description]],'[1]Squirrel SQL Export 1'!C:C &amp; "|" &amp;'[1]Squirrel SQL Export 1'!D:D,'[1]Squirrel SQL Export 1'!Z:Z),IF(_xlpm.r=0,"",_xlpm.r))</f>
        <v>no</v>
      </c>
      <c r="AF301" s="3" t="s">
        <v>1309</v>
      </c>
      <c r="AG301" s="3" t="s">
        <v>101</v>
      </c>
      <c r="AI301" s="2" t="str">
        <f>_xlfn.LET(_xlpm.r, _xlfn.XLOOKUP(MappingGuide[[#This Row],[Description]],'[1]Squirrel SQL Export 1'!D:D,'[1]Squirrel SQL Export 1'!Y:Y),IF(_xlpm.r=0,"",_xlpm.r))</f>
        <v>Not used</v>
      </c>
      <c r="AK301" s="2" t="str">
        <f>_xlfn.LET(_xlpm.r, _xlfn.XLOOKUP(MappingGuide[[#This Row],[Description]],'[1]Squirrel SQL Export 1'!D:D,'[1]Squirrel SQL Export 1'!AE:AE),IF(_xlpm.r=0,"",_xlpm.r))</f>
        <v/>
      </c>
      <c r="AL301" s="3" t="str">
        <f>_xlfn.LET(_xlpm.r, _xlfn.XLOOKUP(MappingGuide[[#This Row],[DataType]],'[1]Squirrel SQL Export 1'!E:E,'[1]Squirrel SQL Export 1'!AF:AF),IF(_xlpm.r=0,"",_xlpm.r))</f>
        <v>No</v>
      </c>
      <c r="AM301" s="2" t="str">
        <f>_xlfn.LET(_xlpm.r, _xlfn.XLOOKUP(MappingGuide[[#This Row],[Length]],'[1]Squirrel SQL Export 1'!F:F,'[1]Squirrel SQL Export 1'!AG:AG),IF(_xlpm.r=0,"",_xlpm.r))</f>
        <v/>
      </c>
    </row>
    <row r="302" spans="1:39" x14ac:dyDescent="0.2">
      <c r="A302" s="2">
        <v>1165</v>
      </c>
      <c r="B302" s="2" t="s">
        <v>1193</v>
      </c>
      <c r="C302" s="2" t="s">
        <v>1243</v>
      </c>
      <c r="D302" s="2" t="s">
        <v>824</v>
      </c>
      <c r="E302" s="2" t="s">
        <v>54</v>
      </c>
      <c r="F302" s="2" t="s">
        <v>262</v>
      </c>
      <c r="J302" s="2" t="s">
        <v>143</v>
      </c>
      <c r="K302" s="2" t="s">
        <v>87</v>
      </c>
      <c r="O302" s="2" t="s">
        <v>45</v>
      </c>
      <c r="P302" s="2" t="s">
        <v>1195</v>
      </c>
      <c r="Q302" s="2" t="s">
        <v>826</v>
      </c>
      <c r="W302" s="2" t="str">
        <f>_xlfn.LET(_xlpm.r, _xlfn.XLOOKUP(MappingGuide[[#This Row],[Description]],'[1]Squirrel SQL Export 1'!D:D,'[1]Squirrel SQL Export 1'!AC:AC),IF(_xlpm.r=0,"",_xlpm.r))</f>
        <v/>
      </c>
      <c r="AA302" s="2" t="s">
        <v>827</v>
      </c>
      <c r="AC302" s="2" t="s">
        <v>828</v>
      </c>
      <c r="AE302" s="2" t="str" cm="1">
        <f t="array" ref="AE302">_xlfn.LET(_xlpm.r, _xlfn.XLOOKUP(MappingGuide[[#This Row],[ColumnName]] &amp; "|" &amp; MappingGuide[[#This Row],[Description]],'[1]Squirrel SQL Export 1'!C:C &amp; "|" &amp;'[1]Squirrel SQL Export 1'!D:D,'[1]Squirrel SQL Export 1'!Z:Z),IF(_xlpm.r=0,"",_xlpm.r))</f>
        <v>no</v>
      </c>
      <c r="AF302" s="3" t="s">
        <v>1309</v>
      </c>
      <c r="AG302" s="3" t="s">
        <v>101</v>
      </c>
      <c r="AI302" s="2" t="str">
        <f>_xlfn.LET(_xlpm.r, _xlfn.XLOOKUP(MappingGuide[[#This Row],[Description]],'[1]Squirrel SQL Export 1'!D:D,'[1]Squirrel SQL Export 1'!Y:Y),IF(_xlpm.r=0,"",_xlpm.r))</f>
        <v>If it should be used a table with codes needs to be maintained in M3 (CRS137)
As discussed with Dee/Angie on 01/07, we will pass default = 999999999. Vertex would take care of taxes calculated correctly</v>
      </c>
      <c r="AK302" s="2" t="str">
        <f>_xlfn.LET(_xlpm.r, _xlfn.XLOOKUP(MappingGuide[[#This Row],[Description]],'[1]Squirrel SQL Export 1'!D:D,'[1]Squirrel SQL Export 1'!AE:AE),IF(_xlpm.r=0,"",_xlpm.r))</f>
        <v>This appears to be an M3 only attribute.</v>
      </c>
      <c r="AL302" s="3" t="str">
        <f>_xlfn.LET(_xlpm.r, _xlfn.XLOOKUP(MappingGuide[[#This Row],[DataType]],'[1]Squirrel SQL Export 1'!E:E,'[1]Squirrel SQL Export 1'!AF:AF),IF(_xlpm.r=0,"",_xlpm.r))</f>
        <v/>
      </c>
      <c r="AM302" s="2" t="str">
        <f>_xlfn.LET(_xlpm.r, _xlfn.XLOOKUP(MappingGuide[[#This Row],[Length]],'[1]Squirrel SQL Export 1'!F:F,'[1]Squirrel SQL Export 1'!AG:AG),IF(_xlpm.r=0,"",_xlpm.r))</f>
        <v/>
      </c>
    </row>
    <row r="303" spans="1:39" x14ac:dyDescent="0.2">
      <c r="A303" s="2">
        <v>1166</v>
      </c>
      <c r="B303" s="2" t="s">
        <v>1193</v>
      </c>
      <c r="C303" s="2" t="s">
        <v>1244</v>
      </c>
      <c r="D303" s="2" t="s">
        <v>897</v>
      </c>
      <c r="E303" s="2" t="s">
        <v>43</v>
      </c>
      <c r="F303" s="2" t="s">
        <v>55</v>
      </c>
      <c r="J303" s="2" t="s">
        <v>143</v>
      </c>
      <c r="K303" s="2" t="s">
        <v>87</v>
      </c>
      <c r="O303" s="2" t="s">
        <v>45</v>
      </c>
      <c r="P303" s="2" t="s">
        <v>1195</v>
      </c>
      <c r="Q303" s="2" t="s">
        <v>898</v>
      </c>
      <c r="W303" s="2" t="str">
        <f>_xlfn.LET(_xlpm.r, _xlfn.XLOOKUP(MappingGuide[[#This Row],[Description]],'[1]Squirrel SQL Export 1'!D:D,'[1]Squirrel SQL Export 1'!AC:AC),IF(_xlpm.r=0,"",_xlpm.r))</f>
        <v>TAX</v>
      </c>
      <c r="AA303" s="2" t="s">
        <v>899</v>
      </c>
      <c r="AC303" s="2" t="s">
        <v>900</v>
      </c>
      <c r="AE303" s="2" t="str" cm="1">
        <f t="array" ref="AE303">_xlfn.LET(_xlpm.r, _xlfn.XLOOKUP(MappingGuide[[#This Row],[ColumnName]] &amp; "|" &amp; MappingGuide[[#This Row],[Description]],'[1]Squirrel SQL Export 1'!C:C &amp; "|" &amp;'[1]Squirrel SQL Export 1'!D:D,'[1]Squirrel SQL Export 1'!Z:Z),IF(_xlpm.r=0,"",_xlpm.r))</f>
        <v xml:space="preserve">yes </v>
      </c>
      <c r="AF303" s="3" t="s">
        <v>1309</v>
      </c>
      <c r="AG303" s="3" t="s">
        <v>101</v>
      </c>
      <c r="AI303" s="2" t="str">
        <f>_xlfn.LET(_xlpm.r, _xlfn.XLOOKUP(MappingGuide[[#This Row],[Description]],'[1]Squirrel SQL Export 1'!D:D,'[1]Squirrel SQL Export 1'!Y:Y),IF(_xlpm.r=0,"",_xlpm.r))</f>
        <v>As discussed with Dee/Angie on 01/07, this value is needed. By default, we would add TAX for every customer. However if the customer is tax-exempt customer, then use should enter the code = NOT or EXE (Exact code to be confirmed by Athar)</v>
      </c>
      <c r="AK303" s="2" t="str">
        <f>_xlfn.LET(_xlpm.r, _xlfn.XLOOKUP(MappingGuide[[#This Row],[Description]],'[1]Squirrel SQL Export 1'!D:D,'[1]Squirrel SQL Export 1'!AE:AE),IF(_xlpm.r=0,"",_xlpm.r))</f>
        <v/>
      </c>
      <c r="AL303" s="3" t="str">
        <f>_xlfn.LET(_xlpm.r, _xlfn.XLOOKUP(MappingGuide[[#This Row],[DataType]],'[1]Squirrel SQL Export 1'!E:E,'[1]Squirrel SQL Export 1'!AF:AF),IF(_xlpm.r=0,"",_xlpm.r))</f>
        <v>No</v>
      </c>
      <c r="AM303" s="2" t="str">
        <f>_xlfn.LET(_xlpm.r, _xlfn.XLOOKUP(MappingGuide[[#This Row],[Length]],'[1]Squirrel SQL Export 1'!F:F,'[1]Squirrel SQL Export 1'!AG:AG),IF(_xlpm.r=0,"",_xlpm.r))</f>
        <v/>
      </c>
    </row>
    <row r="304" spans="1:39" x14ac:dyDescent="0.2">
      <c r="A304" s="2">
        <v>1167</v>
      </c>
      <c r="B304" s="2" t="s">
        <v>1193</v>
      </c>
      <c r="C304" s="2" t="s">
        <v>1245</v>
      </c>
      <c r="D304" s="2" t="s">
        <v>903</v>
      </c>
      <c r="E304" s="2" t="s">
        <v>43</v>
      </c>
      <c r="F304" s="2" t="s">
        <v>139</v>
      </c>
      <c r="J304" s="2" t="s">
        <v>143</v>
      </c>
      <c r="K304" s="2" t="s">
        <v>72</v>
      </c>
      <c r="O304" s="2" t="s">
        <v>45</v>
      </c>
      <c r="P304" s="2" t="s">
        <v>1195</v>
      </c>
      <c r="Q304" s="2" t="s">
        <v>904</v>
      </c>
      <c r="W304" s="2" t="str">
        <f>_xlfn.LET(_xlpm.r, _xlfn.XLOOKUP(MappingGuide[[#This Row],[Description]],'[1]Squirrel SQL Export 1'!D:D,'[1]Squirrel SQL Export 1'!AC:AC),IF(_xlpm.r=0,"",_xlpm.r))</f>
        <v/>
      </c>
      <c r="AA304" s="2" t="s">
        <v>905</v>
      </c>
      <c r="AC304" s="2" t="s">
        <v>906</v>
      </c>
      <c r="AE304" s="2" t="str" cm="1">
        <f t="array" ref="AE304">_xlfn.LET(_xlpm.r, _xlfn.XLOOKUP(MappingGuide[[#This Row],[ColumnName]] &amp; "|" &amp; MappingGuide[[#This Row],[Description]],'[1]Squirrel SQL Export 1'!C:C &amp; "|" &amp;'[1]Squirrel SQL Export 1'!D:D,'[1]Squirrel SQL Export 1'!Z:Z),IF(_xlpm.r=0,"",_xlpm.r))</f>
        <v>no</v>
      </c>
      <c r="AF304" s="3" t="s">
        <v>1309</v>
      </c>
      <c r="AG304" s="3" t="s">
        <v>101</v>
      </c>
      <c r="AI304" s="2" t="str">
        <f>_xlfn.LET(_xlpm.r, _xlfn.XLOOKUP(MappingGuide[[#This Row],[Description]],'[1]Squirrel SQL Export 1'!D:D,'[1]Squirrel SQL Export 1'!Y:Y),IF(_xlpm.r=0,"",_xlpm.r))</f>
        <v>Not used</v>
      </c>
      <c r="AK304" s="2" t="str">
        <f>_xlfn.LET(_xlpm.r, _xlfn.XLOOKUP(MappingGuide[[#This Row],[Description]],'[1]Squirrel SQL Export 1'!D:D,'[1]Squirrel SQL Export 1'!AE:AE),IF(_xlpm.r=0,"",_xlpm.r))</f>
        <v/>
      </c>
      <c r="AL304" s="3" t="str">
        <f>_xlfn.LET(_xlpm.r, _xlfn.XLOOKUP(MappingGuide[[#This Row],[DataType]],'[1]Squirrel SQL Export 1'!E:E,'[1]Squirrel SQL Export 1'!AF:AF),IF(_xlpm.r=0,"",_xlpm.r))</f>
        <v>No</v>
      </c>
      <c r="AM304" s="2" t="str">
        <f>_xlfn.LET(_xlpm.r, _xlfn.XLOOKUP(MappingGuide[[#This Row],[Length]],'[1]Squirrel SQL Export 1'!F:F,'[1]Squirrel SQL Export 1'!AG:AG),IF(_xlpm.r=0,"",_xlpm.r))</f>
        <v/>
      </c>
    </row>
    <row r="305" spans="1:39" x14ac:dyDescent="0.2">
      <c r="A305" s="2">
        <v>1168</v>
      </c>
      <c r="B305" s="2" t="s">
        <v>1193</v>
      </c>
      <c r="C305" s="2" t="s">
        <v>1246</v>
      </c>
      <c r="D305" s="2" t="s">
        <v>365</v>
      </c>
      <c r="E305" s="2" t="s">
        <v>43</v>
      </c>
      <c r="F305" s="2" t="s">
        <v>55</v>
      </c>
      <c r="O305" s="2" t="s">
        <v>45</v>
      </c>
      <c r="P305" s="2" t="s">
        <v>88</v>
      </c>
      <c r="Q305" s="2" t="s">
        <v>366</v>
      </c>
      <c r="W305" s="2" t="str">
        <f>_xlfn.LET(_xlpm.r, _xlfn.XLOOKUP(MappingGuide[[#This Row],[Description]],'[1]Squirrel SQL Export 1'!D:D,'[1]Squirrel SQL Export 1'!AC:AC),IF(_xlpm.r=0,"",_xlpm.r))</f>
        <v>1</v>
      </c>
      <c r="AA305" s="2" t="s">
        <v>367</v>
      </c>
      <c r="AC305" s="2" t="s">
        <v>368</v>
      </c>
      <c r="AE305" s="2" t="str" cm="1">
        <f t="array" ref="AE305">_xlfn.LET(_xlpm.r, _xlfn.XLOOKUP(MappingGuide[[#This Row],[ColumnName]] &amp; "|" &amp; MappingGuide[[#This Row],[Description]],'[1]Squirrel SQL Export 1'!C:C &amp; "|" &amp;'[1]Squirrel SQL Export 1'!D:D,'[1]Squirrel SQL Export 1'!Z:Z),IF(_xlpm.r=0,"",_xlpm.r))</f>
        <v>no</v>
      </c>
      <c r="AF305" s="3" t="s">
        <v>1309</v>
      </c>
      <c r="AG305" s="3" t="s">
        <v>101</v>
      </c>
      <c r="AI305" s="2" t="str">
        <f>_xlfn.LET(_xlpm.r, _xlfn.XLOOKUP(MappingGuide[[#This Row],[Description]],'[1]Squirrel SQL Export 1'!D:D,'[1]Squirrel SQL Export 1'!Y:Y),IF(_xlpm.r=0,"",_xlpm.r))</f>
        <v>Special terms for packing. List of terms can be specified in M3.
This is needed in M3, but we will set value using template</v>
      </c>
      <c r="AK305" s="2" t="str">
        <f>_xlfn.LET(_xlpm.r, _xlfn.XLOOKUP(MappingGuide[[#This Row],[Description]],'[1]Squirrel SQL Export 1'!D:D,'[1]Squirrel SQL Export 1'!AE:AE),IF(_xlpm.r=0,"",_xlpm.r))</f>
        <v/>
      </c>
      <c r="AL305" s="3" t="str">
        <f>_xlfn.LET(_xlpm.r, _xlfn.XLOOKUP(MappingGuide[[#This Row],[DataType]],'[1]Squirrel SQL Export 1'!E:E,'[1]Squirrel SQL Export 1'!AF:AF),IF(_xlpm.r=0,"",_xlpm.r))</f>
        <v>No</v>
      </c>
      <c r="AM305" s="2" t="str">
        <f>_xlfn.LET(_xlpm.r, _xlfn.XLOOKUP(MappingGuide[[#This Row],[Length]],'[1]Squirrel SQL Export 1'!F:F,'[1]Squirrel SQL Export 1'!AG:AG),IF(_xlpm.r=0,"",_xlpm.r))</f>
        <v/>
      </c>
    </row>
    <row r="306" spans="1:39" x14ac:dyDescent="0.2">
      <c r="A306" s="2">
        <v>1169</v>
      </c>
      <c r="B306" s="2" t="s">
        <v>1193</v>
      </c>
      <c r="C306" s="2" t="s">
        <v>1247</v>
      </c>
      <c r="D306" s="2" t="s">
        <v>1248</v>
      </c>
      <c r="E306" s="2" t="s">
        <v>43</v>
      </c>
      <c r="F306" s="2" t="s">
        <v>139</v>
      </c>
      <c r="J306" s="2" t="s">
        <v>143</v>
      </c>
      <c r="K306" s="2" t="s">
        <v>72</v>
      </c>
      <c r="W306" s="2" t="str">
        <f>_xlfn.LET(_xlpm.r, _xlfn.XLOOKUP(MappingGuide[[#This Row],[Description]],'[1]Squirrel SQL Export 1'!D:D,'[1]Squirrel SQL Export 1'!AC:AC),IF(_xlpm.r=0,"",_xlpm.r))</f>
        <v/>
      </c>
      <c r="AA306" s="2" t="s">
        <v>1249</v>
      </c>
      <c r="AC306" s="2"/>
      <c r="AE306" s="2" t="str" cm="1">
        <f t="array" ref="AE306">_xlfn.LET(_xlpm.r, _xlfn.XLOOKUP(MappingGuide[[#This Row],[ColumnName]] &amp; "|" &amp; MappingGuide[[#This Row],[Description]],'[1]Squirrel SQL Export 1'!C:C &amp; "|" &amp;'[1]Squirrel SQL Export 1'!D:D,'[1]Squirrel SQL Export 1'!Z:Z),IF(_xlpm.r=0,"",_xlpm.r))</f>
        <v>no</v>
      </c>
      <c r="AF306" s="3" t="s">
        <v>1309</v>
      </c>
      <c r="AG306" s="3" t="s">
        <v>101</v>
      </c>
      <c r="AI306" s="2" t="str">
        <f>_xlfn.LET(_xlpm.r, _xlfn.XLOOKUP(MappingGuide[[#This Row],[Description]],'[1]Squirrel SQL Export 1'!D:D,'[1]Squirrel SQL Export 1'!Y:Y),IF(_xlpm.r=0,"",_xlpm.r))</f>
        <v>Not used</v>
      </c>
      <c r="AK306" s="2" t="str">
        <f>_xlfn.LET(_xlpm.r, _xlfn.XLOOKUP(MappingGuide[[#This Row],[Description]],'[1]Squirrel SQL Export 1'!D:D,'[1]Squirrel SQL Export 1'!AE:AE),IF(_xlpm.r=0,"",_xlpm.r))</f>
        <v/>
      </c>
      <c r="AL306" s="3" t="str">
        <f>_xlfn.LET(_xlpm.r, _xlfn.XLOOKUP(MappingGuide[[#This Row],[DataType]],'[1]Squirrel SQL Export 1'!E:E,'[1]Squirrel SQL Export 1'!AF:AF),IF(_xlpm.r=0,"",_xlpm.r))</f>
        <v>No</v>
      </c>
      <c r="AM306" s="2" t="str">
        <f>_xlfn.LET(_xlpm.r, _xlfn.XLOOKUP(MappingGuide[[#This Row],[Length]],'[1]Squirrel SQL Export 1'!F:F,'[1]Squirrel SQL Export 1'!AG:AG),IF(_xlpm.r=0,"",_xlpm.r))</f>
        <v/>
      </c>
    </row>
    <row r="307" spans="1:39" x14ac:dyDescent="0.2">
      <c r="A307" s="2">
        <v>1170</v>
      </c>
      <c r="B307" s="2" t="s">
        <v>1193</v>
      </c>
      <c r="C307" s="2" t="s">
        <v>1250</v>
      </c>
      <c r="D307" s="2" t="s">
        <v>1251</v>
      </c>
      <c r="E307" s="2" t="s">
        <v>43</v>
      </c>
      <c r="F307" s="2" t="s">
        <v>139</v>
      </c>
      <c r="J307" s="2" t="s">
        <v>143</v>
      </c>
      <c r="K307" s="2" t="s">
        <v>72</v>
      </c>
      <c r="W307" s="2" t="str">
        <f>_xlfn.LET(_xlpm.r, _xlfn.XLOOKUP(MappingGuide[[#This Row],[Description]],'[1]Squirrel SQL Export 1'!D:D,'[1]Squirrel SQL Export 1'!AC:AC),IF(_xlpm.r=0,"",_xlpm.r))</f>
        <v/>
      </c>
      <c r="AA307" s="2" t="s">
        <v>1252</v>
      </c>
      <c r="AC307" s="2"/>
      <c r="AE307" s="2" t="str" cm="1">
        <f t="array" ref="AE307">_xlfn.LET(_xlpm.r, _xlfn.XLOOKUP(MappingGuide[[#This Row],[ColumnName]] &amp; "|" &amp; MappingGuide[[#This Row],[Description]],'[1]Squirrel SQL Export 1'!C:C &amp; "|" &amp;'[1]Squirrel SQL Export 1'!D:D,'[1]Squirrel SQL Export 1'!Z:Z),IF(_xlpm.r=0,"",_xlpm.r))</f>
        <v>no</v>
      </c>
      <c r="AF307" s="3" t="s">
        <v>1309</v>
      </c>
      <c r="AG307" s="3" t="s">
        <v>101</v>
      </c>
      <c r="AI307" s="2" t="str">
        <f>_xlfn.LET(_xlpm.r, _xlfn.XLOOKUP(MappingGuide[[#This Row],[Description]],'[1]Squirrel SQL Export 1'!D:D,'[1]Squirrel SQL Export 1'!Y:Y),IF(_xlpm.r=0,"",_xlpm.r))</f>
        <v>Not used</v>
      </c>
      <c r="AK307" s="2" t="str">
        <f>_xlfn.LET(_xlpm.r, _xlfn.XLOOKUP(MappingGuide[[#This Row],[Description]],'[1]Squirrel SQL Export 1'!D:D,'[1]Squirrel SQL Export 1'!AE:AE),IF(_xlpm.r=0,"",_xlpm.r))</f>
        <v/>
      </c>
      <c r="AL307" s="3" t="str">
        <f>_xlfn.LET(_xlpm.r, _xlfn.XLOOKUP(MappingGuide[[#This Row],[DataType]],'[1]Squirrel SQL Export 1'!E:E,'[1]Squirrel SQL Export 1'!AF:AF),IF(_xlpm.r=0,"",_xlpm.r))</f>
        <v>No</v>
      </c>
      <c r="AM307" s="2" t="str">
        <f>_xlfn.LET(_xlpm.r, _xlfn.XLOOKUP(MappingGuide[[#This Row],[Length]],'[1]Squirrel SQL Export 1'!F:F,'[1]Squirrel SQL Export 1'!AG:AG),IF(_xlpm.r=0,"",_xlpm.r))</f>
        <v/>
      </c>
    </row>
    <row r="308" spans="1:39" x14ac:dyDescent="0.2">
      <c r="A308" s="2">
        <v>1171</v>
      </c>
      <c r="B308" s="2" t="s">
        <v>1193</v>
      </c>
      <c r="C308" s="2" t="s">
        <v>1253</v>
      </c>
      <c r="D308" s="2" t="s">
        <v>1254</v>
      </c>
      <c r="E308" s="2" t="s">
        <v>43</v>
      </c>
      <c r="F308" s="2" t="s">
        <v>70</v>
      </c>
      <c r="W308" s="2" t="str">
        <f>_xlfn.LET(_xlpm.r, _xlfn.XLOOKUP(MappingGuide[[#This Row],[Description]],'[1]Squirrel SQL Export 1'!D:D,'[1]Squirrel SQL Export 1'!AC:AC),IF(_xlpm.r=0,"",_xlpm.r))</f>
        <v/>
      </c>
      <c r="AC308" s="2"/>
      <c r="AE308" s="2" t="str" cm="1">
        <f t="array" ref="AE308">_xlfn.LET(_xlpm.r, _xlfn.XLOOKUP(MappingGuide[[#This Row],[ColumnName]] &amp; "|" &amp; MappingGuide[[#This Row],[Description]],'[1]Squirrel SQL Export 1'!C:C &amp; "|" &amp;'[1]Squirrel SQL Export 1'!D:D,'[1]Squirrel SQL Export 1'!Z:Z),IF(_xlpm.r=0,"",_xlpm.r))</f>
        <v>no</v>
      </c>
      <c r="AF308" s="3" t="s">
        <v>1309</v>
      </c>
      <c r="AG308" s="3" t="s">
        <v>101</v>
      </c>
      <c r="AI308" s="2" t="str">
        <f>_xlfn.LET(_xlpm.r, _xlfn.XLOOKUP(MappingGuide[[#This Row],[Description]],'[1]Squirrel SQL Export 1'!D:D,'[1]Squirrel SQL Export 1'!Y:Y),IF(_xlpm.r=0,"",_xlpm.r))</f>
        <v>Not used</v>
      </c>
      <c r="AK308" s="2" t="str">
        <f>_xlfn.LET(_xlpm.r, _xlfn.XLOOKUP(MappingGuide[[#This Row],[Description]],'[1]Squirrel SQL Export 1'!D:D,'[1]Squirrel SQL Export 1'!AE:AE),IF(_xlpm.r=0,"",_xlpm.r))</f>
        <v/>
      </c>
      <c r="AL308" s="3" t="str">
        <f>_xlfn.LET(_xlpm.r, _xlfn.XLOOKUP(MappingGuide[[#This Row],[DataType]],'[1]Squirrel SQL Export 1'!E:E,'[1]Squirrel SQL Export 1'!AF:AF),IF(_xlpm.r=0,"",_xlpm.r))</f>
        <v>No</v>
      </c>
      <c r="AM308" s="2" t="str">
        <f>_xlfn.LET(_xlpm.r, _xlfn.XLOOKUP(MappingGuide[[#This Row],[Length]],'[1]Squirrel SQL Export 1'!F:F,'[1]Squirrel SQL Export 1'!AG:AG),IF(_xlpm.r=0,"",_xlpm.r))</f>
        <v>Status</v>
      </c>
    </row>
    <row r="309" spans="1:39" x14ac:dyDescent="0.2">
      <c r="A309" s="2">
        <v>1172</v>
      </c>
      <c r="B309" s="2" t="s">
        <v>1193</v>
      </c>
      <c r="C309" s="2" t="s">
        <v>1255</v>
      </c>
      <c r="D309" s="2" t="s">
        <v>1256</v>
      </c>
      <c r="E309" s="2" t="s">
        <v>43</v>
      </c>
      <c r="F309" s="2" t="s">
        <v>70</v>
      </c>
      <c r="W309" s="2" t="str">
        <f>_xlfn.LET(_xlpm.r, _xlfn.XLOOKUP(MappingGuide[[#This Row],[Description]],'[1]Squirrel SQL Export 1'!D:D,'[1]Squirrel SQL Export 1'!AC:AC),IF(_xlpm.r=0,"",_xlpm.r))</f>
        <v/>
      </c>
      <c r="AC309" s="2"/>
      <c r="AE309" s="2" t="str" cm="1">
        <f t="array" ref="AE309">_xlfn.LET(_xlpm.r, _xlfn.XLOOKUP(MappingGuide[[#This Row],[ColumnName]] &amp; "|" &amp; MappingGuide[[#This Row],[Description]],'[1]Squirrel SQL Export 1'!C:C &amp; "|" &amp;'[1]Squirrel SQL Export 1'!D:D,'[1]Squirrel SQL Export 1'!Z:Z),IF(_xlpm.r=0,"",_xlpm.r))</f>
        <v>no</v>
      </c>
      <c r="AF309" s="3" t="s">
        <v>1309</v>
      </c>
      <c r="AG309" s="3" t="s">
        <v>101</v>
      </c>
      <c r="AI309" s="2" t="str">
        <f>_xlfn.LET(_xlpm.r, _xlfn.XLOOKUP(MappingGuide[[#This Row],[Description]],'[1]Squirrel SQL Export 1'!D:D,'[1]Squirrel SQL Export 1'!Y:Y),IF(_xlpm.r=0,"",_xlpm.r))</f>
        <v>Not used</v>
      </c>
      <c r="AK309" s="2" t="str">
        <f>_xlfn.LET(_xlpm.r, _xlfn.XLOOKUP(MappingGuide[[#This Row],[Description]],'[1]Squirrel SQL Export 1'!D:D,'[1]Squirrel SQL Export 1'!AE:AE),IF(_xlpm.r=0,"",_xlpm.r))</f>
        <v/>
      </c>
      <c r="AL309" s="3" t="str">
        <f>_xlfn.LET(_xlpm.r, _xlfn.XLOOKUP(MappingGuide[[#This Row],[DataType]],'[1]Squirrel SQL Export 1'!E:E,'[1]Squirrel SQL Export 1'!AF:AF),IF(_xlpm.r=0,"",_xlpm.r))</f>
        <v>No</v>
      </c>
      <c r="AM309" s="2" t="str">
        <f>_xlfn.LET(_xlpm.r, _xlfn.XLOOKUP(MappingGuide[[#This Row],[Length]],'[1]Squirrel SQL Export 1'!F:F,'[1]Squirrel SQL Export 1'!AG:AG),IF(_xlpm.r=0,"",_xlpm.r))</f>
        <v>Status</v>
      </c>
    </row>
    <row r="310" spans="1:39" x14ac:dyDescent="0.2">
      <c r="A310" s="2">
        <v>1173</v>
      </c>
      <c r="B310" s="2" t="s">
        <v>1193</v>
      </c>
      <c r="C310" s="2" t="s">
        <v>1257</v>
      </c>
      <c r="D310" s="2" t="s">
        <v>1258</v>
      </c>
      <c r="E310" s="2" t="s">
        <v>54</v>
      </c>
      <c r="F310" s="2" t="s">
        <v>407</v>
      </c>
      <c r="J310" s="2" t="s">
        <v>143</v>
      </c>
      <c r="K310" s="2" t="s">
        <v>72</v>
      </c>
      <c r="O310" s="2" t="s">
        <v>45</v>
      </c>
      <c r="P310" s="2" t="s">
        <v>1195</v>
      </c>
      <c r="Q310" s="2" t="s">
        <v>1259</v>
      </c>
      <c r="W310" s="2" t="str">
        <f>_xlfn.LET(_xlpm.r, _xlfn.XLOOKUP(MappingGuide[[#This Row],[Description]],'[1]Squirrel SQL Export 1'!D:D,'[1]Squirrel SQL Export 1'!AC:AC),IF(_xlpm.r=0,"",_xlpm.r))</f>
        <v/>
      </c>
      <c r="AA310" s="2" t="s">
        <v>1260</v>
      </c>
      <c r="AC310" s="2"/>
      <c r="AE310" s="2" t="str" cm="1">
        <f t="array" ref="AE310">_xlfn.LET(_xlpm.r, _xlfn.XLOOKUP(MappingGuide[[#This Row],[ColumnName]] &amp; "|" &amp; MappingGuide[[#This Row],[Description]],'[1]Squirrel SQL Export 1'!C:C &amp; "|" &amp;'[1]Squirrel SQL Export 1'!D:D,'[1]Squirrel SQL Export 1'!Z:Z),IF(_xlpm.r=0,"",_xlpm.r))</f>
        <v>no</v>
      </c>
      <c r="AF310" s="3" t="s">
        <v>1309</v>
      </c>
      <c r="AG310" s="3" t="s">
        <v>101</v>
      </c>
      <c r="AI310" s="2" t="str">
        <f>_xlfn.LET(_xlpm.r, _xlfn.XLOOKUP(MappingGuide[[#This Row],[Description]],'[1]Squirrel SQL Export 1'!D:D,'[1]Squirrel SQL Export 1'!Y:Y),IF(_xlpm.r=0,"",_xlpm.r))</f>
        <v>Only to be used if a certain validity time is needed for the address.</v>
      </c>
      <c r="AK310" s="2" t="str">
        <f>_xlfn.LET(_xlpm.r, _xlfn.XLOOKUP(MappingGuide[[#This Row],[Description]],'[1]Squirrel SQL Export 1'!D:D,'[1]Squirrel SQL Export 1'!AE:AE),IF(_xlpm.r=0,"",_xlpm.r))</f>
        <v/>
      </c>
      <c r="AL310" s="3" t="str">
        <f>_xlfn.LET(_xlpm.r, _xlfn.XLOOKUP(MappingGuide[[#This Row],[DataType]],'[1]Squirrel SQL Export 1'!E:E,'[1]Squirrel SQL Export 1'!AF:AF),IF(_xlpm.r=0,"",_xlpm.r))</f>
        <v/>
      </c>
      <c r="AM310" s="2" t="str">
        <f>_xlfn.LET(_xlpm.r, _xlfn.XLOOKUP(MappingGuide[[#This Row],[Length]],'[1]Squirrel SQL Export 1'!F:F,'[1]Squirrel SQL Export 1'!AG:AG),IF(_xlpm.r=0,"",_xlpm.r))</f>
        <v/>
      </c>
    </row>
    <row r="311" spans="1:39" x14ac:dyDescent="0.2">
      <c r="A311" s="2">
        <v>1174</v>
      </c>
      <c r="B311" s="2" t="s">
        <v>1193</v>
      </c>
      <c r="C311" s="2" t="s">
        <v>1261</v>
      </c>
      <c r="D311" s="2" t="s">
        <v>1262</v>
      </c>
      <c r="E311" s="2" t="s">
        <v>54</v>
      </c>
      <c r="F311" s="2" t="s">
        <v>407</v>
      </c>
      <c r="J311" s="2" t="s">
        <v>143</v>
      </c>
      <c r="K311" s="2" t="s">
        <v>72</v>
      </c>
      <c r="O311" s="2" t="s">
        <v>45</v>
      </c>
      <c r="P311" s="2" t="s">
        <v>1195</v>
      </c>
      <c r="Q311" s="2" t="s">
        <v>1263</v>
      </c>
      <c r="W311" s="2" t="str">
        <f>_xlfn.LET(_xlpm.r, _xlfn.XLOOKUP(MappingGuide[[#This Row],[Description]],'[1]Squirrel SQL Export 1'!D:D,'[1]Squirrel SQL Export 1'!AC:AC),IF(_xlpm.r=0,"",_xlpm.r))</f>
        <v/>
      </c>
      <c r="AA311" s="2" t="s">
        <v>1264</v>
      </c>
      <c r="AC311" s="2"/>
      <c r="AE311" s="2" t="str" cm="1">
        <f t="array" ref="AE311">_xlfn.LET(_xlpm.r, _xlfn.XLOOKUP(MappingGuide[[#This Row],[ColumnName]] &amp; "|" &amp; MappingGuide[[#This Row],[Description]],'[1]Squirrel SQL Export 1'!C:C &amp; "|" &amp;'[1]Squirrel SQL Export 1'!D:D,'[1]Squirrel SQL Export 1'!Z:Z),IF(_xlpm.r=0,"",_xlpm.r))</f>
        <v>no</v>
      </c>
      <c r="AF311" s="3" t="s">
        <v>1309</v>
      </c>
      <c r="AG311" s="3" t="s">
        <v>101</v>
      </c>
      <c r="AI311" s="2" t="str">
        <f>_xlfn.LET(_xlpm.r, _xlfn.XLOOKUP(MappingGuide[[#This Row],[Description]],'[1]Squirrel SQL Export 1'!D:D,'[1]Squirrel SQL Export 1'!Y:Y),IF(_xlpm.r=0,"",_xlpm.r))</f>
        <v>Only to be used if a certain validity time is needed for the address.</v>
      </c>
      <c r="AK311" s="2" t="str">
        <f>_xlfn.LET(_xlpm.r, _xlfn.XLOOKUP(MappingGuide[[#This Row],[Description]],'[1]Squirrel SQL Export 1'!D:D,'[1]Squirrel SQL Export 1'!AE:AE),IF(_xlpm.r=0,"",_xlpm.r))</f>
        <v/>
      </c>
      <c r="AL311" s="3" t="str">
        <f>_xlfn.LET(_xlpm.r, _xlfn.XLOOKUP(MappingGuide[[#This Row],[DataType]],'[1]Squirrel SQL Export 1'!E:E,'[1]Squirrel SQL Export 1'!AF:AF),IF(_xlpm.r=0,"",_xlpm.r))</f>
        <v/>
      </c>
      <c r="AM311" s="2" t="str">
        <f>_xlfn.LET(_xlpm.r, _xlfn.XLOOKUP(MappingGuide[[#This Row],[Length]],'[1]Squirrel SQL Export 1'!F:F,'[1]Squirrel SQL Export 1'!AG:AG),IF(_xlpm.r=0,"",_xlpm.r))</f>
        <v/>
      </c>
    </row>
    <row r="312" spans="1:39" x14ac:dyDescent="0.2">
      <c r="A312" s="2">
        <v>1175</v>
      </c>
      <c r="B312" s="2" t="s">
        <v>1193</v>
      </c>
      <c r="C312" s="2" t="s">
        <v>1265</v>
      </c>
      <c r="D312" s="2" t="s">
        <v>953</v>
      </c>
      <c r="E312" s="2" t="s">
        <v>54</v>
      </c>
      <c r="F312" s="2" t="s">
        <v>702</v>
      </c>
      <c r="W312" s="2" t="str">
        <f>_xlfn.LET(_xlpm.r, _xlfn.XLOOKUP(MappingGuide[[#This Row],[Description]],'[1]Squirrel SQL Export 1'!D:D,'[1]Squirrel SQL Export 1'!AC:AC),IF(_xlpm.r=0,"",_xlpm.r))</f>
        <v/>
      </c>
      <c r="AA312" s="2" t="s">
        <v>954</v>
      </c>
      <c r="AC312" s="2"/>
      <c r="AE312" s="2" t="str" cm="1">
        <f t="array" ref="AE312">_xlfn.LET(_xlpm.r, _xlfn.XLOOKUP(MappingGuide[[#This Row],[ColumnName]] &amp; "|" &amp; MappingGuide[[#This Row],[Description]],'[1]Squirrel SQL Export 1'!C:C &amp; "|" &amp;'[1]Squirrel SQL Export 1'!D:D,'[1]Squirrel SQL Export 1'!Z:Z),IF(_xlpm.r=0,"",_xlpm.r))</f>
        <v>no</v>
      </c>
      <c r="AF312" s="3" t="s">
        <v>1309</v>
      </c>
      <c r="AG312" s="3" t="s">
        <v>101</v>
      </c>
      <c r="AI312" s="2" t="str">
        <f>_xlfn.LET(_xlpm.r, _xlfn.XLOOKUP(MappingGuide[[#This Row],[Description]],'[1]Squirrel SQL Export 1'!D:D,'[1]Squirrel SQL Export 1'!Y:Y),IF(_xlpm.r=0,"",_xlpm.r))</f>
        <v>Not used</v>
      </c>
      <c r="AK312" s="2" t="str">
        <f>_xlfn.LET(_xlpm.r, _xlfn.XLOOKUP(MappingGuide[[#This Row],[Description]],'[1]Squirrel SQL Export 1'!D:D,'[1]Squirrel SQL Export 1'!AE:AE),IF(_xlpm.r=0,"",_xlpm.r))</f>
        <v/>
      </c>
      <c r="AL312" s="3" t="str">
        <f>_xlfn.LET(_xlpm.r, _xlfn.XLOOKUP(MappingGuide[[#This Row],[DataType]],'[1]Squirrel SQL Export 1'!E:E,'[1]Squirrel SQL Export 1'!AF:AF),IF(_xlpm.r=0,"",_xlpm.r))</f>
        <v/>
      </c>
      <c r="AM312" s="2" t="str">
        <f>_xlfn.LET(_xlpm.r, _xlfn.XLOOKUP(MappingGuide[[#This Row],[Length]],'[1]Squirrel SQL Export 1'!F:F,'[1]Squirrel SQL Export 1'!AG:AG),IF(_xlpm.r=0,"",_xlpm.r))</f>
        <v/>
      </c>
    </row>
    <row r="313" spans="1:39" x14ac:dyDescent="0.2">
      <c r="A313" s="2">
        <v>1176</v>
      </c>
      <c r="B313" s="2" t="s">
        <v>1193</v>
      </c>
      <c r="C313" s="2" t="s">
        <v>1266</v>
      </c>
      <c r="D313" s="2" t="s">
        <v>968</v>
      </c>
      <c r="E313" s="2" t="s">
        <v>43</v>
      </c>
      <c r="F313" s="2" t="s">
        <v>407</v>
      </c>
      <c r="J313" s="2" t="s">
        <v>143</v>
      </c>
      <c r="K313" s="2" t="s">
        <v>72</v>
      </c>
      <c r="O313" s="2" t="s">
        <v>45</v>
      </c>
      <c r="P313" s="2" t="s">
        <v>1195</v>
      </c>
      <c r="Q313" s="2" t="s">
        <v>969</v>
      </c>
      <c r="W313" s="2" t="str">
        <f>_xlfn.LET(_xlpm.r, _xlfn.XLOOKUP(MappingGuide[[#This Row],[Description]],'[1]Squirrel SQL Export 1'!D:D,'[1]Squirrel SQL Export 1'!AC:AC),IF(_xlpm.r=0,"",_xlpm.r))</f>
        <v/>
      </c>
      <c r="AA313" s="2" t="s">
        <v>970</v>
      </c>
      <c r="AC313" s="2" t="s">
        <v>971</v>
      </c>
      <c r="AE313" s="2" t="str" cm="1">
        <f t="array" ref="AE313">_xlfn.LET(_xlpm.r, _xlfn.XLOOKUP(MappingGuide[[#This Row],[ColumnName]] &amp; "|" &amp; MappingGuide[[#This Row],[Description]],'[1]Squirrel SQL Export 1'!C:C &amp; "|" &amp;'[1]Squirrel SQL Export 1'!D:D,'[1]Squirrel SQL Export 1'!Z:Z),IF(_xlpm.r=0,"",_xlpm.r))</f>
        <v>no</v>
      </c>
      <c r="AF313" s="3" t="s">
        <v>1309</v>
      </c>
      <c r="AG313" s="3" t="s">
        <v>101</v>
      </c>
      <c r="AI313" s="2" t="str">
        <f>_xlfn.LET(_xlpm.r, _xlfn.XLOOKUP(MappingGuide[[#This Row],[Description]],'[1]Squirrel SQL Export 1'!D:D,'[1]Squirrel SQL Export 1'!Y:Y),IF(_xlpm.r=0,"",_xlpm.r))</f>
        <v>This is needed in M3, but we will set value using template</v>
      </c>
      <c r="AK313" s="2" t="str">
        <f>_xlfn.LET(_xlpm.r, _xlfn.XLOOKUP(MappingGuide[[#This Row],[Description]],'[1]Squirrel SQL Export 1'!D:D,'[1]Squirrel SQL Export 1'!AE:AE),IF(_xlpm.r=0,"",_xlpm.r))</f>
        <v/>
      </c>
      <c r="AL313" s="3" t="str">
        <f>_xlfn.LET(_xlpm.r, _xlfn.XLOOKUP(MappingGuide[[#This Row],[DataType]],'[1]Squirrel SQL Export 1'!E:E,'[1]Squirrel SQL Export 1'!AF:AF),IF(_xlpm.r=0,"",_xlpm.r))</f>
        <v>No</v>
      </c>
      <c r="AM313" s="2" t="str">
        <f>_xlfn.LET(_xlpm.r, _xlfn.XLOOKUP(MappingGuide[[#This Row],[Length]],'[1]Squirrel SQL Export 1'!F:F,'[1]Squirrel SQL Export 1'!AG:AG),IF(_xlpm.r=0,"",_xlpm.r))</f>
        <v/>
      </c>
    </row>
    <row r="314" spans="1:39" x14ac:dyDescent="0.2">
      <c r="A314" s="2">
        <v>1177</v>
      </c>
      <c r="B314" s="2" t="s">
        <v>1193</v>
      </c>
      <c r="C314" s="2" t="s">
        <v>1267</v>
      </c>
      <c r="D314" s="2" t="s">
        <v>995</v>
      </c>
      <c r="E314" s="2" t="s">
        <v>54</v>
      </c>
      <c r="F314" s="2" t="s">
        <v>96</v>
      </c>
      <c r="J314" s="2" t="s">
        <v>143</v>
      </c>
      <c r="K314" s="2" t="s">
        <v>72</v>
      </c>
      <c r="O314" s="2" t="s">
        <v>45</v>
      </c>
      <c r="P314" s="2" t="s">
        <v>88</v>
      </c>
      <c r="Q314" s="2" t="s">
        <v>996</v>
      </c>
      <c r="W314" s="2" t="str">
        <f>_xlfn.LET(_xlpm.r, _xlfn.XLOOKUP(MappingGuide[[#This Row],[Description]],'[1]Squirrel SQL Export 1'!D:D,'[1]Squirrel SQL Export 1'!AC:AC),IF(_xlpm.r=0,"",_xlpm.r))</f>
        <v>1</v>
      </c>
      <c r="AA314" s="2" t="s">
        <v>997</v>
      </c>
      <c r="AC314" s="2"/>
      <c r="AE314" s="2" t="str" cm="1">
        <f t="array" ref="AE314">_xlfn.LET(_xlpm.r, _xlfn.XLOOKUP(MappingGuide[[#This Row],[ColumnName]] &amp; "|" &amp; MappingGuide[[#This Row],[Description]],'[1]Squirrel SQL Export 1'!C:C &amp; "|" &amp;'[1]Squirrel SQL Export 1'!D:D,'[1]Squirrel SQL Export 1'!Z:Z),IF(_xlpm.r=0,"",_xlpm.r))</f>
        <v>no</v>
      </c>
      <c r="AF314" s="3" t="s">
        <v>1309</v>
      </c>
      <c r="AG314" s="3" t="s">
        <v>101</v>
      </c>
      <c r="AI314" s="2" t="str">
        <f>_xlfn.LET(_xlpm.r, _xlfn.XLOOKUP(MappingGuide[[#This Row],[Description]],'[1]Squirrel SQL Export 1'!D:D,'[1]Squirrel SQL Export 1'!Y:Y),IF(_xlpm.r=0,"",_xlpm.r))</f>
        <v>This is needed in M3, but we will set value using template</v>
      </c>
      <c r="AK314" s="2" t="str">
        <f>_xlfn.LET(_xlpm.r, _xlfn.XLOOKUP(MappingGuide[[#This Row],[Description]],'[1]Squirrel SQL Export 1'!D:D,'[1]Squirrel SQL Export 1'!AE:AE),IF(_xlpm.r=0,"",_xlpm.r))</f>
        <v/>
      </c>
      <c r="AL314" s="3" t="str">
        <f>_xlfn.LET(_xlpm.r, _xlfn.XLOOKUP(MappingGuide[[#This Row],[DataType]],'[1]Squirrel SQL Export 1'!E:E,'[1]Squirrel SQL Export 1'!AF:AF),IF(_xlpm.r=0,"",_xlpm.r))</f>
        <v/>
      </c>
      <c r="AM314" s="2" t="str">
        <f>_xlfn.LET(_xlpm.r, _xlfn.XLOOKUP(MappingGuide[[#This Row],[Length]],'[1]Squirrel SQL Export 1'!F:F,'[1]Squirrel SQL Export 1'!AG:AG),IF(_xlpm.r=0,"",_xlpm.r))</f>
        <v>Type</v>
      </c>
    </row>
    <row r="315" spans="1:39" x14ac:dyDescent="0.2">
      <c r="A315" s="2">
        <v>1178</v>
      </c>
      <c r="B315" s="2" t="s">
        <v>1193</v>
      </c>
      <c r="C315" s="2" t="s">
        <v>1268</v>
      </c>
      <c r="D315" s="2" t="s">
        <v>999</v>
      </c>
      <c r="E315" s="2" t="s">
        <v>54</v>
      </c>
      <c r="F315" s="2" t="s">
        <v>96</v>
      </c>
      <c r="J315" s="2" t="s">
        <v>143</v>
      </c>
      <c r="K315" s="2" t="s">
        <v>72</v>
      </c>
      <c r="O315" s="2" t="s">
        <v>45</v>
      </c>
      <c r="P315" s="2" t="s">
        <v>88</v>
      </c>
      <c r="Q315" s="2" t="s">
        <v>1000</v>
      </c>
      <c r="W315" s="2" t="str">
        <f>_xlfn.LET(_xlpm.r, _xlfn.XLOOKUP(MappingGuide[[#This Row],[Description]],'[1]Squirrel SQL Export 1'!D:D,'[1]Squirrel SQL Export 1'!AC:AC),IF(_xlpm.r=0,"",_xlpm.r))</f>
        <v>1</v>
      </c>
      <c r="AA315" s="2" t="s">
        <v>1001</v>
      </c>
      <c r="AC315" s="2"/>
      <c r="AE315" s="2" t="str" cm="1">
        <f t="array" ref="AE315">_xlfn.LET(_xlpm.r, _xlfn.XLOOKUP(MappingGuide[[#This Row],[ColumnName]] &amp; "|" &amp; MappingGuide[[#This Row],[Description]],'[1]Squirrel SQL Export 1'!C:C &amp; "|" &amp;'[1]Squirrel SQL Export 1'!D:D,'[1]Squirrel SQL Export 1'!Z:Z),IF(_xlpm.r=0,"",_xlpm.r))</f>
        <v>no</v>
      </c>
      <c r="AF315" s="3" t="s">
        <v>1309</v>
      </c>
      <c r="AG315" s="3" t="s">
        <v>101</v>
      </c>
      <c r="AI315" s="2" t="str">
        <f>_xlfn.LET(_xlpm.r, _xlfn.XLOOKUP(MappingGuide[[#This Row],[Description]],'[1]Squirrel SQL Export 1'!D:D,'[1]Squirrel SQL Export 1'!Y:Y),IF(_xlpm.r=0,"",_xlpm.r))</f>
        <v>This is needed in M3, but we will set value using template</v>
      </c>
      <c r="AK315" s="2" t="str">
        <f>_xlfn.LET(_xlpm.r, _xlfn.XLOOKUP(MappingGuide[[#This Row],[Description]],'[1]Squirrel SQL Export 1'!D:D,'[1]Squirrel SQL Export 1'!AE:AE),IF(_xlpm.r=0,"",_xlpm.r))</f>
        <v/>
      </c>
      <c r="AL315" s="3" t="str">
        <f>_xlfn.LET(_xlpm.r, _xlfn.XLOOKUP(MappingGuide[[#This Row],[DataType]],'[1]Squirrel SQL Export 1'!E:E,'[1]Squirrel SQL Export 1'!AF:AF),IF(_xlpm.r=0,"",_xlpm.r))</f>
        <v/>
      </c>
      <c r="AM315" s="2" t="str">
        <f>_xlfn.LET(_xlpm.r, _xlfn.XLOOKUP(MappingGuide[[#This Row],[Length]],'[1]Squirrel SQL Export 1'!F:F,'[1]Squirrel SQL Export 1'!AG:AG),IF(_xlpm.r=0,"",_xlpm.r))</f>
        <v>Type</v>
      </c>
    </row>
    <row r="316" spans="1:39" x14ac:dyDescent="0.2">
      <c r="A316" s="2">
        <v>1179</v>
      </c>
      <c r="B316" s="2" t="s">
        <v>1193</v>
      </c>
      <c r="C316" s="2" t="s">
        <v>1269</v>
      </c>
      <c r="D316" s="2" t="s">
        <v>1003</v>
      </c>
      <c r="E316" s="2" t="s">
        <v>43</v>
      </c>
      <c r="F316" s="2" t="s">
        <v>77</v>
      </c>
      <c r="J316" s="2" t="s">
        <v>143</v>
      </c>
      <c r="K316" s="2" t="s">
        <v>72</v>
      </c>
      <c r="O316" s="2" t="s">
        <v>45</v>
      </c>
      <c r="P316" s="2" t="s">
        <v>1195</v>
      </c>
      <c r="Q316" s="2" t="s">
        <v>1004</v>
      </c>
      <c r="R316" s="2" t="s">
        <v>48</v>
      </c>
      <c r="W316" s="2" t="str">
        <f>_xlfn.LET(_xlpm.r, _xlfn.XLOOKUP(MappingGuide[[#This Row],[Description]],'[1]Squirrel SQL Export 1'!D:D,'[1]Squirrel SQL Export 1'!AC:AC),IF(_xlpm.r=0,"",_xlpm.r))</f>
        <v>WINCHESTER</v>
      </c>
      <c r="AA316" s="2" t="s">
        <v>1007</v>
      </c>
      <c r="AC316" s="2"/>
      <c r="AE316" s="2" t="str" cm="1">
        <f t="array" ref="AE316">_xlfn.LET(_xlpm.r, _xlfn.XLOOKUP(MappingGuide[[#This Row],[ColumnName]] &amp; "|" &amp; MappingGuide[[#This Row],[Description]],'[1]Squirrel SQL Export 1'!C:C &amp; "|" &amp;'[1]Squirrel SQL Export 1'!D:D,'[1]Squirrel SQL Export 1'!Z:Z),IF(_xlpm.r=0,"",_xlpm.r))</f>
        <v>yes</v>
      </c>
      <c r="AF316" s="3" t="s">
        <v>1309</v>
      </c>
      <c r="AG316" s="3" t="s">
        <v>101</v>
      </c>
      <c r="AI316" s="2" t="str">
        <f>_xlfn.LET(_xlpm.r, _xlfn.XLOOKUP(MappingGuide[[#This Row],[Description]],'[1]Squirrel SQL Export 1'!D:D,'[1]Squirrel SQL Export 1'!Y:Y),IF(_xlpm.r=0,"",_xlpm.r))</f>
        <v>Name of the City (20 pos)</v>
      </c>
      <c r="AK316" s="2" t="str">
        <f>_xlfn.LET(_xlpm.r, _xlfn.XLOOKUP(MappingGuide[[#This Row],[Description]],'[1]Squirrel SQL Export 1'!D:D,'[1]Squirrel SQL Export 1'!AE:AE),IF(_xlpm.r=0,"",_xlpm.r))</f>
        <v>Need to discuss if this is mailing, shipping or billing (That goes for all Address fields).</v>
      </c>
      <c r="AL316" s="3" t="str">
        <f>_xlfn.LET(_xlpm.r, _xlfn.XLOOKUP(MappingGuide[[#This Row],[DataType]],'[1]Squirrel SQL Export 1'!E:E,'[1]Squirrel SQL Export 1'!AF:AF),IF(_xlpm.r=0,"",_xlpm.r))</f>
        <v>No</v>
      </c>
      <c r="AM316" s="2" t="str">
        <f>_xlfn.LET(_xlpm.r, _xlfn.XLOOKUP(MappingGuide[[#This Row],[Length]],'[1]Squirrel SQL Export 1'!F:F,'[1]Squirrel SQL Export 1'!AG:AG),IF(_xlpm.r=0,"",_xlpm.r))</f>
        <v/>
      </c>
    </row>
    <row r="317" spans="1:39" x14ac:dyDescent="0.2">
      <c r="A317" s="2">
        <v>1180</v>
      </c>
      <c r="B317" s="2" t="s">
        <v>1193</v>
      </c>
      <c r="C317" s="2" t="s">
        <v>1270</v>
      </c>
      <c r="D317" s="2" t="s">
        <v>1271</v>
      </c>
      <c r="E317" s="2" t="s">
        <v>43</v>
      </c>
      <c r="F317" s="2" t="s">
        <v>377</v>
      </c>
      <c r="J317" s="2" t="s">
        <v>143</v>
      </c>
      <c r="K317" s="2" t="s">
        <v>72</v>
      </c>
      <c r="W317" s="2" t="str">
        <f>_xlfn.LET(_xlpm.r, _xlfn.XLOOKUP(MappingGuide[[#This Row],[Description]],'[1]Squirrel SQL Export 1'!D:D,'[1]Squirrel SQL Export 1'!AC:AC),IF(_xlpm.r=0,"",_xlpm.r))</f>
        <v/>
      </c>
      <c r="AA317" s="2" t="s">
        <v>1272</v>
      </c>
      <c r="AC317" s="2" t="s">
        <v>1273</v>
      </c>
      <c r="AE317" s="2" t="str" cm="1">
        <f t="array" ref="AE317">_xlfn.LET(_xlpm.r, _xlfn.XLOOKUP(MappingGuide[[#This Row],[ColumnName]] &amp; "|" &amp; MappingGuide[[#This Row],[Description]],'[1]Squirrel SQL Export 1'!C:C &amp; "|" &amp;'[1]Squirrel SQL Export 1'!D:D,'[1]Squirrel SQL Export 1'!Z:Z),IF(_xlpm.r=0,"",_xlpm.r))</f>
        <v>no</v>
      </c>
      <c r="AF317" s="3" t="s">
        <v>1309</v>
      </c>
      <c r="AG317" s="3" t="s">
        <v>101</v>
      </c>
      <c r="AI317" s="2" t="str">
        <f>_xlfn.LET(_xlpm.r, _xlfn.XLOOKUP(MappingGuide[[#This Row],[Description]],'[1]Squirrel SQL Export 1'!D:D,'[1]Squirrel SQL Export 1'!Y:Y),IF(_xlpm.r=0,"",_xlpm.r))</f>
        <v>Not used</v>
      </c>
      <c r="AK317" s="2" t="str">
        <f>_xlfn.LET(_xlpm.r, _xlfn.XLOOKUP(MappingGuide[[#This Row],[Description]],'[1]Squirrel SQL Export 1'!D:D,'[1]Squirrel SQL Export 1'!AE:AE),IF(_xlpm.r=0,"",_xlpm.r))</f>
        <v/>
      </c>
      <c r="AL317" s="3" t="str">
        <f>_xlfn.LET(_xlpm.r, _xlfn.XLOOKUP(MappingGuide[[#This Row],[DataType]],'[1]Squirrel SQL Export 1'!E:E,'[1]Squirrel SQL Export 1'!AF:AF),IF(_xlpm.r=0,"",_xlpm.r))</f>
        <v>No</v>
      </c>
      <c r="AM317" s="2" t="str">
        <f>_xlfn.LET(_xlpm.r, _xlfn.XLOOKUP(MappingGuide[[#This Row],[Length]],'[1]Squirrel SQL Export 1'!F:F,'[1]Squirrel SQL Export 1'!AG:AG),IF(_xlpm.r=0,"",_xlpm.r))</f>
        <v/>
      </c>
    </row>
    <row r="318" spans="1:39" x14ac:dyDescent="0.2">
      <c r="A318" s="2">
        <v>1181</v>
      </c>
      <c r="B318" s="2" t="s">
        <v>1193</v>
      </c>
      <c r="C318" s="2" t="s">
        <v>1274</v>
      </c>
      <c r="D318" s="2" t="s">
        <v>1010</v>
      </c>
      <c r="E318" s="2" t="s">
        <v>43</v>
      </c>
      <c r="F318" s="2" t="s">
        <v>139</v>
      </c>
      <c r="J318" s="2" t="s">
        <v>143</v>
      </c>
      <c r="K318" s="2" t="s">
        <v>72</v>
      </c>
      <c r="O318" s="2" t="s">
        <v>45</v>
      </c>
      <c r="P318" s="2" t="s">
        <v>1195</v>
      </c>
      <c r="Q318" s="2" t="s">
        <v>1011</v>
      </c>
      <c r="W318" s="2" t="str">
        <f>_xlfn.LET(_xlpm.r, _xlfn.XLOOKUP(MappingGuide[[#This Row],[Description]],'[1]Squirrel SQL Export 1'!D:D,'[1]Squirrel SQL Export 1'!AC:AC),IF(_xlpm.r=0,"",_xlpm.r))</f>
        <v/>
      </c>
      <c r="AA318" s="2" t="s">
        <v>1012</v>
      </c>
      <c r="AC318" s="2" t="s">
        <v>1013</v>
      </c>
      <c r="AE318" s="2" t="str" cm="1">
        <f t="array" ref="AE318">_xlfn.LET(_xlpm.r, _xlfn.XLOOKUP(MappingGuide[[#This Row],[ColumnName]] &amp; "|" &amp; MappingGuide[[#This Row],[Description]],'[1]Squirrel SQL Export 1'!C:C &amp; "|" &amp;'[1]Squirrel SQL Export 1'!D:D,'[1]Squirrel SQL Export 1'!Z:Z),IF(_xlpm.r=0,"",_xlpm.r))</f>
        <v>no</v>
      </c>
      <c r="AF318" s="3" t="s">
        <v>1309</v>
      </c>
      <c r="AG318" s="3" t="s">
        <v>101</v>
      </c>
      <c r="AI318" s="2" t="str">
        <f>_xlfn.LET(_xlpm.r, _xlfn.XLOOKUP(MappingGuide[[#This Row],[Description]],'[1]Squirrel SQL Export 1'!D:D,'[1]Squirrel SQL Export 1'!Y:Y),IF(_xlpm.r=0,"",_xlpm.r))</f>
        <v>Only applicable if Ship via addresses is used and predefined per customer. Ship via can also be defined on routes and in separate control table (MWS190).
As discussed with Kyle, we don't have Ship via for any customer</v>
      </c>
      <c r="AK318" s="2" t="str">
        <f>_xlfn.LET(_xlpm.r, _xlfn.XLOOKUP(MappingGuide[[#This Row],[Description]],'[1]Squirrel SQL Export 1'!D:D,'[1]Squirrel SQL Export 1'!AE:AE),IF(_xlpm.r=0,"",_xlpm.r))</f>
        <v>This appears to be an M3 only attribute.</v>
      </c>
      <c r="AL318" s="3" t="str">
        <f>_xlfn.LET(_xlpm.r, _xlfn.XLOOKUP(MappingGuide[[#This Row],[DataType]],'[1]Squirrel SQL Export 1'!E:E,'[1]Squirrel SQL Export 1'!AF:AF),IF(_xlpm.r=0,"",_xlpm.r))</f>
        <v>No</v>
      </c>
      <c r="AM318" s="2" t="str">
        <f>_xlfn.LET(_xlpm.r, _xlfn.XLOOKUP(MappingGuide[[#This Row],[Length]],'[1]Squirrel SQL Export 1'!F:F,'[1]Squirrel SQL Export 1'!AG:AG),IF(_xlpm.r=0,"",_xlpm.r))</f>
        <v/>
      </c>
    </row>
    <row r="319" spans="1:39" x14ac:dyDescent="0.2">
      <c r="A319" s="2">
        <v>1182</v>
      </c>
      <c r="B319" s="2" t="s">
        <v>1193</v>
      </c>
      <c r="C319" s="2" t="s">
        <v>1275</v>
      </c>
      <c r="D319" s="2" t="s">
        <v>701</v>
      </c>
      <c r="E319" s="2" t="s">
        <v>54</v>
      </c>
      <c r="F319" s="2" t="s">
        <v>702</v>
      </c>
      <c r="W319" s="2" t="str">
        <f>_xlfn.LET(_xlpm.r, _xlfn.XLOOKUP(MappingGuide[[#This Row],[Description]],'[1]Squirrel SQL Export 1'!D:D,'[1]Squirrel SQL Export 1'!AC:AC),IF(_xlpm.r=0,"",_xlpm.r))</f>
        <v/>
      </c>
      <c r="AA319" s="2" t="s">
        <v>703</v>
      </c>
      <c r="AC319" s="2"/>
      <c r="AE319" s="2" t="str" cm="1">
        <f t="array" ref="AE319">_xlfn.LET(_xlpm.r, _xlfn.XLOOKUP(MappingGuide[[#This Row],[ColumnName]] &amp; "|" &amp; MappingGuide[[#This Row],[Description]],'[1]Squirrel SQL Export 1'!C:C &amp; "|" &amp;'[1]Squirrel SQL Export 1'!D:D,'[1]Squirrel SQL Export 1'!Z:Z),IF(_xlpm.r=0,"",_xlpm.r))</f>
        <v>no</v>
      </c>
      <c r="AF319" s="3" t="s">
        <v>1309</v>
      </c>
      <c r="AG319" s="3" t="s">
        <v>101</v>
      </c>
      <c r="AI319" s="2" t="str">
        <f>_xlfn.LET(_xlpm.r, _xlfn.XLOOKUP(MappingGuide[[#This Row],[Description]],'[1]Squirrel SQL Export 1'!D:D,'[1]Squirrel SQL Export 1'!Y:Y),IF(_xlpm.r=0,"",_xlpm.r))</f>
        <v>Not used</v>
      </c>
      <c r="AK319" s="2" t="str">
        <f>_xlfn.LET(_xlpm.r, _xlfn.XLOOKUP(MappingGuide[[#This Row],[Description]],'[1]Squirrel SQL Export 1'!D:D,'[1]Squirrel SQL Export 1'!AE:AE),IF(_xlpm.r=0,"",_xlpm.r))</f>
        <v/>
      </c>
      <c r="AL319" s="3" t="str">
        <f>_xlfn.LET(_xlpm.r, _xlfn.XLOOKUP(MappingGuide[[#This Row],[DataType]],'[1]Squirrel SQL Export 1'!E:E,'[1]Squirrel SQL Export 1'!AF:AF),IF(_xlpm.r=0,"",_xlpm.r))</f>
        <v/>
      </c>
      <c r="AM319" s="2" t="str">
        <f>_xlfn.LET(_xlpm.r, _xlfn.XLOOKUP(MappingGuide[[#This Row],[Length]],'[1]Squirrel SQL Export 1'!F:F,'[1]Squirrel SQL Export 1'!AG:AG),IF(_xlpm.r=0,"",_xlpm.r))</f>
        <v/>
      </c>
    </row>
    <row r="320" spans="1:39" x14ac:dyDescent="0.2">
      <c r="A320" s="2">
        <v>1183</v>
      </c>
      <c r="B320" s="2" t="s">
        <v>1193</v>
      </c>
      <c r="C320" s="2" t="s">
        <v>1276</v>
      </c>
      <c r="D320" s="2" t="s">
        <v>1017</v>
      </c>
      <c r="E320" s="2" t="s">
        <v>54</v>
      </c>
      <c r="F320" s="2" t="s">
        <v>407</v>
      </c>
      <c r="W320" s="2" t="str">
        <f>_xlfn.LET(_xlpm.r, _xlfn.XLOOKUP(MappingGuide[[#This Row],[Description]],'[1]Squirrel SQL Export 1'!D:D,'[1]Squirrel SQL Export 1'!AC:AC),IF(_xlpm.r=0,"",_xlpm.r))</f>
        <v/>
      </c>
      <c r="AA320" s="2" t="s">
        <v>1018</v>
      </c>
      <c r="AC320" s="2"/>
      <c r="AE320" s="2" t="str" cm="1">
        <f t="array" ref="AE320">_xlfn.LET(_xlpm.r, _xlfn.XLOOKUP(MappingGuide[[#This Row],[ColumnName]] &amp; "|" &amp; MappingGuide[[#This Row],[Description]],'[1]Squirrel SQL Export 1'!C:C &amp; "|" &amp;'[1]Squirrel SQL Export 1'!D:D,'[1]Squirrel SQL Export 1'!Z:Z),IF(_xlpm.r=0,"",_xlpm.r))</f>
        <v>no</v>
      </c>
      <c r="AF320" s="3" t="s">
        <v>1309</v>
      </c>
      <c r="AG320" s="3" t="s">
        <v>101</v>
      </c>
      <c r="AI320" s="2" t="str">
        <f>_xlfn.LET(_xlpm.r, _xlfn.XLOOKUP(MappingGuide[[#This Row],[Description]],'[1]Squirrel SQL Export 1'!D:D,'[1]Squirrel SQL Export 1'!Y:Y),IF(_xlpm.r=0,"",_xlpm.r))</f>
        <v>Not used (Set automatically in the database when record created)</v>
      </c>
      <c r="AK320" s="2" t="str">
        <f>_xlfn.LET(_xlpm.r, _xlfn.XLOOKUP(MappingGuide[[#This Row],[Description]],'[1]Squirrel SQL Export 1'!D:D,'[1]Squirrel SQL Export 1'!AE:AE),IF(_xlpm.r=0,"",_xlpm.r))</f>
        <v/>
      </c>
      <c r="AL320" s="3" t="str">
        <f>_xlfn.LET(_xlpm.r, _xlfn.XLOOKUP(MappingGuide[[#This Row],[DataType]],'[1]Squirrel SQL Export 1'!E:E,'[1]Squirrel SQL Export 1'!AF:AF),IF(_xlpm.r=0,"",_xlpm.r))</f>
        <v/>
      </c>
      <c r="AM320" s="2" t="str">
        <f>_xlfn.LET(_xlpm.r, _xlfn.XLOOKUP(MappingGuide[[#This Row],[Length]],'[1]Squirrel SQL Export 1'!F:F,'[1]Squirrel SQL Export 1'!AG:AG),IF(_xlpm.r=0,"",_xlpm.r))</f>
        <v/>
      </c>
    </row>
    <row r="321" spans="1:39" x14ac:dyDescent="0.2">
      <c r="A321" s="2">
        <v>1184</v>
      </c>
      <c r="B321" s="2" t="s">
        <v>1193</v>
      </c>
      <c r="C321" s="2" t="s">
        <v>1277</v>
      </c>
      <c r="D321" s="2" t="s">
        <v>1020</v>
      </c>
      <c r="E321" s="2" t="s">
        <v>54</v>
      </c>
      <c r="F321" s="2" t="s">
        <v>139</v>
      </c>
      <c r="W321" s="2" t="str">
        <f>_xlfn.LET(_xlpm.r, _xlfn.XLOOKUP(MappingGuide[[#This Row],[Description]],'[1]Squirrel SQL Export 1'!D:D,'[1]Squirrel SQL Export 1'!AC:AC),IF(_xlpm.r=0,"",_xlpm.r))</f>
        <v/>
      </c>
      <c r="AA321" s="2" t="s">
        <v>1021</v>
      </c>
      <c r="AC321" s="2"/>
      <c r="AE321" s="2" t="str" cm="1">
        <f t="array" ref="AE321">_xlfn.LET(_xlpm.r, _xlfn.XLOOKUP(MappingGuide[[#This Row],[ColumnName]] &amp; "|" &amp; MappingGuide[[#This Row],[Description]],'[1]Squirrel SQL Export 1'!C:C &amp; "|" &amp;'[1]Squirrel SQL Export 1'!D:D,'[1]Squirrel SQL Export 1'!Z:Z),IF(_xlpm.r=0,"",_xlpm.r))</f>
        <v>no</v>
      </c>
      <c r="AF321" s="3" t="s">
        <v>1309</v>
      </c>
      <c r="AG321" s="3" t="s">
        <v>101</v>
      </c>
      <c r="AI321" s="2" t="str">
        <f>_xlfn.LET(_xlpm.r, _xlfn.XLOOKUP(MappingGuide[[#This Row],[Description]],'[1]Squirrel SQL Export 1'!D:D,'[1]Squirrel SQL Export 1'!Y:Y),IF(_xlpm.r=0,"",_xlpm.r))</f>
        <v>Not used (Set automatically in the database when record created)</v>
      </c>
      <c r="AK321" s="2" t="str">
        <f>_xlfn.LET(_xlpm.r, _xlfn.XLOOKUP(MappingGuide[[#This Row],[Description]],'[1]Squirrel SQL Export 1'!D:D,'[1]Squirrel SQL Export 1'!AE:AE),IF(_xlpm.r=0,"",_xlpm.r))</f>
        <v/>
      </c>
      <c r="AL321" s="3" t="str">
        <f>_xlfn.LET(_xlpm.r, _xlfn.XLOOKUP(MappingGuide[[#This Row],[DataType]],'[1]Squirrel SQL Export 1'!E:E,'[1]Squirrel SQL Export 1'!AF:AF),IF(_xlpm.r=0,"",_xlpm.r))</f>
        <v/>
      </c>
      <c r="AM321" s="2" t="str">
        <f>_xlfn.LET(_xlpm.r, _xlfn.XLOOKUP(MappingGuide[[#This Row],[Length]],'[1]Squirrel SQL Export 1'!F:F,'[1]Squirrel SQL Export 1'!AG:AG),IF(_xlpm.r=0,"",_xlpm.r))</f>
        <v/>
      </c>
    </row>
    <row r="322" spans="1:39" x14ac:dyDescent="0.2">
      <c r="A322" s="2">
        <v>1185</v>
      </c>
      <c r="B322" s="2" t="s">
        <v>1193</v>
      </c>
      <c r="C322" s="2" t="s">
        <v>1278</v>
      </c>
      <c r="D322" s="2" t="s">
        <v>1023</v>
      </c>
      <c r="E322" s="2" t="s">
        <v>54</v>
      </c>
      <c r="F322" s="2" t="s">
        <v>407</v>
      </c>
      <c r="W322" s="2" t="str">
        <f>_xlfn.LET(_xlpm.r, _xlfn.XLOOKUP(MappingGuide[[#This Row],[Description]],'[1]Squirrel SQL Export 1'!D:D,'[1]Squirrel SQL Export 1'!AC:AC),IF(_xlpm.r=0,"",_xlpm.r))</f>
        <v/>
      </c>
      <c r="AA322" s="2" t="s">
        <v>1024</v>
      </c>
      <c r="AC322" s="2"/>
      <c r="AE322" s="2" t="str" cm="1">
        <f t="array" ref="AE322">_xlfn.LET(_xlpm.r, _xlfn.XLOOKUP(MappingGuide[[#This Row],[ColumnName]] &amp; "|" &amp; MappingGuide[[#This Row],[Description]],'[1]Squirrel SQL Export 1'!C:C &amp; "|" &amp;'[1]Squirrel SQL Export 1'!D:D,'[1]Squirrel SQL Export 1'!Z:Z),IF(_xlpm.r=0,"",_xlpm.r))</f>
        <v>no</v>
      </c>
      <c r="AF322" s="3" t="s">
        <v>1309</v>
      </c>
      <c r="AG322" s="3" t="s">
        <v>101</v>
      </c>
      <c r="AI322" s="2" t="str">
        <f>_xlfn.LET(_xlpm.r, _xlfn.XLOOKUP(MappingGuide[[#This Row],[Description]],'[1]Squirrel SQL Export 1'!D:D,'[1]Squirrel SQL Export 1'!Y:Y),IF(_xlpm.r=0,"",_xlpm.r))</f>
        <v>Not used (Set automatically in the database when record created)</v>
      </c>
      <c r="AK322" s="2" t="str">
        <f>_xlfn.LET(_xlpm.r, _xlfn.XLOOKUP(MappingGuide[[#This Row],[Description]],'[1]Squirrel SQL Export 1'!D:D,'[1]Squirrel SQL Export 1'!AE:AE),IF(_xlpm.r=0,"",_xlpm.r))</f>
        <v/>
      </c>
      <c r="AL322" s="3" t="str">
        <f>_xlfn.LET(_xlpm.r, _xlfn.XLOOKUP(MappingGuide[[#This Row],[DataType]],'[1]Squirrel SQL Export 1'!E:E,'[1]Squirrel SQL Export 1'!AF:AF),IF(_xlpm.r=0,"",_xlpm.r))</f>
        <v/>
      </c>
      <c r="AM322" s="2" t="str">
        <f>_xlfn.LET(_xlpm.r, _xlfn.XLOOKUP(MappingGuide[[#This Row],[Length]],'[1]Squirrel SQL Export 1'!F:F,'[1]Squirrel SQL Export 1'!AG:AG),IF(_xlpm.r=0,"",_xlpm.r))</f>
        <v/>
      </c>
    </row>
    <row r="323" spans="1:39" x14ac:dyDescent="0.2">
      <c r="A323" s="2">
        <v>1186</v>
      </c>
      <c r="B323" s="2" t="s">
        <v>1193</v>
      </c>
      <c r="C323" s="2" t="s">
        <v>1279</v>
      </c>
      <c r="D323" s="2" t="s">
        <v>1026</v>
      </c>
      <c r="E323" s="2" t="s">
        <v>54</v>
      </c>
      <c r="F323" s="2" t="s">
        <v>55</v>
      </c>
      <c r="W323" s="2" t="str">
        <f>_xlfn.LET(_xlpm.r, _xlfn.XLOOKUP(MappingGuide[[#This Row],[Description]],'[1]Squirrel SQL Export 1'!D:D,'[1]Squirrel SQL Export 1'!AC:AC),IF(_xlpm.r=0,"",_xlpm.r))</f>
        <v/>
      </c>
      <c r="AA323" s="2" t="s">
        <v>1027</v>
      </c>
      <c r="AC323" s="2"/>
      <c r="AE323" s="2" t="str" cm="1">
        <f t="array" ref="AE323">_xlfn.LET(_xlpm.r, _xlfn.XLOOKUP(MappingGuide[[#This Row],[ColumnName]] &amp; "|" &amp; MappingGuide[[#This Row],[Description]],'[1]Squirrel SQL Export 1'!C:C &amp; "|" &amp;'[1]Squirrel SQL Export 1'!D:D,'[1]Squirrel SQL Export 1'!Z:Z),IF(_xlpm.r=0,"",_xlpm.r))</f>
        <v>no</v>
      </c>
      <c r="AF323" s="3" t="s">
        <v>1309</v>
      </c>
      <c r="AG323" s="3" t="s">
        <v>101</v>
      </c>
      <c r="AI323" s="2" t="str">
        <f>_xlfn.LET(_xlpm.r, _xlfn.XLOOKUP(MappingGuide[[#This Row],[Description]],'[1]Squirrel SQL Export 1'!D:D,'[1]Squirrel SQL Export 1'!Y:Y),IF(_xlpm.r=0,"",_xlpm.r))</f>
        <v>Not used (Set automatically in the database when record created)</v>
      </c>
      <c r="AK323" s="2" t="str">
        <f>_xlfn.LET(_xlpm.r, _xlfn.XLOOKUP(MappingGuide[[#This Row],[Description]],'[1]Squirrel SQL Export 1'!D:D,'[1]Squirrel SQL Export 1'!AE:AE),IF(_xlpm.r=0,"",_xlpm.r))</f>
        <v/>
      </c>
      <c r="AL323" s="3" t="str">
        <f>_xlfn.LET(_xlpm.r, _xlfn.XLOOKUP(MappingGuide[[#This Row],[DataType]],'[1]Squirrel SQL Export 1'!E:E,'[1]Squirrel SQL Export 1'!AF:AF),IF(_xlpm.r=0,"",_xlpm.r))</f>
        <v/>
      </c>
      <c r="AM323" s="2" t="str">
        <f>_xlfn.LET(_xlpm.r, _xlfn.XLOOKUP(MappingGuide[[#This Row],[Length]],'[1]Squirrel SQL Export 1'!F:F,'[1]Squirrel SQL Export 1'!AG:AG),IF(_xlpm.r=0,"",_xlpm.r))</f>
        <v/>
      </c>
    </row>
    <row r="324" spans="1:39" x14ac:dyDescent="0.2">
      <c r="A324" s="2">
        <v>1187</v>
      </c>
      <c r="B324" s="2" t="s">
        <v>1193</v>
      </c>
      <c r="C324" s="2" t="s">
        <v>1280</v>
      </c>
      <c r="D324" s="2" t="s">
        <v>641</v>
      </c>
      <c r="E324" s="2" t="s">
        <v>43</v>
      </c>
      <c r="F324" s="2" t="s">
        <v>44</v>
      </c>
      <c r="W324" s="2" t="str">
        <f>_xlfn.LET(_xlpm.r, _xlfn.XLOOKUP(MappingGuide[[#This Row],[Description]],'[1]Squirrel SQL Export 1'!D:D,'[1]Squirrel SQL Export 1'!AC:AC),IF(_xlpm.r=0,"",_xlpm.r))</f>
        <v/>
      </c>
      <c r="AA324" s="2" t="s">
        <v>1029</v>
      </c>
      <c r="AC324" s="2"/>
      <c r="AE324" s="2" t="str" cm="1">
        <f t="array" ref="AE324">_xlfn.LET(_xlpm.r, _xlfn.XLOOKUP(MappingGuide[[#This Row],[ColumnName]] &amp; "|" &amp; MappingGuide[[#This Row],[Description]],'[1]Squirrel SQL Export 1'!C:C &amp; "|" &amp;'[1]Squirrel SQL Export 1'!D:D,'[1]Squirrel SQL Export 1'!Z:Z),IF(_xlpm.r=0,"",_xlpm.r))</f>
        <v>no</v>
      </c>
      <c r="AF324" s="3" t="s">
        <v>1309</v>
      </c>
      <c r="AG324" s="3" t="s">
        <v>101</v>
      </c>
      <c r="AI324" s="2" t="str">
        <f>_xlfn.LET(_xlpm.r, _xlfn.XLOOKUP(MappingGuide[[#This Row],[Description]],'[1]Squirrel SQL Export 1'!D:D,'[1]Squirrel SQL Export 1'!Y:Y),IF(_xlpm.r=0,"",_xlpm.r))</f>
        <v>Calculated value inside M3</v>
      </c>
      <c r="AK324" s="2" t="str">
        <f>_xlfn.LET(_xlpm.r, _xlfn.XLOOKUP(MappingGuide[[#This Row],[Description]],'[1]Squirrel SQL Export 1'!D:D,'[1]Squirrel SQL Export 1'!AE:AE),IF(_xlpm.r=0,"",_xlpm.r))</f>
        <v/>
      </c>
      <c r="AL324" s="3" t="str">
        <f>_xlfn.LET(_xlpm.r, _xlfn.XLOOKUP(MappingGuide[[#This Row],[DataType]],'[1]Squirrel SQL Export 1'!E:E,'[1]Squirrel SQL Export 1'!AF:AF),IF(_xlpm.r=0,"",_xlpm.r))</f>
        <v>No</v>
      </c>
      <c r="AM324" s="2" t="str">
        <f>_xlfn.LET(_xlpm.r, _xlfn.XLOOKUP(MappingGuide[[#This Row],[Length]],'[1]Squirrel SQL Export 1'!F:F,'[1]Squirrel SQL Export 1'!AG:AG),IF(_xlpm.r=0,"",_xlpm.r))</f>
        <v/>
      </c>
    </row>
    <row r="325" spans="1:39" x14ac:dyDescent="0.2">
      <c r="A325" s="2">
        <v>1188</v>
      </c>
      <c r="B325" s="2" t="s">
        <v>1193</v>
      </c>
      <c r="C325" s="2" t="s">
        <v>1281</v>
      </c>
      <c r="D325" s="2" t="s">
        <v>1031</v>
      </c>
      <c r="E325" s="2" t="s">
        <v>54</v>
      </c>
      <c r="F325" s="2" t="s">
        <v>839</v>
      </c>
      <c r="W325" s="2" t="str">
        <f>_xlfn.LET(_xlpm.r, _xlfn.XLOOKUP(MappingGuide[[#This Row],[Description]],'[1]Squirrel SQL Export 1'!D:D,'[1]Squirrel SQL Export 1'!AC:AC),IF(_xlpm.r=0,"",_xlpm.r))</f>
        <v/>
      </c>
      <c r="AC325" s="2"/>
      <c r="AE325" s="2" t="str" cm="1">
        <f t="array" ref="AE325">_xlfn.LET(_xlpm.r, _xlfn.XLOOKUP(MappingGuide[[#This Row],[ColumnName]] &amp; "|" &amp; MappingGuide[[#This Row],[Description]],'[1]Squirrel SQL Export 1'!C:C &amp; "|" &amp;'[1]Squirrel SQL Export 1'!D:D,'[1]Squirrel SQL Export 1'!Z:Z),IF(_xlpm.r=0,"",_xlpm.r))</f>
        <v>no</v>
      </c>
      <c r="AF325" s="3" t="s">
        <v>1309</v>
      </c>
      <c r="AG325" s="3" t="s">
        <v>101</v>
      </c>
      <c r="AI325" s="2" t="str">
        <f>_xlfn.LET(_xlpm.r, _xlfn.XLOOKUP(MappingGuide[[#This Row],[Description]],'[1]Squirrel SQL Export 1'!D:D,'[1]Squirrel SQL Export 1'!Y:Y),IF(_xlpm.r=0,"",_xlpm.r))</f>
        <v>Not used (Set automatically in the database when record created)</v>
      </c>
      <c r="AK325" s="2" t="str">
        <f>_xlfn.LET(_xlpm.r, _xlfn.XLOOKUP(MappingGuide[[#This Row],[Description]],'[1]Squirrel SQL Export 1'!D:D,'[1]Squirrel SQL Export 1'!AE:AE),IF(_xlpm.r=0,"",_xlpm.r))</f>
        <v/>
      </c>
      <c r="AL325" s="3" t="str">
        <f>_xlfn.LET(_xlpm.r, _xlfn.XLOOKUP(MappingGuide[[#This Row],[DataType]],'[1]Squirrel SQL Export 1'!E:E,'[1]Squirrel SQL Export 1'!AF:AF),IF(_xlpm.r=0,"",_xlpm.r))</f>
        <v/>
      </c>
      <c r="AM325" s="2" t="str">
        <f>_xlfn.LET(_xlpm.r, _xlfn.XLOOKUP(MappingGuide[[#This Row],[Length]],'[1]Squirrel SQL Export 1'!F:F,'[1]Squirrel SQL Export 1'!AG:AG),IF(_xlpm.r=0,"",_xlpm.r))</f>
        <v/>
      </c>
    </row>
    <row r="326" spans="1:39" x14ac:dyDescent="0.2">
      <c r="A326" s="2">
        <v>1189</v>
      </c>
      <c r="B326" s="2" t="s">
        <v>1193</v>
      </c>
      <c r="C326" s="2" t="s">
        <v>1282</v>
      </c>
      <c r="D326" s="2" t="s">
        <v>1283</v>
      </c>
      <c r="E326" s="2" t="s">
        <v>54</v>
      </c>
      <c r="F326" s="2" t="s">
        <v>377</v>
      </c>
      <c r="G326" s="2" t="s">
        <v>139</v>
      </c>
      <c r="J326" s="2" t="s">
        <v>143</v>
      </c>
      <c r="K326" s="2" t="s">
        <v>87</v>
      </c>
      <c r="O326" s="2" t="s">
        <v>45</v>
      </c>
      <c r="P326" s="2" t="s">
        <v>1195</v>
      </c>
      <c r="Q326" s="2" t="s">
        <v>1284</v>
      </c>
      <c r="W326" s="2" t="str">
        <f>_xlfn.LET(_xlpm.r, _xlfn.XLOOKUP(MappingGuide[[#This Row],[Description]],'[1]Squirrel SQL Export 1'!D:D,'[1]Squirrel SQL Export 1'!AC:AC),IF(_xlpm.r=0,"",_xlpm.r))</f>
        <v/>
      </c>
      <c r="AA326" s="2" t="s">
        <v>1285</v>
      </c>
      <c r="AC326" s="2"/>
      <c r="AE326" s="2" t="str" cm="1">
        <f t="array" ref="AE326">_xlfn.LET(_xlpm.r, _xlfn.XLOOKUP(MappingGuide[[#This Row],[ColumnName]] &amp; "|" &amp; MappingGuide[[#This Row],[Description]],'[1]Squirrel SQL Export 1'!C:C &amp; "|" &amp;'[1]Squirrel SQL Export 1'!D:D,'[1]Squirrel SQL Export 1'!Z:Z),IF(_xlpm.r=0,"",_xlpm.r))</f>
        <v>no</v>
      </c>
      <c r="AF326" s="3" t="s">
        <v>1309</v>
      </c>
      <c r="AG326" s="3" t="s">
        <v>101</v>
      </c>
      <c r="AI326" s="2" t="str">
        <f>_xlfn.LET(_xlpm.r, _xlfn.XLOOKUP(MappingGuide[[#This Row],[Description]],'[1]Squirrel SQL Export 1'!D:D,'[1]Squirrel SQL Export 1'!Y:Y),IF(_xlpm.r=0,"",_xlpm.r))</f>
        <v>Not used</v>
      </c>
      <c r="AK326" s="2" t="str">
        <f>_xlfn.LET(_xlpm.r, _xlfn.XLOOKUP(MappingGuide[[#This Row],[Description]],'[1]Squirrel SQL Export 1'!D:D,'[1]Squirrel SQL Export 1'!AE:AE),IF(_xlpm.r=0,"",_xlpm.r))</f>
        <v/>
      </c>
      <c r="AL326" s="3" t="str">
        <f>_xlfn.LET(_xlpm.r, _xlfn.XLOOKUP(MappingGuide[[#This Row],[DataType]],'[1]Squirrel SQL Export 1'!E:E,'[1]Squirrel SQL Export 1'!AF:AF),IF(_xlpm.r=0,"",_xlpm.r))</f>
        <v/>
      </c>
      <c r="AM326" s="2" t="str">
        <f>_xlfn.LET(_xlpm.r, _xlfn.XLOOKUP(MappingGuide[[#This Row],[Length]],'[1]Squirrel SQL Export 1'!F:F,'[1]Squirrel SQL Export 1'!AG:AG),IF(_xlpm.r=0,"",_xlpm.r))</f>
        <v/>
      </c>
    </row>
    <row r="327" spans="1:39" x14ac:dyDescent="0.2">
      <c r="A327" s="2">
        <v>1190</v>
      </c>
      <c r="B327" s="2" t="s">
        <v>1193</v>
      </c>
      <c r="C327" s="2" t="s">
        <v>1286</v>
      </c>
      <c r="D327" s="2" t="s">
        <v>1287</v>
      </c>
      <c r="E327" s="2" t="s">
        <v>54</v>
      </c>
      <c r="F327" s="2" t="s">
        <v>377</v>
      </c>
      <c r="G327" s="2" t="s">
        <v>139</v>
      </c>
      <c r="J327" s="2" t="s">
        <v>143</v>
      </c>
      <c r="K327" s="2" t="s">
        <v>87</v>
      </c>
      <c r="O327" s="2" t="s">
        <v>45</v>
      </c>
      <c r="P327" s="2" t="s">
        <v>1195</v>
      </c>
      <c r="Q327" s="2" t="s">
        <v>1288</v>
      </c>
      <c r="W327" s="2" t="str">
        <f>_xlfn.LET(_xlpm.r, _xlfn.XLOOKUP(MappingGuide[[#This Row],[Description]],'[1]Squirrel SQL Export 1'!D:D,'[1]Squirrel SQL Export 1'!AC:AC),IF(_xlpm.r=0,"",_xlpm.r))</f>
        <v/>
      </c>
      <c r="AA327" s="2" t="s">
        <v>1289</v>
      </c>
      <c r="AC327" s="2"/>
      <c r="AE327" s="2" t="str" cm="1">
        <f t="array" ref="AE327">_xlfn.LET(_xlpm.r, _xlfn.XLOOKUP(MappingGuide[[#This Row],[ColumnName]] &amp; "|" &amp; MappingGuide[[#This Row],[Description]],'[1]Squirrel SQL Export 1'!C:C &amp; "|" &amp;'[1]Squirrel SQL Export 1'!D:D,'[1]Squirrel SQL Export 1'!Z:Z),IF(_xlpm.r=0,"",_xlpm.r))</f>
        <v>no</v>
      </c>
      <c r="AF327" s="3" t="s">
        <v>1309</v>
      </c>
      <c r="AG327" s="3" t="s">
        <v>101</v>
      </c>
      <c r="AI327" s="2" t="str">
        <f>_xlfn.LET(_xlpm.r, _xlfn.XLOOKUP(MappingGuide[[#This Row],[Description]],'[1]Squirrel SQL Export 1'!D:D,'[1]Squirrel SQL Export 1'!Y:Y),IF(_xlpm.r=0,"",_xlpm.r))</f>
        <v>Not used</v>
      </c>
      <c r="AK327" s="2" t="str">
        <f>_xlfn.LET(_xlpm.r, _xlfn.XLOOKUP(MappingGuide[[#This Row],[Description]],'[1]Squirrel SQL Export 1'!D:D,'[1]Squirrel SQL Export 1'!AE:AE),IF(_xlpm.r=0,"",_xlpm.r))</f>
        <v/>
      </c>
      <c r="AL327" s="3" t="str">
        <f>_xlfn.LET(_xlpm.r, _xlfn.XLOOKUP(MappingGuide[[#This Row],[DataType]],'[1]Squirrel SQL Export 1'!E:E,'[1]Squirrel SQL Export 1'!AF:AF),IF(_xlpm.r=0,"",_xlpm.r))</f>
        <v/>
      </c>
      <c r="AM327" s="2" t="str">
        <f>_xlfn.LET(_xlpm.r, _xlfn.XLOOKUP(MappingGuide[[#This Row],[Length]],'[1]Squirrel SQL Export 1'!F:F,'[1]Squirrel SQL Export 1'!AG:AG),IF(_xlpm.r=0,"",_xlpm.r))</f>
        <v/>
      </c>
    </row>
    <row r="328" spans="1:39" x14ac:dyDescent="0.2">
      <c r="A328" s="2">
        <v>1191</v>
      </c>
      <c r="B328" s="2" t="s">
        <v>1193</v>
      </c>
      <c r="C328" s="2" t="s">
        <v>1290</v>
      </c>
      <c r="D328" s="2" t="s">
        <v>1291</v>
      </c>
      <c r="E328" s="2" t="s">
        <v>54</v>
      </c>
      <c r="F328" s="2" t="s">
        <v>377</v>
      </c>
      <c r="G328" s="2" t="s">
        <v>139</v>
      </c>
      <c r="J328" s="2" t="s">
        <v>143</v>
      </c>
      <c r="K328" s="2" t="s">
        <v>87</v>
      </c>
      <c r="O328" s="2" t="s">
        <v>45</v>
      </c>
      <c r="P328" s="2" t="s">
        <v>1195</v>
      </c>
      <c r="Q328" s="2" t="s">
        <v>1292</v>
      </c>
      <c r="W328" s="2" t="str">
        <f>_xlfn.LET(_xlpm.r, _xlfn.XLOOKUP(MappingGuide[[#This Row],[Description]],'[1]Squirrel SQL Export 1'!D:D,'[1]Squirrel SQL Export 1'!AC:AC),IF(_xlpm.r=0,"",_xlpm.r))</f>
        <v/>
      </c>
      <c r="AC328" s="2"/>
      <c r="AE328" s="2" t="str" cm="1">
        <f t="array" ref="AE328">_xlfn.LET(_xlpm.r, _xlfn.XLOOKUP(MappingGuide[[#This Row],[ColumnName]] &amp; "|" &amp; MappingGuide[[#This Row],[Description]],'[1]Squirrel SQL Export 1'!C:C &amp; "|" &amp;'[1]Squirrel SQL Export 1'!D:D,'[1]Squirrel SQL Export 1'!Z:Z),IF(_xlpm.r=0,"",_xlpm.r))</f>
        <v>no</v>
      </c>
      <c r="AF328" s="3" t="s">
        <v>1309</v>
      </c>
      <c r="AG328" s="3" t="s">
        <v>101</v>
      </c>
      <c r="AI328" s="2" t="str">
        <f>_xlfn.LET(_xlpm.r, _xlfn.XLOOKUP(MappingGuide[[#This Row],[Description]],'[1]Squirrel SQL Export 1'!D:D,'[1]Squirrel SQL Export 1'!Y:Y),IF(_xlpm.r=0,"",_xlpm.r))</f>
        <v>Not used</v>
      </c>
      <c r="AK328" s="2" t="str">
        <f>_xlfn.LET(_xlpm.r, _xlfn.XLOOKUP(MappingGuide[[#This Row],[Description]],'[1]Squirrel SQL Export 1'!D:D,'[1]Squirrel SQL Export 1'!AE:AE),IF(_xlpm.r=0,"",_xlpm.r))</f>
        <v/>
      </c>
      <c r="AL328" s="3" t="str">
        <f>_xlfn.LET(_xlpm.r, _xlfn.XLOOKUP(MappingGuide[[#This Row],[DataType]],'[1]Squirrel SQL Export 1'!E:E,'[1]Squirrel SQL Export 1'!AF:AF),IF(_xlpm.r=0,"",_xlpm.r))</f>
        <v/>
      </c>
      <c r="AM328" s="2" t="str">
        <f>_xlfn.LET(_xlpm.r, _xlfn.XLOOKUP(MappingGuide[[#This Row],[Length]],'[1]Squirrel SQL Export 1'!F:F,'[1]Squirrel SQL Export 1'!AG:AG),IF(_xlpm.r=0,"",_xlpm.r))</f>
        <v/>
      </c>
    </row>
    <row r="329" spans="1:39" x14ac:dyDescent="0.2">
      <c r="A329" s="2">
        <v>1192</v>
      </c>
      <c r="B329" s="2" t="s">
        <v>1193</v>
      </c>
      <c r="C329" s="2" t="s">
        <v>1293</v>
      </c>
      <c r="D329" s="2" t="s">
        <v>1042</v>
      </c>
      <c r="E329" s="2" t="s">
        <v>54</v>
      </c>
      <c r="F329" s="2" t="s">
        <v>96</v>
      </c>
      <c r="O329" s="2" t="s">
        <v>45</v>
      </c>
      <c r="P329" s="2" t="s">
        <v>88</v>
      </c>
      <c r="Q329" s="2" t="s">
        <v>1043</v>
      </c>
      <c r="W329" s="2" t="str">
        <f>_xlfn.LET(_xlpm.r, _xlfn.XLOOKUP(MappingGuide[[#This Row],[Description]],'[1]Squirrel SQL Export 1'!D:D,'[1]Squirrel SQL Export 1'!AC:AC),IF(_xlpm.r=0,"",_xlpm.r))</f>
        <v/>
      </c>
      <c r="AA329" s="2" t="s">
        <v>1044</v>
      </c>
      <c r="AB329" s="2" t="s">
        <v>1045</v>
      </c>
      <c r="AC329" s="2"/>
      <c r="AE329" s="2" t="str" cm="1">
        <f t="array" ref="AE329">_xlfn.LET(_xlpm.r, _xlfn.XLOOKUP(MappingGuide[[#This Row],[ColumnName]] &amp; "|" &amp; MappingGuide[[#This Row],[Description]],'[1]Squirrel SQL Export 1'!C:C &amp; "|" &amp;'[1]Squirrel SQL Export 1'!D:D,'[1]Squirrel SQL Export 1'!Z:Z),IF(_xlpm.r=0,"",_xlpm.r))</f>
        <v>no</v>
      </c>
      <c r="AF329" s="3" t="s">
        <v>1309</v>
      </c>
      <c r="AG329" s="3" t="s">
        <v>101</v>
      </c>
      <c r="AI329" s="2" t="str">
        <f>_xlfn.LET(_xlpm.r, _xlfn.XLOOKUP(MappingGuide[[#This Row],[Description]],'[1]Squirrel SQL Export 1'!D:D,'[1]Squirrel SQL Export 1'!Y:Y),IF(_xlpm.r=0,"",_xlpm.r))</f>
        <v>This is needed</v>
      </c>
      <c r="AK329" s="2" t="str">
        <f>_xlfn.LET(_xlpm.r, _xlfn.XLOOKUP(MappingGuide[[#This Row],[Description]],'[1]Squirrel SQL Export 1'!D:D,'[1]Squirrel SQL Export 1'!AE:AE),IF(_xlpm.r=0,"",_xlpm.r))</f>
        <v>This field seems like it can be handled in the Template, if we need to show or it is needed by downstream applications then we would consider.</v>
      </c>
      <c r="AL329" s="3" t="str">
        <f>_xlfn.LET(_xlpm.r, _xlfn.XLOOKUP(MappingGuide[[#This Row],[DataType]],'[1]Squirrel SQL Export 1'!E:E,'[1]Squirrel SQL Export 1'!AF:AF),IF(_xlpm.r=0,"",_xlpm.r))</f>
        <v/>
      </c>
      <c r="AM329" s="2" t="str">
        <f>_xlfn.LET(_xlpm.r, _xlfn.XLOOKUP(MappingGuide[[#This Row],[Length]],'[1]Squirrel SQL Export 1'!F:F,'[1]Squirrel SQL Export 1'!AG:AG),IF(_xlpm.r=0,"",_xlpm.r))</f>
        <v>Type</v>
      </c>
    </row>
    <row r="330" spans="1:39" x14ac:dyDescent="0.2">
      <c r="A330" s="2">
        <v>1193</v>
      </c>
      <c r="B330" s="2" t="s">
        <v>1193</v>
      </c>
      <c r="C330" s="2" t="s">
        <v>1294</v>
      </c>
      <c r="D330" s="2" t="s">
        <v>1295</v>
      </c>
      <c r="E330" s="2" t="s">
        <v>54</v>
      </c>
      <c r="F330" s="2" t="s">
        <v>96</v>
      </c>
      <c r="W330" s="2" t="str">
        <f>_xlfn.LET(_xlpm.r, _xlfn.XLOOKUP(MappingGuide[[#This Row],[Description]],'[1]Squirrel SQL Export 1'!D:D,'[1]Squirrel SQL Export 1'!AC:AC),IF(_xlpm.r=0,"",_xlpm.r))</f>
        <v/>
      </c>
      <c r="AC330" s="2"/>
      <c r="AE330" s="2" t="str" cm="1">
        <f t="array" ref="AE330">_xlfn.LET(_xlpm.r, _xlfn.XLOOKUP(MappingGuide[[#This Row],[ColumnName]] &amp; "|" &amp; MappingGuide[[#This Row],[Description]],'[1]Squirrel SQL Export 1'!C:C &amp; "|" &amp;'[1]Squirrel SQL Export 1'!D:D,'[1]Squirrel SQL Export 1'!Z:Z),IF(_xlpm.r=0,"",_xlpm.r))</f>
        <v>no</v>
      </c>
      <c r="AF330" s="3" t="s">
        <v>1309</v>
      </c>
      <c r="AG330" s="3" t="s">
        <v>101</v>
      </c>
      <c r="AI330" s="2" t="str">
        <f>_xlfn.LET(_xlpm.r, _xlfn.XLOOKUP(MappingGuide[[#This Row],[Description]],'[1]Squirrel SQL Export 1'!D:D,'[1]Squirrel SQL Export 1'!Y:Y),IF(_xlpm.r=0,"",_xlpm.r))</f>
        <v>Not used</v>
      </c>
      <c r="AK330" s="2" t="str">
        <f>_xlfn.LET(_xlpm.r, _xlfn.XLOOKUP(MappingGuide[[#This Row],[Description]],'[1]Squirrel SQL Export 1'!D:D,'[1]Squirrel SQL Export 1'!AE:AE),IF(_xlpm.r=0,"",_xlpm.r))</f>
        <v/>
      </c>
      <c r="AL330" s="3" t="str">
        <f>_xlfn.LET(_xlpm.r, _xlfn.XLOOKUP(MappingGuide[[#This Row],[DataType]],'[1]Squirrel SQL Export 1'!E:E,'[1]Squirrel SQL Export 1'!AF:AF),IF(_xlpm.r=0,"",_xlpm.r))</f>
        <v/>
      </c>
      <c r="AM330" s="2" t="str">
        <f>_xlfn.LET(_xlpm.r, _xlfn.XLOOKUP(MappingGuide[[#This Row],[Length]],'[1]Squirrel SQL Export 1'!F:F,'[1]Squirrel SQL Export 1'!AG:AG),IF(_xlpm.r=0,"",_xlpm.r))</f>
        <v>Type</v>
      </c>
    </row>
    <row r="331" spans="1:39" x14ac:dyDescent="0.2">
      <c r="A331" s="2">
        <v>1194</v>
      </c>
      <c r="B331" s="2" t="s">
        <v>1193</v>
      </c>
      <c r="C331" s="2" t="s">
        <v>1296</v>
      </c>
      <c r="D331" s="2" t="s">
        <v>395</v>
      </c>
      <c r="E331" s="2" t="s">
        <v>54</v>
      </c>
      <c r="F331" s="2" t="s">
        <v>96</v>
      </c>
      <c r="O331" s="2" t="s">
        <v>45</v>
      </c>
      <c r="P331" s="2" t="s">
        <v>1195</v>
      </c>
      <c r="Q331" s="2" t="s">
        <v>396</v>
      </c>
      <c r="W331" s="2" t="str">
        <f>_xlfn.LET(_xlpm.r, _xlfn.XLOOKUP(MappingGuide[[#This Row],[Description]],'[1]Squirrel SQL Export 1'!D:D,'[1]Squirrel SQL Export 1'!AC:AC),IF(_xlpm.r=0,"",_xlpm.r))</f>
        <v>5</v>
      </c>
      <c r="AA331" s="2" t="s">
        <v>1297</v>
      </c>
      <c r="AC331" s="2"/>
      <c r="AE331" s="2" t="str" cm="1">
        <f t="array" ref="AE331">_xlfn.LET(_xlpm.r, _xlfn.XLOOKUP(MappingGuide[[#This Row],[ColumnName]] &amp; "|" &amp; MappingGuide[[#This Row],[Description]],'[1]Squirrel SQL Export 1'!C:C &amp; "|" &amp;'[1]Squirrel SQL Export 1'!D:D,'[1]Squirrel SQL Export 1'!Z:Z),IF(_xlpm.r=0,"",_xlpm.r))</f>
        <v>no</v>
      </c>
      <c r="AF331" s="3" t="s">
        <v>1309</v>
      </c>
      <c r="AG331" s="3" t="s">
        <v>101</v>
      </c>
      <c r="AI331" s="2" t="str">
        <f>_xlfn.LET(_xlpm.r, _xlfn.XLOOKUP(MappingGuide[[#This Row],[Description]],'[1]Squirrel SQL Export 1'!D:D,'[1]Squirrel SQL Export 1'!Y:Y),IF(_xlpm.r=0,"",_xlpm.r))</f>
        <v>This is needed in M3, but we will set value using template</v>
      </c>
      <c r="AK331" s="2" t="str">
        <f>_xlfn.LET(_xlpm.r, _xlfn.XLOOKUP(MappingGuide[[#This Row],[Description]],'[1]Squirrel SQL Export 1'!D:D,'[1]Squirrel SQL Export 1'!AE:AE),IF(_xlpm.r=0,"",_xlpm.r))</f>
        <v/>
      </c>
      <c r="AL331" s="3" t="str">
        <f>_xlfn.LET(_xlpm.r, _xlfn.XLOOKUP(MappingGuide[[#This Row],[DataType]],'[1]Squirrel SQL Export 1'!E:E,'[1]Squirrel SQL Export 1'!AF:AF),IF(_xlpm.r=0,"",_xlpm.r))</f>
        <v/>
      </c>
      <c r="AM331" s="2" t="str">
        <f>_xlfn.LET(_xlpm.r, _xlfn.XLOOKUP(MappingGuide[[#This Row],[Length]],'[1]Squirrel SQL Export 1'!F:F,'[1]Squirrel SQL Export 1'!AG:AG),IF(_xlpm.r=0,"",_xlpm.r))</f>
        <v>Type</v>
      </c>
    </row>
    <row r="332" spans="1:39" x14ac:dyDescent="0.2">
      <c r="A332" s="2">
        <v>1195</v>
      </c>
      <c r="B332" s="2" t="s">
        <v>1193</v>
      </c>
      <c r="C332" s="2" t="s">
        <v>1298</v>
      </c>
      <c r="D332" s="2" t="s">
        <v>1077</v>
      </c>
      <c r="E332" s="2" t="s">
        <v>43</v>
      </c>
      <c r="F332" s="2" t="s">
        <v>720</v>
      </c>
      <c r="O332" s="2" t="s">
        <v>45</v>
      </c>
      <c r="P332" s="2" t="s">
        <v>1195</v>
      </c>
      <c r="Q332" s="2" t="s">
        <v>1078</v>
      </c>
      <c r="W332" s="2" t="str">
        <f>_xlfn.LET(_xlpm.r, _xlfn.XLOOKUP(MappingGuide[[#This Row],[Description]],'[1]Squirrel SQL Export 1'!D:D,'[1]Squirrel SQL Export 1'!AC:AC),IF(_xlpm.r=0,"",_xlpm.r))</f>
        <v/>
      </c>
      <c r="AA332" s="2" t="s">
        <v>1079</v>
      </c>
      <c r="AC332" s="2" t="s">
        <v>1080</v>
      </c>
      <c r="AE332" s="2" t="str" cm="1">
        <f t="array" ref="AE332">_xlfn.LET(_xlpm.r, _xlfn.XLOOKUP(MappingGuide[[#This Row],[ColumnName]] &amp; "|" &amp; MappingGuide[[#This Row],[Description]],'[1]Squirrel SQL Export 1'!C:C &amp; "|" &amp;'[1]Squirrel SQL Export 1'!D:D,'[1]Squirrel SQL Export 1'!Z:Z),IF(_xlpm.r=0,"",_xlpm.r))</f>
        <v>no</v>
      </c>
      <c r="AF332" s="3" t="s">
        <v>1309</v>
      </c>
      <c r="AG332" s="3" t="s">
        <v>101</v>
      </c>
      <c r="AI332" s="2" t="str">
        <f>_xlfn.LET(_xlpm.r, _xlfn.XLOOKUP(MappingGuide[[#This Row],[Description]],'[1]Squirrel SQL Export 1'!D:D,'[1]Squirrel SQL Export 1'!Y:Y),IF(_xlpm.r=0,"",_xlpm.r))</f>
        <v>Not used</v>
      </c>
      <c r="AK332" s="2" t="str">
        <f>_xlfn.LET(_xlpm.r, _xlfn.XLOOKUP(MappingGuide[[#This Row],[Description]],'[1]Squirrel SQL Export 1'!D:D,'[1]Squirrel SQL Export 1'!AE:AE),IF(_xlpm.r=0,"",_xlpm.r))</f>
        <v/>
      </c>
      <c r="AL332" s="3" t="str">
        <f>_xlfn.LET(_xlpm.r, _xlfn.XLOOKUP(MappingGuide[[#This Row],[DataType]],'[1]Squirrel SQL Export 1'!E:E,'[1]Squirrel SQL Export 1'!AF:AF),IF(_xlpm.r=0,"",_xlpm.r))</f>
        <v>No</v>
      </c>
      <c r="AM332" s="2" t="str">
        <f>_xlfn.LET(_xlpm.r, _xlfn.XLOOKUP(MappingGuide[[#This Row],[Length]],'[1]Squirrel SQL Export 1'!F:F,'[1]Squirrel SQL Export 1'!AG:AG),IF(_xlpm.r=0,"",_xlpm.r))</f>
        <v/>
      </c>
    </row>
    <row r="333" spans="1:39" x14ac:dyDescent="0.2">
      <c r="A333" s="2">
        <v>1196</v>
      </c>
      <c r="B333" s="2" t="s">
        <v>1193</v>
      </c>
      <c r="C333" s="2" t="s">
        <v>1299</v>
      </c>
      <c r="D333" s="2" t="s">
        <v>1082</v>
      </c>
      <c r="E333" s="2" t="s">
        <v>43</v>
      </c>
      <c r="F333" s="2" t="s">
        <v>44</v>
      </c>
      <c r="O333" s="2" t="s">
        <v>45</v>
      </c>
      <c r="P333" s="2" t="s">
        <v>1195</v>
      </c>
      <c r="Q333" s="2" t="s">
        <v>1083</v>
      </c>
      <c r="W333" s="2" t="str">
        <f>_xlfn.LET(_xlpm.r, _xlfn.XLOOKUP(MappingGuide[[#This Row],[Description]],'[1]Squirrel SQL Export 1'!D:D,'[1]Squirrel SQL Export 1'!AC:AC),IF(_xlpm.r=0,"",_xlpm.r))</f>
        <v/>
      </c>
      <c r="AA333" s="2" t="s">
        <v>1084</v>
      </c>
      <c r="AC333" s="2"/>
      <c r="AE333" s="2" t="str" cm="1">
        <f t="array" ref="AE333">_xlfn.LET(_xlpm.r, _xlfn.XLOOKUP(MappingGuide[[#This Row],[ColumnName]] &amp; "|" &amp; MappingGuide[[#This Row],[Description]],'[1]Squirrel SQL Export 1'!C:C &amp; "|" &amp;'[1]Squirrel SQL Export 1'!D:D,'[1]Squirrel SQL Export 1'!Z:Z),IF(_xlpm.r=0,"",_xlpm.r))</f>
        <v>no</v>
      </c>
      <c r="AF333" s="3" t="s">
        <v>1309</v>
      </c>
      <c r="AG333" s="3" t="s">
        <v>101</v>
      </c>
      <c r="AI333" s="2" t="str">
        <f>_xlfn.LET(_xlpm.r, _xlfn.XLOOKUP(MappingGuide[[#This Row],[Description]],'[1]Squirrel SQL Export 1'!D:D,'[1]Squirrel SQL Export 1'!Y:Y),IF(_xlpm.r=0,"",_xlpm.r))</f>
        <v>OKSPLE stores the Standard Point Location Code (SPLC), which is a nine-digit geographical location code used in North America to identify origin or destination points in logistics and transportation processes.
As discussed with Kyle, we don't have SPLE for any customer</v>
      </c>
      <c r="AK333" s="2" t="str">
        <f>_xlfn.LET(_xlpm.r, _xlfn.XLOOKUP(MappingGuide[[#This Row],[Description]],'[1]Squirrel SQL Export 1'!D:D,'[1]Squirrel SQL Export 1'!AE:AE),IF(_xlpm.r=0,"",_xlpm.r))</f>
        <v>This appears to be an M3 only attribute.</v>
      </c>
      <c r="AL333" s="3" t="str">
        <f>_xlfn.LET(_xlpm.r, _xlfn.XLOOKUP(MappingGuide[[#This Row],[DataType]],'[1]Squirrel SQL Export 1'!E:E,'[1]Squirrel SQL Export 1'!AF:AF),IF(_xlpm.r=0,"",_xlpm.r))</f>
        <v>No</v>
      </c>
      <c r="AM333" s="2" t="str">
        <f>_xlfn.LET(_xlpm.r, _xlfn.XLOOKUP(MappingGuide[[#This Row],[Length]],'[1]Squirrel SQL Export 1'!F:F,'[1]Squirrel SQL Export 1'!AG:AG),IF(_xlpm.r=0,"",_xlpm.r))</f>
        <v/>
      </c>
    </row>
    <row r="334" spans="1:39" x14ac:dyDescent="0.2">
      <c r="A334" s="2">
        <v>1197</v>
      </c>
      <c r="B334" s="2" t="s">
        <v>1193</v>
      </c>
      <c r="C334" s="2" t="s">
        <v>1300</v>
      </c>
      <c r="D334" s="2" t="s">
        <v>1086</v>
      </c>
      <c r="E334" s="2" t="s">
        <v>43</v>
      </c>
      <c r="F334" s="2" t="s">
        <v>44</v>
      </c>
      <c r="O334" s="2" t="s">
        <v>45</v>
      </c>
      <c r="P334" s="2" t="s">
        <v>1195</v>
      </c>
      <c r="Q334" s="2" t="s">
        <v>1087</v>
      </c>
      <c r="W334" s="2" t="str">
        <f>_xlfn.LET(_xlpm.r, _xlfn.XLOOKUP(MappingGuide[[#This Row],[Description]],'[1]Squirrel SQL Export 1'!D:D,'[1]Squirrel SQL Export 1'!AC:AC),IF(_xlpm.r=0,"",_xlpm.r))</f>
        <v/>
      </c>
      <c r="AA334" s="2" t="s">
        <v>1088</v>
      </c>
      <c r="AC334" s="2" t="s">
        <v>1089</v>
      </c>
      <c r="AE334" s="2" t="str" cm="1">
        <f t="array" ref="AE334">_xlfn.LET(_xlpm.r, _xlfn.XLOOKUP(MappingGuide[[#This Row],[ColumnName]] &amp; "|" &amp; MappingGuide[[#This Row],[Description]],'[1]Squirrel SQL Export 1'!C:C &amp; "|" &amp;'[1]Squirrel SQL Export 1'!D:D,'[1]Squirrel SQL Export 1'!Z:Z),IF(_xlpm.r=0,"",_xlpm.r))</f>
        <v>no</v>
      </c>
      <c r="AF334" s="3" t="s">
        <v>1309</v>
      </c>
      <c r="AG334" s="3" t="s">
        <v>101</v>
      </c>
      <c r="AI334" s="2" t="str">
        <f>_xlfn.LET(_xlpm.r, _xlfn.XLOOKUP(MappingGuide[[#This Row],[Description]],'[1]Squirrel SQL Export 1'!D:D,'[1]Squirrel SQL Export 1'!Y:Y),IF(_xlpm.r=0,"",_xlpm.r))</f>
        <v>Not used</v>
      </c>
      <c r="AK334" s="2" t="str">
        <f>_xlfn.LET(_xlpm.r, _xlfn.XLOOKUP(MappingGuide[[#This Row],[Description]],'[1]Squirrel SQL Export 1'!D:D,'[1]Squirrel SQL Export 1'!AE:AE),IF(_xlpm.r=0,"",_xlpm.r))</f>
        <v/>
      </c>
      <c r="AL334" s="3" t="str">
        <f>_xlfn.LET(_xlpm.r, _xlfn.XLOOKUP(MappingGuide[[#This Row],[DataType]],'[1]Squirrel SQL Export 1'!E:E,'[1]Squirrel SQL Export 1'!AF:AF),IF(_xlpm.r=0,"",_xlpm.r))</f>
        <v>No</v>
      </c>
      <c r="AM334" s="2" t="str">
        <f>_xlfn.LET(_xlpm.r, _xlfn.XLOOKUP(MappingGuide[[#This Row],[Length]],'[1]Squirrel SQL Export 1'!F:F,'[1]Squirrel SQL Export 1'!AG:AG),IF(_xlpm.r=0,"",_xlpm.r))</f>
        <v/>
      </c>
    </row>
    <row r="335" spans="1:39" x14ac:dyDescent="0.2">
      <c r="A335" s="2">
        <v>1198</v>
      </c>
      <c r="B335" s="2" t="s">
        <v>1193</v>
      </c>
      <c r="C335" s="2" t="s">
        <v>1301</v>
      </c>
      <c r="D335" s="2" t="s">
        <v>1302</v>
      </c>
      <c r="E335" s="2" t="s">
        <v>43</v>
      </c>
      <c r="F335" s="2" t="s">
        <v>377</v>
      </c>
      <c r="O335" s="2" t="s">
        <v>45</v>
      </c>
      <c r="P335" s="2" t="s">
        <v>1195</v>
      </c>
      <c r="Q335" s="2" t="s">
        <v>1303</v>
      </c>
      <c r="W335" s="2" t="str">
        <f>_xlfn.LET(_xlpm.r, _xlfn.XLOOKUP(MappingGuide[[#This Row],[Description]],'[1]Squirrel SQL Export 1'!D:D,'[1]Squirrel SQL Export 1'!AC:AC),IF(_xlpm.r=0,"",_xlpm.r))</f>
        <v/>
      </c>
      <c r="AA335" s="2" t="s">
        <v>1304</v>
      </c>
      <c r="AC335" s="2"/>
      <c r="AE335" s="2" t="str" cm="1">
        <f t="array" ref="AE335">_xlfn.LET(_xlpm.r, _xlfn.XLOOKUP(MappingGuide[[#This Row],[ColumnName]] &amp; "|" &amp; MappingGuide[[#This Row],[Description]],'[1]Squirrel SQL Export 1'!C:C &amp; "|" &amp;'[1]Squirrel SQL Export 1'!D:D,'[1]Squirrel SQL Export 1'!Z:Z),IF(_xlpm.r=0,"",_xlpm.r))</f>
        <v>no</v>
      </c>
      <c r="AF335" s="3" t="s">
        <v>1309</v>
      </c>
      <c r="AG335" s="3" t="s">
        <v>101</v>
      </c>
      <c r="AI335" s="2" t="str">
        <f>_xlfn.LET(_xlpm.r, _xlfn.XLOOKUP(MappingGuide[[#This Row],[Description]],'[1]Squirrel SQL Export 1'!D:D,'[1]Squirrel SQL Export 1'!Y:Y),IF(_xlpm.r=0,"",_xlpm.r))</f>
        <v>Not used</v>
      </c>
      <c r="AK335" s="2" t="str">
        <f>_xlfn.LET(_xlpm.r, _xlfn.XLOOKUP(MappingGuide[[#This Row],[Description]],'[1]Squirrel SQL Export 1'!D:D,'[1]Squirrel SQL Export 1'!AE:AE),IF(_xlpm.r=0,"",_xlpm.r))</f>
        <v/>
      </c>
      <c r="AL335" s="3" t="str">
        <f>_xlfn.LET(_xlpm.r, _xlfn.XLOOKUP(MappingGuide[[#This Row],[DataType]],'[1]Squirrel SQL Export 1'!E:E,'[1]Squirrel SQL Export 1'!AF:AF),IF(_xlpm.r=0,"",_xlpm.r))</f>
        <v>No</v>
      </c>
      <c r="AM335" s="2" t="str">
        <f>_xlfn.LET(_xlpm.r, _xlfn.XLOOKUP(MappingGuide[[#This Row],[Length]],'[1]Squirrel SQL Export 1'!F:F,'[1]Squirrel SQL Export 1'!AG:AG),IF(_xlpm.r=0,"",_xlpm.r))</f>
        <v/>
      </c>
    </row>
  </sheetData>
  <mergeCells count="8">
    <mergeCell ref="AK1:AN1"/>
    <mergeCell ref="V1:Z1"/>
    <mergeCell ref="T1:U1"/>
    <mergeCell ref="O1:S1"/>
    <mergeCell ref="A1:I1"/>
    <mergeCell ref="AE1:AJ1"/>
    <mergeCell ref="J1:N1"/>
    <mergeCell ref="AA1:AD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Pronovost</cp:lastModifiedBy>
  <dcterms:created xsi:type="dcterms:W3CDTF">2026-01-09T23:22:06Z</dcterms:created>
  <dcterms:modified xsi:type="dcterms:W3CDTF">2026-01-15T00:39:45Z</dcterms:modified>
</cp:coreProperties>
</file>