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ericpronovost/Doppio/MappingGuides/mapping/guides/"/>
    </mc:Choice>
  </mc:AlternateContent>
  <xr:revisionPtr revIDLastSave="0" documentId="13_ncr:1_{F08387A9-4AD2-EE4F-A158-3447BEB4AC96}" xr6:coauthVersionLast="47" xr6:coauthVersionMax="47" xr10:uidLastSave="{00000000-0000-0000-0000-000000000000}"/>
  <bookViews>
    <workbookView xWindow="0" yWindow="660" windowWidth="34560" windowHeight="21680" xr2:uid="{00000000-000D-0000-FFFF-FFFF00000000}"/>
  </bookViews>
  <sheets>
    <sheet name="Mapping Guide"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a="1"/>
  <c r="AD3" i="1" s="1"/>
  <c r="AD4" i="1" a="1"/>
  <c r="AD4" i="1" s="1"/>
  <c r="AD5" i="1" a="1"/>
  <c r="AD5" i="1" s="1"/>
  <c r="AD6" i="1" a="1"/>
  <c r="AD6" i="1" s="1"/>
  <c r="AD7" i="1" a="1"/>
  <c r="AD7" i="1" s="1"/>
  <c r="AD8" i="1" a="1"/>
  <c r="AD8" i="1" s="1"/>
  <c r="AD9" i="1" a="1"/>
  <c r="AD9" i="1" s="1"/>
  <c r="AD10" i="1" a="1"/>
  <c r="AD10" i="1" s="1"/>
  <c r="AD11" i="1" a="1"/>
  <c r="AD11" i="1" s="1"/>
  <c r="AD12" i="1" a="1"/>
  <c r="AD12" i="1" s="1"/>
  <c r="AD13" i="1" a="1"/>
  <c r="AD13" i="1" s="1"/>
  <c r="AD14" i="1" a="1"/>
  <c r="AD14" i="1" s="1"/>
  <c r="AD15" i="1" a="1"/>
  <c r="AD15" i="1" s="1"/>
  <c r="AD16" i="1" a="1"/>
  <c r="AD16" i="1" s="1"/>
  <c r="AD17" i="1" a="1"/>
  <c r="AD17" i="1" s="1"/>
  <c r="AD18" i="1" a="1"/>
  <c r="AD18" i="1" s="1"/>
  <c r="AD19" i="1" a="1"/>
  <c r="AD19" i="1" s="1"/>
  <c r="AD20" i="1" a="1"/>
  <c r="AD20" i="1" s="1"/>
  <c r="AD21" i="1" a="1"/>
  <c r="AD21" i="1" s="1"/>
  <c r="AD22" i="1" a="1"/>
  <c r="AD22" i="1" s="1"/>
  <c r="AD23" i="1" a="1"/>
  <c r="AD23" i="1" s="1"/>
  <c r="AD24" i="1" a="1"/>
  <c r="AD24" i="1" s="1"/>
  <c r="AD25" i="1" a="1"/>
  <c r="AD25" i="1" s="1"/>
  <c r="AD26" i="1" a="1"/>
  <c r="AD26" i="1" s="1"/>
  <c r="AD27" i="1" a="1"/>
  <c r="AD27" i="1" s="1"/>
  <c r="AD28" i="1" a="1"/>
  <c r="AD28" i="1" s="1"/>
  <c r="AD29" i="1" a="1"/>
  <c r="AD29" i="1" s="1"/>
  <c r="AD30" i="1" a="1"/>
  <c r="AD30" i="1" s="1"/>
  <c r="AD31" i="1" a="1"/>
  <c r="AD31" i="1" s="1"/>
  <c r="AD32" i="1" a="1"/>
  <c r="AD32" i="1" s="1"/>
  <c r="AD33" i="1" a="1"/>
  <c r="AD33" i="1" s="1"/>
  <c r="AD34" i="1" a="1"/>
  <c r="AD34" i="1" s="1"/>
  <c r="AD35" i="1" a="1"/>
  <c r="AD35" i="1" s="1"/>
  <c r="AD36" i="1" a="1"/>
  <c r="AD36" i="1" s="1"/>
  <c r="AD37" i="1" a="1"/>
  <c r="AD37" i="1" s="1"/>
  <c r="AD38" i="1" a="1"/>
  <c r="AD38" i="1" s="1"/>
  <c r="AD39" i="1" a="1"/>
  <c r="AD39" i="1" s="1"/>
  <c r="AD40" i="1" a="1"/>
  <c r="AD40" i="1" s="1"/>
  <c r="AD41" i="1" a="1"/>
  <c r="AD41" i="1" s="1"/>
  <c r="AD42" i="1" a="1"/>
  <c r="AD42" i="1" s="1"/>
  <c r="AD43" i="1" a="1"/>
  <c r="AD43" i="1" s="1"/>
  <c r="AD44" i="1" a="1"/>
  <c r="AD44" i="1" s="1"/>
  <c r="AD45" i="1" a="1"/>
  <c r="AD45" i="1" s="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s="1"/>
  <c r="AD58" i="1" a="1"/>
  <c r="AD58" i="1" s="1"/>
  <c r="AD59" i="1" a="1"/>
  <c r="AD59" i="1" s="1"/>
  <c r="AD60" i="1" a="1"/>
  <c r="AD60" i="1" s="1"/>
  <c r="AD61" i="1" a="1"/>
  <c r="AD61" i="1" s="1"/>
  <c r="AD62" i="1" a="1"/>
  <c r="AD62" i="1" s="1"/>
  <c r="AD63" i="1" a="1"/>
  <c r="AD63" i="1" s="1"/>
  <c r="AD64" i="1" a="1"/>
  <c r="AD64" i="1" s="1"/>
  <c r="AD65" i="1" a="1"/>
  <c r="AD65" i="1" s="1"/>
  <c r="AD66" i="1" a="1"/>
  <c r="AD66" i="1" s="1"/>
  <c r="AD67" i="1" a="1"/>
  <c r="AD67" i="1" s="1"/>
  <c r="AD68" i="1" a="1"/>
  <c r="AD68" i="1" s="1"/>
  <c r="AD69" i="1" a="1"/>
  <c r="AD69" i="1" s="1"/>
  <c r="AD70" i="1" a="1"/>
  <c r="AD70" i="1" s="1"/>
  <c r="AD71" i="1" a="1"/>
  <c r="AD71" i="1" s="1"/>
  <c r="AD72" i="1" a="1"/>
  <c r="AD72" i="1" s="1"/>
  <c r="AD73" i="1" a="1"/>
  <c r="AD73" i="1" s="1"/>
  <c r="AD74" i="1" a="1"/>
  <c r="AD74" i="1" s="1"/>
  <c r="AD75" i="1" a="1"/>
  <c r="AD75" i="1" s="1"/>
  <c r="AD76" i="1" a="1"/>
  <c r="AD76" i="1" s="1"/>
  <c r="AD77" i="1" a="1"/>
  <c r="AD77" i="1" s="1"/>
  <c r="AD78" i="1" a="1"/>
  <c r="AD78" i="1" s="1"/>
  <c r="AD79" i="1" a="1"/>
  <c r="AD79" i="1" s="1"/>
  <c r="AD80" i="1" a="1"/>
  <c r="AD80" i="1" s="1"/>
  <c r="AD81" i="1" a="1"/>
  <c r="AD81" i="1" s="1"/>
  <c r="AD82" i="1" a="1"/>
  <c r="AD82" i="1" s="1"/>
  <c r="AD83" i="1" a="1"/>
  <c r="AD83" i="1" s="1"/>
  <c r="AD84" i="1" a="1"/>
  <c r="AD84" i="1" s="1"/>
  <c r="AD85" i="1" a="1"/>
  <c r="AD85" i="1" s="1"/>
  <c r="AD86" i="1" a="1"/>
  <c r="AD86" i="1" s="1"/>
  <c r="AD87" i="1" a="1"/>
  <c r="AD87" i="1" s="1"/>
  <c r="AD88" i="1" a="1"/>
  <c r="AD88" i="1" s="1"/>
  <c r="AD89" i="1" a="1"/>
  <c r="AD89" i="1" s="1"/>
  <c r="AD90" i="1" a="1"/>
  <c r="AD90" i="1" s="1"/>
  <c r="AD91" i="1" a="1"/>
  <c r="AD91" i="1" s="1"/>
  <c r="AD92" i="1" a="1"/>
  <c r="AD92" i="1" s="1"/>
  <c r="AD93" i="1" a="1"/>
  <c r="AD93" i="1" s="1"/>
  <c r="AD94" i="1" a="1"/>
  <c r="AD94" i="1" s="1"/>
  <c r="AD95" i="1" a="1"/>
  <c r="AD95" i="1" s="1"/>
  <c r="AD96" i="1" a="1"/>
  <c r="AD96" i="1" s="1"/>
  <c r="AD97" i="1" a="1"/>
  <c r="AD97" i="1" s="1"/>
  <c r="AD98" i="1" a="1"/>
  <c r="AD98" i="1" s="1"/>
  <c r="AD99" i="1" a="1"/>
  <c r="AD99" i="1" s="1"/>
  <c r="AD100" i="1" a="1"/>
  <c r="AD100" i="1" s="1"/>
  <c r="AD101" i="1" a="1"/>
  <c r="AD101" i="1" s="1"/>
  <c r="AD102" i="1" a="1"/>
  <c r="AD102" i="1" s="1"/>
  <c r="AD103" i="1" a="1"/>
  <c r="AD103" i="1" s="1"/>
  <c r="AD104" i="1" a="1"/>
  <c r="AD104" i="1" s="1"/>
  <c r="AD105" i="1" a="1"/>
  <c r="AD105" i="1" s="1"/>
  <c r="AD106" i="1" a="1"/>
  <c r="AD106" i="1" s="1"/>
  <c r="AD107" i="1" a="1"/>
  <c r="AD107" i="1" s="1"/>
  <c r="AD108" i="1" a="1"/>
  <c r="AD108" i="1" s="1"/>
  <c r="AD109" i="1" a="1"/>
  <c r="AD109" i="1" s="1"/>
  <c r="AD110" i="1" a="1"/>
  <c r="AD110" i="1" s="1"/>
  <c r="AD111" i="1" a="1"/>
  <c r="AD111" i="1" s="1"/>
  <c r="AD112" i="1" a="1"/>
  <c r="AD112" i="1" s="1"/>
  <c r="AD113" i="1" a="1"/>
  <c r="AD113" i="1" s="1"/>
  <c r="AD114" i="1" a="1"/>
  <c r="AD114" i="1" s="1"/>
  <c r="AD115" i="1" a="1"/>
  <c r="AD115" i="1" s="1"/>
  <c r="AD116" i="1" a="1"/>
  <c r="AD116" i="1" s="1"/>
  <c r="AD117" i="1" a="1"/>
  <c r="AD117" i="1" s="1"/>
  <c r="AD118" i="1" a="1"/>
  <c r="AD118" i="1" s="1"/>
  <c r="AD119" i="1" a="1"/>
  <c r="AD119" i="1" s="1"/>
  <c r="AD120" i="1" a="1"/>
  <c r="AD120" i="1" s="1"/>
  <c r="AD121" i="1" a="1"/>
  <c r="AD121" i="1" s="1"/>
  <c r="AD122" i="1" a="1"/>
  <c r="AD122" i="1" s="1"/>
  <c r="AD123" i="1" a="1"/>
  <c r="AD123" i="1" s="1"/>
  <c r="AD124" i="1" a="1"/>
  <c r="AD124" i="1" s="1"/>
  <c r="AD125" i="1" a="1"/>
  <c r="AD125" i="1" s="1"/>
  <c r="AD126" i="1" a="1"/>
  <c r="AD126" i="1" s="1"/>
  <c r="AD127" i="1" a="1"/>
  <c r="AD127" i="1" s="1"/>
  <c r="AD128" i="1" a="1"/>
  <c r="AD128" i="1" s="1"/>
  <c r="AD129" i="1" a="1"/>
  <c r="AD129" i="1" s="1"/>
  <c r="AD130" i="1" a="1"/>
  <c r="AD130" i="1" s="1"/>
  <c r="AD131" i="1" a="1"/>
  <c r="AD131" i="1" s="1"/>
  <c r="AD132" i="1" a="1"/>
  <c r="AD132" i="1" s="1"/>
  <c r="AD133" i="1" a="1"/>
  <c r="AD133" i="1" s="1"/>
  <c r="AD134" i="1" a="1"/>
  <c r="AD134" i="1" s="1"/>
  <c r="AD135" i="1" a="1"/>
  <c r="AD135" i="1" s="1"/>
  <c r="AD136" i="1" a="1"/>
  <c r="AD136" i="1" s="1"/>
  <c r="AD137" i="1" a="1"/>
  <c r="AD137" i="1" s="1"/>
  <c r="AD138" i="1" a="1"/>
  <c r="AD138" i="1" s="1"/>
  <c r="AD139" i="1" a="1"/>
  <c r="AD139" i="1" s="1"/>
  <c r="AD140" i="1" a="1"/>
  <c r="AD140" i="1" s="1"/>
  <c r="AD141" i="1" a="1"/>
  <c r="AD141" i="1" s="1"/>
  <c r="AD142" i="1" a="1"/>
  <c r="AD142" i="1" s="1"/>
  <c r="AD143" i="1" a="1"/>
  <c r="AD143" i="1" s="1"/>
  <c r="AD144" i="1" a="1"/>
  <c r="AD144" i="1" s="1"/>
  <c r="AD145" i="1" a="1"/>
  <c r="AD145" i="1" s="1"/>
  <c r="AD146" i="1" a="1"/>
  <c r="AD146" i="1" s="1"/>
  <c r="AD147" i="1" a="1"/>
  <c r="AD147" i="1" s="1"/>
  <c r="AD148" i="1" a="1"/>
  <c r="AD148" i="1" s="1"/>
  <c r="AD149" i="1" a="1"/>
  <c r="AD149" i="1" s="1"/>
  <c r="AD150" i="1" a="1"/>
  <c r="AD150" i="1" s="1"/>
  <c r="AD151" i="1" a="1"/>
  <c r="AD151" i="1" s="1"/>
  <c r="AD152" i="1" a="1"/>
  <c r="AD152" i="1" s="1"/>
  <c r="AD153" i="1" a="1"/>
  <c r="AD153" i="1" s="1"/>
  <c r="AD154" i="1" a="1"/>
  <c r="AD154" i="1" s="1"/>
  <c r="AD155" i="1" a="1"/>
  <c r="AD155" i="1" s="1"/>
  <c r="AD156" i="1" a="1"/>
  <c r="AD156" i="1" s="1"/>
  <c r="AD157" i="1" a="1"/>
  <c r="AD157" i="1" s="1"/>
  <c r="AD158" i="1" a="1"/>
  <c r="AD158" i="1" s="1"/>
  <c r="AD159" i="1" a="1"/>
  <c r="AD159" i="1" s="1"/>
  <c r="AD160" i="1" a="1"/>
  <c r="AD160" i="1" s="1"/>
  <c r="AD161" i="1" a="1"/>
  <c r="AD161" i="1" s="1"/>
  <c r="AD162" i="1" a="1"/>
  <c r="AD162" i="1" s="1"/>
  <c r="AD163" i="1" a="1"/>
  <c r="AD163" i="1" s="1"/>
  <c r="AD164" i="1" a="1"/>
  <c r="AD164" i="1" s="1"/>
  <c r="AD165" i="1" a="1"/>
  <c r="AD165" i="1" s="1"/>
  <c r="AD166" i="1" a="1"/>
  <c r="AD166" i="1" s="1"/>
  <c r="AD167" i="1" a="1"/>
  <c r="AD167" i="1" s="1"/>
  <c r="AD168" i="1" a="1"/>
  <c r="AD168" i="1" s="1"/>
  <c r="AD169" i="1" a="1"/>
  <c r="AD169" i="1" s="1"/>
  <c r="AD170" i="1" a="1"/>
  <c r="AD170" i="1" s="1"/>
  <c r="AD171" i="1" a="1"/>
  <c r="AD171" i="1" s="1"/>
  <c r="AD172" i="1" a="1"/>
  <c r="AD172" i="1" s="1"/>
  <c r="AD173" i="1" a="1"/>
  <c r="AD173" i="1" s="1"/>
  <c r="AD174" i="1" a="1"/>
  <c r="AD174" i="1" s="1"/>
  <c r="AD175" i="1" a="1"/>
  <c r="AD175" i="1" s="1"/>
  <c r="AD176" i="1" a="1"/>
  <c r="AD176" i="1" s="1"/>
  <c r="AD177" i="1" a="1"/>
  <c r="AD177" i="1" s="1"/>
  <c r="AD178" i="1" a="1"/>
  <c r="AD178" i="1" s="1"/>
  <c r="AD179" i="1" a="1"/>
  <c r="AD179" i="1" s="1"/>
  <c r="AD180" i="1" a="1"/>
  <c r="AD180" i="1" s="1"/>
  <c r="AE3" i="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s="1"/>
  <c r="AE25" i="1" a="1"/>
  <c r="AE25" i="1" s="1"/>
  <c r="AE26" i="1" a="1"/>
  <c r="AE26" i="1" s="1"/>
  <c r="AE27" i="1" a="1"/>
  <c r="AE27" i="1" s="1"/>
  <c r="AE28" i="1" a="1"/>
  <c r="AE28" i="1" s="1"/>
  <c r="AE29" i="1" a="1"/>
  <c r="AE29" i="1" s="1"/>
  <c r="AE30" i="1" a="1"/>
  <c r="AE30" i="1" s="1"/>
  <c r="AE31" i="1" a="1"/>
  <c r="AE31" i="1" s="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s="1"/>
  <c r="AE50" i="1" a="1"/>
  <c r="AE50" i="1" s="1"/>
  <c r="AE51" i="1" a="1"/>
  <c r="AE51" i="1" s="1"/>
  <c r="AE52" i="1" a="1"/>
  <c r="AE52" i="1" s="1"/>
  <c r="AE53" i="1" a="1"/>
  <c r="AE53" i="1" s="1"/>
  <c r="AE54" i="1" a="1"/>
  <c r="AE54" i="1" s="1"/>
  <c r="AE55" i="1" a="1"/>
  <c r="AE55" i="1" s="1"/>
  <c r="AE56" i="1" a="1"/>
  <c r="AE56" i="1" s="1"/>
  <c r="AE57" i="1" a="1"/>
  <c r="AE57" i="1" s="1"/>
  <c r="AE58" i="1" a="1"/>
  <c r="AE58" i="1" s="1"/>
  <c r="AE59" i="1" a="1"/>
  <c r="AE59" i="1" s="1"/>
  <c r="AE60" i="1" a="1"/>
  <c r="AE60" i="1" s="1"/>
  <c r="AE61" i="1" a="1"/>
  <c r="AE61" i="1" s="1"/>
  <c r="AE62" i="1" a="1"/>
  <c r="AE62" i="1" s="1"/>
  <c r="AE63" i="1" a="1"/>
  <c r="AE63" i="1" s="1"/>
  <c r="AE64" i="1" a="1"/>
  <c r="AE64" i="1" s="1"/>
  <c r="AE65" i="1" a="1"/>
  <c r="AE65" i="1" s="1"/>
  <c r="AE66" i="1" a="1"/>
  <c r="AE66" i="1" s="1"/>
  <c r="AE67" i="1" a="1"/>
  <c r="AE67" i="1" s="1"/>
  <c r="AE68" i="1" a="1"/>
  <c r="AE68" i="1" s="1"/>
  <c r="AE69" i="1" a="1"/>
  <c r="AE69" i="1" s="1"/>
  <c r="AE70" i="1" a="1"/>
  <c r="AE70" i="1" s="1"/>
  <c r="AE71" i="1" a="1"/>
  <c r="AE71" i="1" s="1"/>
  <c r="AE72" i="1" a="1"/>
  <c r="AE72" i="1" s="1"/>
  <c r="AE73" i="1" a="1"/>
  <c r="AE73" i="1" s="1"/>
  <c r="AE74" i="1" a="1"/>
  <c r="AE74" i="1" s="1"/>
  <c r="AE75" i="1" a="1"/>
  <c r="AE75" i="1" s="1"/>
  <c r="AE76" i="1" a="1"/>
  <c r="AE76" i="1" s="1"/>
  <c r="AE77" i="1" a="1"/>
  <c r="AE77" i="1" s="1"/>
  <c r="AE78" i="1" a="1"/>
  <c r="AE78" i="1" s="1"/>
  <c r="AE79" i="1" a="1"/>
  <c r="AE79" i="1" s="1"/>
  <c r="AE80" i="1" a="1"/>
  <c r="AE80" i="1" s="1"/>
  <c r="AE81" i="1" a="1"/>
  <c r="AE81" i="1" s="1"/>
  <c r="AE82" i="1" a="1"/>
  <c r="AE82" i="1" s="1"/>
  <c r="AE83" i="1" a="1"/>
  <c r="AE83" i="1" s="1"/>
  <c r="AE84" i="1" a="1"/>
  <c r="AE84" i="1" s="1"/>
  <c r="AE85" i="1" a="1"/>
  <c r="AE85" i="1" s="1"/>
  <c r="AE86" i="1" a="1"/>
  <c r="AE86" i="1" s="1"/>
  <c r="AE87" i="1" a="1"/>
  <c r="AE87" i="1" s="1"/>
  <c r="AE88" i="1" a="1"/>
  <c r="AE88" i="1" s="1"/>
  <c r="AE89" i="1" a="1"/>
  <c r="AE89" i="1" s="1"/>
  <c r="AE90" i="1" a="1"/>
  <c r="AE90" i="1" s="1"/>
  <c r="AE91" i="1" a="1"/>
  <c r="AE91" i="1" s="1"/>
  <c r="AE92" i="1" a="1"/>
  <c r="AE92" i="1" s="1"/>
  <c r="AE93" i="1" a="1"/>
  <c r="AE93" i="1" s="1"/>
  <c r="AE94" i="1" a="1"/>
  <c r="AE94" i="1" s="1"/>
  <c r="AE95" i="1" a="1"/>
  <c r="AE95" i="1" s="1"/>
  <c r="AE96" i="1" a="1"/>
  <c r="AE96" i="1" s="1"/>
  <c r="AE97" i="1" a="1"/>
  <c r="AE97" i="1" s="1"/>
  <c r="AE98" i="1" a="1"/>
  <c r="AE98" i="1" s="1"/>
  <c r="AE99" i="1" a="1"/>
  <c r="AE99" i="1" s="1"/>
  <c r="AE100" i="1" a="1"/>
  <c r="AE100" i="1" s="1"/>
  <c r="AE101" i="1" a="1"/>
  <c r="AE101" i="1" s="1"/>
  <c r="AE102" i="1" a="1"/>
  <c r="AE102" i="1" s="1"/>
  <c r="AE103" i="1" a="1"/>
  <c r="AE103" i="1" s="1"/>
  <c r="AE104" i="1" a="1"/>
  <c r="AE104" i="1" s="1"/>
  <c r="AE105" i="1" a="1"/>
  <c r="AE105" i="1" s="1"/>
  <c r="AE106" i="1" a="1"/>
  <c r="AE106" i="1" s="1"/>
  <c r="AE107" i="1" a="1"/>
  <c r="AE107" i="1" s="1"/>
  <c r="AE108" i="1" a="1"/>
  <c r="AE108" i="1" s="1"/>
  <c r="AE109" i="1" a="1"/>
  <c r="AE109" i="1" s="1"/>
  <c r="AE110" i="1" a="1"/>
  <c r="AE110" i="1" s="1"/>
  <c r="AE111" i="1" a="1"/>
  <c r="AE111" i="1" s="1"/>
  <c r="AE112" i="1" a="1"/>
  <c r="AE112" i="1" s="1"/>
  <c r="AE113" i="1" a="1"/>
  <c r="AE113" i="1" s="1"/>
  <c r="AE114" i="1" a="1"/>
  <c r="AE114" i="1" s="1"/>
  <c r="AE115" i="1" a="1"/>
  <c r="AE115" i="1" s="1"/>
  <c r="AE116" i="1" a="1"/>
  <c r="AE116" i="1" s="1"/>
  <c r="AE117" i="1" a="1"/>
  <c r="AE117" i="1" s="1"/>
  <c r="AE118" i="1" a="1"/>
  <c r="AE118" i="1" s="1"/>
  <c r="AE119" i="1" a="1"/>
  <c r="AE119" i="1" s="1"/>
  <c r="AE120" i="1" a="1"/>
  <c r="AE120" i="1" s="1"/>
  <c r="AE121" i="1" a="1"/>
  <c r="AE121" i="1" s="1"/>
  <c r="AE122" i="1" a="1"/>
  <c r="AE122" i="1" s="1"/>
  <c r="AE123" i="1" a="1"/>
  <c r="AE123" i="1" s="1"/>
  <c r="AE124" i="1" a="1"/>
  <c r="AE124" i="1" s="1"/>
  <c r="AE125" i="1" a="1"/>
  <c r="AE125" i="1" s="1"/>
  <c r="AE126" i="1" a="1"/>
  <c r="AE126" i="1" s="1"/>
  <c r="AE127" i="1" a="1"/>
  <c r="AE127" i="1" s="1"/>
  <c r="AE128" i="1" a="1"/>
  <c r="AE128" i="1" s="1"/>
  <c r="AE129" i="1" a="1"/>
  <c r="AE129" i="1" s="1"/>
  <c r="AE130" i="1" a="1"/>
  <c r="AE130" i="1" s="1"/>
  <c r="AE131" i="1" a="1"/>
  <c r="AE131" i="1" s="1"/>
  <c r="AE132" i="1" a="1"/>
  <c r="AE132" i="1" s="1"/>
  <c r="AE133" i="1" a="1"/>
  <c r="AE133" i="1" s="1"/>
  <c r="AE134" i="1" a="1"/>
  <c r="AE134" i="1" s="1"/>
  <c r="AE135" i="1" a="1"/>
  <c r="AE135" i="1" s="1"/>
  <c r="AE136" i="1" a="1"/>
  <c r="AE136" i="1" s="1"/>
  <c r="AE137" i="1" a="1"/>
  <c r="AE137" i="1" s="1"/>
  <c r="AE138" i="1" a="1"/>
  <c r="AE138" i="1" s="1"/>
  <c r="AE139" i="1" a="1"/>
  <c r="AE139" i="1" s="1"/>
  <c r="AE140" i="1" a="1"/>
  <c r="AE140" i="1" s="1"/>
  <c r="AE141" i="1" a="1"/>
  <c r="AE141" i="1" s="1"/>
  <c r="AE142" i="1" a="1"/>
  <c r="AE142" i="1" s="1"/>
  <c r="AE143" i="1" a="1"/>
  <c r="AE143" i="1" s="1"/>
  <c r="AE144" i="1" a="1"/>
  <c r="AE144" i="1" s="1"/>
  <c r="AE145" i="1" a="1"/>
  <c r="AE145" i="1" s="1"/>
  <c r="AE146" i="1" a="1"/>
  <c r="AE146" i="1" s="1"/>
  <c r="AE147" i="1" a="1"/>
  <c r="AE147" i="1" s="1"/>
  <c r="AE148" i="1" a="1"/>
  <c r="AE148" i="1" s="1"/>
  <c r="AE149" i="1" a="1"/>
  <c r="AE149" i="1" s="1"/>
  <c r="AE150" i="1" a="1"/>
  <c r="AE150" i="1" s="1"/>
  <c r="AE151" i="1" a="1"/>
  <c r="AE151" i="1" s="1"/>
  <c r="AE152" i="1" a="1"/>
  <c r="AE152" i="1" s="1"/>
  <c r="AE153" i="1" a="1"/>
  <c r="AE153" i="1" s="1"/>
  <c r="AE154" i="1" a="1"/>
  <c r="AE154" i="1" s="1"/>
  <c r="AE155" i="1" a="1"/>
  <c r="AE155" i="1" s="1"/>
  <c r="AE156" i="1" a="1"/>
  <c r="AE156" i="1" s="1"/>
  <c r="AE157" i="1" a="1"/>
  <c r="AE157" i="1" s="1"/>
  <c r="AE158" i="1" a="1"/>
  <c r="AE158" i="1" s="1"/>
  <c r="AE159" i="1" a="1"/>
  <c r="AE159" i="1" s="1"/>
  <c r="AE160" i="1" a="1"/>
  <c r="AE160" i="1" s="1"/>
  <c r="AE161" i="1" a="1"/>
  <c r="AE161" i="1" s="1"/>
  <c r="AE162" i="1" a="1"/>
  <c r="AE162" i="1" s="1"/>
  <c r="AE163" i="1" a="1"/>
  <c r="AE163" i="1" s="1"/>
  <c r="AE164" i="1" a="1"/>
  <c r="AE164" i="1" s="1"/>
  <c r="AE165" i="1" a="1"/>
  <c r="AE165" i="1" s="1"/>
  <c r="AE166" i="1" a="1"/>
  <c r="AE166" i="1" s="1"/>
  <c r="AE167" i="1" a="1"/>
  <c r="AE167" i="1" s="1"/>
  <c r="AE168" i="1" a="1"/>
  <c r="AE168" i="1" s="1"/>
  <c r="AE169" i="1" a="1"/>
  <c r="AE169" i="1" s="1"/>
  <c r="AE170" i="1" a="1"/>
  <c r="AE170" i="1" s="1"/>
  <c r="AE171" i="1" a="1"/>
  <c r="AE171" i="1" s="1"/>
  <c r="AE172" i="1" a="1"/>
  <c r="AE172" i="1" s="1"/>
  <c r="AE173" i="1" a="1"/>
  <c r="AE173" i="1" s="1"/>
  <c r="AE174" i="1" a="1"/>
  <c r="AE174" i="1" s="1"/>
  <c r="AE175" i="1" a="1"/>
  <c r="AE175" i="1" s="1"/>
  <c r="AE176" i="1" a="1"/>
  <c r="AE176" i="1" s="1"/>
  <c r="AE177" i="1" a="1"/>
  <c r="AE177" i="1" s="1"/>
  <c r="AE178" i="1" a="1"/>
  <c r="AE178" i="1" s="1"/>
  <c r="AE179" i="1" a="1"/>
  <c r="AE179" i="1" s="1"/>
  <c r="AE180" i="1" a="1"/>
  <c r="AE18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<sst xmlns="http://schemas.openxmlformats.org/spreadsheetml/2006/main" count="2226" uniqueCount="747">
  <si>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</si>
  <si>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</si>
  <si>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</si>
  <si>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</si>
  <si>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</si>
  <si>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</si>
  <si>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</si>
  <si>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</si>
  <si>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</si>
  <si>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</si>
  <si>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</si>
  <si>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</si>
  <si>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</si>
  <si>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</si>
  <si>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</si>
  <si>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</si>
  <si>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</si>
  <si>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</si>
  <si>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</si>
  <si>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</si>
  <si>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</si>
  <si>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TransactionName</t>
  </si>
  <si>
    <t>FieldName</t>
  </si>
  <si>
    <t>Mandatory</t>
  </si>
  <si>
    <t>API_4</t>
  </si>
  <si>
    <t>XPath</t>
  </si>
  <si>
    <t>BOD_1</t>
  </si>
  <si>
    <t>MappingNotes</t>
  </si>
  <si>
    <t>Responsible</t>
  </si>
  <si>
    <t>Required</t>
  </si>
  <si>
    <t>DefaultValue</t>
  </si>
  <si>
    <t>Herff Jones_4</t>
  </si>
  <si>
    <t>Definition</t>
  </si>
  <si>
    <t>Alternatives</t>
  </si>
  <si>
    <t>PromptPgm</t>
  </si>
  <si>
    <t>DG_Notes</t>
  </si>
  <si>
    <t>DG_Responsible</t>
  </si>
  <si>
    <t>DG_Required</t>
  </si>
  <si>
    <t>DG_Example</t>
  </si>
  <si>
    <t>Doppio_4</t>
  </si>
  <si>
    <t>CIDMAS</t>
  </si>
  <si>
    <t>IDCONO</t>
  </si>
  <si>
    <t>Company</t>
  </si>
  <si>
    <t>Decimal</t>
  </si>
  <si>
    <t>3</t>
  </si>
  <si>
    <t>Yes</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</si>
  <si>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</si>
  <si>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</si>
  <si>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</si>
  <si>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</si>
  <si>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IDSUNO</t>
  </si>
  <si>
    <t>Supplier</t>
  </si>
  <si>
    <t>String</t>
  </si>
  <si>
    <t>10</t>
  </si>
  <si>
    <t>CRS620</t>
  </si>
  <si>
    <t>E</t>
  </si>
  <si>
    <t>CRS620MI</t>
  </si>
  <si>
    <t>AddSupplier</t>
  </si>
  <si>
    <t>SUNO</t>
  </si>
  <si>
    <t>202868</t>
  </si>
  <si>
    <t>The field indicates the unique identity of a supplier.</t>
  </si>
  <si>
    <t>0000009629</t>
  </si>
  <si>
    <t>IDSUTY</t>
  </si>
  <si>
    <t>Supplier type</t>
  </si>
  <si>
    <t>1</t>
  </si>
  <si>
    <t>SUTY</t>
  </si>
  <si>
    <t>The field indicates a supplier type.</t>
  </si>
  <si>
    <t>0: Supplier
1: Agent
2: Only payee
3: Supplier group
5: Forwarding agent
6: Insurance company
7: Supplier for internal sales
8: Miscellaneous suppliers
9: Trade-in supplier</t>
  </si>
  <si>
    <t>IDSUNM</t>
  </si>
  <si>
    <t>Supplier name</t>
  </si>
  <si>
    <t>36</t>
  </si>
  <si>
    <t>SUNM</t>
  </si>
  <si>
    <t>EVOLVE SCHOLASTIC INC</t>
  </si>
  <si>
    <t>The field indicates supplier name, most often the supplier's company name.</t>
  </si>
  <si>
    <t>W.R. COBB COMPANY</t>
  </si>
  <si>
    <t>IDALSU</t>
  </si>
  <si>
    <t>Search key</t>
  </si>
  <si>
    <t>ALSU</t>
  </si>
  <si>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</si>
  <si>
    <t>W.R. COBB</t>
  </si>
  <si>
    <t>IDSTAT</t>
  </si>
  <si>
    <t>Status</t>
  </si>
  <si>
    <t>2</t>
  </si>
  <si>
    <t>STAT</t>
  </si>
  <si>
    <t>The field indicates the supplier status.</t>
  </si>
  <si>
    <t>05: Supplier template
10: Preliminary
20: Approved
30: Stopped
90: Deactivated (to be deleted).</t>
  </si>
  <si>
    <t>IDCORG</t>
  </si>
  <si>
    <t>Organization number 1</t>
  </si>
  <si>
    <t>11</t>
  </si>
  <si>
    <t>CORG</t>
  </si>
  <si>
    <t>The field indicates the customer's/supplier's/division's organization number.</t>
  </si>
  <si>
    <t>no</t>
  </si>
  <si>
    <t>IDCOR2</t>
  </si>
  <si>
    <t>Organization number 2</t>
  </si>
  <si>
    <t>COR2</t>
  </si>
  <si>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</si>
  <si>
    <t>IDLNCD</t>
  </si>
  <si>
    <t>Language</t>
  </si>
  <si>
    <t>LNCD</t>
  </si>
  <si>
    <t>GB</t>
  </si>
  <si>
    <t>The field indicates the language in which external documents are to be printed. Note that invoices in the order system are printed in the language indicated in (CRS610) for the invoice recipient.</t>
  </si>
  <si>
    <t>MNS105</t>
  </si>
  <si>
    <t>IDPHNO</t>
  </si>
  <si>
    <t>Telephone number 1</t>
  </si>
  <si>
    <t>16</t>
  </si>
  <si>
    <t>PHNO</t>
  </si>
  <si>
    <t>The field indicates the telephone number of the customer or supplier.</t>
  </si>
  <si>
    <t>IDPHN2</t>
  </si>
  <si>
    <t>Telephone number 2</t>
  </si>
  <si>
    <t>PHN2</t>
  </si>
  <si>
    <t>IDTLNO</t>
  </si>
  <si>
    <t>Telex number</t>
  </si>
  <si>
    <t>TLNO</t>
  </si>
  <si>
    <t>The field indicates the telex number of the supplier.</t>
  </si>
  <si>
    <t>IDTFNO</t>
  </si>
  <si>
    <t>Facsimile transmission number</t>
  </si>
  <si>
    <t>TFNO</t>
  </si>
  <si>
    <t>The field indicates a fax (facsimile) number for a customer, supplier or address.
If you are using automatic fax transmission, enter the number without any blank spaces.</t>
  </si>
  <si>
    <t>IDCSCD</t>
  </si>
  <si>
    <t>Country</t>
  </si>
  <si>
    <t>CSCD</t>
  </si>
  <si>
    <t>US</t>
  </si>
  <si>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</si>
  <si>
    <t>CRS045</t>
  </si>
  <si>
    <t>IDECAR</t>
  </si>
  <si>
    <t>State</t>
  </si>
  <si>
    <t>ECAR</t>
  </si>
  <si>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</si>
  <si>
    <t>CRS046</t>
  </si>
  <si>
    <t>IDDTFM</t>
  </si>
  <si>
    <t>Date format</t>
  </si>
  <si>
    <t>DTFM</t>
  </si>
  <si>
    <t>DMY</t>
  </si>
  <si>
    <t>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t>
  </si>
  <si>
    <t>YMD: YYMMDD (Year, Month, Day)
DMY: DDMMYY (Day, Month, Year)
MDY: MMDDYY (Month, Day, Year)
YWD: YYWWD (Year, Week, Weekday).</t>
  </si>
  <si>
    <t>IDEDIT</t>
  </si>
  <si>
    <t>Date editing</t>
  </si>
  <si>
    <t>EDIT</t>
  </si>
  <si>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</si>
  <si>
    <t>-: - used as a separator
/: / used as a separator
.: . used as a separator
blank: No separation</t>
  </si>
  <si>
    <t>IDVRNO</t>
  </si>
  <si>
    <t>VAT registration number</t>
  </si>
  <si>
    <t>VRNO</t>
  </si>
  <si>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</si>
  <si>
    <t>TXS070</t>
  </si>
  <si>
    <t>IDSUCO</t>
  </si>
  <si>
    <t>Supplier number within group</t>
  </si>
  <si>
    <t>SUCO</t>
  </si>
  <si>
    <t>The field indicates the supplier number that the company group uses for the supplier.</t>
  </si>
  <si>
    <t>IDSUAL</t>
  </si>
  <si>
    <t>Supplier alternate identity</t>
  </si>
  <si>
    <t>SUAL</t>
  </si>
  <si>
    <t>The field indicates the alternate identity of a supplier.</t>
  </si>
  <si>
    <t>IDSUCM</t>
  </si>
  <si>
    <t>Supplier computer communication address</t>
  </si>
  <si>
    <t>20</t>
  </si>
  <si>
    <t>SUCM</t>
  </si>
  <si>
    <t>The field indicates the supplier's identity during computer communication.</t>
  </si>
  <si>
    <t>IDMEPF</t>
  </si>
  <si>
    <t>Media profile</t>
  </si>
  <si>
    <t>MEPF</t>
  </si>
  <si>
    <t>This field indicates a media control object that is used as a filter in the media control table in (CRS945).
The media profile can be set in an M3 transaction, eg a purchase order, to be one of the media control components for a printout.
For example, if a media profile is set on a purchase order it will, together with the supplier number, serve as a media control object for the purchase order printout. If the combination does not exist in the media control table, the system searches for the media profile only. If neither that combination exists, the system searches for supplier number only. If none of these combinations exist, the system finally searches for a blank media profile and a blank supplier number. When a valid combination is found, the purchase order is printed for all media that are set for the valid combination.</t>
  </si>
  <si>
    <t>CRS033</t>
  </si>
  <si>
    <t>IDPODA</t>
  </si>
  <si>
    <t>Postal lead time - supplier</t>
  </si>
  <si>
    <t>PODA</t>
  </si>
  <si>
    <t>The field indicates the specific lead time required to send quotations and other documents via mail. This lead time is added to the total lead time in case the acquisition code is 2='Purchased'.</t>
  </si>
  <si>
    <t>IDCFI1</t>
  </si>
  <si>
    <t>User-defined field 1 - item</t>
  </si>
  <si>
    <t>F</t>
  </si>
  <si>
    <t>CFI1</t>
  </si>
  <si>
    <t>The field indicates user-defined text that can be used for selecting reports or for individual information.
Field headings for user-defined fields are defined in (CRS713).</t>
  </si>
  <si>
    <t>CRS181</t>
  </si>
  <si>
    <t>IDCFI2</t>
  </si>
  <si>
    <t>User-defined field 2 - item</t>
  </si>
  <si>
    <t>15</t>
  </si>
  <si>
    <t>CFI2</t>
  </si>
  <si>
    <t>IDCFI3</t>
  </si>
  <si>
    <t>User-defined field 3 - item</t>
  </si>
  <si>
    <t>CFI3</t>
  </si>
  <si>
    <t>CRS183</t>
  </si>
  <si>
    <t>IDCFI4</t>
  </si>
  <si>
    <t>User-defined field 4 - item</t>
  </si>
  <si>
    <t>5</t>
  </si>
  <si>
    <t>CFI4</t>
  </si>
  <si>
    <t>CRS184</t>
  </si>
  <si>
    <t>IDCFI5</t>
  </si>
  <si>
    <t>User-defined field 5 - item</t>
  </si>
  <si>
    <t>CFI5</t>
  </si>
  <si>
    <t>CRS185</t>
  </si>
  <si>
    <t>IDHAFE</t>
  </si>
  <si>
    <t>Harbor or airport</t>
  </si>
  <si>
    <t>6</t>
  </si>
  <si>
    <t>HAFE</t>
  </si>
  <si>
    <t>The field indicates the ID of the harbor or airport. It is used for reporting purposes in the trade statistics.
This information is only relevant for exports or imports when the goods do not pass any customs office at the border.</t>
  </si>
  <si>
    <t>CRS073</t>
  </si>
  <si>
    <t>IDDESV</t>
  </si>
  <si>
    <t>Alternate lang for option description</t>
  </si>
  <si>
    <t>DESV</t>
  </si>
  <si>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</si>
  <si>
    <t>IDTIZO</t>
  </si>
  <si>
    <t>Time zone</t>
  </si>
  <si>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</si>
  <si>
    <t>DRS045</t>
  </si>
  <si>
    <t>IDFWSC</t>
  </si>
  <si>
    <t>Forwarder SCAC</t>
  </si>
  <si>
    <t>4</t>
  </si>
  <si>
    <t>FWSC</t>
  </si>
  <si>
    <t>The field indicates Standard Carrier Alpha Code (SCAC). The SCAC is a four-letter alpha code that uniquely identifies a forwarder. SCAC codes are assigned and maintained by the National Motor Freight Traffic Association (NMFTA). The SCAC is printed on the bill of lading documents.</t>
  </si>
  <si>
    <t>IDTXID</t>
  </si>
  <si>
    <t>Text identity</t>
  </si>
  <si>
    <t>13</t>
  </si>
  <si>
    <t>The field indicates the text ID, which identifies comments made. It is updated automatically when entering comments.</t>
  </si>
  <si>
    <t>IDRGDT</t>
  </si>
  <si>
    <t>Entry date</t>
  </si>
  <si>
    <t>8</t>
  </si>
  <si>
    <t>The field indicates the date that the object was created. This date is set automatically.</t>
  </si>
  <si>
    <t>IDRGTM</t>
  </si>
  <si>
    <t>Entry time</t>
  </si>
  <si>
    <t>The field indicates the time each object was first entered. This time is set automatically.</t>
  </si>
  <si>
    <t>IDLMDT</t>
  </si>
  <si>
    <t>Change date</t>
  </si>
  <si>
    <t>The field indicates the date the record last was changed.</t>
  </si>
  <si>
    <t>IDCHNO</t>
  </si>
  <si>
    <t>Change number</t>
  </si>
  <si>
    <t>The field indicates a project change ID.</t>
  </si>
  <si>
    <t>IDCHID</t>
  </si>
  <si>
    <t>Changed by</t>
  </si>
  <si>
    <t>The field indicates the ID of the user that last changed the record. If the record has not been changed (change date = blank or equal to entry date), the ID of the user who created the record is displayed.</t>
  </si>
  <si>
    <t>IDPPIN</t>
  </si>
  <si>
    <t>Print packing instruction</t>
  </si>
  <si>
    <t>PPIN</t>
  </si>
  <si>
    <t>The field indicates how to activate the automatic printing of connected packing instructions when the purchase orders are printed.</t>
  </si>
  <si>
    <t>0: No automatic printout
1: Yes, automatic printout with How to Pack and Mark-for instructions
2: Yes, automatic printout with How to Pack instruction
3: Yes, automatic printout with Mark-for consignee instruction.</t>
  </si>
  <si>
    <t>IDLMTS</t>
  </si>
  <si>
    <t>Timestamp</t>
  </si>
  <si>
    <t>18</t>
  </si>
  <si>
    <t>IDGEOC</t>
  </si>
  <si>
    <t>Geographical code</t>
  </si>
  <si>
    <t>9</t>
  </si>
  <si>
    <t>GEOC</t>
  </si>
  <si>
    <t>The field indicates the geographical code used when calculating M3 sales tax.</t>
  </si>
  <si>
    <t>CRS137</t>
  </si>
  <si>
    <t>IDRASN</t>
  </si>
  <si>
    <t>Rail station</t>
  </si>
  <si>
    <t>RASN</t>
  </si>
  <si>
    <t>The field indicates the ID of the railway station.</t>
  </si>
  <si>
    <t>CRS061</t>
  </si>
  <si>
    <t>CIDVEN</t>
  </si>
  <si>
    <t>IICONO</t>
  </si>
  <si>
    <t>IISUNO</t>
  </si>
  <si>
    <t>IISUCL</t>
  </si>
  <si>
    <t>Supplier group</t>
  </si>
  <si>
    <t>CRS624</t>
  </si>
  <si>
    <t>SUCL</t>
  </si>
  <si>
    <t>INT</t>
  </si>
  <si>
    <t>The field indicates supplier group specified for each supplier. Valid supplier categories must be defined in (CRS150).
Supplier group is an optional classification of suppliers and is used as a selection identity for sorting orders and printouts.</t>
  </si>
  <si>
    <t>CRS150</t>
  </si>
  <si>
    <t>IIBUYE</t>
  </si>
  <si>
    <t>Buyer</t>
  </si>
  <si>
    <t>BUYE</t>
  </si>
  <si>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</si>
  <si>
    <t>IIRESP</t>
  </si>
  <si>
    <t>RESP</t>
  </si>
  <si>
    <t>The field indicates a unique user ID.
The ID can be used for selection and sorting.</t>
  </si>
  <si>
    <t>MNS150</t>
  </si>
  <si>
    <t>IIQUCL</t>
  </si>
  <si>
    <t>Quality class</t>
  </si>
  <si>
    <t>QUCL</t>
  </si>
  <si>
    <t>The field indicates a quality class, which is used to classify one of the following:</t>
  </si>
  <si>
    <t>PPS020</t>
  </si>
  <si>
    <t>IIABSK</t>
  </si>
  <si>
    <t>ABC class - supplier</t>
  </si>
  <si>
    <t>ABSK</t>
  </si>
  <si>
    <t>The field indicates a supplier's ABC-class.
The ABC-class is used to classify suppliers and is based on the yearly purchase volume when it is calculated automatically. You may also enter the ABC-class manually (method 0).</t>
  </si>
  <si>
    <t>IIABSM</t>
  </si>
  <si>
    <t>ABC method - supplier</t>
  </si>
  <si>
    <t>ABSM</t>
  </si>
  <si>
    <t>Select the check box to update the ABC class automatically.
If you do not select the check box then the ABS class is updated manually.</t>
  </si>
  <si>
    <t>IISCNO</t>
  </si>
  <si>
    <t>Supplier's customer number</t>
  </si>
  <si>
    <t>SCNO</t>
  </si>
  <si>
    <t>The field indicates the supplier's customer number.
A supplier may also be a customer in (CRS610). If that is the case, you probably want to be able to net your debts and claims and only pay the difference. By entering the supplier customer number in (CRS624/E), the customer invoices of the supplier will automatically appear as credit invoices in the payment proposal. Any credit invoices in accounts receivable (AR) are included as debit invoices.
AR invoices are included with their full invoice amounts without deductions for VAT or cash discount. You can easily identify them: To each AR record in the proposal, the comment "From Accounts Receivable" is added, together with the supplierâs customer number.
If there are only customer and supplier credit invoices in the proposal or the total amount of the credit invoices exceeds the total amount of the debit supplier invoices, the difference can be paid to the supplier. This can apply to bonus or commission payments, for example. In what form this amount is paid (check, bank transfer etc.) depends on the default payment method for the supplier in (CRS624/F). That is, the original payment methods for the AR records are overruled.
The following factors determine which AR invoices are included in the payment proposal:</t>
  </si>
  <si>
    <t>IIOUCN</t>
  </si>
  <si>
    <t>Our customer number at supplier</t>
  </si>
  <si>
    <t>OUCN</t>
  </si>
  <si>
    <t>The field indicates our customer number at supplier, which is the customer number our supplier uses as identity for us.</t>
  </si>
  <si>
    <t>IIPRSU</t>
  </si>
  <si>
    <t>Payee</t>
  </si>
  <si>
    <t>PRSU</t>
  </si>
  <si>
    <t>The field indicates a valid supplier number for the supplier that should receive the payment. Payee is entered only if the supplier and the payee are not the same legal entity.</t>
  </si>
  <si>
    <t>IICOBI</t>
  </si>
  <si>
    <t>Group of companies</t>
  </si>
  <si>
    <t>COBI</t>
  </si>
  <si>
    <t>The field indicates the company group to which a supplier belongs.
The company group must be defined in (CRS620).</t>
  </si>
  <si>
    <t>IIAGNT</t>
  </si>
  <si>
    <t>Recipient agreement type 1 - commission</t>
  </si>
  <si>
    <t>AGNT</t>
  </si>
  <si>
    <t>The field indicates the agent's number.
The agent number from the supplier file is displayed by default on the purchase order if specified by the order type.
If the agent number is specified on the purchase order, the following documents will be addressed to the agent:</t>
  </si>
  <si>
    <t>IIORTY</t>
  </si>
  <si>
    <t>Order type</t>
  </si>
  <si>
    <t>ORTY</t>
  </si>
  <si>
    <t>D01</t>
  </si>
  <si>
    <t>The field indicates an order type which is a combined ID for settings that determine how the order is processed during order entry and in the processing flow.
Order types are defined per order category in the following programs:</t>
  </si>
  <si>
    <t>MOS120</t>
  </si>
  <si>
    <t>IICUCD</t>
  </si>
  <si>
    <t>Currency</t>
  </si>
  <si>
    <t>CUCD</t>
  </si>
  <si>
    <t>USD</t>
  </si>
  <si>
    <t>The field indicates the abbreviation for the currency. The abbreviation must follow ISO standards.</t>
  </si>
  <si>
    <t>CRS053</t>
  </si>
  <si>
    <t>IICRTP</t>
  </si>
  <si>
    <t>Exchange rate type</t>
  </si>
  <si>
    <t>CRTP</t>
  </si>
  <si>
    <t>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t>
  </si>
  <si>
    <t>CRS056</t>
  </si>
  <si>
    <t>IIVTCD</t>
  </si>
  <si>
    <t>VAT code</t>
  </si>
  <si>
    <t>VTCD</t>
  </si>
  <si>
    <t>The field indicates a VAT code. The VAT code controls what VAT method and VAT rate to apply.
VAT codes are maintained in (CRS030).</t>
  </si>
  <si>
    <t>CRS030</t>
  </si>
  <si>
    <t>IITXAP</t>
  </si>
  <si>
    <t>Tax applicable</t>
  </si>
  <si>
    <t>TXAP</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</si>
  <si>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</si>
  <si>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</si>
  <si>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IIDCSM</t>
  </si>
  <si>
    <t>Discount calculation method</t>
  </si>
  <si>
    <t>DCSM</t>
  </si>
  <si>
    <t>The field indicates the method for calculating the discount which is used for the calculation of the purchase order line's total discount.
Select the check box for chain discount.
Don't select the check box for total discount.
The total discount is calculated as: D1 + D2 + D3
The chain discount is calculated as: (100-D1)*(100-D2)*(100-D3)
Where:
D1 = Discount defined by supplier
D2 = Discount defined by agreement
D3 = Discount defined by number/agreement</t>
  </si>
  <si>
    <t>IITEPY</t>
  </si>
  <si>
    <t>Payment terms</t>
  </si>
  <si>
    <t>TEPY</t>
  </si>
  <si>
    <t>N30</t>
  </si>
  <si>
    <t>The field indicates how the due date is to be calculated.</t>
  </si>
  <si>
    <t>CRS075</t>
  </si>
  <si>
    <t>IIPYME</t>
  </si>
  <si>
    <t>Payment method - accounts payable</t>
  </si>
  <si>
    <t>PYME</t>
  </si>
  <si>
    <t>CH1</t>
  </si>
  <si>
    <t>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t>
  </si>
  <si>
    <t>CRS071</t>
  </si>
  <si>
    <t>IITECD</t>
  </si>
  <si>
    <t>Cash discount term</t>
  </si>
  <si>
    <t>TECD</t>
  </si>
  <si>
    <t>The field indicates the terms for cash discount calculation.
Sets of different cash discount terms are defined in (CRS077).</t>
  </si>
  <si>
    <t>CRS077</t>
  </si>
  <si>
    <t>IITEDL</t>
  </si>
  <si>
    <t>Delivery terms</t>
  </si>
  <si>
    <t>TEDL</t>
  </si>
  <si>
    <t>FOB</t>
  </si>
  <si>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</si>
  <si>
    <t>CRS065</t>
  </si>
  <si>
    <t>IIMODL</t>
  </si>
  <si>
    <t>Delivery method</t>
  </si>
  <si>
    <t>MODL</t>
  </si>
  <si>
    <t>The field indicates how the delivery is made.
Valid values are defined in (CRS070).</t>
  </si>
  <si>
    <t>CRS070</t>
  </si>
  <si>
    <t>003</t>
  </si>
  <si>
    <t>IITEPA</t>
  </si>
  <si>
    <t>Packaging terms</t>
  </si>
  <si>
    <t>TEPA</t>
  </si>
  <si>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</si>
  <si>
    <t>CRS125</t>
  </si>
  <si>
    <t>001</t>
  </si>
  <si>
    <t>IITEAF</t>
  </si>
  <si>
    <t>Freight terms</t>
  </si>
  <si>
    <t>TEAF</t>
  </si>
  <si>
    <t>The field indicates the freight terms which apply for the delivered goods.</t>
  </si>
  <si>
    <t>CRS126</t>
  </si>
  <si>
    <t>IIDT4T</t>
  </si>
  <si>
    <t>Date type</t>
  </si>
  <si>
    <t>DT4T</t>
  </si>
  <si>
    <t>The field indicates the date type, which determines the date that is registered on the purchase order line.</t>
  </si>
  <si>
    <t>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</si>
  <si>
    <t>IIPACD</t>
  </si>
  <si>
    <t>Payment priority</t>
  </si>
  <si>
    <t>PACD</t>
  </si>
  <si>
    <t>The field indicates the payment priority.</t>
  </si>
  <si>
    <t>Blank: Not Used
A: Highest priority
1: Priority 1
2: Priority 2
3: Priority 3
4: Priority 4
5: Priority 5
6: Priority 6
7: Priority 7
8: Lowest Priority
9: Stopped</t>
  </si>
  <si>
    <t>IIIAPC</t>
  </si>
  <si>
    <t>Invoice approval condition 1</t>
  </si>
  <si>
    <t>IAPC</t>
  </si>
  <si>
    <t>The field indicates whether it is possible to enter the invoice as Invoiced/Goods not received when the invoice is matched to a PO in (APS100).</t>
  </si>
  <si>
    <t>0: No
1: Yes, for all items
2: Yes, but only for non-inventory items
3: Yes, but only for inventory items.</t>
  </si>
  <si>
    <t>IIIAPE</t>
  </si>
  <si>
    <t>Invoice approval condition 2</t>
  </si>
  <si>
    <t>IAPE</t>
  </si>
  <si>
    <t>The field indicates the value against which the invoice quantity is checked during the automatic invoice check.</t>
  </si>
  <si>
    <t>0: The received quantity
1: The put-away quantity. The default quantity displayed in (APS360/B) is the received quantity.
2: The put-away quantity. The default quantity displayed in (APS360/B) is the put-away quantity.</t>
  </si>
  <si>
    <t>IIIAPF</t>
  </si>
  <si>
    <t>Invoice approval condition 3</t>
  </si>
  <si>
    <t>IAPF</t>
  </si>
  <si>
    <t>The field indicates whether it is possible to create a debit note in the invoice matching routine.</t>
  </si>
  <si>
    <t>0: No
1: Yes. The debit note number is retrieved from number series 68-1.
2: Yes. The debit note number is entered manually; the current invoice number is used as the default value.
3: Yes. The debit note number is entered manually; the current invoice number, together with the suffix DN001 is used as the default value.
4: Yes. The debit note number is entered manually. No default value is displayed.</t>
  </si>
  <si>
    <t>IIIAPT</t>
  </si>
  <si>
    <t>Automatic invoice approval code</t>
  </si>
  <si>
    <t>IAPT</t>
  </si>
  <si>
    <t>The field indicates whether a goods receipt transaction is to be matched to an invoice line of type 2 (Invoiced/Goods not received) automatically.</t>
  </si>
  <si>
    <t>0: No
1: Yes, and retrieve the quantity from the goods receipt
2: Yes, and retrieve the quantity from the invoice line.</t>
  </si>
  <si>
    <t>IIFUSC</t>
  </si>
  <si>
    <t>Monitoring activity list</t>
  </si>
  <si>
    <t>FUSC</t>
  </si>
  <si>
    <t>The field indicates a list with actions to be performed for a given purchase order.
The action date for each action is specified as days before/after the delivery date or order date.</t>
  </si>
  <si>
    <t>PPS035</t>
  </si>
  <si>
    <t>IISPFC</t>
  </si>
  <si>
    <t>Monitoring class</t>
  </si>
  <si>
    <t>SPFC</t>
  </si>
  <si>
    <t>The field indicates the level of monitoring of the supplier during supplier follow-up.
Monitoring classes are defined in (PPS050). A monitor class is a selection key in a monitoring list.</t>
  </si>
  <si>
    <t>PPS050</t>
  </si>
  <si>
    <t>IISHST</t>
  </si>
  <si>
    <t>Shipment table</t>
  </si>
  <si>
    <t>SHST</t>
  </si>
  <si>
    <t>The field indicates if the shipment table should be used to adjust delivery times on the purchase order.</t>
  </si>
  <si>
    <t>0: No.
1: Yes, as information.
2: Yes, use calendar control in item/warehouse when creating planned PO. When entering PO manually, a warning will be given.</t>
  </si>
  <si>
    <t>IIPSTM</t>
  </si>
  <si>
    <t>Pseudo identity</t>
  </si>
  <si>
    <t>The field indicates a freely-defined abbreviation of values in some or all of the seven accounting dimensions.</t>
  </si>
  <si>
    <t>IISUST</t>
  </si>
  <si>
    <t>Supplier statistics</t>
  </si>
  <si>
    <t>SUST</t>
  </si>
  <si>
    <t>Select the check box if statistics are to be calculated for the supplier.</t>
  </si>
  <si>
    <t>IISUSY</t>
  </si>
  <si>
    <t>Number of years of statistics</t>
  </si>
  <si>
    <t>SUSY</t>
  </si>
  <si>
    <t>The field indicates the number of years accumulated supplier statistics are to be saved.</t>
  </si>
  <si>
    <t>IIREGR</t>
  </si>
  <si>
    <t>Invoice accounting template</t>
  </si>
  <si>
    <t>REGR</t>
  </si>
  <si>
    <t>The field indicates a pseudo ID that corresponds to an accounting string.
When customer invoices are entered, accounting strings are proposed by default from the template which was specified for the FAM function.
When supplier invoices are entered, accounting strings are proposed by default from the template which was specified for the supplier.
The account entries are prepared by specifying an amount for each accounting string.</t>
  </si>
  <si>
    <t>CRS455</t>
  </si>
  <si>
    <t>IIACRF</t>
  </si>
  <si>
    <t>User-defined accounting control object</t>
  </si>
  <si>
    <t>ACRF</t>
  </si>
  <si>
    <t>The field is user-defined, but is most often used to control account entries. It is therefore an accounting object that can be verified and changed in (CRS335).</t>
  </si>
  <si>
    <t>CRS335</t>
  </si>
  <si>
    <t>IICFI1</t>
  </si>
  <si>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</si>
  <si>
    <t>IICFI2</t>
  </si>
  <si>
    <t>IICFI3</t>
  </si>
  <si>
    <t>IICFI4</t>
  </si>
  <si>
    <t>IICFI5</t>
  </si>
  <si>
    <t>IIPTDY</t>
  </si>
  <si>
    <t>Tolerance - payment</t>
  </si>
  <si>
    <t>PTDY</t>
  </si>
  <si>
    <t>The field indicates how many days after the due date an invoice may be paid without extra charges.</t>
  </si>
  <si>
    <t>IIDTDY</t>
  </si>
  <si>
    <t>Tolerance - delivery date</t>
  </si>
  <si>
    <t>DTDY</t>
  </si>
  <si>
    <t>The field indicates the number of days an early or late delivery can be accepted as delivered on time.</t>
  </si>
  <si>
    <t>IILIDT</t>
  </si>
  <si>
    <t>Not used</t>
  </si>
  <si>
    <t>The field indicates the date when the last invoice was either created for this order, or when it was entered for the current customer or payer.</t>
  </si>
  <si>
    <t>IISHAC</t>
  </si>
  <si>
    <t>Shipment advice</t>
  </si>
  <si>
    <t>SHAC</t>
  </si>
  <si>
    <t>The field indicates by which method the supplier will send a shipment advice.</t>
  </si>
  <si>
    <t>0: Reported manually via (PPS260) or (PPS220)
1: Received via EDI (MHS850)
2: Reported manually via (PPS220) or (PPS260). A delivery note is automatically updated in (PPS360) per delivery note number and delivery note date. Parameter 730 must be selected in (PPS095).</t>
  </si>
  <si>
    <t>IIGRPY</t>
  </si>
  <si>
    <t>Group invoice</t>
  </si>
  <si>
    <t>Select the check box if several invoices are to be grouped together to create one payment document for this customer.</t>
  </si>
  <si>
    <t>IISERS</t>
  </si>
  <si>
    <t>Service code</t>
  </si>
  <si>
    <t>SERS</t>
  </si>
  <si>
    <t>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t>
  </si>
  <si>
    <t>CRS063</t>
  </si>
  <si>
    <t>IISUGR</t>
  </si>
  <si>
    <t>Statistical supplier</t>
  </si>
  <si>
    <t>SUGR</t>
  </si>
  <si>
    <t>The field indicates a statistical ID for purchase order statistics.
A statistical supplier may be entered for each supplier number in (CRS624). If none is entered, the purchase order's supplier number will update the statistical supplier field in the purchase order statistics.</t>
  </si>
  <si>
    <t>IITAXC</t>
  </si>
  <si>
    <t>Tax code customer/address</t>
  </si>
  <si>
    <t>TAXC</t>
  </si>
  <si>
    <t>The field indicates if an item, charge, customer or ship-to location is taxable or not.
The tax code is used to calculate US sales tax.</t>
  </si>
  <si>
    <t>CRS130</t>
  </si>
  <si>
    <t>IIPWMT</t>
  </si>
  <si>
    <t>PIN code</t>
  </si>
  <si>
    <t>PWMT</t>
  </si>
  <si>
    <t>The field is used to enter a password for an M3 telephone order, Internet order or a point-of-sales ticket. The password is entered by the customer or the sales person when an order or sales ticket is being placed.</t>
  </si>
  <si>
    <t>IITXID</t>
  </si>
  <si>
    <t>IITDCD</t>
  </si>
  <si>
    <t>Trade code</t>
  </si>
  <si>
    <t>TDCD</t>
  </si>
  <si>
    <t>The field indicates a code that denotes a type of trade.
Most countries require statistics on international trade. Each company reports what it has paid to suppliers in other countries, categorized by material, services, and so on.
Trade codes, which are used for reporting and statistics purposes, are defined in (APS010). Suppliers are connected to a trade code in (CRS624). The trade code is defaulted (but can be changed) for the supplier when processing transactions such as recording invoices in (APS100), creating payment proposals in (APS130) or (APS630), or others. Trade codes can be changed manually for an invoice in (APS201).</t>
  </si>
  <si>
    <t>APS010</t>
  </si>
  <si>
    <t>IIPOOT</t>
  </si>
  <si>
    <t>Point of time table</t>
  </si>
  <si>
    <t>POOT</t>
  </si>
  <si>
    <t>The field indicates the ID of a time table containing planning points specified in days, hours, and minutes. The table type determines how the time table is used.
A time table of table type 10 is used to calculate the total sum of the requirements when order policy 15 is used in MRP. Order policy 15 does not support planning policy parameter 440 Planning level = '2-Attribute level' on (MMS037/I).
A time table of table type 20 is used as a supplier calendar when purchase orders are created in MRP.
A time table of table type 30 is used to group deliveries to allow usage of forecast pacing in delivery windows.
A time table of table type 40 is used to group orders to enable order monitoring and forecast pacing.
A time table of table type 50 is used to calculate the expiry date within a period bucket when the expiry date table on (MMS002/I) is filled.
Time tables are created in (RPS080). When defining a time table, you can use facility, warehouse, and table type to control the extent of its validity. This means that the same time table ID can be used in different situations and have different settings.</t>
  </si>
  <si>
    <t xml:space="preserve">: </t>
  </si>
  <si>
    <t>RPS080</t>
  </si>
  <si>
    <t>IIATPR</t>
  </si>
  <si>
    <t>Attribute pricing rule</t>
  </si>
  <si>
    <t>ATPR</t>
  </si>
  <si>
    <t>The field indicates which rule should be used when calculating attribute-based prices or charges.</t>
  </si>
  <si>
    <t>1: Expected attribute values are used as base
2: Actual attribute values are used as base.</t>
  </si>
  <si>
    <t>IIDTCD</t>
  </si>
  <si>
    <t>Date code</t>
  </si>
  <si>
    <t>DTCD</t>
  </si>
  <si>
    <t>The field indicates which date on the purchase order is to be used as the comparison date for the agreement's From and To dates. This is used to obtain the correct agreement number and therefore the correct price.</t>
  </si>
  <si>
    <t>1: Order date
2: Requested delivery date.</t>
  </si>
  <si>
    <t>IISBPE</t>
  </si>
  <si>
    <t>Self-billing permitted</t>
  </si>
  <si>
    <t>SBPE</t>
  </si>
  <si>
    <t>Select the check box if self-billing is permitted for the current supplier.</t>
  </si>
  <si>
    <t>IITAME</t>
  </si>
  <si>
    <t>Tax withholding method</t>
  </si>
  <si>
    <t>TAME</t>
  </si>
  <si>
    <t>The field indicates whether the system calculates and books supplier tax withheld at the source when the company registers or pays invoices from certain suppliers.
Which alternatives that are available depends on whether the calculation is based on standard service codes or on flexible service codes, as defined by the field '260 Withholding tax using flexible service codes' on (APS905/F).
If the 260 field is set to 0, all tax withholding methods are available. The withholding tax is then based on the standard service code selected for the supplier on (CRS624/F). This standard service code is automatically applied to the base amount, in this case the entire supplier invoice total (transaction code 40), VAT excluded. However, you can override this standard service code for tax withholding methods 1â3 by manually selecting a separate service code for each offsetting expense invoice line respectively at invoice entry in (APS100) and (APS050) or at purchase matching in (APS360). In such a case, the base amount for the tax calculation is the total of the offsetting expense invoice lines that has a service code. Whether this base amount includes any VAT depends on the withholding method selected: withholding method 1 includes VAT in the base amount whereas withholding methods 2 and 3 excludes VAT. For tax withholding method 4, the company defines per service code in (CRS063) which amount to use as the base amount: the net amount, excluding any VAT, or the gross amount, with VAT included.
If the 260 field in (APS905) is set to 1 or 2, only tax withholding method 2 is available. The system then always, without exception, instead applies the flexible service codes connected to each supplier respectively in (CRS664). The base amount of the calculation is the invoice gross, net, or VAT amount, before any payment deductions are made: cash discounts, user-made write-offs in (APS120) or adjustments due to rounding or payment tolerances.
If the 260 field in (APS905) is set to 3, the system applies the flexible service codes connected to each supplier respectively in (CRS664) who matches the service code restrictions specified in (CRS663). For flexible service codes defined for a payment reporting level, the standard service code defined in the invoice header record is used for verification against restrictions, and the base amount of the calculation is the gross, net, or VAT amount of the invoice. For flexible service codes defined for an invoice reporting level, the standard service code defined at the invoice accounting line is used for verification against restrictions, and the base amount of the calculation is the gross, net, or VAT amount of the invoice accounting line.</t>
  </si>
  <si>
    <t>0: No.
1: No. However, the system automatically creates a record with the base amount in (APS425) when the company registers a supplier payment in (APS130), (APS630) or (APS120). No account entries for withholding tax are created. This alternative is available for standard service codes only.
2: Yes. The system automatically calculates and books the withholding tax when the company pays the supplier using (APS130), (APS630) or (APS120), or, if the 260 field in (APS905) is set to 3, when the company registers supplier invoices in (APS100) or (APS450), or recodes invoices in (APS110) or (APS450). A record with the withholding tax amount is automatically created in (APS425). This alternative is available both for standard service codes and flexible service codes.
3: Yes. The system automatically calculates and books the withholding tax when the company registers a supplier invoice in (APS100). A record with the withholding tax amount is automatically created in (APS425). When the supplier invoice is paid using (APS130), (APS630) or (APS120), the system creates additional records with the base amount paid in (APS425). This alternative is available for standard service codes only.
4: Yes. The system automatically calculates and books the withholding tax when the company registers a supplier invoice in (APS100) or an on-account payment in (APS120). A record with the withholding tax amount is automatically created in (APS425). This alternative is available for standard service codes only.</t>
  </si>
  <si>
    <t>IIWIPR</t>
  </si>
  <si>
    <t>Tax withholding percentage</t>
  </si>
  <si>
    <t>IITIDN</t>
  </si>
  <si>
    <t>Tax ID number for supplier</t>
  </si>
  <si>
    <t>IITINO</t>
  </si>
  <si>
    <t>Tax ID for supplier</t>
  </si>
  <si>
    <t>TINO</t>
  </si>
  <si>
    <t>The field indicates the tax registration number of the company.</t>
  </si>
  <si>
    <t>IIAVCD</t>
  </si>
  <si>
    <t>Activity code</t>
  </si>
  <si>
    <t>AVCD</t>
  </si>
  <si>
    <t>The field indicates a user-defined activity code.
This code, which is used for tax reporting purposes â in France, among other countries â is automatically included in the supplier tax reports created in (APS430).
To ensure that all suppliers with a certain service code in (CRS624) have the same activity code, you can enter the activity code directly for that service code in (CRS063). If you do not define an activity code for the service code, the supplier can be connected to an optional activity code in (CRS624).
In France, activity code NP represents physical persons ("personnes physiques") whereas activity code RS represents companies ("entreprises and personnes morales").</t>
  </si>
  <si>
    <t>APS025</t>
  </si>
  <si>
    <t>IICINP</t>
  </si>
  <si>
    <t>Claim invoice permitted</t>
  </si>
  <si>
    <t>CINP</t>
  </si>
  <si>
    <t>Select the check box to enable a supplier claim invoice. The creation and handling of supplier claim invoices is controlled by the settings defined in (PPS122).</t>
  </si>
  <si>
    <t>IISCIS</t>
  </si>
  <si>
    <t>Rebate claim invoice setting ID</t>
  </si>
  <si>
    <t>SCIS</t>
  </si>
  <si>
    <t>The field indicates the unique identity of the claim settings. The field is retrieved from the supplier in the following order of priority:
1 = (MFS620/E)
2 = (CRS624/E)</t>
  </si>
  <si>
    <t>PPS122</t>
  </si>
  <si>
    <t>IIRGDT</t>
  </si>
  <si>
    <t>IIRGTM</t>
  </si>
  <si>
    <t>IILMDT</t>
  </si>
  <si>
    <t>IICHNO</t>
  </si>
  <si>
    <t>IICHID</t>
  </si>
  <si>
    <t>IILMTS</t>
  </si>
  <si>
    <t>IIPPLV</t>
  </si>
  <si>
    <t>Level of purchase planning</t>
  </si>
  <si>
    <t>PPLV</t>
  </si>
  <si>
    <t>The field indicates if (PPS190) can be used for purchase planning on an aggregated level.</t>
  </si>
  <si>
    <t>0: (PPS190) is not used for purchase planning.
1: (PPS190) can be used for purchase planning per product line and warehouse for this supplier. Settings must be created in (PPS195) for each valid combination.</t>
  </si>
  <si>
    <t>IICGRP</t>
  </si>
  <si>
    <t>Consolidation group</t>
  </si>
  <si>
    <t>CGRP</t>
  </si>
  <si>
    <t>The field indicates the purchase order consolidation group. The consolidation group is user defined and determines how planned purchase orders are consolidated into one or more purchase orders.
You can enter several purchase order consolidation groups and attach them to both the supplier and the purchase order type. The consolidation group is added to all planned purchase orders that are created. It is later used as a sorting order when planned purchase orders are released to discrete purchase orders.</t>
  </si>
  <si>
    <t>PPS019</t>
  </si>
  <si>
    <t>IITXIN</t>
  </si>
  <si>
    <t>Tax included</t>
  </si>
  <si>
    <t>TXIN</t>
  </si>
  <si>
    <t>Select the check box if sales tax or other tax surcharges are included on the supplier invoice.
Tax needs to be accrued on supplier invoices where parts and service work is applied to the own use of the business rather than for normal resales activities.
Some states require that other taxes and tax surcharges are accrued on the purchase of goods and services.
The company is responsible for reporting tax when the supplier has not added tax on the invoice.</t>
  </si>
  <si>
    <t>IIDTID</t>
  </si>
  <si>
    <t>Data identity</t>
  </si>
  <si>
    <t>The field indicates the unique key used to connect a detailed message with the original record.</t>
  </si>
  <si>
    <t>IIALCS</t>
  </si>
  <si>
    <t>Consignment agreement</t>
  </si>
  <si>
    <t>ALCS</t>
  </si>
  <si>
    <t>Select the check box to enable the creation of a consignment agreement for this supplier.</t>
  </si>
  <si>
    <t>IIIFAC</t>
  </si>
  <si>
    <t>Internal sales facility</t>
  </si>
  <si>
    <t>IFAC</t>
  </si>
  <si>
    <t>The field indicates the company unit that will own the internal customer orders or internal rental agreements for a given supplier.
The default value for the facility is retrieved from the customer order at CO entry. If the field is left blank, the facility default rule defined per CO type in (OIS014) is applied.
For internal rental agreements, the default value for the facility is retrieved from the agreement header when the temporary agreement is created.
Facilities are defined in (CRS008).</t>
  </si>
  <si>
    <t>IISUWH</t>
  </si>
  <si>
    <t>Supplying warehouse</t>
  </si>
  <si>
    <t>SUWH</t>
  </si>
  <si>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</si>
  <si>
    <t>IIAUCD</t>
  </si>
  <si>
    <t>Disable auto confirm - internal sales</t>
  </si>
  <si>
    <t>AUCD</t>
  </si>
  <si>
    <t>Select the check box if automatic confirmation should be disabled for the supplier. Automatic confirmation indicates an automatic synchronization of commercial and logistic elements, such as quantity, price, and delivery terms, between the customer order and the purchase order in the internal sales flow. This is performed via an automatic confirmation of the customer order when the picking lists are issued. When the picking lists have been issued, the delivery note is created in (PPS360), resulting in one or more advised PO lines.
The automatic CO confirmation is activated per division in (CRS780), but can be disabled for a specific supplier in (CRS624). If the check box in (CRS624) is not selected and automatic confirmation is set to 1 in (CRS780), automatic confirmation takes place.</t>
  </si>
  <si>
    <t>IISRAM</t>
  </si>
  <si>
    <t>Supplier rebate agreement model</t>
  </si>
  <si>
    <t>SRAM</t>
  </si>
  <si>
    <t>The field indicates a supplier rebate agreement model maintained in (PPS470).</t>
  </si>
  <si>
    <t>PPS470</t>
  </si>
  <si>
    <t>IISCIP</t>
  </si>
  <si>
    <t>Supplier rebate claim invoice permitted</t>
  </si>
  <si>
    <t>SCIP</t>
  </si>
  <si>
    <t>Select the check box in (CRS624/E) to enable a supplier claim invoice for supplier rebate on purchase. The creation and handling of supplier claim invoices is controlled by the settings defined in (PPS122).</t>
  </si>
  <si>
    <t>IISCIR</t>
  </si>
  <si>
    <t>Claim inv setting ID - sup reb on purch</t>
  </si>
  <si>
    <t>SCIR</t>
  </si>
  <si>
    <t>The field indicates the unique identity of the claim settings. This is used in claiming against the supplier rebate on purchase order. The field is retrieved from the supplier in the following order of priority:</t>
  </si>
  <si>
    <t>1: (MFS620/E)
2: (CRS624/E)</t>
  </si>
  <si>
    <t>IIAUTV</t>
  </si>
  <si>
    <t>Auto verified</t>
  </si>
  <si>
    <t>AUTV</t>
  </si>
  <si>
    <t>The field indicates the user ID that is used when automatic verification is performed for a supplier. This user must exist in (MNS150), and must also be authorized to work in the company and division in (MNS151) in (MFS620).
If a supplier has a user specified in this field, the supplier invoice is seen as automatically verified in the invoice approval process and not to be manually verified.</t>
  </si>
  <si>
    <t>CIDADR</t>
  </si>
  <si>
    <t>SACONO</t>
  </si>
  <si>
    <t>SASUNO</t>
  </si>
  <si>
    <t>CRS622</t>
  </si>
  <si>
    <t>AddAddress</t>
  </si>
  <si>
    <t>SAADTE</t>
  </si>
  <si>
    <t>Address type</t>
  </si>
  <si>
    <t>ADTE</t>
  </si>
  <si>
    <t>The field indicates the type of address to use.</t>
  </si>
  <si>
    <t>01: Postal address
02: Street address
03: Pickup address
04: Origin address
05: Final delivery address
10: Bank address</t>
  </si>
  <si>
    <t>SAADID</t>
  </si>
  <si>
    <t>Address number</t>
  </si>
  <si>
    <t>ADID</t>
  </si>
  <si>
    <t>The field indicates address number and is used to identify a record in the address file.
The address may contain up to 6 alphanumeric characters.</t>
  </si>
  <si>
    <t>OIS002</t>
  </si>
  <si>
    <t>000001</t>
  </si>
  <si>
    <t>SASTDT</t>
  </si>
  <si>
    <t>Start date</t>
  </si>
  <si>
    <t>STDT</t>
  </si>
  <si>
    <t>20250101</t>
  </si>
  <si>
    <t>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t>
  </si>
  <si>
    <t>SASUNM</t>
  </si>
  <si>
    <t>SAPRIA</t>
  </si>
  <si>
    <t>Printout code</t>
  </si>
  <si>
    <t>PRIA</t>
  </si>
  <si>
    <t>Select the printout code.</t>
  </si>
  <si>
    <t>0: Supplier name
1: Supplier address</t>
  </si>
  <si>
    <t>SAADR1</t>
  </si>
  <si>
    <t>Address line 1</t>
  </si>
  <si>
    <t>ADR1</t>
  </si>
  <si>
    <t>8920 PREMIER ROW</t>
  </si>
  <si>
    <t>The field indicates an address line. A maximum of 36 characters may be used.</t>
  </si>
  <si>
    <t>800 WATERMAN AVE</t>
  </si>
  <si>
    <t>SAADR2</t>
  </si>
  <si>
    <t>Address line 2</t>
  </si>
  <si>
    <t>ADR2</t>
  </si>
  <si>
    <t>SAADR3</t>
  </si>
  <si>
    <t>Address line 3</t>
  </si>
  <si>
    <t>ADR3</t>
  </si>
  <si>
    <t>The field indicates an address line. It can contain a maximum of 36 positions.</t>
  </si>
  <si>
    <t>EAST PROVIDENCE RI 02914</t>
  </si>
  <si>
    <t>SAADR4</t>
  </si>
  <si>
    <t>Address line 4</t>
  </si>
  <si>
    <t>ADR4</t>
  </si>
  <si>
    <t>United States</t>
  </si>
  <si>
    <t>SACSCD</t>
  </si>
  <si>
    <t>SAPONO</t>
  </si>
  <si>
    <t>Postal code</t>
  </si>
  <si>
    <t>PONO</t>
  </si>
  <si>
    <t>75247</t>
  </si>
  <si>
    <t>The field indicates a postal code for a specific address.
The postal code is an address element that can be part of an address line if address formatting rules in (CRS117) are used.
Select 'Validate Postal' in (CRS045) to activate validation of the postal code against (CRS044).</t>
  </si>
  <si>
    <t>CRS044</t>
  </si>
  <si>
    <t>02914</t>
  </si>
  <si>
    <t>SAADVI</t>
  </si>
  <si>
    <t>Ship-via address</t>
  </si>
  <si>
    <t>ADVI</t>
  </si>
  <si>
    <t>The field indicates the address the transport is shipped through before it arrives at the final address.</t>
  </si>
  <si>
    <t>CRS300</t>
  </si>
  <si>
    <t>SAEDES</t>
  </si>
  <si>
    <t>Place</t>
  </si>
  <si>
    <t>EDES</t>
  </si>
  <si>
    <t>The field indicates the ID of a geographic location or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and unloading parameters above, the following must be defined in order to establish a route network and to assign consignees:
- Routes, with valid loading and starting points and any predefined unloading points, depending on the route type (see separate field help) in (DRS005)
- Route pre-selections, where consignees are assigned to relevant route options (DRS011).
For address type 3, place refers to place of loading and for address type 5, place refers to place of unloading.</t>
  </si>
  <si>
    <t>MMS008</t>
  </si>
  <si>
    <t>SAGEOC</t>
  </si>
  <si>
    <t>SATAXC</t>
  </si>
  <si>
    <t>UpdSupplier</t>
  </si>
  <si>
    <t>SAECAR</t>
  </si>
  <si>
    <t>TX</t>
  </si>
  <si>
    <t>RI</t>
  </si>
  <si>
    <t>SATOWN</t>
  </si>
  <si>
    <t>City</t>
  </si>
  <si>
    <t>TOWN</t>
  </si>
  <si>
    <t>DALLAS</t>
  </si>
  <si>
    <t>The field indicates the city in an address. The information is mandatory when address formatting is used, and when a city is an address element used in the formatting rule (CRS117). Address formatting rules are defined for each country (CRS045).</t>
  </si>
  <si>
    <t>EAST PROVIDENCE</t>
  </si>
  <si>
    <t>SAPNOD</t>
  </si>
  <si>
    <t>Planning node</t>
  </si>
  <si>
    <t>PNOD</t>
  </si>
  <si>
    <t>The field indicates a planning node. The planning node is a geographical location that you can connect to a supplier address, warehouse address, and/or customer address.
Planning nodes are used to group suppliers, warehouses, and customers that are placed within the same area. Planning nodes are used to build supply chains in the Assortment Replenishment Planner (ARP).
Planning nodes are defined in (CMS020).</t>
  </si>
  <si>
    <t>CMS020</t>
  </si>
  <si>
    <t>SATXID</t>
  </si>
  <si>
    <t>SARGDT</t>
  </si>
  <si>
    <t>SARGTM</t>
  </si>
  <si>
    <t>SALMDT</t>
  </si>
  <si>
    <t>SACHNO</t>
  </si>
  <si>
    <t>SACHID</t>
  </si>
  <si>
    <t>SALMTS</t>
  </si>
  <si>
    <t>SAGEOX</t>
  </si>
  <si>
    <t>Geographic code X</t>
  </si>
  <si>
    <t>GEOX</t>
  </si>
  <si>
    <t>The field indicates the longitude coordinate of the node.</t>
  </si>
  <si>
    <t>SAGEOY</t>
  </si>
  <si>
    <t>Geographic code Y</t>
  </si>
  <si>
    <t>GEOY</t>
  </si>
  <si>
    <t>The field indicates the latitude coordinate of the node.</t>
  </si>
  <si>
    <t>SAGEOZ</t>
  </si>
  <si>
    <t>Geographic code  Z</t>
  </si>
  <si>
    <t>GEOZ</t>
  </si>
  <si>
    <t>SAFRCO</t>
  </si>
  <si>
    <t>County ID</t>
  </si>
  <si>
    <t>7</t>
  </si>
  <si>
    <t>FRCO</t>
  </si>
  <si>
    <t>The field indicates the identifier of a county in M3. The county ID is unique per state.
The county is used to calculate freight costs.</t>
  </si>
  <si>
    <t>CRS042</t>
  </si>
  <si>
    <t>SASPLE</t>
  </si>
  <si>
    <t>Standard point location code</t>
  </si>
  <si>
    <t>SPLE</t>
  </si>
  <si>
    <t>The field indicates a standard point location code.
The SPLC code is a nine-digit geographical code used in North America.</t>
  </si>
  <si>
    <t>SARASN</t>
  </si>
  <si>
    <t>SASADR</t>
  </si>
  <si>
    <t>Supplier's address reference</t>
  </si>
  <si>
    <t>SADR</t>
  </si>
  <si>
    <t>The field indicates the supplier's address reference.
It is used for the communication between supplier and buyer to identify an address.</t>
  </si>
  <si>
    <t>SADTID</t>
  </si>
  <si>
    <t>CIDREF</t>
  </si>
  <si>
    <t>IRCONO</t>
  </si>
  <si>
    <t>IRSUNO</t>
  </si>
  <si>
    <t>CRS623</t>
  </si>
  <si>
    <t>AddSupplierRef</t>
  </si>
  <si>
    <t>Supplier number</t>
  </si>
  <si>
    <t>IRRFTY</t>
  </si>
  <si>
    <t>Reference type</t>
  </si>
  <si>
    <t>RFTY</t>
  </si>
  <si>
    <t>The field indicates which of the following supplier references to be used.</t>
  </si>
  <si>
    <t>10: Purchase
15: Repair or subcontract
20: Delivery receipt
25: Claim
30: Financial
35: Agreement.</t>
  </si>
  <si>
    <t>IRRFID</t>
  </si>
  <si>
    <t>Reference</t>
  </si>
  <si>
    <t>RFID</t>
  </si>
  <si>
    <t>The field indicates the ID of the current record in the reference file. The ID can contain a maximum of ten alphanumeric characters.
The reference type determines the reference person to use for a proposal or a purchase order.
The valid reference types are:</t>
  </si>
  <si>
    <t>10: Purchase
15: Repair or subcontract
20: Delivery receipt
25: Claim
30: Financial
35: Agreement and loan</t>
  </si>
  <si>
    <t>IRYRE1</t>
  </si>
  <si>
    <t>Your reference</t>
  </si>
  <si>
    <t>YRE1</t>
  </si>
  <si>
    <t>The field indicates the name of the person to be contacted for issues regarding customer orders or purchase orders.
The name is obtained from the customer or supplier file. This is displayed by default when you enter customer orders or purchase orders.
The name of your reference is printed on the customer order and purchase order documents.
The valid alternatives of the supplier references to be used for purchase orders are:</t>
  </si>
  <si>
    <t>10: Purchase
15: Repair or subcontract
20: Delivery receipt
25: Claim
30: Financial
35: Agreement and loan.</t>
  </si>
  <si>
    <t>IRPHNO</t>
  </si>
  <si>
    <t>IRTFNO</t>
  </si>
  <si>
    <t>IRSUCM</t>
  </si>
  <si>
    <t>IRREMK</t>
  </si>
  <si>
    <t>Remark</t>
  </si>
  <si>
    <t>30</t>
  </si>
  <si>
    <t>REMK</t>
  </si>
  <si>
    <t>The field indicates any comments or additional information that has been provided by the user.</t>
  </si>
  <si>
    <t>IREMAL</t>
  </si>
  <si>
    <t>Email address</t>
  </si>
  <si>
    <t>60</t>
  </si>
  <si>
    <t>EMAL</t>
  </si>
  <si>
    <t>Electronic mail address</t>
  </si>
  <si>
    <t>The field indicates an email address for the customer, supplier, etc. entered.</t>
  </si>
  <si>
    <t>IRRGDT</t>
  </si>
  <si>
    <t>IRRGTM</t>
  </si>
  <si>
    <t>IRLMDT</t>
  </si>
  <si>
    <t>IRCHNO</t>
  </si>
  <si>
    <t>IRCHID</t>
  </si>
  <si>
    <t>IRLMTS</t>
  </si>
  <si>
    <t>Functional Purpose</t>
  </si>
  <si>
    <t>Help_5</t>
  </si>
  <si>
    <t>HELP_Description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</si>
</sst>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1" fillId="4" borderId="0" xfId="0" applyFont="1" applyFill="1"/>
    <xf numFmtId="0" fontId="4" fillId="4" borderId="0" xfId="0" applyFont="1" applyFill="1"/>
    <xf numFmtId="0" fontId="1" fillId="5" borderId="0" xfId="0" applyFont="1" applyFill="1"/>
    <xf numFmtId="0" fontId="5" fillId="5" borderId="0" xfId="0" applyFont="1" applyFill="1"/>
    <xf numFmtId="0" fontId="1" fillId="6" borderId="0" xfId="0" applyFont="1" applyFill="1"/>
    <xf numFmtId="0" fontId="6" fillId="6" borderId="0" xfId="0" applyFont="1" applyFill="1"/>
    <xf numFmtId="0" fontId="7" fillId="7" borderId="0" xfId="0" applyFont="1" applyFill="1"/>
    <xf numFmtId="0" fontId="1" fillId="8" borderId="0" xfId="0" applyFont="1" applyFill="1"/>
    <xf numFmtId="0" fontId="8" fillId="8" borderId="0" xfId="0" applyFont="1" applyFill="1"/>
    <xf numFmtId="0" fontId="1" fillId="6" borderId="0" xfId="0" applyFont="1" applyFill="1" applyAlignment="1">
      <alignment vertical="center"/>
    </xf>
    <xf numFmtId="0" fontId="9" fillId="0" borderId="0" xfId="0" applyFont="1"/>
    <xf numFmtId="0" fontId="1" fillId="5" borderId="0" xfId="0" applyFont="1" applyFill="1" applyAlignment="1">
      <alignment vertical="center"/>
    </xf>
    <xf numFmtId="0" fontId="1" fillId="4" borderId="0" xfId="0" applyFont="1" applyFill="1" applyAlignment="1">
      <alignment vertical="center"/>
    </xf>
    <xf numFmtId="0" fontId="1" fillId="2" borderId="0" xfId="0" applyFont="1" applyFill="1" applyAlignment="1">
      <alignment vertical="center"/>
    </xf>
    <xf numFmtId="0" fontId="1" fillId="8" borderId="0" xfId="0" applyFont="1" applyFill="1" applyAlignment="1">
      <alignment vertical="center"/>
    </xf>
    <xf numFmtId="0" fontId="1" fillId="3" borderId="0" xfId="0" applyFont="1" applyFill="1" applyAlignment="1">
      <alignment vertical="center"/>
    </xf>
    <xf numFmtId="0" fontId="1" fillId="7" borderId="0" xfId="0" applyFont="1" applyFill="1"/>
    <xf numFmtId="0" fontId="9" fillId="0" borderId="0" xfId="0" applyFont="1" applyAlignment="1">
      <alignment vertical="top"/>
    </xf>
    <xf numFmtId="0" fontId="0" fillId="0" borderId="0" xfId="0" applyAlignment="1">
      <alignment vertical="top"/>
    </xf>
    <xf numFmtId="0" fontId="1" fillId="7" borderId="0" xfId="0" applyFont="1" applyFill="1" applyAlignment="1">
      <alignment horizontal="center" vertical="center"/>
    </xf>
  </cellXfs>
  <cellStyles count="1">
    <cellStyle name="Normal" xfId="0" builtinId="0"/>
  </cellStyles>
  <dxfs count="38">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2"/>
        <color theme="1"/>
        <name val="Avenir"/>
        <family val="2"/>
        <scheme val="none"/>
      </font>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ericpronovost/Doppio/MappingGuides/mapping/processed/Copy%20of%20MappingGuide_Vendor.xlsx" TargetMode="External"/><Relationship Id="rId1" Type="http://schemas.openxmlformats.org/officeDocument/2006/relationships/externalLinkPath" Target="/Users/ericpronovost/Doppio/MappingGuides/mapping/processed/Copy%20of%20MappingGuide_Ven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ocbits"/>
      <sheetName val="Additional HJ Fields Needed"/>
      <sheetName val="Categories"/>
      <sheetName val="Groups"/>
      <sheetName val="HJ Internal Reference&gt;&gt;"/>
    </sheetNames>
    <sheetDataSet>
      <sheetData sheetId="0">
        <row r="1">
          <cell r="A1" t="str">
            <v>TableName</v>
          </cell>
          <cell r="B1" t="str">
            <v>Short Name</v>
          </cell>
          <cell r="L1" t="str">
            <v>Description2</v>
          </cell>
          <cell r="M1" t="str">
            <v>Functional Purpose (Olivier)</v>
          </cell>
        </row>
        <row r="2">
          <cell r="A2" t="str">
            <v>CIDMAS</v>
          </cell>
          <cell r="B2" t="str">
            <v>CONO</v>
          </cell>
        </row>
        <row r="3">
          <cell r="A3" t="str">
            <v>CIDMAS</v>
          </cell>
          <cell r="B3" t="str">
            <v>SUNO</v>
          </cell>
          <cell r="L3" t="str">
            <v>Unique ID of the Supplier (Supplier code in M3)</v>
          </cell>
          <cell r="M3" t="str">
            <v>*Need to understand nomenclature and how to auto-generate in Docbits if possible</v>
          </cell>
        </row>
        <row r="4">
          <cell r="A4" t="str">
            <v>CIDMAS</v>
          </cell>
          <cell r="B4" t="str">
            <v>SUTY</v>
          </cell>
          <cell r="L4" t="str">
            <v>Classification: standard supplier, agent, payee, group, forwarding agent, insurance, internal supplier, trade-in
The supplier type cannot be changed after creation. Drives logic in Purchasing, Invoice matching, reporting and workflow routing.
Type 0: standard supplier for direct procurement.
Type 1: agent for intermediary sourcing/payment (e.g., global trading agent arranges imports), transaction and payment flows only through agent not direct vendor. It is typically used when a company utilizes an intermediary agent to facilitate procurement or payment instead of dealing directly with the actual manufacturer or supplier. Useful in scenarios where the business relationship involves an agent or broker who handles purchasing, payment, or delivery logistics on behalf of the actual goods supplier. When both supplier type 0 and 1 are created, the connection is then made in CRS624 (Agent field), see below in that spreadsheet.
Type 2:Payee only. Which is the Invoice recipient supplier. Some vendors don't manage the invoicing. This could be done by a head office for example. In this case the Payee will send the invoice and collect the payments. When both supplier type 0 and 2 are created, the connection is then made in CRS624 (Payee field), see below in that spreadsheet.
Type 3: supplier group (Company): used to create a supplier group. When a supplier belongs to a company group. Creating a supplier number for this company supports aggregated purchasing and statistical analysis (track parent company procurement separately from individual suppliers). When both supplier type 0 and 3 are created, the connection is then made in CRS624 (Group field), see below in that spreadsheet.
Type 5: forwarding agent used for carriers, logistics providers; enables setup of routes, freight costing, and agreements, necessary for outbound logistics.  This supplier type is for Carrier and Forwarders. It is important to make sure your forwarding agents (Fedex, UPS, USPS..) are recorded under type 5, because the system uses type 5 vendors to set up routes for the outbound logistic.
Type 6: insurance company for asset insurance workflow. 
Type 7: internal supplier scenario for intercompany sales traceability. 
Type 8: miscellaneous for low-frequency vendors, supporting one-off or rare purchases. Type 9: trade-in supplier in equipment industry, supporting trade-in and buy-back logic by establishing customer as supplier for returned goods.</v>
          </cell>
          <cell r="M4" t="str">
            <v>Drives how POs and payments are routed. Type 0 is mandatory to allow the Purchase order creation for the supplier</v>
          </cell>
        </row>
        <row r="5">
          <cell r="A5" t="str">
            <v>CIDMAS</v>
          </cell>
          <cell r="B5" t="str">
            <v>SUNM</v>
          </cell>
        </row>
        <row r="6">
          <cell r="A6" t="str">
            <v>CIDMAS</v>
          </cell>
          <cell r="B6" t="str">
            <v>ALSU</v>
          </cell>
          <cell r="L6" t="str">
            <v>User-defined name code for supplier</v>
          </cell>
          <cell r="M6" t="str">
            <v>Enables quick supplier lookup in inquiries; if left blank, M3 uses first 10 chars of full name for search and indexing. This field can be used if a search other than by name is required.</v>
          </cell>
        </row>
        <row r="7">
          <cell r="A7" t="str">
            <v>CIDMAS</v>
          </cell>
          <cell r="B7" t="str">
            <v>STAT</v>
          </cell>
          <cell r="L7" t="str">
            <v xml:space="preserve">Supplier lifecycle status: Preliminary, Approved, Stopped, Deactivated
Status 10 (preliminary): supplier setup in progress and not active in POs. 
Status 20 (approved): fully operational in procurement. 
Status 30 (stopped): blocks new PO, but allows AP and open PO resolution (can receive and invoice, not create new PO). 
Status 90 (deactivated): locked/stopped. Suppliers cannot be deleted from the Master if used in transactions (per audit/law). </v>
          </cell>
          <cell r="M7" t="str">
            <v>Dictates if supplier is usable for procurement or invoice control. Make sure to apply Sts 20 in M3 only when all other related tables are also set in M3, and not only right after the approval process. Purchase prices/agreements, item connection, planning settings (MOQ, LT, packages...) and order type configuration are also needed before updating a vendor from Sts 10 to 20.</v>
          </cell>
        </row>
        <row r="8">
          <cell r="A8" t="str">
            <v>CIDMAS</v>
          </cell>
          <cell r="B8" t="str">
            <v>CORG</v>
          </cell>
          <cell r="L8" t="str">
            <v>Vendor's financial/legal number</v>
          </cell>
          <cell r="M8" t="str">
            <v>Tax and legal entity tracking; required for statutory compliance and official documentation.</v>
          </cell>
        </row>
        <row r="9">
          <cell r="A9" t="str">
            <v>CIDMAS</v>
          </cell>
          <cell r="B9" t="str">
            <v>COR2</v>
          </cell>
        </row>
        <row r="10">
          <cell r="A10" t="str">
            <v>CIDMAS</v>
          </cell>
          <cell r="B10" t="str">
            <v>LNCD</v>
          </cell>
          <cell r="L10" t="str">
            <v>Language code for documents</v>
          </cell>
          <cell r="M10" t="str">
            <v>Governs language used for external documents—ensures correct translation and localization for POs, quotations, certifications, impacting multinational supplier communications.</v>
          </cell>
        </row>
        <row r="11">
          <cell r="A11" t="str">
            <v>CIDMAS</v>
          </cell>
          <cell r="B11" t="str">
            <v>PHNO</v>
          </cell>
        </row>
        <row r="12">
          <cell r="A12" t="str">
            <v>CIDMAS</v>
          </cell>
          <cell r="B12" t="str">
            <v>PHN2</v>
          </cell>
        </row>
        <row r="13">
          <cell r="A13" t="str">
            <v>CIDMAS</v>
          </cell>
          <cell r="B13" t="str">
            <v>TLNO</v>
          </cell>
        </row>
        <row r="14">
          <cell r="A14" t="str">
            <v>CIDMAS</v>
          </cell>
          <cell r="B14" t="str">
            <v>TFNO</v>
          </cell>
        </row>
        <row r="15">
          <cell r="A15" t="str">
            <v>CIDMAS</v>
          </cell>
          <cell r="B15" t="str">
            <v>CSCD</v>
          </cell>
          <cell r="M15" t="str">
            <v>The 'Country' field is mandatory. The State field is optional. Used for VAT, tax registration, and compliance reporting;—critical for cross-border purchasing and regional legal obligations.</v>
          </cell>
        </row>
        <row r="16">
          <cell r="A16" t="str">
            <v>CIDMAS</v>
          </cell>
          <cell r="B16" t="str">
            <v>ECAR</v>
          </cell>
        </row>
        <row r="17">
          <cell r="A17" t="str">
            <v>CIDMAS</v>
          </cell>
          <cell r="B17" t="str">
            <v>DTFM</v>
          </cell>
          <cell r="L17" t="str">
            <v>External document date field format</v>
          </cell>
          <cell r="M17" t="str">
            <v xml:space="preserve">Controls date display conventions (YYYYMMDD, DDMMYY, etc.) for compliance with supplier locale/regulations; </v>
          </cell>
        </row>
        <row r="18">
          <cell r="A18" t="str">
            <v>CIDMAS</v>
          </cell>
          <cell r="B18" t="str">
            <v>EDIT</v>
          </cell>
          <cell r="L18" t="str">
            <v xml:space="preserve">Controls date display conventions (YYYYMMDD, DDMMYY, etc.) for compliance with supplier locale/regulations; 'Editing' field designates character separators used for clarity (e.g - / )  </v>
          </cell>
        </row>
        <row r="19">
          <cell r="A19" t="str">
            <v>CIDMAS</v>
          </cell>
          <cell r="B19" t="str">
            <v>VRNO</v>
          </cell>
          <cell r="L19" t="str">
            <v>Supplier VAT ID</v>
          </cell>
          <cell r="M19" t="str">
            <v>Mandatory field for invoice and compliance; controls VAT validation during financial processing and PO creation.</v>
          </cell>
        </row>
        <row r="20">
          <cell r="A20" t="str">
            <v>CIDMAS</v>
          </cell>
          <cell r="B20" t="str">
            <v>SUCO</v>
          </cell>
          <cell r="L20" t="str">
            <v>Vendor's group ID</v>
          </cell>
          <cell r="M20" t="str">
            <v>Identifies supplier within company group; useful for group-wide stats, and parent-child company management. Also often used for recording  any alternate Supplier ID</v>
          </cell>
        </row>
        <row r="21">
          <cell r="A21" t="str">
            <v>CIDMAS</v>
          </cell>
          <cell r="B21" t="str">
            <v>SUAL</v>
          </cell>
          <cell r="L21" t="str">
            <v>Alternate supplier identifier</v>
          </cell>
          <cell r="M21" t="str">
            <v xml:space="preserve">Used for cross-system mapping, integration, and group procurement. </v>
          </cell>
        </row>
        <row r="22">
          <cell r="A22" t="str">
            <v>CIDMAS</v>
          </cell>
          <cell r="B22" t="str">
            <v>SUCM</v>
          </cell>
        </row>
        <row r="23">
          <cell r="A23" t="str">
            <v>CIDMAS</v>
          </cell>
          <cell r="B23" t="str">
            <v>MEPF</v>
          </cell>
          <cell r="L23" t="str">
            <v>Preferred document delivery method</v>
          </cell>
          <cell r="M23" t="str">
            <v>Controls output for PO and logistics docs (email, EDI, paper), supports automation and communication preferences. Select Email is recommended.</v>
          </cell>
        </row>
        <row r="24">
          <cell r="A24" t="str">
            <v>CIDMAS</v>
          </cell>
          <cell r="B24" t="str">
            <v>PODA</v>
          </cell>
          <cell r="L24" t="str">
            <v>Lead time for mail-based requests/quotations</v>
          </cell>
          <cell r="M24" t="str">
            <v>Used in MRP calculations when acquisition method is 'purchase'; postal delay added to total lead time for quotations sent by mail. Rarely used nowadays.</v>
          </cell>
        </row>
        <row r="25">
          <cell r="A25" t="str">
            <v>CIDMAS</v>
          </cell>
          <cell r="B25" t="str">
            <v>CFI1</v>
          </cell>
          <cell r="L25" t="str">
            <v>flag vendors for FSC certification could be an example for one of these fields</v>
          </cell>
          <cell r="M25" t="str">
            <v>Track certifications or other supplier-specific data: attach value(s) to supplier via selectable value ; supports business-specific reporting and process control for configuration. For example: if you need to track some kind of certification: We can use this field CFI1 that I would rename as 'certification'. 
There is a separate table for four of those five 'CFI' fields, allowing to create four custom lists for business purposes (grouping, LOB, Material type, certifications...). Then attaching a value to the supplier.</v>
          </cell>
        </row>
        <row r="26">
          <cell r="A26" t="str">
            <v>CIDMAS</v>
          </cell>
          <cell r="B26" t="str">
            <v>CFI2</v>
          </cell>
        </row>
        <row r="27">
          <cell r="A27" t="str">
            <v>CIDMAS</v>
          </cell>
          <cell r="B27" t="str">
            <v>CFI3</v>
          </cell>
          <cell r="M27" t="str">
            <v>Identical as CFI1 field, in case there is a businnes need to assign a different value to a vendor, to track something else, or for stats purposes</v>
          </cell>
        </row>
        <row r="28">
          <cell r="A28" t="str">
            <v>CIDMAS</v>
          </cell>
          <cell r="B28" t="str">
            <v>CFI4</v>
          </cell>
          <cell r="M28" t="str">
            <v>Identical as CFI1 field, in case there is a businnes need to assign a different value to a vendor, to track something else, or for stats purposes</v>
          </cell>
        </row>
        <row r="29">
          <cell r="A29" t="str">
            <v>CIDMAS</v>
          </cell>
          <cell r="B29" t="str">
            <v>CFI5</v>
          </cell>
          <cell r="M29" t="str">
            <v>Identical as CFI1 field, in case there is a business need to assign a different value to a vendor, to track something else, or for stats purposes. This one CFI5 has only 1 digit available. So in the related table CRS185, you could create a list of values like :1-xxxx ; 2- yyyyy...etc...and the value 1 or 2 being attached to the CFI5 field, the corresponding description ('xxxx' ) could be fetch and display in any screen or reports where it is needed.</v>
          </cell>
        </row>
        <row r="30">
          <cell r="A30" t="str">
            <v>CIDMAS</v>
          </cell>
          <cell r="B30" t="str">
            <v>HAFE</v>
          </cell>
          <cell r="L30" t="str">
            <v>Logistics location code</v>
          </cell>
          <cell r="M30" t="str">
            <v>Used for transport planning and trade reporting; relevant for mapping supplier shipments which bypass central customs, crucial for trade stat compliance and routing in exports/imports, especially in multi-modal shipping setups.</v>
          </cell>
        </row>
        <row r="31">
          <cell r="A31" t="str">
            <v>CIDMAS</v>
          </cell>
          <cell r="B31" t="str">
            <v>DESV</v>
          </cell>
          <cell r="M31" t="str">
            <v>The field indicates the language code to use when printing the option description from a product configuration. If no code is entered, the language code from the supplier is used</v>
          </cell>
        </row>
        <row r="32">
          <cell r="A32" t="str">
            <v>CIDMAS</v>
          </cell>
          <cell r="B32" t="str">
            <v>TIZO</v>
          </cell>
        </row>
        <row r="33">
          <cell r="A33" t="str">
            <v>CIDMAS</v>
          </cell>
          <cell r="B33" t="str">
            <v>FWSC</v>
          </cell>
          <cell r="L33" t="str">
            <v>Standard Carrier Alpha Code (forwarder)</v>
          </cell>
          <cell r="M33" t="str">
            <v>Required when supplier acts as a carrier; included on bill of lading to automate carrier identification for logistics processing and customs documents. Enter SCAC code for Type 5 suppliers.</v>
          </cell>
        </row>
        <row r="34">
          <cell r="A34" t="str">
            <v>CIDMAS</v>
          </cell>
          <cell r="B34" t="str">
            <v>TXID</v>
          </cell>
          <cell r="M34" t="str">
            <v>User defined text</v>
          </cell>
        </row>
        <row r="35">
          <cell r="A35" t="str">
            <v>CIDMAS</v>
          </cell>
          <cell r="B35" t="str">
            <v>RGDT</v>
          </cell>
        </row>
        <row r="36">
          <cell r="A36" t="str">
            <v>CIDMAS</v>
          </cell>
          <cell r="B36" t="str">
            <v>RGTM</v>
          </cell>
        </row>
        <row r="37">
          <cell r="A37" t="str">
            <v>CIDMAS</v>
          </cell>
          <cell r="B37" t="str">
            <v>LMDT</v>
          </cell>
        </row>
        <row r="38">
          <cell r="A38" t="str">
            <v>CIDMAS</v>
          </cell>
          <cell r="B38" t="str">
            <v>CHNO</v>
          </cell>
        </row>
        <row r="39">
          <cell r="A39" t="str">
            <v>CIDMAS</v>
          </cell>
          <cell r="B39" t="str">
            <v>CHID</v>
          </cell>
        </row>
        <row r="40">
          <cell r="A40" t="str">
            <v>CIDMAS</v>
          </cell>
          <cell r="B40" t="str">
            <v>PPIN</v>
          </cell>
          <cell r="L40" t="str">
            <v>Packing document automation</v>
          </cell>
          <cell r="M40" t="str">
            <v>Activates automatic printing of packing instructions connected to PO: "How to Pack" and "Mark-for Consignee" can be auto-printed and attached for specific suppliers, streamlining logistics document workflow.</v>
          </cell>
        </row>
        <row r="41">
          <cell r="A41" t="str">
            <v>CIDMAS</v>
          </cell>
          <cell r="B41" t="str">
            <v>LMTS</v>
          </cell>
        </row>
        <row r="42">
          <cell r="A42" t="str">
            <v>CIDMAS</v>
          </cell>
          <cell r="B42" t="str">
            <v>GEOC</v>
          </cell>
        </row>
        <row r="43">
          <cell r="A43" t="str">
            <v>CIDMAS</v>
          </cell>
          <cell r="B43" t="str">
            <v>RASN</v>
          </cell>
        </row>
        <row r="44">
          <cell r="A44" t="str">
            <v>CIDADR</v>
          </cell>
          <cell r="B44" t="str">
            <v>CONO</v>
          </cell>
        </row>
        <row r="45">
          <cell r="A45" t="str">
            <v>CIDADR</v>
          </cell>
          <cell r="B45" t="str">
            <v>SUNO</v>
          </cell>
        </row>
        <row r="46">
          <cell r="A46" t="str">
            <v>CIDADR</v>
          </cell>
          <cell r="B46" t="str">
            <v>ADTE</v>
          </cell>
          <cell r="L46" t="str">
            <v>Coded type: postal, pick-up, withdrawal, origin, delivery, billing</v>
          </cell>
          <cell r="M46" t="str">
            <v>CRS622 is the program for the suppliers addresses records. It also controls workflow logic for procurement, logistics, invoicing. Apart from the regular  01 ‘postal address’ type, it also include different important address types: 
03 'Pick-Up Address' used for supplier collect shipping terms/direct plant POs: system generates shipping instructions from actual supplier facility (not generic head office), critical for multi-site vendors. 
05 'Final Delivery Address': targets drop shipment and indirect shipping destination scenarios—allows deliveries to customer or project site, not default warehouse.  This address specifies where goods should be delivered at the end of the purchase or shipping process. It's often used when the delivery destination is not the main receiving warehouse but another location, such as a customer site, project location, or secondary warehouse. For complex supply chains or drop shipments, this address type ensures the supplier delivers directly to the intended endpoint.
04 'Origin Address': identifies the location where goods are produced, initially stored, or exported from by the supplier. It is separate from the main business address, pick-up address, or delivery location, and is typically used in supplier setups where multiple plants, production sites, or export facilities exist. 
		• The origin address is referenced in transactions that require origin tracking, such as international shipments where country-of-origin labeling and documentation are mandatory.
It is also useful in processes where goods are sourced from third-party manufacturing sites or contract manufacturers, enabling M3 to differentiate between the legal supplier’s headquarters and the actual physical point of origin</v>
          </cell>
        </row>
        <row r="47">
          <cell r="A47" t="str">
            <v>CIDADR</v>
          </cell>
          <cell r="B47" t="str">
            <v>ADID</v>
          </cell>
          <cell r="L47" t="str">
            <v>System-assigned address identifier</v>
          </cell>
          <cell r="M47" t="str">
            <v xml:space="preserve">Uniquely identifies address records; crucial for differentiating multiple sites per supplier, </v>
          </cell>
        </row>
        <row r="48">
          <cell r="A48" t="str">
            <v>CIDADR</v>
          </cell>
          <cell r="B48" t="str">
            <v>STDT</v>
          </cell>
        </row>
        <row r="49">
          <cell r="A49" t="str">
            <v>CIDADR</v>
          </cell>
          <cell r="B49" t="str">
            <v>SUNM</v>
          </cell>
        </row>
        <row r="50">
          <cell r="A50" t="str">
            <v>CIDADR</v>
          </cell>
          <cell r="B50" t="str">
            <v>PRIA</v>
          </cell>
          <cell r="L50" t="str">
            <v>Layout/format code for addresses</v>
          </cell>
          <cell r="M50" t="str">
            <v>Customizes address formatting and ordering for external documents: either the Supplier Name or his detailed address.</v>
          </cell>
        </row>
        <row r="51">
          <cell r="A51" t="str">
            <v>CIDADR</v>
          </cell>
          <cell r="B51" t="str">
            <v>ADR1</v>
          </cell>
        </row>
        <row r="52">
          <cell r="A52" t="str">
            <v>CIDADR</v>
          </cell>
          <cell r="B52" t="str">
            <v>ADR2</v>
          </cell>
        </row>
        <row r="53">
          <cell r="A53" t="str">
            <v>CIDADR</v>
          </cell>
          <cell r="B53" t="str">
            <v>ADR3</v>
          </cell>
        </row>
        <row r="54">
          <cell r="A54" t="str">
            <v>CIDADR</v>
          </cell>
          <cell r="B54" t="str">
            <v>ADR4</v>
          </cell>
        </row>
        <row r="55">
          <cell r="A55" t="str">
            <v>CIDADR</v>
          </cell>
          <cell r="B55" t="str">
            <v>CSCD</v>
          </cell>
        </row>
        <row r="56">
          <cell r="A56" t="str">
            <v>CIDADR</v>
          </cell>
          <cell r="B56" t="str">
            <v>PONO</v>
          </cell>
        </row>
        <row r="57">
          <cell r="A57" t="str">
            <v>CIDADR</v>
          </cell>
          <cell r="B57" t="str">
            <v>ADVI</v>
          </cell>
          <cell r="M57" t="str">
            <v>Field only available for addresses type 3, 5. Indicates the address the transport is shipped through before it arrives at the final address</v>
          </cell>
        </row>
        <row r="58">
          <cell r="A58" t="str">
            <v>CIDADR</v>
          </cell>
          <cell r="B58" t="str">
            <v>EDES</v>
          </cell>
          <cell r="M58" t="str">
            <v>Only available for addresses type 3 or 5; For address type 3, refers to place of loading and for address type 5, refers to place of unloading</v>
          </cell>
        </row>
        <row r="59">
          <cell r="A59" t="str">
            <v>CIDADR</v>
          </cell>
          <cell r="B59" t="str">
            <v>GEOC</v>
          </cell>
        </row>
        <row r="60">
          <cell r="A60" t="str">
            <v>CIDADR</v>
          </cell>
          <cell r="B60" t="str">
            <v>TAXC</v>
          </cell>
        </row>
        <row r="61">
          <cell r="A61" t="str">
            <v>CIDADR</v>
          </cell>
          <cell r="B61" t="str">
            <v>ECAR</v>
          </cell>
        </row>
        <row r="62">
          <cell r="A62" t="str">
            <v>CIDADR</v>
          </cell>
          <cell r="B62" t="str">
            <v>TOWN</v>
          </cell>
        </row>
        <row r="63">
          <cell r="A63" t="str">
            <v>CIDADR</v>
          </cell>
          <cell r="B63" t="str">
            <v>PNOD</v>
          </cell>
        </row>
        <row r="64">
          <cell r="A64" t="str">
            <v>CIDADR</v>
          </cell>
          <cell r="B64" t="str">
            <v>TXID</v>
          </cell>
        </row>
        <row r="65">
          <cell r="A65" t="str">
            <v>CIDADR</v>
          </cell>
          <cell r="B65" t="str">
            <v>RGDT</v>
          </cell>
        </row>
        <row r="66">
          <cell r="A66" t="str">
            <v>CIDADR</v>
          </cell>
          <cell r="B66" t="str">
            <v>RGTM</v>
          </cell>
        </row>
        <row r="67">
          <cell r="A67" t="str">
            <v>CIDADR</v>
          </cell>
          <cell r="B67" t="str">
            <v>LMDT</v>
          </cell>
        </row>
        <row r="68">
          <cell r="A68" t="str">
            <v>CIDADR</v>
          </cell>
          <cell r="B68" t="str">
            <v>CHNO</v>
          </cell>
        </row>
        <row r="69">
          <cell r="A69" t="str">
            <v>CIDADR</v>
          </cell>
          <cell r="B69" t="str">
            <v>CHID</v>
          </cell>
        </row>
        <row r="70">
          <cell r="A70" t="str">
            <v>CIDADR</v>
          </cell>
          <cell r="B70" t="str">
            <v>LMTS</v>
          </cell>
        </row>
        <row r="71">
          <cell r="A71" t="str">
            <v>CIDADR</v>
          </cell>
          <cell r="B71" t="str">
            <v>GEOX</v>
          </cell>
        </row>
        <row r="72">
          <cell r="A72" t="str">
            <v>CIDADR</v>
          </cell>
          <cell r="B72" t="str">
            <v>GEOY</v>
          </cell>
        </row>
        <row r="73">
          <cell r="A73" t="str">
            <v>CIDADR</v>
          </cell>
          <cell r="B73" t="str">
            <v>GEOZ</v>
          </cell>
        </row>
        <row r="74">
          <cell r="A74" t="str">
            <v>CIDADR</v>
          </cell>
          <cell r="B74" t="str">
            <v>FRCO</v>
          </cell>
        </row>
        <row r="75">
          <cell r="A75" t="str">
            <v>CIDADR</v>
          </cell>
          <cell r="B75" t="str">
            <v>SPLE</v>
          </cell>
        </row>
        <row r="76">
          <cell r="A76" t="str">
            <v>CIDADR</v>
          </cell>
          <cell r="B76" t="str">
            <v>RASN</v>
          </cell>
        </row>
        <row r="77">
          <cell r="A77" t="str">
            <v>CIDADR</v>
          </cell>
          <cell r="B77" t="str">
            <v>SADR</v>
          </cell>
        </row>
        <row r="78">
          <cell r="A78" t="str">
            <v>CIDADR</v>
          </cell>
          <cell r="B78" t="str">
            <v>DTID</v>
          </cell>
        </row>
        <row r="79">
          <cell r="A79" t="str">
            <v>CIDREF</v>
          </cell>
          <cell r="B79" t="str">
            <v>SUNO</v>
          </cell>
        </row>
        <row r="80">
          <cell r="A80" t="str">
            <v>CIDREF</v>
          </cell>
          <cell r="B80" t="str">
            <v>RFTY</v>
          </cell>
          <cell r="M80" t="str">
            <v xml:space="preserve">M3 will select the correct contact by his role, based on the 'contact type'. Important contact types are: '10' (purchase) Used for purchase order correspondence. The system pulls this contact for order confirmations and general PO communication. '20' (delivery):  Used for shipping and logistics coordination. The system references this contact for delivery schedules, transport booking…optional. '30' (finance): Used for invoicing matters. The contact details appear on invoice-related documentation and are used for follow-up on payment issues.type: for invoicing and payment issues; '25' claim: for quality control, returns process, and complaints, in case the vendor has a different person in charge for processing claims and returns. '35' for Agreements: contact for Vendor agreements correspondance </v>
          </cell>
        </row>
        <row r="81">
          <cell r="A81" t="str">
            <v>CIDREF</v>
          </cell>
          <cell r="B81" t="str">
            <v>RFID</v>
          </cell>
          <cell r="M81" t="str">
            <v>A reference ID, you can use anything, the contact name or a number. It depends how many contacts are created for a vendor</v>
          </cell>
        </row>
        <row r="82">
          <cell r="A82" t="str">
            <v>CIDREF</v>
          </cell>
          <cell r="B82" t="str">
            <v>YRE1</v>
          </cell>
          <cell r="M82" t="str">
            <v>Enter full name of the contact</v>
          </cell>
        </row>
        <row r="83">
          <cell r="A83" t="str">
            <v>CIDREF</v>
          </cell>
          <cell r="B83" t="str">
            <v>PHNO</v>
          </cell>
        </row>
        <row r="84">
          <cell r="A84" t="str">
            <v>CIDREF</v>
          </cell>
          <cell r="B84" t="str">
            <v>TFNO</v>
          </cell>
        </row>
        <row r="85">
          <cell r="A85" t="str">
            <v>CIDREF</v>
          </cell>
          <cell r="B85" t="str">
            <v>EMAL</v>
          </cell>
        </row>
        <row r="86">
          <cell r="A86" t="str">
            <v>CIDREF</v>
          </cell>
          <cell r="B86" t="str">
            <v>SUCM</v>
          </cell>
          <cell r="M86" t="str">
            <v>This field indicates the supplier's identity during computer communication</v>
          </cell>
        </row>
        <row r="87">
          <cell r="A87" t="str">
            <v>CIDREF</v>
          </cell>
          <cell r="B87" t="str">
            <v>REMK</v>
          </cell>
          <cell r="M87" t="str">
            <v>The field indicates any comments or additional information that has been provided by the user</v>
          </cell>
        </row>
        <row r="88">
          <cell r="A88" t="str">
            <v>CIDVEN</v>
          </cell>
          <cell r="B88" t="str">
            <v>CONO</v>
          </cell>
        </row>
        <row r="89">
          <cell r="A89" t="str">
            <v>CIDVEN</v>
          </cell>
          <cell r="B89" t="str">
            <v>SUNO</v>
          </cell>
        </row>
        <row r="90">
          <cell r="A90" t="str">
            <v>CIDVEN</v>
          </cell>
          <cell r="B90" t="str">
            <v>SUCL</v>
          </cell>
          <cell r="L90" t="str">
            <v>Supplier aggregation/group code</v>
          </cell>
          <cell r="M90" t="str">
            <v>Assigns suppliers to purchasing groups; This field is user defined. This field is connected to a table with a user defined list. It could be use to categorize vendors by LOB, material type, or whatever grouping consideration. This field enables reporting/stats by user defined group. Essential for spend analysis and supplier diversity management for your company.</v>
          </cell>
        </row>
        <row r="91">
          <cell r="A91" t="str">
            <v>CIDVEN</v>
          </cell>
          <cell r="B91" t="str">
            <v>BUYE</v>
          </cell>
          <cell r="L91" t="str">
            <v>Responsible buyer/person</v>
          </cell>
          <cell r="M91" t="str">
            <v>The regular buyer responsible for purchasing with this Supplier. Allocates purchasing responsibility, supports tracking by buyer.</v>
          </cell>
        </row>
        <row r="92">
          <cell r="A92" t="str">
            <v>CIDVEN</v>
          </cell>
          <cell r="B92" t="str">
            <v>RESP</v>
          </cell>
          <cell r="L92" t="str">
            <v>AP user ID</v>
          </cell>
          <cell r="M92" t="str">
            <v>The field indicates who is normally allowed to authorize invoices from this supplier. The User will be populated in APS100</v>
          </cell>
        </row>
        <row r="93">
          <cell r="A93" t="str">
            <v>CIDVEN</v>
          </cell>
          <cell r="B93" t="str">
            <v>QUCL</v>
          </cell>
          <cell r="L93" t="str">
            <v>Quality class for suppliers or supplier/items</v>
          </cell>
          <cell r="M93" t="str">
            <v>Used to apply a quality classification for a supplier, which is used to classify Supplier or the Item / Supplier record:
	• Quality Segmentation: Quality classes let users group suppliers with similar inspection requirements, ensuring the correct level of scrutiny is applied to received goods based on risk, supplier reliability
	• Inspection Control: In combination with receiving processes, quality classes determine whether full, partial, or no inspection is required for goods from a given supplier or for certain products.	How it Works in Practice:
	• The quality class is assigned in PPS020, either to the supplier in general or specifically to a supplier-item record.
	• By assigning quality classes to suppliers, we can establish a logical framework for which receiving methods should be used for different supplier-item combinations (configuration required). When goods are received, the system reads the quality class and activates the relevant inspection routines, qualified personnel assignment, and decision logic.
	• This functionality helps organizations manage compliance with regulations and contracts and reduces quality-related risks in procurement.</v>
          </cell>
        </row>
        <row r="94">
          <cell r="A94" t="str">
            <v>CIDVEN</v>
          </cell>
          <cell r="B94" t="str">
            <v>ABSK</v>
          </cell>
          <cell r="L94" t="str">
            <v>Annual purchase volume class (A/B/C)</v>
          </cell>
          <cell r="M94" t="str">
            <v xml:space="preserve">Used to classify suppliers by annual purchase volume. Supports prioritization/risk management, to load manually for go-live and then get updated as system accrues spend data; </v>
          </cell>
        </row>
        <row r="95">
          <cell r="A95" t="str">
            <v>CIDVEN</v>
          </cell>
          <cell r="B95" t="str">
            <v>ABSM</v>
          </cell>
          <cell r="M95" t="str">
            <v>Flag (check/unchecked). If you do not select the check box then the ABS class is updated manually. Select the check box to update the ABC class automatically (based on real transactions once M3 is live)</v>
          </cell>
        </row>
        <row r="96">
          <cell r="A96" t="str">
            <v>CIDVEN</v>
          </cell>
          <cell r="B96" t="str">
            <v>SCNO</v>
          </cell>
          <cell r="M96" t="str">
            <v>if supplier is also a customer, we can enter its M3 customer number here. This is for the finance team.</v>
          </cell>
        </row>
        <row r="97">
          <cell r="A97" t="str">
            <v>CIDVEN</v>
          </cell>
          <cell r="B97" t="str">
            <v>OUCN</v>
          </cell>
          <cell r="M97" t="str">
            <v>the field indicates our customer number at the supplier, which is the customer number the supplier uses as identity for us.</v>
          </cell>
        </row>
        <row r="98">
          <cell r="A98" t="str">
            <v>CIDVEN</v>
          </cell>
          <cell r="B98" t="str">
            <v>PRSU</v>
          </cell>
          <cell r="M98" t="str">
            <v>the supplier number for invoice recipient if it is different from the procurement current supplier. Must be a type 2 supplier existing in CRS620.</v>
          </cell>
        </row>
        <row r="99">
          <cell r="A99" t="str">
            <v>CIDVEN</v>
          </cell>
          <cell r="B99" t="str">
            <v>COBI</v>
          </cell>
          <cell r="M99" t="str">
            <v xml:space="preserve"> the Supplier number representing a company group. If this supplier belongs to a company group that is also created in the supplier master (CRS620) as a type 3 vendor</v>
          </cell>
        </row>
        <row r="100">
          <cell r="A100" t="str">
            <v>CIDVEN</v>
          </cell>
          <cell r="B100" t="str">
            <v>AGNT</v>
          </cell>
          <cell r="M100" t="str">
            <v>The agent number (= Supplier number type 1 recorded in the supplier Master CRS620) is displayed by default on the purchase order</v>
          </cell>
        </row>
        <row r="101">
          <cell r="A101" t="str">
            <v>CIDVEN</v>
          </cell>
          <cell r="B101" t="str">
            <v>ORTY</v>
          </cell>
          <cell r="L101" t="str">
            <v>PO transaction classification code</v>
          </cell>
          <cell r="M101" t="str">
            <v>Sets default order type for supplier, controls flow, grouping, and rules for order entry, consolidation, document output.</v>
          </cell>
        </row>
        <row r="102">
          <cell r="A102" t="str">
            <v>CIDVEN</v>
          </cell>
          <cell r="B102" t="str">
            <v>CUCD</v>
          </cell>
          <cell r="L102" t="str">
            <v>Default currency/exchange rate rule</v>
          </cell>
          <cell r="M102" t="str">
            <v>Required for international procurement, enables cross-border finance, allows purchasing and invoicing in preferred currency, handles exchange rate conversion when needed.</v>
          </cell>
        </row>
        <row r="103">
          <cell r="A103" t="str">
            <v>CIDVEN</v>
          </cell>
          <cell r="B103" t="str">
            <v>CRTP</v>
          </cell>
          <cell r="M103" t="str">
            <v>The field indicates the exchange rate used when prices in the Purchase module are converted to local currency or another currency.</v>
          </cell>
        </row>
        <row r="104">
          <cell r="A104" t="str">
            <v>CIDVEN</v>
          </cell>
          <cell r="B104" t="str">
            <v>VTCD</v>
          </cell>
          <cell r="L104" t="str">
            <v>Default VAT code/method</v>
          </cell>
          <cell r="M104" t="str">
            <v>Ensures correct tax application and compliance, auto-populates VAT method and rate on invoices.</v>
          </cell>
        </row>
        <row r="105">
          <cell r="A105" t="str">
            <v>CIDVEN</v>
          </cell>
          <cell r="B105" t="str">
            <v>TXAP</v>
          </cell>
        </row>
        <row r="106">
          <cell r="A106" t="str">
            <v>CIDVEN</v>
          </cell>
          <cell r="B106" t="str">
            <v>DCSM</v>
          </cell>
          <cell r="L106" t="str">
            <v>Discount chaining method (checkbox)</v>
          </cell>
          <cell r="M106" t="str">
            <v>determines how discounts are calculated and applied for each supplier's purchase orders and lines. Cascading (D1 + D2 + D3) or total discounts.  This checkbox indicates the method for calculating the discount which is used for the calculation of the purchase order line's total discount; check the box if cascading discounts are planned for this supplier. But don't select the check box for a total discount calculation. 
The total discount is calculated as: D1 + D2 + D3 while the chain discount is calculated with formulas using some percentages on each discount. We will do some sessions on this if needed, but just FYI in M3 we can enter supplier discounts at different level: at the supplier level, at the agreement level, and at the agreement line level.</v>
          </cell>
        </row>
        <row r="107">
          <cell r="A107" t="str">
            <v>CIDVEN</v>
          </cell>
          <cell r="B107" t="str">
            <v>TEPY</v>
          </cell>
          <cell r="L107" t="str">
            <v>Due date/payment scheduling</v>
          </cell>
          <cell r="M107" t="str">
            <v>Dictates how M3 calculates invoice due date and credit; supports detailed timing scenarios (e.g., Net 30, milestone payments).</v>
          </cell>
        </row>
        <row r="108">
          <cell r="A108" t="str">
            <v>CIDVEN</v>
          </cell>
          <cell r="B108" t="str">
            <v>PYME</v>
          </cell>
          <cell r="L108" t="str">
            <v>How supplier is paid</v>
          </cell>
          <cell r="M108" t="str">
            <v>Configures payment channel (ACH, check, wire), supports automation and selection logic for AP.</v>
          </cell>
        </row>
        <row r="109">
          <cell r="A109" t="str">
            <v>CIDVEN</v>
          </cell>
          <cell r="B109" t="str">
            <v>TECD</v>
          </cell>
          <cell r="L109" t="str">
            <v>Early payment discount logic</v>
          </cell>
          <cell r="M109" t="str">
            <v>Automates supplier discount capture; sets terms for cash discount, used in payment scheduling to optimize financial operations.</v>
          </cell>
        </row>
        <row r="110">
          <cell r="A110" t="str">
            <v>CIDVEN</v>
          </cell>
          <cell r="B110" t="str">
            <v>TEDL</v>
          </cell>
          <cell r="L110" t="str">
            <v>Standard contractual delivery terms</v>
          </cell>
          <cell r="M110" t="str">
            <v>Maps PO delivery terms, sets transfer of responsibility/economic ownership milestones (FOB, CIF, DDP), required for regulatory and contractual shipping compliance. The field indicates delivery terms, which define when the responsibility for a delivery is transferred from the supplier to the company. M3 will assign the Term during PPOs and PO creations</v>
          </cell>
        </row>
        <row r="111">
          <cell r="A111" t="str">
            <v>CIDVEN</v>
          </cell>
          <cell r="B111" t="str">
            <v>MODL</v>
          </cell>
          <cell r="M111" t="str">
            <v>default delivery is made. The Delivery mode is fetched during PO creation (and can be overridden). Ex: Road, Sea, Air...</v>
          </cell>
        </row>
        <row r="112">
          <cell r="A112" t="str">
            <v>CIDVEN</v>
          </cell>
          <cell r="B112" t="str">
            <v>TEPA</v>
          </cell>
          <cell r="L112" t="str">
            <v>Logistics and packaging requirements</v>
          </cell>
          <cell r="M112" t="str">
            <v>The field indicates what terms apply when goods are packed. Packaging terms can be printed on PO documents. Optional.</v>
          </cell>
        </row>
        <row r="113">
          <cell r="A113" t="str">
            <v>CIDVEN</v>
          </cell>
          <cell r="B113" t="str">
            <v>TEAF</v>
          </cell>
          <cell r="M113" t="str">
            <v xml:space="preserve">The field indicates the freight terms which apply for the delivered goods;  Freight Terms (in CRS126) typically include standard agreements like Incoterms (e.g., FOB, CIF, DDP) that specify the point of title passage and responsibility for freight charges. This setup ensures that freight agreements and charges are consistently applied within purchasing, order handling, and transportation processes in M3. M3 is designed to expect a value here, even if no specific term was agreed with the vendor. In this scenario we can create a 'None' record and select it during the supplier creation. </v>
          </cell>
        </row>
        <row r="114">
          <cell r="A114" t="str">
            <v>CIDVEN</v>
          </cell>
          <cell r="B114" t="str">
            <v>DT4T</v>
          </cell>
          <cell r="L114" t="str">
            <v>PO date type</v>
          </cell>
          <cell r="M114" t="str">
            <v xml:space="preserve">Important field. It indicates the date type, which determines the date that is registered on the purchase order line. The selection between alternative 1 and 2 also depends of the Incoterm.
Alternatives are: 1- Requested delivery date; 2- Planned put-away date; 3- Requested delivery date (cannot be overriden) ; 4 = Requested delivery date including hour and minutes. </v>
          </cell>
        </row>
        <row r="115">
          <cell r="A115" t="str">
            <v>CIDVEN</v>
          </cell>
          <cell r="B115" t="str">
            <v>PACD</v>
          </cell>
          <cell r="L115" t="str">
            <v>Payment proposal sort order</v>
          </cell>
          <cell r="M115" t="str">
            <v>Prioritizes payments for AP team, controls selection logic for payment batches per supplier. If selected for the supplier, is used as selection criteria in connection with payment proposals in Accounts Payable. Optional. If used, selection (dropdown) from 1 to 9.</v>
          </cell>
        </row>
        <row r="116">
          <cell r="A116" t="str">
            <v>CIDVEN</v>
          </cell>
          <cell r="B116" t="str">
            <v>IAPC</v>
          </cell>
          <cell r="M116" t="str">
            <v>The field indicates whether it is possible to enter the invoice as Invoiced/Goods not received when the invoice is matched to a PO in</v>
          </cell>
        </row>
        <row r="117">
          <cell r="A117" t="str">
            <v>CIDVEN</v>
          </cell>
          <cell r="B117" t="str">
            <v>IAPE</v>
          </cell>
          <cell r="M117" t="str">
            <v>The field indicates the value against which the invoice quantity is checked during the automatic invoice check.</v>
          </cell>
        </row>
        <row r="118">
          <cell r="A118" t="str">
            <v>CIDVEN</v>
          </cell>
          <cell r="B118" t="str">
            <v>IAPF</v>
          </cell>
          <cell r="M118" t="str">
            <v>The field indicates whether it is possible to create a debit note in the invoice matching routine</v>
          </cell>
        </row>
        <row r="119">
          <cell r="A119" t="str">
            <v>CIDVEN</v>
          </cell>
          <cell r="B119" t="str">
            <v>IAPT</v>
          </cell>
          <cell r="L119" t="str">
            <v>Invoice approval logic</v>
          </cell>
          <cell r="M119" t="str">
            <v>Manual or auto approval; enables automated invoice processing when goods are received, reduces manual intervention, speeds workflow.</v>
          </cell>
        </row>
        <row r="120">
          <cell r="A120" t="str">
            <v>CIDVEN</v>
          </cell>
          <cell r="B120" t="str">
            <v>FUSC</v>
          </cell>
          <cell r="M120" t="str">
            <v>This field indicates a list with actions to be performed for a given purchase order. The idea is to set an action date for each action, which is specified as days before/after the delivery date or order date. This functionality helps ensure deliveries and order confirmations are tracked effectively as part of the procurement and supply chain process. It can be activated here at the vendor level, for new suppliers for example. It acts as a follow-up and monitoring tool for purchasing teams to keep supplier orders under review and manage timely execution of supply commitments</v>
          </cell>
        </row>
        <row r="121">
          <cell r="A121" t="str">
            <v>CIDVEN</v>
          </cell>
          <cell r="B121" t="str">
            <v>SPFC</v>
          </cell>
          <cell r="L121" t="str">
            <v>Monitoring/follow-up classification</v>
          </cell>
          <cell r="M121" t="str">
            <v>Monitoring Classes are classifications used for following up on deliveries and transportation from suppliers. Unlike quality classes which focus on product quality, monitor classes are oriented toward supplier performance tracking and delivery monitoring. Monitoring classes in Infor M3 are entirely manual classification tools that require active management by your Procure-to-Pay (P2P) team. M3's monitoring class field is not automatically updated by the system—it serves as a manual input field that you must maintain based on your analysis of supplier performance statistics (which are done in M3). Useful field as long as the P2P team designs a workflow on Suppliers stats.</v>
          </cell>
        </row>
        <row r="122">
          <cell r="A122" t="str">
            <v>CIDVEN</v>
          </cell>
          <cell r="B122" t="str">
            <v>SHST</v>
          </cell>
          <cell r="M122" t="str">
            <v>The field indicates if the shipment table should be used to adjust delivery times on the purchase order. There is a table available to set PO receiving days for example. It is going to be seen by MRP when planning the receiving dates and times</v>
          </cell>
        </row>
        <row r="123">
          <cell r="A123" t="str">
            <v>CIDVEN</v>
          </cell>
          <cell r="B123" t="str">
            <v>PSTM</v>
          </cell>
        </row>
        <row r="124">
          <cell r="A124" t="str">
            <v>CIDVEN</v>
          </cell>
          <cell r="B124" t="str">
            <v>SUST</v>
          </cell>
          <cell r="M124" t="str">
            <v>Flag this setting (or write '1' in the API transaction) if statistics are to be calculated for the supplier</v>
          </cell>
        </row>
        <row r="125">
          <cell r="A125" t="str">
            <v>CIDVEN</v>
          </cell>
          <cell r="B125" t="str">
            <v>SUSY</v>
          </cell>
          <cell r="M125" t="str">
            <v>The field indicates the number of years accumulated supplier statistics are to be saved</v>
          </cell>
        </row>
        <row r="126">
          <cell r="A126" t="str">
            <v>CIDVEN</v>
          </cell>
          <cell r="B126" t="str">
            <v>REGR</v>
          </cell>
          <cell r="L126" t="str">
            <v>Accounting string structure/model</v>
          </cell>
          <cell r="M126" t="str">
            <v>Presets accounting structure/template, defaulted at entry for audit-ready invoice posting and reporting.</v>
          </cell>
        </row>
        <row r="127">
          <cell r="A127" t="str">
            <v>CIDVEN</v>
          </cell>
          <cell r="B127" t="str">
            <v>ACRF</v>
          </cell>
        </row>
        <row r="128">
          <cell r="A128" t="str">
            <v>CIDVEN</v>
          </cell>
          <cell r="B128" t="str">
            <v>CFI1</v>
          </cell>
          <cell r="M128"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row>
        <row r="129">
          <cell r="A129" t="str">
            <v>CIDVEN</v>
          </cell>
          <cell r="B129" t="str">
            <v>CFI2</v>
          </cell>
          <cell r="M129"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row>
        <row r="130">
          <cell r="A130" t="str">
            <v>CIDVEN</v>
          </cell>
          <cell r="B130" t="str">
            <v>CFI3</v>
          </cell>
          <cell r="M130"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row>
        <row r="131">
          <cell r="A131" t="str">
            <v>CIDVEN</v>
          </cell>
          <cell r="B131" t="str">
            <v>CFI4</v>
          </cell>
          <cell r="M131"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row>
        <row r="132">
          <cell r="A132" t="str">
            <v>CIDVEN</v>
          </cell>
          <cell r="B132" t="str">
            <v>CFI5</v>
          </cell>
          <cell r="M132" t="str">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ell>
        </row>
        <row r="133">
          <cell r="A133" t="str">
            <v>CIDVEN</v>
          </cell>
          <cell r="B133" t="str">
            <v>PTDY</v>
          </cell>
          <cell r="L133" t="str">
            <v>Allowable late payment days</v>
          </cell>
          <cell r="M133" t="str">
            <v>Workflow control for AP, defines how many days after due date before penalties accrue, critical for process and compliance automation.</v>
          </cell>
        </row>
        <row r="134">
          <cell r="A134" t="str">
            <v>CIDVEN</v>
          </cell>
          <cell r="B134" t="str">
            <v>DTDY</v>
          </cell>
          <cell r="M134" t="str">
            <v>This is used to pulled statistics reports from M3. It actually indicates the number of days an early or late delivery can be accepted as delivered on time. (e.g., 2 days).</v>
          </cell>
        </row>
        <row r="135">
          <cell r="A135" t="str">
            <v>CIDVEN</v>
          </cell>
          <cell r="B135" t="str">
            <v>LIDT</v>
          </cell>
        </row>
        <row r="136">
          <cell r="A136" t="str">
            <v>CIDVEN</v>
          </cell>
          <cell r="B136" t="str">
            <v>SHAC</v>
          </cell>
          <cell r="M136" t="str">
            <v xml:space="preserve">The field indicates by which method the supplier will send a shipment advice. </v>
          </cell>
        </row>
        <row r="137">
          <cell r="A137" t="str">
            <v>CIDVEN</v>
          </cell>
          <cell r="B137" t="str">
            <v>GRPY</v>
          </cell>
        </row>
        <row r="138">
          <cell r="A138" t="str">
            <v>CIDVEN</v>
          </cell>
          <cell r="B138" t="str">
            <v>SERS</v>
          </cell>
          <cell r="M138" t="str">
            <v xml:space="preserve">You use service codes when entering invoices from self-employed suppliers, if your company is required to report such payments to the tax authorities. </v>
          </cell>
        </row>
        <row r="139">
          <cell r="A139" t="str">
            <v>CIDVEN</v>
          </cell>
          <cell r="B139" t="str">
            <v>SUGR</v>
          </cell>
          <cell r="L139" t="str">
            <v>Statistical Supplier Number (if different)</v>
          </cell>
          <cell r="M139" t="str">
            <v>Used for aggregated reporting when supplier statistics must be tracked separately from main vendor record (multi-vendor groups, alternate reporting identifier).</v>
          </cell>
        </row>
        <row r="140">
          <cell r="A140" t="str">
            <v>CIDVEN</v>
          </cell>
          <cell r="B140" t="str">
            <v>TAXC</v>
          </cell>
          <cell r="M140" t="str">
            <v>The tax code is used to calculate US sales tax</v>
          </cell>
        </row>
        <row r="141">
          <cell r="A141" t="str">
            <v>CIDVEN</v>
          </cell>
          <cell r="B141" t="str">
            <v>PWMT</v>
          </cell>
        </row>
        <row r="142">
          <cell r="A142" t="str">
            <v>CIDVEN</v>
          </cell>
          <cell r="B142" t="str">
            <v>TXID</v>
          </cell>
        </row>
        <row r="143">
          <cell r="A143" t="str">
            <v>CIDVEN</v>
          </cell>
          <cell r="B143" t="str">
            <v>TDCD</v>
          </cell>
          <cell r="M143" t="str">
            <v>Most countries require statistics on international trade. Each company reports what it has paid to suppliers in other countries, categorized by material, services...The trade code is defaulted (but can be changed) for the supplier when processing transactions such as recording invoices in APS100</v>
          </cell>
        </row>
        <row r="144">
          <cell r="A144" t="str">
            <v>CIDVEN</v>
          </cell>
          <cell r="B144" t="str">
            <v>POOT</v>
          </cell>
          <cell r="M144" t="str">
            <v>The field indicates the ID of a time table containing planning points specified in days, hours, and minutes. </v>
          </cell>
        </row>
        <row r="145">
          <cell r="A145" t="str">
            <v>CIDVEN</v>
          </cell>
          <cell r="B145" t="str">
            <v>ATPR</v>
          </cell>
          <cell r="L145" t="str">
            <v>PO line attribute pricing rule</v>
          </cell>
          <cell r="M145" t="str">
            <v>Controls rule for price calculation at PO line/item level (choose actual attribute values vs expected); applies to attribute-priced products/services. If 1 Expected then the price calculation is based on the requirement to the vendor (expect). If set to 2, it is calculated on what actual attributes. So, either alternative 1 = Expected attribute values, or 2 = Actual attributes values are used as base.</v>
          </cell>
        </row>
        <row r="146">
          <cell r="A146" t="str">
            <v>CIDVEN</v>
          </cell>
          <cell r="B146" t="str">
            <v>DTCD</v>
          </cell>
          <cell r="L146" t="str">
            <v>Date for Pricing and correct agreement selection</v>
          </cell>
          <cell r="M146" t="str">
            <v xml:space="preserve">indicates which date on the purchase order is to be used as the comparison date for the agreement's dates. Used to obtain the correct agreement number and therefore the correct price on your purchase orders. You can choose between the Order date creation (1) or the requested delivery date (2). It is an important field for vendors that have long lead times. The system will fetch the correct Supplier agreement (and price) based on this setting: Is the agreeement and price to be fetched in the PPO, is the one valid at the PPO creation date (order date) or the one valid at the requested delivery date? </v>
          </cell>
        </row>
        <row r="147">
          <cell r="A147" t="str">
            <v>CIDVEN</v>
          </cell>
          <cell r="B147" t="str">
            <v>SBPE</v>
          </cell>
          <cell r="M147" t="str">
            <v>Select the check box if self-billing is permitted for the current supplier</v>
          </cell>
        </row>
        <row r="148">
          <cell r="A148" t="str">
            <v>CIDVEN</v>
          </cell>
          <cell r="B148" t="str">
            <v>TAME</v>
          </cell>
          <cell r="M148" t="str">
            <v>The field indicates whether the system calculates and books supplier tax withheld at the source when the company registers or pays invoices from certain suppliers.</v>
          </cell>
        </row>
        <row r="149">
          <cell r="A149" t="str">
            <v>CIDVEN</v>
          </cell>
          <cell r="B149" t="str">
            <v>WIPR</v>
          </cell>
        </row>
        <row r="150">
          <cell r="A150" t="str">
            <v>CIDVEN</v>
          </cell>
          <cell r="B150" t="str">
            <v>TIDN</v>
          </cell>
        </row>
        <row r="151">
          <cell r="A151" t="str">
            <v>CIDVEN</v>
          </cell>
          <cell r="B151" t="str">
            <v>TINO</v>
          </cell>
        </row>
        <row r="152">
          <cell r="A152" t="str">
            <v>CIDVEN</v>
          </cell>
          <cell r="B152" t="str">
            <v>AVCD</v>
          </cell>
          <cell r="L152" t="str">
            <v>French tax activity identifier</v>
          </cell>
          <cell r="M152" t="str">
            <v>Used for regulatory compliance and tax filing, especially for French suppliers per finance requirements.</v>
          </cell>
        </row>
        <row r="153">
          <cell r="A153" t="str">
            <v>CIDVEN</v>
          </cell>
          <cell r="B153" t="str">
            <v>CINP</v>
          </cell>
        </row>
        <row r="154">
          <cell r="A154" t="str">
            <v>CIDVEN</v>
          </cell>
          <cell r="B154" t="str">
            <v>SCIS</v>
          </cell>
        </row>
        <row r="155">
          <cell r="A155" t="str">
            <v>CIDVEN</v>
          </cell>
          <cell r="B155" t="str">
            <v>RGDT</v>
          </cell>
        </row>
        <row r="156">
          <cell r="A156" t="str">
            <v>CIDVEN</v>
          </cell>
          <cell r="B156" t="str">
            <v>RGTM</v>
          </cell>
        </row>
        <row r="157">
          <cell r="A157" t="str">
            <v>CIDVEN</v>
          </cell>
          <cell r="B157" t="str">
            <v>LMDT</v>
          </cell>
        </row>
        <row r="158">
          <cell r="A158" t="str">
            <v>CIDVEN</v>
          </cell>
          <cell r="B158" t="str">
            <v>CHNO</v>
          </cell>
        </row>
        <row r="159">
          <cell r="A159" t="str">
            <v>CIDVEN</v>
          </cell>
          <cell r="B159" t="str">
            <v>CHID</v>
          </cell>
        </row>
        <row r="160">
          <cell r="A160" t="str">
            <v>CIDVEN</v>
          </cell>
          <cell r="B160" t="str">
            <v>LMTS</v>
          </cell>
        </row>
        <row r="161">
          <cell r="A161" t="str">
            <v>CIDVEN</v>
          </cell>
          <cell r="B161" t="str">
            <v>PPLV</v>
          </cell>
          <cell r="M161" t="str">
            <v>This field is used to control target bying functionality and purchase planning per product line at the supplier level</v>
          </cell>
        </row>
        <row r="162">
          <cell r="A162" t="str">
            <v>CIDVEN</v>
          </cell>
          <cell r="B162" t="str">
            <v>CGRP</v>
          </cell>
          <cell r="L162" t="str">
            <v>PO consolidation group identifier</v>
          </cell>
          <cell r="M162" t="str">
            <v xml:space="preserve">Used to group the planned purchase orders together (into one or multiple firm PO during the PPO release) for processing, release, and tracking, allows configuration by consolidation rules. Configuration in PPS019, and value selection in this field if needed. The consolidation group can be attached to the PO order type instead, and not to the supplier. </v>
          </cell>
        </row>
        <row r="163">
          <cell r="A163" t="str">
            <v>CIDVEN</v>
          </cell>
          <cell r="B163" t="str">
            <v>TXIN</v>
          </cell>
        </row>
        <row r="164">
          <cell r="A164" t="str">
            <v>CIDVEN</v>
          </cell>
          <cell r="B164" t="str">
            <v>DTID</v>
          </cell>
        </row>
        <row r="165">
          <cell r="A165" t="str">
            <v>CIDVEN</v>
          </cell>
          <cell r="B165" t="str">
            <v>ALCS</v>
          </cell>
          <cell r="M165" t="str">
            <v>Select the check box to enable the creation of a consignment agreement for this supplier. When the checkbox is selected, stock can be physically received and stored while legal ownership remains with the supplier until consumption or sale, which changes when and how the purchase is considered received and invoiced.</v>
          </cell>
        </row>
        <row r="166">
          <cell r="A166" t="str">
            <v>CIDVEN</v>
          </cell>
          <cell r="B166" t="str">
            <v>IFAC</v>
          </cell>
        </row>
        <row r="167">
          <cell r="A167" t="str">
            <v>CIDVEN</v>
          </cell>
          <cell r="B167" t="str">
            <v>SUWH</v>
          </cell>
        </row>
        <row r="168">
          <cell r="A168" t="str">
            <v>CIDVEN</v>
          </cell>
          <cell r="B168" t="str">
            <v>AUCD</v>
          </cell>
        </row>
        <row r="169">
          <cell r="A169" t="str">
            <v>CIDVEN</v>
          </cell>
          <cell r="B169" t="str">
            <v>SRAM</v>
          </cell>
        </row>
        <row r="170">
          <cell r="A170" t="str">
            <v>CIDVEN</v>
          </cell>
          <cell r="B170" t="str">
            <v>SCIP</v>
          </cell>
        </row>
        <row r="171">
          <cell r="A171" t="str">
            <v>CIDVEN</v>
          </cell>
          <cell r="B171" t="str">
            <v>SCIR</v>
          </cell>
        </row>
        <row r="172">
          <cell r="A172" t="str">
            <v>CIDVEN</v>
          </cell>
          <cell r="B172" t="str">
            <v>AUTV</v>
          </cell>
        </row>
        <row r="173">
          <cell r="A173" t="str">
            <v>CBANAC</v>
          </cell>
          <cell r="B173" t="str">
            <v>CONO</v>
          </cell>
        </row>
        <row r="174">
          <cell r="A174" t="str">
            <v>CBANAC</v>
          </cell>
          <cell r="B174" t="str">
            <v>DIVI</v>
          </cell>
        </row>
        <row r="175">
          <cell r="A175" t="str">
            <v>CBANAC</v>
          </cell>
          <cell r="B175" t="str">
            <v>BKID</v>
          </cell>
        </row>
        <row r="176">
          <cell r="A176" t="str">
            <v>CBANAC</v>
          </cell>
          <cell r="B176" t="str">
            <v>BKTP</v>
          </cell>
        </row>
        <row r="177">
          <cell r="A177" t="str">
            <v>CBANAC</v>
          </cell>
          <cell r="B177" t="str">
            <v>ACHO</v>
          </cell>
        </row>
        <row r="178">
          <cell r="A178" t="str">
            <v>CBANAC</v>
          </cell>
          <cell r="B178" t="str">
            <v>BKNO</v>
          </cell>
        </row>
        <row r="179">
          <cell r="A179" t="str">
            <v>CBANAC</v>
          </cell>
          <cell r="B179" t="str">
            <v>BBRN</v>
          </cell>
        </row>
        <row r="180">
          <cell r="A180" t="str">
            <v>CBANAC</v>
          </cell>
          <cell r="B180" t="str">
            <v>STAT</v>
          </cell>
        </row>
        <row r="181">
          <cell r="A181" t="str">
            <v>CBANAC</v>
          </cell>
          <cell r="B181" t="str">
            <v>BANA</v>
          </cell>
        </row>
        <row r="182">
          <cell r="A182" t="str">
            <v>CBANAC</v>
          </cell>
          <cell r="B182" t="str">
            <v>AIT1</v>
          </cell>
        </row>
        <row r="183">
          <cell r="A183" t="str">
            <v>CBANAC</v>
          </cell>
          <cell r="B183" t="str">
            <v>AIT2</v>
          </cell>
        </row>
        <row r="184">
          <cell r="A184" t="str">
            <v>CBANAC</v>
          </cell>
          <cell r="B184" t="str">
            <v>AIT3</v>
          </cell>
        </row>
        <row r="185">
          <cell r="A185" t="str">
            <v>CBANAC</v>
          </cell>
          <cell r="B185" t="str">
            <v>AIT4</v>
          </cell>
        </row>
        <row r="186">
          <cell r="A186" t="str">
            <v>CBANAC</v>
          </cell>
          <cell r="B186" t="str">
            <v>AIT5</v>
          </cell>
        </row>
        <row r="187">
          <cell r="A187" t="str">
            <v>CBANAC</v>
          </cell>
          <cell r="B187" t="str">
            <v>AIT6</v>
          </cell>
        </row>
        <row r="188">
          <cell r="A188" t="str">
            <v>CBANAC</v>
          </cell>
          <cell r="B188" t="str">
            <v>AIT7</v>
          </cell>
        </row>
        <row r="189">
          <cell r="A189" t="str">
            <v>CBANAC</v>
          </cell>
          <cell r="B189" t="str">
            <v>CUCD</v>
          </cell>
        </row>
        <row r="190">
          <cell r="A190" t="str">
            <v>CBANAC</v>
          </cell>
          <cell r="B190" t="str">
            <v>BKIN</v>
          </cell>
        </row>
        <row r="191">
          <cell r="A191" t="str">
            <v>CBANAC</v>
          </cell>
          <cell r="B191" t="str">
            <v>BAF1</v>
          </cell>
        </row>
        <row r="192">
          <cell r="A192" t="str">
            <v>CBANAC</v>
          </cell>
          <cell r="B192" t="str">
            <v>BAF2</v>
          </cell>
        </row>
        <row r="193">
          <cell r="A193" t="str">
            <v>CBANAC</v>
          </cell>
          <cell r="B193" t="str">
            <v>BAF3</v>
          </cell>
        </row>
        <row r="194">
          <cell r="A194" t="str">
            <v>CBANAC</v>
          </cell>
          <cell r="B194" t="str">
            <v>BAF4</v>
          </cell>
        </row>
        <row r="195">
          <cell r="A195" t="str">
            <v>CBANAC</v>
          </cell>
          <cell r="B195" t="str">
            <v>BAF5</v>
          </cell>
        </row>
        <row r="196">
          <cell r="A196" t="str">
            <v>CBANAC</v>
          </cell>
          <cell r="B196" t="str">
            <v>BKPL</v>
          </cell>
        </row>
        <row r="197">
          <cell r="A197" t="str">
            <v>CBANAC</v>
          </cell>
          <cell r="B197" t="str">
            <v>ARTP</v>
          </cell>
        </row>
        <row r="198">
          <cell r="A198" t="str">
            <v>CBANAC</v>
          </cell>
          <cell r="B198" t="str">
            <v>BMDA</v>
          </cell>
        </row>
        <row r="199">
          <cell r="A199" t="str">
            <v>CBANAC</v>
          </cell>
          <cell r="B199" t="str">
            <v>BMCA</v>
          </cell>
        </row>
        <row r="200">
          <cell r="A200" t="str">
            <v>CBANAC</v>
          </cell>
          <cell r="B200" t="str">
            <v>FCDC</v>
          </cell>
        </row>
        <row r="201">
          <cell r="A201" t="str">
            <v>CBANAC</v>
          </cell>
          <cell r="B201" t="str">
            <v>BIDC</v>
          </cell>
        </row>
        <row r="202">
          <cell r="A202" t="str">
            <v>CBANAC</v>
          </cell>
          <cell r="B202" t="str">
            <v>BMDI</v>
          </cell>
        </row>
        <row r="203">
          <cell r="A203" t="str">
            <v>CBANAC</v>
          </cell>
          <cell r="B203" t="str">
            <v>FCCO</v>
          </cell>
        </row>
        <row r="204">
          <cell r="A204" t="str">
            <v>CBANAC</v>
          </cell>
          <cell r="B204" t="str">
            <v>DNOV</v>
          </cell>
        </row>
        <row r="205">
          <cell r="A205" t="str">
            <v>CBANAC</v>
          </cell>
          <cell r="B205" t="str">
            <v>CNOV</v>
          </cell>
        </row>
        <row r="206">
          <cell r="A206" t="str">
            <v>CBANAC</v>
          </cell>
          <cell r="B206" t="str">
            <v>BKAG</v>
          </cell>
        </row>
        <row r="207">
          <cell r="A207" t="str">
            <v>CBANAC</v>
          </cell>
          <cell r="B207" t="str">
            <v>FINC</v>
          </cell>
        </row>
        <row r="208">
          <cell r="A208" t="str">
            <v>CBANAC</v>
          </cell>
          <cell r="B208" t="str">
            <v>C1QF</v>
          </cell>
        </row>
        <row r="209">
          <cell r="A209" t="str">
            <v>CBANAC</v>
          </cell>
          <cell r="B209" t="str">
            <v>C1RA</v>
          </cell>
        </row>
        <row r="210">
          <cell r="A210" t="str">
            <v>CBANAC</v>
          </cell>
          <cell r="B210" t="str">
            <v>FIAN</v>
          </cell>
        </row>
        <row r="211">
          <cell r="A211" t="str">
            <v>CBANAC</v>
          </cell>
          <cell r="B211" t="str">
            <v>BRNO</v>
          </cell>
        </row>
        <row r="212">
          <cell r="A212" t="str">
            <v>CBANAC</v>
          </cell>
          <cell r="B212" t="str">
            <v>C2QF</v>
          </cell>
        </row>
        <row r="213">
          <cell r="A213" t="str">
            <v>CBANAC</v>
          </cell>
          <cell r="B213" t="str">
            <v>C2RA</v>
          </cell>
        </row>
        <row r="214">
          <cell r="A214" t="str">
            <v>CBANAC</v>
          </cell>
          <cell r="B214" t="str">
            <v>FICU</v>
          </cell>
        </row>
        <row r="215">
          <cell r="A215" t="str">
            <v>CBANAC</v>
          </cell>
          <cell r="B215" t="str">
            <v>NCHL</v>
          </cell>
        </row>
        <row r="216">
          <cell r="A216" t="str">
            <v>CBANAC</v>
          </cell>
          <cell r="B216" t="str">
            <v>CBPY</v>
          </cell>
        </row>
        <row r="217">
          <cell r="A217" t="str">
            <v>CBANAC</v>
          </cell>
          <cell r="B217" t="str">
            <v>PYCD</v>
          </cell>
        </row>
        <row r="218">
          <cell r="A218" t="str">
            <v>CBANAC</v>
          </cell>
          <cell r="B218" t="str">
            <v>LNCD</v>
          </cell>
        </row>
        <row r="219">
          <cell r="A219" t="str">
            <v>CBANAC</v>
          </cell>
          <cell r="B219" t="str">
            <v>NODY</v>
          </cell>
        </row>
        <row r="220">
          <cell r="A220" t="str">
            <v>CBANAC</v>
          </cell>
          <cell r="B220" t="str">
            <v>EBAT</v>
          </cell>
        </row>
        <row r="221">
          <cell r="A221" t="str">
            <v>CBANAC</v>
          </cell>
          <cell r="B221" t="str">
            <v>PYTK</v>
          </cell>
        </row>
        <row r="222">
          <cell r="A222" t="str">
            <v>CBANAC</v>
          </cell>
          <cell r="B222" t="str">
            <v>CSTC</v>
          </cell>
        </row>
        <row r="223">
          <cell r="A223" t="str">
            <v>CBANAC</v>
          </cell>
          <cell r="B223" t="str">
            <v>IBAN</v>
          </cell>
        </row>
        <row r="224">
          <cell r="A224" t="str">
            <v>CBANAC</v>
          </cell>
          <cell r="B224" t="str">
            <v>ACGR</v>
          </cell>
        </row>
        <row r="225">
          <cell r="A225" t="str">
            <v>CBANAC</v>
          </cell>
          <cell r="B225" t="str">
            <v>TXID</v>
          </cell>
        </row>
        <row r="226">
          <cell r="A226" t="str">
            <v>CBANAC</v>
          </cell>
          <cell r="B226" t="str">
            <v>RGDT</v>
          </cell>
        </row>
        <row r="227">
          <cell r="A227" t="str">
            <v>CBANAC</v>
          </cell>
          <cell r="B227" t="str">
            <v>RGTM</v>
          </cell>
        </row>
        <row r="228">
          <cell r="A228" t="str">
            <v>CBANAC</v>
          </cell>
          <cell r="B228" t="str">
            <v>LMDT</v>
          </cell>
        </row>
        <row r="229">
          <cell r="A229" t="str">
            <v>CBANAC</v>
          </cell>
          <cell r="B229" t="str">
            <v>CHNO</v>
          </cell>
        </row>
        <row r="230">
          <cell r="A230" t="str">
            <v>CBANAC</v>
          </cell>
          <cell r="B230" t="str">
            <v>CHID</v>
          </cell>
        </row>
        <row r="231">
          <cell r="A231" t="str">
            <v>CBANAC</v>
          </cell>
          <cell r="B231" t="str">
            <v>LMTS</v>
          </cell>
        </row>
        <row r="232">
          <cell r="A232" t="str">
            <v>CBANAC</v>
          </cell>
          <cell r="B232" t="str">
            <v>LONC</v>
          </cell>
        </row>
        <row r="233">
          <cell r="A233" t="str">
            <v>CBANAC</v>
          </cell>
          <cell r="B233" t="str">
            <v>CIDN</v>
          </cell>
        </row>
        <row r="234">
          <cell r="A234" t="str">
            <v>CBANAC</v>
          </cell>
          <cell r="B234" t="str">
            <v>SWBI</v>
          </cell>
        </row>
        <row r="235">
          <cell r="A235" t="str">
            <v>CBANAC</v>
          </cell>
          <cell r="B235" t="str">
            <v>CLSI</v>
          </cell>
        </row>
        <row r="236">
          <cell r="A236" t="str">
            <v>CBANAC</v>
          </cell>
          <cell r="B236" t="str">
            <v>CLSN</v>
          </cell>
        </row>
        <row r="237">
          <cell r="A237" t="str">
            <v>CBANAC</v>
          </cell>
          <cell r="B237" t="str">
            <v>BACN</v>
          </cell>
        </row>
        <row r="238">
          <cell r="A238" t="str">
            <v>CBANAC</v>
          </cell>
          <cell r="B238" t="str">
            <v>CPCO</v>
          </cell>
        </row>
        <row r="239">
          <cell r="A239" t="str">
            <v>CBANAC</v>
          </cell>
          <cell r="B239" t="str">
            <v>PPCO</v>
          </cell>
        </row>
        <row r="240">
          <cell r="A240" t="str">
            <v>CBANAC</v>
          </cell>
          <cell r="B240" t="str">
            <v>PITY</v>
          </cell>
        </row>
        <row r="241">
          <cell r="A241" t="str">
            <v>CBANAC</v>
          </cell>
          <cell r="B241" t="str">
            <v>CBCD</v>
          </cell>
        </row>
        <row r="242">
          <cell r="A242" t="str">
            <v>CBANAC</v>
          </cell>
          <cell r="B242" t="str">
            <v>IBBD</v>
          </cell>
        </row>
        <row r="243">
          <cell r="A243" t="str">
            <v>CBANAC</v>
          </cell>
          <cell r="B243" t="str">
            <v>IBBN</v>
          </cell>
        </row>
        <row r="244">
          <cell r="A244" t="str">
            <v>CBANAC</v>
          </cell>
          <cell r="B244" t="str">
            <v>IBBB</v>
          </cell>
        </row>
        <row r="245">
          <cell r="A245" t="str">
            <v>CBANAC</v>
          </cell>
          <cell r="B245" t="str">
            <v>IBSW</v>
          </cell>
        </row>
        <row r="246">
          <cell r="A246" t="str">
            <v>CBANAC</v>
          </cell>
          <cell r="B246" t="str">
            <v>IBSI</v>
          </cell>
        </row>
        <row r="247">
          <cell r="A247" t="str">
            <v>CBANAC</v>
          </cell>
          <cell r="B247" t="str">
            <v>IBSN</v>
          </cell>
        </row>
        <row r="248">
          <cell r="A248" t="str">
            <v>CBANAC</v>
          </cell>
          <cell r="B248" t="str">
            <v>IBIB</v>
          </cell>
        </row>
        <row r="249">
          <cell r="A249" t="str">
            <v>CBANAC</v>
          </cell>
          <cell r="B249" t="str">
            <v>IBCN</v>
          </cell>
        </row>
        <row r="250">
          <cell r="A250" t="str">
            <v>CBANAC</v>
          </cell>
          <cell r="B250" t="str">
            <v>RENO</v>
          </cell>
        </row>
        <row r="251">
          <cell r="L251" t="str">
            <v>Invoice approver</v>
          </cell>
          <cell r="M251" t="str">
            <v>Attach the person authorized to approve the supplier invoices (optional); it means User from AP team, that could be defaulted here and allowed to authorize invoices from this supplier. The user ID will then be defaulted in the Supplier Invoice program when dealing with this supplier</v>
          </cell>
        </row>
        <row r="252">
          <cell r="L252" t="str">
            <v>Linked agent supplier code</v>
          </cell>
          <cell r="M252" t="str">
            <v>Optional. Populated from supplier master, essential for agent scenarios where intermediary manages PO, payment, and logistics. Field to be populated with a Supplier number type 1 only.</v>
          </cell>
        </row>
        <row r="253">
          <cell r="L253" t="str">
            <v>The company (HQ) applied to the supplier</v>
          </cell>
          <cell r="M253" t="str">
            <v>The Supplier number representing a company group. If this supplier belongs to a company group that is also created in the supplier master (Supplier Type 3)</v>
          </cell>
        </row>
        <row r="254">
          <cell r="L254" t="str">
            <v>Enable/disable stat calculation</v>
          </cell>
          <cell r="M254" t="str">
            <v>Turning on allows system to calculate and store purchase/supply statistics for supplier, essential for analysis and compliance.</v>
          </cell>
        </row>
        <row r="255">
          <cell r="L255" t="str">
            <v>Number of years for stats retention</v>
          </cell>
          <cell r="M255" t="str">
            <v>Controls long-term stats saving for audit, reporting, trend analysis.</v>
          </cell>
        </row>
        <row r="256">
          <cell r="L256" t="str">
            <v>Early/late delivery acceptable window</v>
          </cell>
          <cell r="M256" t="str">
            <v>Automates on-time performance stats and grace periods, supports analysis and performance penalty logic.</v>
          </cell>
        </row>
        <row r="257">
          <cell r="L257" t="str">
            <v>Notification channel for shipments</v>
          </cell>
          <cell r="M257" t="str">
            <v>Configures method for supplier to submit shipment advice (manual/EDI/auto-update via delivery note), crucial for process and AP matching.</v>
          </cell>
        </row>
        <row r="258">
          <cell r="L258" t="str">
            <v>Last invoice creation date</v>
          </cell>
          <cell r="M258" t="str">
            <v>Enables invoice date tracking for AP, audit, and performance reporting.</v>
          </cell>
        </row>
        <row r="259">
          <cell r="L259" t="str">
            <v>User-defined function fields</v>
          </cell>
          <cell r="M259" t="str">
            <v>Track additional stat, selection, or operational criteria customized for business/industry needs.</v>
          </cell>
        </row>
      </sheetData>
      <sheetData sheetId="1" refreshError="1"/>
      <sheetData sheetId="2" refreshError="1"/>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K180" dataDxfId="37">
  <autoFilter ref="A2:AK180" xr:uid="{00000000-0009-0000-0100-000001000000}"/>
  <tableColumns count="37">
    <tableColumn id="1" xr3:uid="{00000000-0010-0000-0000-000001000000}" name="Sequence" dataDxfId="36"/>
    <tableColumn id="2" xr3:uid="{00000000-0010-0000-0000-000002000000}" name="TableName" dataDxfId="35"/>
    <tableColumn id="3" xr3:uid="{00000000-0010-0000-0000-000003000000}" name="ColumnName" dataDxfId="34"/>
    <tableColumn id="4" xr3:uid="{00000000-0010-0000-0000-000004000000}" name="Description" dataDxfId="33"/>
    <tableColumn id="5" xr3:uid="{00000000-0010-0000-0000-000005000000}" name="DataType" dataDxfId="32"/>
    <tableColumn id="6" xr3:uid="{00000000-0010-0000-0000-000006000000}" name="Length" dataDxfId="31"/>
    <tableColumn id="7" xr3:uid="{00000000-0010-0000-0000-000007000000}" name="Decimals" dataDxfId="30"/>
    <tableColumn id="8" xr3:uid="{00000000-0010-0000-0000-000008000000}" name="PrimaryKey" dataDxfId="29"/>
    <tableColumn id="9" xr3:uid="{00000000-0010-0000-0000-000009000000}" name="Table_8" dataDxfId="28"/>
    <tableColumn id="10" xr3:uid="{00000000-0010-0000-0000-00000A000000}" name="Program" dataDxfId="27"/>
    <tableColumn id="11" xr3:uid="{00000000-0010-0000-0000-00000B000000}" name="Panel" dataDxfId="26"/>
    <tableColumn id="12" xr3:uid="{00000000-0010-0000-0000-00000C000000}" name="IDM" dataDxfId="25"/>
    <tableColumn id="13" xr3:uid="{00000000-0010-0000-0000-00000D000000}" name="DocBits" dataDxfId="24"/>
    <tableColumn id="14" xr3:uid="{00000000-0010-0000-0000-00000E000000}" name="Pgm_4" dataDxfId="23"/>
    <tableColumn id="15" xr3:uid="{00000000-0010-0000-0000-00000F000000}" name="API" dataDxfId="22"/>
    <tableColumn id="16" xr3:uid="{00000000-0010-0000-0000-000010000000}" name="TransactionName" dataDxfId="21"/>
    <tableColumn id="17" xr3:uid="{00000000-0010-0000-0000-000011000000}" name="FieldName" dataDxfId="20"/>
    <tableColumn id="18" xr3:uid="{00000000-0010-0000-0000-000012000000}" name="Mandatory" dataDxfId="19"/>
    <tableColumn id="19" xr3:uid="{00000000-0010-0000-0000-000013000000}" name="API_4" dataDxfId="18"/>
    <tableColumn id="20" xr3:uid="{00000000-0010-0000-0000-000014000000}" name="XPath" dataDxfId="17"/>
    <tableColumn id="21" xr3:uid="{00000000-0010-0000-0000-000015000000}" name="BOD_1" dataDxfId="16"/>
    <tableColumn id="22" xr3:uid="{00000000-0010-0000-0000-000016000000}" name="MappingNotes" dataDxfId="15"/>
    <tableColumn id="23" xr3:uid="{00000000-0010-0000-0000-000017000000}" name="Responsible" dataDxfId="14"/>
    <tableColumn id="24" xr3:uid="{00000000-0010-0000-0000-000018000000}" name="Required" dataDxfId="13"/>
    <tableColumn id="25" xr3:uid="{00000000-0010-0000-0000-000019000000}" name="DefaultValue" dataDxfId="12"/>
    <tableColumn id="26" xr3:uid="{00000000-0010-0000-0000-00001A000000}" name="Herff Jones_4" dataDxfId="11"/>
    <tableColumn id="27" xr3:uid="{00000000-0010-0000-0000-00001B000000}" name="Definition" dataDxfId="10"/>
    <tableColumn id="28" xr3:uid="{00000000-0010-0000-0000-00001C000000}" name="Alternatives" dataDxfId="9"/>
    <tableColumn id="29" xr3:uid="{00000000-0010-0000-0000-00001D000000}" name="PromptPgm" dataDxfId="8"/>
    <tableColumn id="37" xr3:uid="{C63811FE-52D4-9D40-B3DC-10FBC0D5819B}" name="HELP_Description" dataDxfId="7">
      <calculatedColumnFormula array="1">_xlfn.LET(_xlpm.r,_xlfn.XLOOKUP(1,( [1]Sheet1!$A:$A = MappingGuide[[#This Row],[TableName]] ) * ( [1]Sheet1!$B:$B =RIGHT( MappingGuide[[#This Row],[ColumnName]],4) ),[1]Sheet1!$L:$L,""),IF(_xlpm.r=0,"",_xlpm.r))</calculatedColumnFormula>
    </tableColumn>
    <tableColumn id="36" xr3:uid="{7DDEA039-2021-3E43-8A7A-CEB83D003E1F}" name="Functional Purpose" dataDxfId="6">
      <calculatedColumnFormula array="1">_xlfn.LET(_xlpm.r,_xlfn.XLOOKUP(1,( [1]Sheet1!$A:$A = MappingGuide[[#This Row],[TableName]] ) * ( [1]Sheet1!$B:$B =RIGHT( MappingGuide[[#This Row],[ColumnName]],4) ),[1]Sheet1!$M:$M,""),IF(_xlpm.r=0,"",_xlpm.r))</calculatedColumnFormula>
    </tableColumn>
    <tableColumn id="30" xr3:uid="{00000000-0010-0000-0000-00001E000000}" name="Help_5" dataDxfId="5"/>
    <tableColumn id="31" xr3:uid="{00000000-0010-0000-0000-00001F000000}" name="DG_Notes" dataDxfId="4"/>
    <tableColumn id="32" xr3:uid="{00000000-0010-0000-0000-000020000000}" name="DG_Responsible" dataDxfId="3"/>
    <tableColumn id="33" xr3:uid="{00000000-0010-0000-0000-000021000000}" name="DG_Required" dataDxfId="2"/>
    <tableColumn id="34" xr3:uid="{00000000-0010-0000-0000-000022000000}" name="DG_Example" dataDxfId="1"/>
    <tableColumn id="35" xr3:uid="{00000000-0010-0000-0000-000023000000}" name="Doppio_4"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180"/>
  <sheetViews>
    <sheetView tabSelected="1" workbookViewId="0">
      <pane xSplit="3" ySplit="2" topLeftCell="AB3" activePane="bottomRight" state="frozen"/>
      <selection pane="topRight"/>
      <selection pane="bottomLeft"/>
      <selection pane="bottomRight" activeCell="AE4" sqref="AE4"/>
    </sheetView>
  </sheetViews>
  <sheetFormatPr baseColWidth="10" defaultColWidth="8.83203125" defaultRowHeight="15"/>
  <cols>
    <col min="1" max="3" width="15" customWidth="1"/>
    <col min="4" max="4" width="41" customWidth="1"/>
    <col min="5" max="15" width="15" customWidth="1"/>
    <col min="16" max="16" width="17" customWidth="1"/>
    <col min="17" max="21" width="15" customWidth="1"/>
    <col min="22" max="22" width="41" customWidth="1"/>
    <col min="23" max="24" width="15" customWidth="1"/>
    <col min="25" max="25" width="23" customWidth="1"/>
    <col min="26" max="26" width="15" customWidth="1"/>
    <col min="27" max="28" width="60" customWidth="1"/>
    <col min="29" max="29" width="15" customWidth="1"/>
    <col min="30" max="31" width="21.1640625" bestFit="1" customWidth="1"/>
    <col min="32" max="33" width="15" customWidth="1"/>
    <col min="34" max="34" width="16" customWidth="1"/>
    <col min="35" max="35" width="15" customWidth="1"/>
    <col min="36" max="36" width="26" customWidth="1"/>
    <col min="37" max="37" width="15" customWidth="1"/>
  </cols>
  <sheetData>
    <row r="1" spans="1:37" ht="17">
      <c r="A1" s="18" t="s">
        <v>0</v>
      </c>
      <c r="B1" s="15"/>
      <c r="C1" s="15"/>
      <c r="D1" s="15"/>
      <c r="E1" s="15"/>
      <c r="F1" s="15"/>
      <c r="G1" s="15"/>
      <c r="H1" s="15"/>
      <c r="I1" s="15"/>
      <c r="J1" s="20" t="s">
        <v>1</v>
      </c>
      <c r="K1" s="15"/>
      <c r="L1" s="15"/>
      <c r="M1" s="15"/>
      <c r="N1" s="15"/>
      <c r="O1" s="17" t="s">
        <v>2</v>
      </c>
      <c r="P1" s="15"/>
      <c r="Q1" s="15"/>
      <c r="R1" s="15"/>
      <c r="S1" s="15"/>
      <c r="T1" s="16" t="s">
        <v>3</v>
      </c>
      <c r="U1" s="15"/>
      <c r="V1" s="14" t="s">
        <v>4</v>
      </c>
      <c r="W1" s="15"/>
      <c r="X1" s="15"/>
      <c r="Y1" s="15"/>
      <c r="Z1" s="15"/>
      <c r="AA1" s="24" t="s">
        <v>5</v>
      </c>
      <c r="AB1" s="24"/>
      <c r="AC1" s="24"/>
      <c r="AD1" s="24"/>
      <c r="AE1" s="24"/>
      <c r="AF1" s="24"/>
      <c r="AG1" s="19" t="s">
        <v>6</v>
      </c>
      <c r="AH1" s="15"/>
      <c r="AI1" s="15"/>
      <c r="AJ1" s="15"/>
      <c r="AK1" s="15"/>
    </row>
    <row r="2" spans="1:37" ht="17">
      <c r="A2" s="1" t="s">
        <v>7</v>
      </c>
      <c r="B2" s="1" t="s">
        <v>8</v>
      </c>
      <c r="C2" s="1" t="s">
        <v>9</v>
      </c>
      <c r="D2" s="1" t="s">
        <v>10</v>
      </c>
      <c r="E2" s="1" t="s">
        <v>11</v>
      </c>
      <c r="F2" s="1" t="s">
        <v>12</v>
      </c>
      <c r="G2" s="1" t="s">
        <v>13</v>
      </c>
      <c r="H2" s="1" t="s">
        <v>14</v>
      </c>
      <c r="I2" s="2" t="s">
        <v>15</v>
      </c>
      <c r="J2" s="3" t="s">
        <v>16</v>
      </c>
      <c r="K2" s="3" t="s">
        <v>17</v>
      </c>
      <c r="L2" s="3" t="s">
        <v>18</v>
      </c>
      <c r="M2" s="3" t="s">
        <v>19</v>
      </c>
      <c r="N2" s="4" t="s">
        <v>20</v>
      </c>
      <c r="O2" s="5" t="s">
        <v>2</v>
      </c>
      <c r="P2" s="5" t="s">
        <v>21</v>
      </c>
      <c r="Q2" s="5" t="s">
        <v>22</v>
      </c>
      <c r="R2" s="5" t="s">
        <v>23</v>
      </c>
      <c r="S2" s="6" t="s">
        <v>24</v>
      </c>
      <c r="T2" s="7" t="s">
        <v>25</v>
      </c>
      <c r="U2" s="8" t="s">
        <v>26</v>
      </c>
      <c r="V2" s="9" t="s">
        <v>27</v>
      </c>
      <c r="W2" s="9" t="s">
        <v>28</v>
      </c>
      <c r="X2" s="9" t="s">
        <v>29</v>
      </c>
      <c r="Y2" s="9" t="s">
        <v>30</v>
      </c>
      <c r="Z2" s="10" t="s">
        <v>31</v>
      </c>
      <c r="AA2" s="21" t="s">
        <v>32</v>
      </c>
      <c r="AB2" s="21" t="s">
        <v>33</v>
      </c>
      <c r="AC2" s="21" t="s">
        <v>34</v>
      </c>
      <c r="AD2" s="21" t="s">
        <v>746</v>
      </c>
      <c r="AE2" s="21" t="s">
        <v>744</v>
      </c>
      <c r="AF2" s="11" t="s">
        <v>745</v>
      </c>
      <c r="AG2" s="12" t="s">
        <v>35</v>
      </c>
      <c r="AH2" s="12" t="s">
        <v>36</v>
      </c>
      <c r="AI2" s="12" t="s">
        <v>37</v>
      </c>
      <c r="AJ2" s="12" t="s">
        <v>38</v>
      </c>
      <c r="AK2" s="13" t="s">
        <v>39</v>
      </c>
    </row>
    <row r="3" spans="1:37" ht="17">
      <c r="A3" s="22">
        <v>269</v>
      </c>
      <c r="B3" s="22" t="s">
        <v>40</v>
      </c>
      <c r="C3" s="22" t="s">
        <v>41</v>
      </c>
      <c r="D3" s="22" t="s">
        <v>42</v>
      </c>
      <c r="E3" s="22" t="s">
        <v>43</v>
      </c>
      <c r="F3" s="22" t="s">
        <v>44</v>
      </c>
      <c r="G3" s="22"/>
      <c r="H3" s="22" t="s">
        <v>45</v>
      </c>
      <c r="I3" s="22"/>
      <c r="J3" s="22"/>
      <c r="K3" s="22"/>
      <c r="L3" s="22"/>
      <c r="M3" s="22"/>
      <c r="N3" s="22"/>
      <c r="O3" s="22"/>
      <c r="P3" s="22"/>
      <c r="Q3" s="22"/>
      <c r="R3" s="22"/>
      <c r="S3" s="22"/>
      <c r="T3" s="22"/>
      <c r="U3" s="22"/>
      <c r="V3" s="22"/>
      <c r="W3" s="22"/>
      <c r="X3" s="22"/>
      <c r="Y3" s="22"/>
      <c r="Z3" s="22"/>
      <c r="AA3" s="22" t="s">
        <v>46</v>
      </c>
      <c r="AB3" s="22"/>
      <c r="AC3" s="22" t="s">
        <v>47</v>
      </c>
      <c r="AD3" s="22" t="str" cm="1">
        <f t="array" ref="AD3">_xlfn.LET(_xlpm.r,_xlfn.XLOOKUP(1,( [1]Sheet1!$A:$A = MappingGuide[[#This Row],[TableName]] ) * ( [1]Sheet1!$B:$B =RIGHT( MappingGuide[[#This Row],[ColumnName]],4) ),[1]Sheet1!$L:$L,""),IF(_xlpm.r=0,"",_xlpm.r))</f>
        <v/>
      </c>
      <c r="AE3" s="22" t="str" cm="1">
        <f t="array" ref="AE3">_xlfn.LET(_xlpm.r,_xlfn.XLOOKUP(1,( [1]Sheet1!$A:$A = MappingGuide[[#This Row],[TableName]] ) * ( [1]Sheet1!$B:$B =RIGHT( MappingGuide[[#This Row],[ColumnName]],4) ),[1]Sheet1!$M:$M,""),IF(_xlpm.r=0,"",_xlpm.r))</f>
        <v/>
      </c>
      <c r="AF3" s="23"/>
      <c r="AG3" s="22"/>
      <c r="AH3" s="22"/>
      <c r="AI3" s="22" t="s">
        <v>48</v>
      </c>
      <c r="AJ3" s="22" t="s">
        <v>49</v>
      </c>
      <c r="AK3" s="22"/>
    </row>
    <row r="4" spans="1:37" ht="17">
      <c r="A4" s="22">
        <v>270</v>
      </c>
      <c r="B4" s="22" t="s">
        <v>40</v>
      </c>
      <c r="C4" s="22" t="s">
        <v>50</v>
      </c>
      <c r="D4" s="22" t="s">
        <v>51</v>
      </c>
      <c r="E4" s="22" t="s">
        <v>52</v>
      </c>
      <c r="F4" s="22" t="s">
        <v>53</v>
      </c>
      <c r="G4" s="22"/>
      <c r="H4" s="22" t="s">
        <v>45</v>
      </c>
      <c r="I4" s="22"/>
      <c r="J4" s="22" t="s">
        <v>54</v>
      </c>
      <c r="K4" s="22" t="s">
        <v>55</v>
      </c>
      <c r="L4" s="22" t="s">
        <v>48</v>
      </c>
      <c r="M4" s="22" t="s">
        <v>48</v>
      </c>
      <c r="N4" s="22"/>
      <c r="O4" s="22" t="s">
        <v>56</v>
      </c>
      <c r="P4" s="22" t="s">
        <v>57</v>
      </c>
      <c r="Q4" s="22" t="s">
        <v>58</v>
      </c>
      <c r="R4" s="22" t="s">
        <v>48</v>
      </c>
      <c r="S4" s="22"/>
      <c r="T4" s="22"/>
      <c r="U4" s="22"/>
      <c r="V4" s="22"/>
      <c r="W4" s="22"/>
      <c r="X4" s="22" t="s">
        <v>48</v>
      </c>
      <c r="Y4" s="22" t="s">
        <v>59</v>
      </c>
      <c r="Z4" s="22"/>
      <c r="AA4" s="22" t="s">
        <v>60</v>
      </c>
      <c r="AB4" s="22"/>
      <c r="AC4" s="22" t="s">
        <v>54</v>
      </c>
      <c r="AD4" s="22" t="str" cm="1">
        <f t="array" ref="AD4">_xlfn.LET(_xlpm.r,_xlfn.XLOOKUP(1,( [1]Sheet1!$A:$A = MappingGuide[[#This Row],[TableName]] ) * ( [1]Sheet1!$B:$B =RIGHT( MappingGuide[[#This Row],[ColumnName]],4) ),[1]Sheet1!$L:$L,""),IF(_xlpm.r=0,"",_xlpm.r))</f>
        <v>Unique ID of the Supplier (Supplier code in M3)</v>
      </c>
      <c r="AE4" s="22" t="str" cm="1">
        <f t="array" ref="AE4">_xlfn.LET(_xlpm.r,_xlfn.XLOOKUP(1,( [1]Sheet1!$A:$A = MappingGuide[[#This Row],[TableName]] ) * ( [1]Sheet1!$B:$B =RIGHT( MappingGuide[[#This Row],[ColumnName]],4) ),[1]Sheet1!$M:$M,""),IF(_xlpm.r=0,"",_xlpm.r))</f>
        <v>*Need to understand nomenclature and how to auto-generate in Docbits if possible</v>
      </c>
      <c r="AF4" s="22"/>
      <c r="AG4" s="22"/>
      <c r="AH4" s="22"/>
      <c r="AI4" s="22" t="s">
        <v>48</v>
      </c>
      <c r="AJ4" s="22" t="s">
        <v>61</v>
      </c>
      <c r="AK4" s="22"/>
    </row>
    <row r="5" spans="1:37" ht="17">
      <c r="A5" s="22">
        <v>271</v>
      </c>
      <c r="B5" s="22" t="s">
        <v>40</v>
      </c>
      <c r="C5" s="22" t="s">
        <v>62</v>
      </c>
      <c r="D5" s="22" t="s">
        <v>63</v>
      </c>
      <c r="E5" s="22" t="s">
        <v>43</v>
      </c>
      <c r="F5" s="22" t="s">
        <v>64</v>
      </c>
      <c r="G5" s="22"/>
      <c r="H5" s="22"/>
      <c r="I5" s="22"/>
      <c r="J5" s="22" t="s">
        <v>54</v>
      </c>
      <c r="K5" s="22" t="s">
        <v>55</v>
      </c>
      <c r="L5" s="22" t="s">
        <v>48</v>
      </c>
      <c r="M5" s="22"/>
      <c r="N5" s="22"/>
      <c r="O5" s="22" t="s">
        <v>56</v>
      </c>
      <c r="P5" s="22" t="s">
        <v>57</v>
      </c>
      <c r="Q5" s="22" t="s">
        <v>65</v>
      </c>
      <c r="R5" s="22" t="s">
        <v>48</v>
      </c>
      <c r="S5" s="22"/>
      <c r="T5" s="22"/>
      <c r="U5" s="22"/>
      <c r="V5" s="22"/>
      <c r="W5" s="22"/>
      <c r="X5" s="22" t="s">
        <v>48</v>
      </c>
      <c r="Y5" s="22" t="s">
        <v>64</v>
      </c>
      <c r="Z5" s="22"/>
      <c r="AA5" s="22" t="s">
        <v>66</v>
      </c>
      <c r="AB5" s="22" t="s">
        <v>67</v>
      </c>
      <c r="AC5" s="22"/>
      <c r="AD5" s="22" t="str" cm="1">
        <f t="array" ref="AD5">_xlfn.LET(_xlpm.r,_xlfn.XLOOKUP(1,( [1]Sheet1!$A:$A = MappingGuide[[#This Row],[TableName]] ) * ( [1]Sheet1!$B:$B =RIGHT( MappingGuide[[#This Row],[ColumnName]],4) ),[1]Sheet1!$L:$L,""),IF(_xlpm.r=0,"",_xlpm.r))</f>
        <v>Classification: standard supplier, agent, payee, group, forwarding agent, insurance, internal supplier, trade-in
The supplier type cannot be changed after creation. Drives logic in Purchasing, Invoice matching, reporting and workflow routing.
Type 0: standard supplier for direct procurement.
Type 1: agent for intermediary sourcing/payment (e.g., global trading agent arranges imports), transaction and payment flows only through agent not direct vendor. It is typically used when a company utilizes an intermediary agent to facilitate procurement or payment instead of dealing directly with the actual manufacturer or supplier. Useful in scenarios where the business relationship involves an agent or broker who handles purchasing, payment, or delivery logistics on behalf of the actual goods supplier. When both supplier type 0 and 1 are created, the connection is then made in CRS624 (Agent field), see below in that spreadsheet.
Type 2:Payee only. Which is the Invoice recipient supplier. Some vendors don't manage the invoicing. This could be done by a head office for example. In this case the Payee will send the invoice and collect the payments. When both supplier type 0 and 2 are created, the connection is then made in CRS624 (Payee field), see below in that spreadsheet.
Type 3: supplier group (Company): used to create a supplier group. When a supplier belongs to a company group. Creating a supplier number for this company supports aggregated purchasing and statistical analysis (track parent company procurement separately from individual suppliers). When both supplier type 0 and 3 are created, the connection is then made in CRS624 (Group field), see below in that spreadsheet.
Type 5: forwarding agent used for carriers, logistics providers; enables setup of routes, freight costing, and agreements, necessary for outbound logistics.  This supplier type is for Carrier and Forwarders. It is important to make sure your forwarding agents (Fedex, UPS, USPS..) are recorded under type 5, because the system uses type 5 vendors to set up routes for the outbound logistic.
Type 6: insurance company for asset insurance workflow. 
Type 7: internal supplier scenario for intercompany sales traceability. 
Type 8: miscellaneous for low-frequency vendors, supporting one-off or rare purchases. Type 9: trade-in supplier in equipment industry, supporting trade-in and buy-back logic by establishing customer as supplier for returned goods.</v>
      </c>
      <c r="AE5" s="22" t="str" cm="1">
        <f t="array" ref="AE5">_xlfn.LET(_xlpm.r,_xlfn.XLOOKUP(1,( [1]Sheet1!$A:$A = MappingGuide[[#This Row],[TableName]] ) * ( [1]Sheet1!$B:$B =RIGHT( MappingGuide[[#This Row],[ColumnName]],4) ),[1]Sheet1!$M:$M,""),IF(_xlpm.r=0,"",_xlpm.r))</f>
        <v>Drives how POs and payments are routed. Type 0 is mandatory to allow the Purchase order creation for the supplier</v>
      </c>
      <c r="AF5" s="22"/>
      <c r="AG5" s="22"/>
      <c r="AH5" s="22"/>
      <c r="AI5" s="22" t="s">
        <v>48</v>
      </c>
      <c r="AJ5" s="22" t="s">
        <v>64</v>
      </c>
      <c r="AK5" s="22"/>
    </row>
    <row r="6" spans="1:37" ht="17">
      <c r="A6" s="22">
        <v>272</v>
      </c>
      <c r="B6" s="22" t="s">
        <v>40</v>
      </c>
      <c r="C6" s="22" t="s">
        <v>68</v>
      </c>
      <c r="D6" s="22" t="s">
        <v>69</v>
      </c>
      <c r="E6" s="22" t="s">
        <v>52</v>
      </c>
      <c r="F6" s="22" t="s">
        <v>70</v>
      </c>
      <c r="G6" s="22"/>
      <c r="H6" s="22"/>
      <c r="I6" s="22"/>
      <c r="J6" s="22" t="s">
        <v>54</v>
      </c>
      <c r="K6" s="22" t="s">
        <v>55</v>
      </c>
      <c r="L6" s="22" t="s">
        <v>48</v>
      </c>
      <c r="M6" s="22" t="s">
        <v>48</v>
      </c>
      <c r="N6" s="22"/>
      <c r="O6" s="22" t="s">
        <v>56</v>
      </c>
      <c r="P6" s="22" t="s">
        <v>57</v>
      </c>
      <c r="Q6" s="22" t="s">
        <v>71</v>
      </c>
      <c r="R6" s="22" t="s">
        <v>48</v>
      </c>
      <c r="S6" s="22"/>
      <c r="T6" s="22"/>
      <c r="U6" s="22"/>
      <c r="V6" s="22"/>
      <c r="W6" s="22"/>
      <c r="X6" s="22" t="s">
        <v>48</v>
      </c>
      <c r="Y6" s="22" t="s">
        <v>72</v>
      </c>
      <c r="Z6" s="22"/>
      <c r="AA6" s="22" t="s">
        <v>73</v>
      </c>
      <c r="AB6" s="22"/>
      <c r="AC6" s="22"/>
      <c r="AD6" s="22" t="str" cm="1">
        <f t="array" ref="AD6">_xlfn.LET(_xlpm.r,_xlfn.XLOOKUP(1,( [1]Sheet1!$A:$A = MappingGuide[[#This Row],[TableName]] ) * ( [1]Sheet1!$B:$B =RIGHT( MappingGuide[[#This Row],[ColumnName]],4) ),[1]Sheet1!$L:$L,""),IF(_xlpm.r=0,"",_xlpm.r))</f>
        <v/>
      </c>
      <c r="AE6" s="22" t="str" cm="1">
        <f t="array" ref="AE6">_xlfn.LET(_xlpm.r,_xlfn.XLOOKUP(1,( [1]Sheet1!$A:$A = MappingGuide[[#This Row],[TableName]] ) * ( [1]Sheet1!$B:$B =RIGHT( MappingGuide[[#This Row],[ColumnName]],4) ),[1]Sheet1!$M:$M,""),IF(_xlpm.r=0,"",_xlpm.r))</f>
        <v/>
      </c>
      <c r="AF6" s="22"/>
      <c r="AG6" s="22"/>
      <c r="AH6" s="22"/>
      <c r="AI6" s="22" t="s">
        <v>48</v>
      </c>
      <c r="AJ6" s="22" t="s">
        <v>74</v>
      </c>
      <c r="AK6" s="22"/>
    </row>
    <row r="7" spans="1:37" ht="17">
      <c r="A7" s="22">
        <v>273</v>
      </c>
      <c r="B7" s="22" t="s">
        <v>40</v>
      </c>
      <c r="C7" s="22" t="s">
        <v>75</v>
      </c>
      <c r="D7" s="22" t="s">
        <v>76</v>
      </c>
      <c r="E7" s="22" t="s">
        <v>52</v>
      </c>
      <c r="F7" s="22" t="s">
        <v>53</v>
      </c>
      <c r="G7" s="22"/>
      <c r="H7" s="22"/>
      <c r="I7" s="22"/>
      <c r="J7" s="22" t="s">
        <v>54</v>
      </c>
      <c r="K7" s="22" t="s">
        <v>55</v>
      </c>
      <c r="L7" s="22" t="s">
        <v>48</v>
      </c>
      <c r="M7" s="22"/>
      <c r="N7" s="22"/>
      <c r="O7" s="22" t="s">
        <v>56</v>
      </c>
      <c r="P7" s="22" t="s">
        <v>57</v>
      </c>
      <c r="Q7" s="22" t="s">
        <v>77</v>
      </c>
      <c r="R7" s="22"/>
      <c r="S7" s="22"/>
      <c r="T7" s="22"/>
      <c r="U7" s="22"/>
      <c r="V7" s="22"/>
      <c r="W7" s="22"/>
      <c r="X7" s="22"/>
      <c r="Y7" s="22"/>
      <c r="Z7" s="22"/>
      <c r="AA7" s="22" t="s">
        <v>78</v>
      </c>
      <c r="AB7" s="22"/>
      <c r="AC7" s="22"/>
      <c r="AD7" s="22" t="str" cm="1">
        <f t="array" ref="AD7">_xlfn.LET(_xlpm.r,_xlfn.XLOOKUP(1,( [1]Sheet1!$A:$A = MappingGuide[[#This Row],[TableName]] ) * ( [1]Sheet1!$B:$B =RIGHT( MappingGuide[[#This Row],[ColumnName]],4) ),[1]Sheet1!$L:$L,""),IF(_xlpm.r=0,"",_xlpm.r))</f>
        <v>User-defined name code for supplier</v>
      </c>
      <c r="AE7" s="22" t="str" cm="1">
        <f t="array" ref="AE7">_xlfn.LET(_xlpm.r,_xlfn.XLOOKUP(1,( [1]Sheet1!$A:$A = MappingGuide[[#This Row],[TableName]] ) * ( [1]Sheet1!$B:$B =RIGHT( MappingGuide[[#This Row],[ColumnName]],4) ),[1]Sheet1!$M:$M,""),IF(_xlpm.r=0,"",_xlpm.r))</f>
        <v>Enables quick supplier lookup in inquiries; if left blank, M3 uses first 10 chars of full name for search and indexing. This field can be used if a search other than by name is required.</v>
      </c>
      <c r="AF7" s="22"/>
      <c r="AG7" s="22"/>
      <c r="AH7" s="22"/>
      <c r="AI7" s="22" t="s">
        <v>48</v>
      </c>
      <c r="AJ7" s="22" t="s">
        <v>79</v>
      </c>
      <c r="AK7" s="22"/>
    </row>
    <row r="8" spans="1:37" ht="17">
      <c r="A8" s="22">
        <v>274</v>
      </c>
      <c r="B8" s="22" t="s">
        <v>40</v>
      </c>
      <c r="C8" s="22" t="s">
        <v>80</v>
      </c>
      <c r="D8" s="22" t="s">
        <v>81</v>
      </c>
      <c r="E8" s="22" t="s">
        <v>52</v>
      </c>
      <c r="F8" s="22" t="s">
        <v>82</v>
      </c>
      <c r="G8" s="22"/>
      <c r="H8" s="22"/>
      <c r="I8" s="22"/>
      <c r="J8" s="22" t="s">
        <v>54</v>
      </c>
      <c r="K8" s="22" t="s">
        <v>55</v>
      </c>
      <c r="L8" s="22" t="s">
        <v>48</v>
      </c>
      <c r="M8" s="22"/>
      <c r="N8" s="22"/>
      <c r="O8" s="22" t="s">
        <v>56</v>
      </c>
      <c r="P8" s="22" t="s">
        <v>57</v>
      </c>
      <c r="Q8" s="22" t="s">
        <v>83</v>
      </c>
      <c r="R8" s="22"/>
      <c r="S8" s="22"/>
      <c r="T8" s="22"/>
      <c r="U8" s="22"/>
      <c r="V8" s="22"/>
      <c r="W8" s="22"/>
      <c r="X8" s="22"/>
      <c r="Y8" s="22"/>
      <c r="Z8" s="22"/>
      <c r="AA8" s="22" t="s">
        <v>84</v>
      </c>
      <c r="AB8" s="22" t="s">
        <v>85</v>
      </c>
      <c r="AC8" s="22"/>
      <c r="AD8" s="22" t="str" cm="1">
        <f t="array" ref="AD8">_xlfn.LET(_xlpm.r,_xlfn.XLOOKUP(1,( [1]Sheet1!$A:$A = MappingGuide[[#This Row],[TableName]] ) * ( [1]Sheet1!$B:$B =RIGHT( MappingGuide[[#This Row],[ColumnName]],4) ),[1]Sheet1!$L:$L,""),IF(_xlpm.r=0,"",_xlpm.r))</f>
        <v xml:space="preserve">Supplier lifecycle status: Preliminary, Approved, Stopped, Deactivated
Status 10 (preliminary): supplier setup in progress and not active in POs. 
Status 20 (approved): fully operational in procurement. 
Status 30 (stopped): blocks new PO, but allows AP and open PO resolution (can receive and invoice, not create new PO). 
Status 90 (deactivated): locked/stopped. Suppliers cannot be deleted from the Master if used in transactions (per audit/law). </v>
      </c>
      <c r="AE8" s="22" t="str" cm="1">
        <f t="array" ref="AE8">_xlfn.LET(_xlpm.r,_xlfn.XLOOKUP(1,( [1]Sheet1!$A:$A = MappingGuide[[#This Row],[TableName]] ) * ( [1]Sheet1!$B:$B =RIGHT( MappingGuide[[#This Row],[ColumnName]],4) ),[1]Sheet1!$M:$M,""),IF(_xlpm.r=0,"",_xlpm.r))</f>
        <v>Dictates if supplier is usable for procurement or invoice control. Make sure to apply Sts 20 in M3 only when all other related tables are also set in M3, and not only right after the approval process. Purchase prices/agreements, item connection, planning settings (MOQ, LT, packages...) and order type configuration are also needed before updating a vendor from Sts 10 to 20.</v>
      </c>
      <c r="AF8" s="22"/>
      <c r="AG8" s="22"/>
      <c r="AH8" s="22"/>
      <c r="AI8" s="22" t="s">
        <v>48</v>
      </c>
      <c r="AJ8" s="22" t="s">
        <v>53</v>
      </c>
      <c r="AK8" s="22"/>
    </row>
    <row r="9" spans="1:37" ht="17">
      <c r="A9" s="22">
        <v>275</v>
      </c>
      <c r="B9" s="22" t="s">
        <v>40</v>
      </c>
      <c r="C9" s="22" t="s">
        <v>86</v>
      </c>
      <c r="D9" s="22" t="s">
        <v>87</v>
      </c>
      <c r="E9" s="22" t="s">
        <v>52</v>
      </c>
      <c r="F9" s="22" t="s">
        <v>88</v>
      </c>
      <c r="G9" s="22"/>
      <c r="H9" s="22"/>
      <c r="I9" s="22"/>
      <c r="J9" s="22" t="s">
        <v>54</v>
      </c>
      <c r="K9" s="22" t="s">
        <v>55</v>
      </c>
      <c r="L9" s="22" t="s">
        <v>48</v>
      </c>
      <c r="M9" s="22"/>
      <c r="N9" s="22"/>
      <c r="O9" s="22" t="s">
        <v>56</v>
      </c>
      <c r="P9" s="22" t="s">
        <v>57</v>
      </c>
      <c r="Q9" s="22" t="s">
        <v>89</v>
      </c>
      <c r="R9" s="22"/>
      <c r="S9" s="22"/>
      <c r="T9" s="22"/>
      <c r="U9" s="22"/>
      <c r="V9" s="22"/>
      <c r="W9" s="22"/>
      <c r="X9" s="22"/>
      <c r="Y9" s="22"/>
      <c r="Z9" s="22"/>
      <c r="AA9" s="22" t="s">
        <v>90</v>
      </c>
      <c r="AB9" s="22"/>
      <c r="AC9" s="22"/>
      <c r="AD9" s="22" t="str" cm="1">
        <f t="array" ref="AD9">_xlfn.LET(_xlpm.r,_xlfn.XLOOKUP(1,( [1]Sheet1!$A:$A = MappingGuide[[#This Row],[TableName]] ) * ( [1]Sheet1!$B:$B =RIGHT( MappingGuide[[#This Row],[ColumnName]],4) ),[1]Sheet1!$L:$L,""),IF(_xlpm.r=0,"",_xlpm.r))</f>
        <v>Vendor's financial/legal number</v>
      </c>
      <c r="AE9" s="22" t="str" cm="1">
        <f t="array" ref="AE9">_xlfn.LET(_xlpm.r,_xlfn.XLOOKUP(1,( [1]Sheet1!$A:$A = MappingGuide[[#This Row],[TableName]] ) * ( [1]Sheet1!$B:$B =RIGHT( MappingGuide[[#This Row],[ColumnName]],4) ),[1]Sheet1!$M:$M,""),IF(_xlpm.r=0,"",_xlpm.r))</f>
        <v>Tax and legal entity tracking; required for statutory compliance and official documentation.</v>
      </c>
      <c r="AF9" s="22"/>
      <c r="AG9" s="22"/>
      <c r="AH9" s="22"/>
      <c r="AI9" s="22" t="s">
        <v>91</v>
      </c>
      <c r="AJ9" s="22"/>
      <c r="AK9" s="22"/>
    </row>
    <row r="10" spans="1:37" ht="17">
      <c r="A10" s="22">
        <v>276</v>
      </c>
      <c r="B10" s="22" t="s">
        <v>40</v>
      </c>
      <c r="C10" s="22" t="s">
        <v>92</v>
      </c>
      <c r="D10" s="22" t="s">
        <v>93</v>
      </c>
      <c r="E10" s="22" t="s">
        <v>52</v>
      </c>
      <c r="F10" s="22" t="s">
        <v>88</v>
      </c>
      <c r="G10" s="22"/>
      <c r="H10" s="22"/>
      <c r="I10" s="22"/>
      <c r="J10" s="22" t="s">
        <v>54</v>
      </c>
      <c r="K10" s="22" t="s">
        <v>55</v>
      </c>
      <c r="L10" s="22" t="s">
        <v>48</v>
      </c>
      <c r="M10" s="22"/>
      <c r="N10" s="22"/>
      <c r="O10" s="22" t="s">
        <v>56</v>
      </c>
      <c r="P10" s="22" t="s">
        <v>57</v>
      </c>
      <c r="Q10" s="22" t="s">
        <v>94</v>
      </c>
      <c r="R10" s="22"/>
      <c r="S10" s="22"/>
      <c r="T10" s="22"/>
      <c r="U10" s="22"/>
      <c r="V10" s="22"/>
      <c r="W10" s="22"/>
      <c r="X10" s="22"/>
      <c r="Y10" s="22"/>
      <c r="Z10" s="22"/>
      <c r="AA10" s="22" t="s">
        <v>95</v>
      </c>
      <c r="AB10" s="22"/>
      <c r="AC10" s="22"/>
      <c r="AD10" s="22" t="str" cm="1">
        <f t="array" ref="AD10">_xlfn.LET(_xlpm.r,_xlfn.XLOOKUP(1,( [1]Sheet1!$A:$A = MappingGuide[[#This Row],[TableName]] ) * ( [1]Sheet1!$B:$B =RIGHT( MappingGuide[[#This Row],[ColumnName]],4) ),[1]Sheet1!$L:$L,""),IF(_xlpm.r=0,"",_xlpm.r))</f>
        <v/>
      </c>
      <c r="AE10" s="22" t="str" cm="1">
        <f t="array" ref="AE10">_xlfn.LET(_xlpm.r,_xlfn.XLOOKUP(1,( [1]Sheet1!$A:$A = MappingGuide[[#This Row],[TableName]] ) * ( [1]Sheet1!$B:$B =RIGHT( MappingGuide[[#This Row],[ColumnName]],4) ),[1]Sheet1!$M:$M,""),IF(_xlpm.r=0,"",_xlpm.r))</f>
        <v/>
      </c>
      <c r="AF10" s="22"/>
      <c r="AG10" s="22"/>
      <c r="AH10" s="22"/>
      <c r="AI10" s="22" t="s">
        <v>91</v>
      </c>
      <c r="AJ10" s="22"/>
      <c r="AK10" s="22"/>
    </row>
    <row r="11" spans="1:37" ht="17">
      <c r="A11" s="22">
        <v>277</v>
      </c>
      <c r="B11" s="22" t="s">
        <v>40</v>
      </c>
      <c r="C11" s="22" t="s">
        <v>96</v>
      </c>
      <c r="D11" s="22" t="s">
        <v>97</v>
      </c>
      <c r="E11" s="22" t="s">
        <v>52</v>
      </c>
      <c r="F11" s="22" t="s">
        <v>82</v>
      </c>
      <c r="G11" s="22"/>
      <c r="H11" s="22"/>
      <c r="I11" s="22"/>
      <c r="J11" s="22" t="s">
        <v>54</v>
      </c>
      <c r="K11" s="22" t="s">
        <v>55</v>
      </c>
      <c r="L11" s="22"/>
      <c r="M11" s="22" t="s">
        <v>48</v>
      </c>
      <c r="N11" s="22"/>
      <c r="O11" s="22" t="s">
        <v>56</v>
      </c>
      <c r="P11" s="22" t="s">
        <v>57</v>
      </c>
      <c r="Q11" s="22" t="s">
        <v>98</v>
      </c>
      <c r="R11" s="22"/>
      <c r="S11" s="22"/>
      <c r="T11" s="22"/>
      <c r="U11" s="22"/>
      <c r="V11" s="22"/>
      <c r="W11" s="22"/>
      <c r="X11" s="22" t="s">
        <v>48</v>
      </c>
      <c r="Y11" s="22" t="s">
        <v>99</v>
      </c>
      <c r="Z11" s="22"/>
      <c r="AA11" s="22" t="s">
        <v>100</v>
      </c>
      <c r="AB11" s="22"/>
      <c r="AC11" s="22" t="s">
        <v>101</v>
      </c>
      <c r="AD11" s="22" t="str" cm="1">
        <f t="array" ref="AD11">_xlfn.LET(_xlpm.r,_xlfn.XLOOKUP(1,( [1]Sheet1!$A:$A = MappingGuide[[#This Row],[TableName]] ) * ( [1]Sheet1!$B:$B =RIGHT( MappingGuide[[#This Row],[ColumnName]],4) ),[1]Sheet1!$L:$L,""),IF(_xlpm.r=0,"",_xlpm.r))</f>
        <v>Language code for documents</v>
      </c>
      <c r="AE11" s="22" t="str" cm="1">
        <f t="array" ref="AE11">_xlfn.LET(_xlpm.r,_xlfn.XLOOKUP(1,( [1]Sheet1!$A:$A = MappingGuide[[#This Row],[TableName]] ) * ( [1]Sheet1!$B:$B =RIGHT( MappingGuide[[#This Row],[ColumnName]],4) ),[1]Sheet1!$M:$M,""),IF(_xlpm.r=0,"",_xlpm.r))</f>
        <v>Governs language used for external documents—ensures correct translation and localization for POs, quotations, certifications, impacting multinational supplier communications.</v>
      </c>
      <c r="AF11" s="22"/>
      <c r="AG11" s="22"/>
      <c r="AH11" s="22"/>
      <c r="AI11" s="22" t="s">
        <v>48</v>
      </c>
      <c r="AJ11" s="22" t="s">
        <v>99</v>
      </c>
      <c r="AK11" s="22"/>
    </row>
    <row r="12" spans="1:37" ht="17">
      <c r="A12" s="22">
        <v>278</v>
      </c>
      <c r="B12" s="22" t="s">
        <v>40</v>
      </c>
      <c r="C12" s="22" t="s">
        <v>102</v>
      </c>
      <c r="D12" s="22" t="s">
        <v>103</v>
      </c>
      <c r="E12" s="22" t="s">
        <v>52</v>
      </c>
      <c r="F12" s="22" t="s">
        <v>104</v>
      </c>
      <c r="G12" s="22"/>
      <c r="H12" s="22"/>
      <c r="I12" s="22"/>
      <c r="J12" s="22" t="s">
        <v>54</v>
      </c>
      <c r="K12" s="22" t="s">
        <v>55</v>
      </c>
      <c r="L12" s="22" t="s">
        <v>48</v>
      </c>
      <c r="M12" s="22" t="s">
        <v>48</v>
      </c>
      <c r="N12" s="22"/>
      <c r="O12" s="22" t="s">
        <v>56</v>
      </c>
      <c r="P12" s="22" t="s">
        <v>57</v>
      </c>
      <c r="Q12" s="22" t="s">
        <v>105</v>
      </c>
      <c r="R12" s="22"/>
      <c r="S12" s="22"/>
      <c r="T12" s="22"/>
      <c r="U12" s="22"/>
      <c r="V12" s="22"/>
      <c r="W12" s="22"/>
      <c r="X12" s="22"/>
      <c r="Y12" s="22"/>
      <c r="Z12" s="22"/>
      <c r="AA12" s="22" t="s">
        <v>106</v>
      </c>
      <c r="AB12" s="22"/>
      <c r="AC12" s="22"/>
      <c r="AD12" s="22" t="str" cm="1">
        <f t="array" ref="AD12">_xlfn.LET(_xlpm.r,_xlfn.XLOOKUP(1,( [1]Sheet1!$A:$A = MappingGuide[[#This Row],[TableName]] ) * ( [1]Sheet1!$B:$B =RIGHT( MappingGuide[[#This Row],[ColumnName]],4) ),[1]Sheet1!$L:$L,""),IF(_xlpm.r=0,"",_xlpm.r))</f>
        <v/>
      </c>
      <c r="AE12" s="22" t="str" cm="1">
        <f t="array" ref="AE12">_xlfn.LET(_xlpm.r,_xlfn.XLOOKUP(1,( [1]Sheet1!$A:$A = MappingGuide[[#This Row],[TableName]] ) * ( [1]Sheet1!$B:$B =RIGHT( MappingGuide[[#This Row],[ColumnName]],4) ),[1]Sheet1!$M:$M,""),IF(_xlpm.r=0,"",_xlpm.r))</f>
        <v/>
      </c>
      <c r="AF12" s="22"/>
      <c r="AG12" s="22"/>
      <c r="AH12" s="22"/>
      <c r="AI12" s="22" t="s">
        <v>91</v>
      </c>
      <c r="AJ12" s="22"/>
      <c r="AK12" s="22"/>
    </row>
    <row r="13" spans="1:37" ht="17">
      <c r="A13" s="22">
        <v>279</v>
      </c>
      <c r="B13" s="22" t="s">
        <v>40</v>
      </c>
      <c r="C13" s="22" t="s">
        <v>107</v>
      </c>
      <c r="D13" s="22" t="s">
        <v>108</v>
      </c>
      <c r="E13" s="22" t="s">
        <v>52</v>
      </c>
      <c r="F13" s="22" t="s">
        <v>104</v>
      </c>
      <c r="G13" s="22"/>
      <c r="H13" s="22"/>
      <c r="I13" s="22"/>
      <c r="J13" s="22" t="s">
        <v>54</v>
      </c>
      <c r="K13" s="22" t="s">
        <v>55</v>
      </c>
      <c r="L13" s="22"/>
      <c r="M13" s="22"/>
      <c r="N13" s="22"/>
      <c r="O13" s="22" t="s">
        <v>56</v>
      </c>
      <c r="P13" s="22" t="s">
        <v>57</v>
      </c>
      <c r="Q13" s="22" t="s">
        <v>109</v>
      </c>
      <c r="R13" s="22"/>
      <c r="S13" s="22"/>
      <c r="T13" s="22"/>
      <c r="U13" s="22"/>
      <c r="V13" s="22"/>
      <c r="W13" s="22"/>
      <c r="X13" s="22"/>
      <c r="Y13" s="22"/>
      <c r="Z13" s="22"/>
      <c r="AA13" s="22" t="s">
        <v>106</v>
      </c>
      <c r="AB13" s="22"/>
      <c r="AC13" s="22"/>
      <c r="AD13" s="22" t="str" cm="1">
        <f t="array" ref="AD13">_xlfn.LET(_xlpm.r,_xlfn.XLOOKUP(1,( [1]Sheet1!$A:$A = MappingGuide[[#This Row],[TableName]] ) * ( [1]Sheet1!$B:$B =RIGHT( MappingGuide[[#This Row],[ColumnName]],4) ),[1]Sheet1!$L:$L,""),IF(_xlpm.r=0,"",_xlpm.r))</f>
        <v/>
      </c>
      <c r="AE13" s="22" t="str" cm="1">
        <f t="array" ref="AE13">_xlfn.LET(_xlpm.r,_xlfn.XLOOKUP(1,( [1]Sheet1!$A:$A = MappingGuide[[#This Row],[TableName]] ) * ( [1]Sheet1!$B:$B =RIGHT( MappingGuide[[#This Row],[ColumnName]],4) ),[1]Sheet1!$M:$M,""),IF(_xlpm.r=0,"",_xlpm.r))</f>
        <v/>
      </c>
      <c r="AF13" s="22"/>
      <c r="AG13" s="22"/>
      <c r="AH13" s="22"/>
      <c r="AI13" s="22" t="s">
        <v>91</v>
      </c>
      <c r="AJ13" s="22"/>
      <c r="AK13" s="22"/>
    </row>
    <row r="14" spans="1:37" ht="17">
      <c r="A14" s="22">
        <v>280</v>
      </c>
      <c r="B14" s="22" t="s">
        <v>40</v>
      </c>
      <c r="C14" s="22" t="s">
        <v>110</v>
      </c>
      <c r="D14" s="22" t="s">
        <v>111</v>
      </c>
      <c r="E14" s="22" t="s">
        <v>52</v>
      </c>
      <c r="F14" s="22" t="s">
        <v>104</v>
      </c>
      <c r="G14" s="22"/>
      <c r="H14" s="22"/>
      <c r="I14" s="22"/>
      <c r="J14" s="22" t="s">
        <v>54</v>
      </c>
      <c r="K14" s="22" t="s">
        <v>55</v>
      </c>
      <c r="L14" s="22"/>
      <c r="M14" s="22"/>
      <c r="N14" s="22"/>
      <c r="O14" s="22" t="s">
        <v>56</v>
      </c>
      <c r="P14" s="22" t="s">
        <v>57</v>
      </c>
      <c r="Q14" s="22" t="s">
        <v>112</v>
      </c>
      <c r="R14" s="22"/>
      <c r="S14" s="22"/>
      <c r="T14" s="22"/>
      <c r="U14" s="22"/>
      <c r="V14" s="22"/>
      <c r="W14" s="22"/>
      <c r="X14" s="22"/>
      <c r="Y14" s="22"/>
      <c r="Z14" s="22"/>
      <c r="AA14" s="22" t="s">
        <v>113</v>
      </c>
      <c r="AB14" s="22"/>
      <c r="AC14" s="22"/>
      <c r="AD14" s="22" t="str" cm="1">
        <f t="array" ref="AD14">_xlfn.LET(_xlpm.r,_xlfn.XLOOKUP(1,( [1]Sheet1!$A:$A = MappingGuide[[#This Row],[TableName]] ) * ( [1]Sheet1!$B:$B =RIGHT( MappingGuide[[#This Row],[ColumnName]],4) ),[1]Sheet1!$L:$L,""),IF(_xlpm.r=0,"",_xlpm.r))</f>
        <v/>
      </c>
      <c r="AE14" s="22" t="str" cm="1">
        <f t="array" ref="AE14">_xlfn.LET(_xlpm.r,_xlfn.XLOOKUP(1,( [1]Sheet1!$A:$A = MappingGuide[[#This Row],[TableName]] ) * ( [1]Sheet1!$B:$B =RIGHT( MappingGuide[[#This Row],[ColumnName]],4) ),[1]Sheet1!$M:$M,""),IF(_xlpm.r=0,"",_xlpm.r))</f>
        <v/>
      </c>
      <c r="AF14" s="22"/>
      <c r="AG14" s="22"/>
      <c r="AH14" s="22"/>
      <c r="AI14" s="22" t="s">
        <v>91</v>
      </c>
      <c r="AJ14" s="22"/>
      <c r="AK14" s="22"/>
    </row>
    <row r="15" spans="1:37" ht="17">
      <c r="A15" s="22">
        <v>281</v>
      </c>
      <c r="B15" s="22" t="s">
        <v>40</v>
      </c>
      <c r="C15" s="22" t="s">
        <v>114</v>
      </c>
      <c r="D15" s="22" t="s">
        <v>115</v>
      </c>
      <c r="E15" s="22" t="s">
        <v>52</v>
      </c>
      <c r="F15" s="22" t="s">
        <v>104</v>
      </c>
      <c r="G15" s="22"/>
      <c r="H15" s="22"/>
      <c r="I15" s="22"/>
      <c r="J15" s="22" t="s">
        <v>54</v>
      </c>
      <c r="K15" s="22" t="s">
        <v>55</v>
      </c>
      <c r="L15" s="22"/>
      <c r="M15" s="22"/>
      <c r="N15" s="22"/>
      <c r="O15" s="22" t="s">
        <v>56</v>
      </c>
      <c r="P15" s="22" t="s">
        <v>57</v>
      </c>
      <c r="Q15" s="22" t="s">
        <v>116</v>
      </c>
      <c r="R15" s="22"/>
      <c r="S15" s="22"/>
      <c r="T15" s="22"/>
      <c r="U15" s="22"/>
      <c r="V15" s="22"/>
      <c r="W15" s="22"/>
      <c r="X15" s="22"/>
      <c r="Y15" s="22"/>
      <c r="Z15" s="22"/>
      <c r="AA15" s="22" t="s">
        <v>117</v>
      </c>
      <c r="AB15" s="22"/>
      <c r="AC15" s="22"/>
      <c r="AD15" s="22" t="str" cm="1">
        <f t="array" ref="AD15">_xlfn.LET(_xlpm.r,_xlfn.XLOOKUP(1,( [1]Sheet1!$A:$A = MappingGuide[[#This Row],[TableName]] ) * ( [1]Sheet1!$B:$B =RIGHT( MappingGuide[[#This Row],[ColumnName]],4) ),[1]Sheet1!$L:$L,""),IF(_xlpm.r=0,"",_xlpm.r))</f>
        <v/>
      </c>
      <c r="AE15" s="22" t="str" cm="1">
        <f t="array" ref="AE15">_xlfn.LET(_xlpm.r,_xlfn.XLOOKUP(1,( [1]Sheet1!$A:$A = MappingGuide[[#This Row],[TableName]] ) * ( [1]Sheet1!$B:$B =RIGHT( MappingGuide[[#This Row],[ColumnName]],4) ),[1]Sheet1!$M:$M,""),IF(_xlpm.r=0,"",_xlpm.r))</f>
        <v/>
      </c>
      <c r="AF15" s="22"/>
      <c r="AG15" s="22"/>
      <c r="AH15" s="22"/>
      <c r="AI15" s="22" t="s">
        <v>91</v>
      </c>
      <c r="AJ15" s="22"/>
      <c r="AK15" s="22"/>
    </row>
    <row r="16" spans="1:37" ht="17">
      <c r="A16" s="22">
        <v>282</v>
      </c>
      <c r="B16" s="22" t="s">
        <v>40</v>
      </c>
      <c r="C16" s="22" t="s">
        <v>118</v>
      </c>
      <c r="D16" s="22" t="s">
        <v>119</v>
      </c>
      <c r="E16" s="22" t="s">
        <v>52</v>
      </c>
      <c r="F16" s="22" t="s">
        <v>44</v>
      </c>
      <c r="G16" s="22"/>
      <c r="H16" s="22"/>
      <c r="I16" s="22"/>
      <c r="J16" s="22" t="s">
        <v>54</v>
      </c>
      <c r="K16" s="22" t="s">
        <v>55</v>
      </c>
      <c r="L16" s="22"/>
      <c r="M16" s="22" t="s">
        <v>48</v>
      </c>
      <c r="N16" s="22"/>
      <c r="O16" s="22" t="s">
        <v>56</v>
      </c>
      <c r="P16" s="22" t="s">
        <v>57</v>
      </c>
      <c r="Q16" s="22" t="s">
        <v>120</v>
      </c>
      <c r="R16" s="22" t="s">
        <v>48</v>
      </c>
      <c r="S16" s="22"/>
      <c r="T16" s="22"/>
      <c r="U16" s="22"/>
      <c r="V16" s="22"/>
      <c r="W16" s="22"/>
      <c r="X16" s="22" t="s">
        <v>48</v>
      </c>
      <c r="Y16" s="22" t="s">
        <v>121</v>
      </c>
      <c r="Z16" s="22"/>
      <c r="AA16" s="22" t="s">
        <v>122</v>
      </c>
      <c r="AB16" s="22"/>
      <c r="AC16" s="22" t="s">
        <v>123</v>
      </c>
      <c r="AD16" s="22" t="str" cm="1">
        <f t="array" ref="AD16">_xlfn.LET(_xlpm.r,_xlfn.XLOOKUP(1,( [1]Sheet1!$A:$A = MappingGuide[[#This Row],[TableName]] ) * ( [1]Sheet1!$B:$B =RIGHT( MappingGuide[[#This Row],[ColumnName]],4) ),[1]Sheet1!$L:$L,""),IF(_xlpm.r=0,"",_xlpm.r))</f>
        <v/>
      </c>
      <c r="AE16" s="22" t="str" cm="1">
        <f t="array" ref="AE16">_xlfn.LET(_xlpm.r,_xlfn.XLOOKUP(1,( [1]Sheet1!$A:$A = MappingGuide[[#This Row],[TableName]] ) * ( [1]Sheet1!$B:$B =RIGHT( MappingGuide[[#This Row],[ColumnName]],4) ),[1]Sheet1!$M:$M,""),IF(_xlpm.r=0,"",_xlpm.r))</f>
        <v>The 'Country' field is mandatory. The State field is optional. Used for VAT, tax registration, and compliance reporting;—critical for cross-border purchasing and regional legal obligations.</v>
      </c>
      <c r="AF16" s="22"/>
      <c r="AG16" s="22"/>
      <c r="AH16" s="22"/>
      <c r="AI16" s="22" t="s">
        <v>48</v>
      </c>
      <c r="AJ16" s="22" t="s">
        <v>121</v>
      </c>
      <c r="AK16" s="22"/>
    </row>
    <row r="17" spans="1:37" ht="17">
      <c r="A17" s="22">
        <v>283</v>
      </c>
      <c r="B17" s="22" t="s">
        <v>40</v>
      </c>
      <c r="C17" s="22" t="s">
        <v>124</v>
      </c>
      <c r="D17" s="22" t="s">
        <v>125</v>
      </c>
      <c r="E17" s="22" t="s">
        <v>52</v>
      </c>
      <c r="F17" s="22" t="s">
        <v>82</v>
      </c>
      <c r="G17" s="22"/>
      <c r="H17" s="22"/>
      <c r="I17" s="22"/>
      <c r="J17" s="22" t="s">
        <v>54</v>
      </c>
      <c r="K17" s="22" t="s">
        <v>55</v>
      </c>
      <c r="L17" s="22"/>
      <c r="M17" s="22" t="s">
        <v>48</v>
      </c>
      <c r="N17" s="22"/>
      <c r="O17" s="22" t="s">
        <v>56</v>
      </c>
      <c r="P17" s="22" t="s">
        <v>57</v>
      </c>
      <c r="Q17" s="22" t="s">
        <v>126</v>
      </c>
      <c r="R17" s="22"/>
      <c r="S17" s="22"/>
      <c r="T17" s="22"/>
      <c r="U17" s="22"/>
      <c r="V17" s="22"/>
      <c r="W17" s="22"/>
      <c r="X17" s="22"/>
      <c r="Y17" s="22"/>
      <c r="Z17" s="22"/>
      <c r="AA17" s="22" t="s">
        <v>127</v>
      </c>
      <c r="AB17" s="22"/>
      <c r="AC17" s="22" t="s">
        <v>128</v>
      </c>
      <c r="AD17" s="22" t="str" cm="1">
        <f t="array" ref="AD17">_xlfn.LET(_xlpm.r,_xlfn.XLOOKUP(1,( [1]Sheet1!$A:$A = MappingGuide[[#This Row],[TableName]] ) * ( [1]Sheet1!$B:$B =RIGHT( MappingGuide[[#This Row],[ColumnName]],4) ),[1]Sheet1!$L:$L,""),IF(_xlpm.r=0,"",_xlpm.r))</f>
        <v/>
      </c>
      <c r="AE17" s="22" t="str" cm="1">
        <f t="array" ref="AE17">_xlfn.LET(_xlpm.r,_xlfn.XLOOKUP(1,( [1]Sheet1!$A:$A = MappingGuide[[#This Row],[TableName]] ) * ( [1]Sheet1!$B:$B =RIGHT( MappingGuide[[#This Row],[ColumnName]],4) ),[1]Sheet1!$M:$M,""),IF(_xlpm.r=0,"",_xlpm.r))</f>
        <v/>
      </c>
      <c r="AF17" s="22"/>
      <c r="AG17" s="22"/>
      <c r="AH17" s="22"/>
      <c r="AI17" s="22" t="s">
        <v>91</v>
      </c>
      <c r="AJ17" s="22"/>
      <c r="AK17" s="22"/>
    </row>
    <row r="18" spans="1:37" ht="17">
      <c r="A18" s="22">
        <v>284</v>
      </c>
      <c r="B18" s="22" t="s">
        <v>40</v>
      </c>
      <c r="C18" s="22" t="s">
        <v>129</v>
      </c>
      <c r="D18" s="22" t="s">
        <v>130</v>
      </c>
      <c r="E18" s="22" t="s">
        <v>52</v>
      </c>
      <c r="F18" s="22" t="s">
        <v>44</v>
      </c>
      <c r="G18" s="22"/>
      <c r="H18" s="22"/>
      <c r="I18" s="22"/>
      <c r="J18" s="22" t="s">
        <v>54</v>
      </c>
      <c r="K18" s="22" t="s">
        <v>55</v>
      </c>
      <c r="L18" s="22"/>
      <c r="M18" s="22" t="s">
        <v>48</v>
      </c>
      <c r="N18" s="22"/>
      <c r="O18" s="22" t="s">
        <v>56</v>
      </c>
      <c r="P18" s="22" t="s">
        <v>57</v>
      </c>
      <c r="Q18" s="22" t="s">
        <v>131</v>
      </c>
      <c r="R18" s="22" t="s">
        <v>48</v>
      </c>
      <c r="S18" s="22"/>
      <c r="T18" s="22"/>
      <c r="U18" s="22"/>
      <c r="V18" s="22"/>
      <c r="W18" s="22"/>
      <c r="X18" s="22" t="s">
        <v>48</v>
      </c>
      <c r="Y18" s="22" t="s">
        <v>132</v>
      </c>
      <c r="Z18" s="22"/>
      <c r="AA18" s="22" t="s">
        <v>133</v>
      </c>
      <c r="AB18" s="22" t="s">
        <v>134</v>
      </c>
      <c r="AC18" s="22"/>
      <c r="AD18" s="22" t="str" cm="1">
        <f t="array" ref="AD18">_xlfn.LET(_xlpm.r,_xlfn.XLOOKUP(1,( [1]Sheet1!$A:$A = MappingGuide[[#This Row],[TableName]] ) * ( [1]Sheet1!$B:$B =RIGHT( MappingGuide[[#This Row],[ColumnName]],4) ),[1]Sheet1!$L:$L,""),IF(_xlpm.r=0,"",_xlpm.r))</f>
        <v>External document date field format</v>
      </c>
      <c r="AE18" s="22" t="str" cm="1">
        <f t="array" ref="AE18">_xlfn.LET(_xlpm.r,_xlfn.XLOOKUP(1,( [1]Sheet1!$A:$A = MappingGuide[[#This Row],[TableName]] ) * ( [1]Sheet1!$B:$B =RIGHT( MappingGuide[[#This Row],[ColumnName]],4) ),[1]Sheet1!$M:$M,""),IF(_xlpm.r=0,"",_xlpm.r))</f>
        <v xml:space="preserve">Controls date display conventions (YYYYMMDD, DDMMYY, etc.) for compliance with supplier locale/regulations; </v>
      </c>
      <c r="AF18" s="22"/>
      <c r="AG18" s="22"/>
      <c r="AH18" s="22"/>
      <c r="AI18" s="22" t="s">
        <v>48</v>
      </c>
      <c r="AJ18" s="22" t="s">
        <v>132</v>
      </c>
      <c r="AK18" s="22"/>
    </row>
    <row r="19" spans="1:37" ht="17">
      <c r="A19" s="22">
        <v>285</v>
      </c>
      <c r="B19" s="22" t="s">
        <v>40</v>
      </c>
      <c r="C19" s="22" t="s">
        <v>135</v>
      </c>
      <c r="D19" s="22" t="s">
        <v>136</v>
      </c>
      <c r="E19" s="22" t="s">
        <v>52</v>
      </c>
      <c r="F19" s="22" t="s">
        <v>64</v>
      </c>
      <c r="G19" s="22"/>
      <c r="H19" s="22"/>
      <c r="I19" s="22"/>
      <c r="J19" s="22" t="s">
        <v>54</v>
      </c>
      <c r="K19" s="22" t="s">
        <v>55</v>
      </c>
      <c r="L19" s="22"/>
      <c r="M19" s="22"/>
      <c r="N19" s="22"/>
      <c r="O19" s="22" t="s">
        <v>56</v>
      </c>
      <c r="P19" s="22" t="s">
        <v>57</v>
      </c>
      <c r="Q19" s="22" t="s">
        <v>137</v>
      </c>
      <c r="R19" s="22"/>
      <c r="S19" s="22"/>
      <c r="T19" s="22"/>
      <c r="U19" s="22"/>
      <c r="V19" s="22"/>
      <c r="W19" s="22"/>
      <c r="X19" s="22"/>
      <c r="Y19" s="22"/>
      <c r="Z19" s="22"/>
      <c r="AA19" s="22" t="s">
        <v>138</v>
      </c>
      <c r="AB19" s="22" t="s">
        <v>139</v>
      </c>
      <c r="AC19" s="22"/>
      <c r="AD19" s="22" t="str" cm="1">
        <f t="array" ref="AD19">_xlfn.LET(_xlpm.r,_xlfn.XLOOKUP(1,( [1]Sheet1!$A:$A = MappingGuide[[#This Row],[TableName]] ) * ( [1]Sheet1!$B:$B =RIGHT( MappingGuide[[#This Row],[ColumnName]],4) ),[1]Sheet1!$L:$L,""),IF(_xlpm.r=0,"",_xlpm.r))</f>
        <v xml:space="preserve">Controls date display conventions (YYYYMMDD, DDMMYY, etc.) for compliance with supplier locale/regulations; 'Editing' field designates character separators used for clarity (e.g - / )  </v>
      </c>
      <c r="AE19" s="22" t="str" cm="1">
        <f t="array" ref="AE19">_xlfn.LET(_xlpm.r,_xlfn.XLOOKUP(1,( [1]Sheet1!$A:$A = MappingGuide[[#This Row],[TableName]] ) * ( [1]Sheet1!$B:$B =RIGHT( MappingGuide[[#This Row],[ColumnName]],4) ),[1]Sheet1!$M:$M,""),IF(_xlpm.r=0,"",_xlpm.r))</f>
        <v/>
      </c>
      <c r="AF19" s="22"/>
      <c r="AG19" s="22"/>
      <c r="AH19" s="22"/>
      <c r="AI19" s="22" t="s">
        <v>91</v>
      </c>
      <c r="AJ19" s="22"/>
      <c r="AK19" s="22"/>
    </row>
    <row r="20" spans="1:37" ht="17">
      <c r="A20" s="22">
        <v>286</v>
      </c>
      <c r="B20" s="22" t="s">
        <v>40</v>
      </c>
      <c r="C20" s="22" t="s">
        <v>140</v>
      </c>
      <c r="D20" s="22" t="s">
        <v>141</v>
      </c>
      <c r="E20" s="22" t="s">
        <v>52</v>
      </c>
      <c r="F20" s="22" t="s">
        <v>104</v>
      </c>
      <c r="G20" s="22"/>
      <c r="H20" s="22"/>
      <c r="I20" s="22"/>
      <c r="J20" s="22" t="s">
        <v>54</v>
      </c>
      <c r="K20" s="22" t="s">
        <v>55</v>
      </c>
      <c r="L20" s="22" t="s">
        <v>48</v>
      </c>
      <c r="M20" s="22"/>
      <c r="N20" s="22"/>
      <c r="O20" s="22" t="s">
        <v>56</v>
      </c>
      <c r="P20" s="22" t="s">
        <v>57</v>
      </c>
      <c r="Q20" s="22" t="s">
        <v>142</v>
      </c>
      <c r="R20" s="22"/>
      <c r="S20" s="22"/>
      <c r="T20" s="22"/>
      <c r="U20" s="22"/>
      <c r="V20" s="22"/>
      <c r="W20" s="22"/>
      <c r="X20" s="22"/>
      <c r="Y20" s="22"/>
      <c r="Z20" s="22"/>
      <c r="AA20" s="22" t="s">
        <v>143</v>
      </c>
      <c r="AB20" s="22"/>
      <c r="AC20" s="22" t="s">
        <v>144</v>
      </c>
      <c r="AD20" s="22" t="str" cm="1">
        <f t="array" ref="AD20">_xlfn.LET(_xlpm.r,_xlfn.XLOOKUP(1,( [1]Sheet1!$A:$A = MappingGuide[[#This Row],[TableName]] ) * ( [1]Sheet1!$B:$B =RIGHT( MappingGuide[[#This Row],[ColumnName]],4) ),[1]Sheet1!$L:$L,""),IF(_xlpm.r=0,"",_xlpm.r))</f>
        <v>Supplier VAT ID</v>
      </c>
      <c r="AE20" s="22" t="str" cm="1">
        <f t="array" ref="AE20">_xlfn.LET(_xlpm.r,_xlfn.XLOOKUP(1,( [1]Sheet1!$A:$A = MappingGuide[[#This Row],[TableName]] ) * ( [1]Sheet1!$B:$B =RIGHT( MappingGuide[[#This Row],[ColumnName]],4) ),[1]Sheet1!$M:$M,""),IF(_xlpm.r=0,"",_xlpm.r))</f>
        <v>Mandatory field for invoice and compliance; controls VAT validation during financial processing and PO creation.</v>
      </c>
      <c r="AF20" s="22"/>
      <c r="AG20" s="22"/>
      <c r="AH20" s="22"/>
      <c r="AI20" s="22" t="s">
        <v>91</v>
      </c>
      <c r="AJ20" s="22"/>
      <c r="AK20" s="22"/>
    </row>
    <row r="21" spans="1:37" ht="17">
      <c r="A21" s="22">
        <v>287</v>
      </c>
      <c r="B21" s="22" t="s">
        <v>40</v>
      </c>
      <c r="C21" s="22" t="s">
        <v>145</v>
      </c>
      <c r="D21" s="22" t="s">
        <v>146</v>
      </c>
      <c r="E21" s="22" t="s">
        <v>52</v>
      </c>
      <c r="F21" s="22" t="s">
        <v>53</v>
      </c>
      <c r="G21" s="22"/>
      <c r="H21" s="22"/>
      <c r="I21" s="22"/>
      <c r="J21" s="22" t="s">
        <v>54</v>
      </c>
      <c r="K21" s="22" t="s">
        <v>55</v>
      </c>
      <c r="L21" s="22"/>
      <c r="M21" s="22"/>
      <c r="N21" s="22"/>
      <c r="O21" s="22" t="s">
        <v>56</v>
      </c>
      <c r="P21" s="22" t="s">
        <v>57</v>
      </c>
      <c r="Q21" s="22" t="s">
        <v>147</v>
      </c>
      <c r="R21" s="22"/>
      <c r="S21" s="22"/>
      <c r="T21" s="22"/>
      <c r="U21" s="22"/>
      <c r="V21" s="22"/>
      <c r="W21" s="22"/>
      <c r="X21" s="22"/>
      <c r="Y21" s="22"/>
      <c r="Z21" s="22"/>
      <c r="AA21" s="22" t="s">
        <v>148</v>
      </c>
      <c r="AB21" s="22"/>
      <c r="AC21" s="22"/>
      <c r="AD21" s="22" t="str" cm="1">
        <f t="array" ref="AD21">_xlfn.LET(_xlpm.r,_xlfn.XLOOKUP(1,( [1]Sheet1!$A:$A = MappingGuide[[#This Row],[TableName]] ) * ( [1]Sheet1!$B:$B =RIGHT( MappingGuide[[#This Row],[ColumnName]],4) ),[1]Sheet1!$L:$L,""),IF(_xlpm.r=0,"",_xlpm.r))</f>
        <v>Vendor's group ID</v>
      </c>
      <c r="AE21" s="22" t="str" cm="1">
        <f t="array" ref="AE21">_xlfn.LET(_xlpm.r,_xlfn.XLOOKUP(1,( [1]Sheet1!$A:$A = MappingGuide[[#This Row],[TableName]] ) * ( [1]Sheet1!$B:$B =RIGHT( MappingGuide[[#This Row],[ColumnName]],4) ),[1]Sheet1!$M:$M,""),IF(_xlpm.r=0,"",_xlpm.r))</f>
        <v>Identifies supplier within company group; useful for group-wide stats, and parent-child company management. Also often used for recording  any alternate Supplier ID</v>
      </c>
      <c r="AF21" s="22"/>
      <c r="AG21" s="22"/>
      <c r="AH21" s="22"/>
      <c r="AI21" s="22" t="s">
        <v>91</v>
      </c>
      <c r="AJ21" s="22"/>
      <c r="AK21" s="22"/>
    </row>
    <row r="22" spans="1:37" ht="17">
      <c r="A22" s="22">
        <v>288</v>
      </c>
      <c r="B22" s="22" t="s">
        <v>40</v>
      </c>
      <c r="C22" s="22" t="s">
        <v>149</v>
      </c>
      <c r="D22" s="22" t="s">
        <v>150</v>
      </c>
      <c r="E22" s="22" t="s">
        <v>52</v>
      </c>
      <c r="F22" s="22" t="s">
        <v>44</v>
      </c>
      <c r="G22" s="22"/>
      <c r="H22" s="22"/>
      <c r="I22" s="22"/>
      <c r="J22" s="22" t="s">
        <v>54</v>
      </c>
      <c r="K22" s="22" t="s">
        <v>55</v>
      </c>
      <c r="L22" s="22"/>
      <c r="M22" s="22"/>
      <c r="N22" s="22"/>
      <c r="O22" s="22" t="s">
        <v>56</v>
      </c>
      <c r="P22" s="22" t="s">
        <v>57</v>
      </c>
      <c r="Q22" s="22" t="s">
        <v>151</v>
      </c>
      <c r="R22" s="22"/>
      <c r="S22" s="22"/>
      <c r="T22" s="22"/>
      <c r="U22" s="22"/>
      <c r="V22" s="22"/>
      <c r="W22" s="22"/>
      <c r="X22" s="22"/>
      <c r="Y22" s="22"/>
      <c r="Z22" s="22"/>
      <c r="AA22" s="22" t="s">
        <v>152</v>
      </c>
      <c r="AB22" s="22"/>
      <c r="AC22" s="22"/>
      <c r="AD22" s="22" t="str" cm="1">
        <f t="array" ref="AD22">_xlfn.LET(_xlpm.r,_xlfn.XLOOKUP(1,( [1]Sheet1!$A:$A = MappingGuide[[#This Row],[TableName]] ) * ( [1]Sheet1!$B:$B =RIGHT( MappingGuide[[#This Row],[ColumnName]],4) ),[1]Sheet1!$L:$L,""),IF(_xlpm.r=0,"",_xlpm.r))</f>
        <v>Alternate supplier identifier</v>
      </c>
      <c r="AE22" s="22" t="str" cm="1">
        <f t="array" ref="AE22">_xlfn.LET(_xlpm.r,_xlfn.XLOOKUP(1,( [1]Sheet1!$A:$A = MappingGuide[[#This Row],[TableName]] ) * ( [1]Sheet1!$B:$B =RIGHT( MappingGuide[[#This Row],[ColumnName]],4) ),[1]Sheet1!$M:$M,""),IF(_xlpm.r=0,"",_xlpm.r))</f>
        <v xml:space="preserve">Used for cross-system mapping, integration, and group procurement. </v>
      </c>
      <c r="AF22" s="22"/>
      <c r="AG22" s="22"/>
      <c r="AH22" s="22"/>
      <c r="AI22" s="22" t="s">
        <v>91</v>
      </c>
      <c r="AJ22" s="22"/>
      <c r="AK22" s="22"/>
    </row>
    <row r="23" spans="1:37" ht="17">
      <c r="A23" s="22">
        <v>289</v>
      </c>
      <c r="B23" s="22" t="s">
        <v>40</v>
      </c>
      <c r="C23" s="22" t="s">
        <v>153</v>
      </c>
      <c r="D23" s="22" t="s">
        <v>154</v>
      </c>
      <c r="E23" s="22" t="s">
        <v>52</v>
      </c>
      <c r="F23" s="22" t="s">
        <v>155</v>
      </c>
      <c r="G23" s="22"/>
      <c r="H23" s="22"/>
      <c r="I23" s="22"/>
      <c r="J23" s="22" t="s">
        <v>54</v>
      </c>
      <c r="K23" s="22" t="s">
        <v>55</v>
      </c>
      <c r="L23" s="22"/>
      <c r="M23" s="22"/>
      <c r="N23" s="22"/>
      <c r="O23" s="22" t="s">
        <v>56</v>
      </c>
      <c r="P23" s="22" t="s">
        <v>57</v>
      </c>
      <c r="Q23" s="22" t="s">
        <v>156</v>
      </c>
      <c r="R23" s="22"/>
      <c r="S23" s="22"/>
      <c r="T23" s="22"/>
      <c r="U23" s="22"/>
      <c r="V23" s="22"/>
      <c r="W23" s="22"/>
      <c r="X23" s="22"/>
      <c r="Y23" s="22"/>
      <c r="Z23" s="22"/>
      <c r="AA23" s="22" t="s">
        <v>157</v>
      </c>
      <c r="AB23" s="22"/>
      <c r="AC23" s="22"/>
      <c r="AD23" s="22" t="str" cm="1">
        <f t="array" ref="AD23">_xlfn.LET(_xlpm.r,_xlfn.XLOOKUP(1,( [1]Sheet1!$A:$A = MappingGuide[[#This Row],[TableName]] ) * ( [1]Sheet1!$B:$B =RIGHT( MappingGuide[[#This Row],[ColumnName]],4) ),[1]Sheet1!$L:$L,""),IF(_xlpm.r=0,"",_xlpm.r))</f>
        <v/>
      </c>
      <c r="AE23" s="22" t="str" cm="1">
        <f t="array" ref="AE23">_xlfn.LET(_xlpm.r,_xlfn.XLOOKUP(1,( [1]Sheet1!$A:$A = MappingGuide[[#This Row],[TableName]] ) * ( [1]Sheet1!$B:$B =RIGHT( MappingGuide[[#This Row],[ColumnName]],4) ),[1]Sheet1!$M:$M,""),IF(_xlpm.r=0,"",_xlpm.r))</f>
        <v/>
      </c>
      <c r="AF23" s="22"/>
      <c r="AG23" s="22"/>
      <c r="AH23" s="22"/>
      <c r="AI23" s="22" t="s">
        <v>91</v>
      </c>
      <c r="AJ23" s="22"/>
      <c r="AK23" s="22"/>
    </row>
    <row r="24" spans="1:37" ht="17">
      <c r="A24" s="22">
        <v>290</v>
      </c>
      <c r="B24" s="22" t="s">
        <v>40</v>
      </c>
      <c r="C24" s="22" t="s">
        <v>158</v>
      </c>
      <c r="D24" s="22" t="s">
        <v>159</v>
      </c>
      <c r="E24" s="22" t="s">
        <v>52</v>
      </c>
      <c r="F24" s="22" t="s">
        <v>82</v>
      </c>
      <c r="G24" s="22"/>
      <c r="H24" s="22"/>
      <c r="I24" s="22"/>
      <c r="J24" s="22" t="s">
        <v>54</v>
      </c>
      <c r="K24" s="22" t="s">
        <v>55</v>
      </c>
      <c r="L24" s="22"/>
      <c r="M24" s="22"/>
      <c r="N24" s="22"/>
      <c r="O24" s="22" t="s">
        <v>56</v>
      </c>
      <c r="P24" s="22" t="s">
        <v>57</v>
      </c>
      <c r="Q24" s="22" t="s">
        <v>160</v>
      </c>
      <c r="R24" s="22"/>
      <c r="S24" s="22"/>
      <c r="T24" s="22"/>
      <c r="U24" s="22"/>
      <c r="V24" s="22"/>
      <c r="W24" s="22"/>
      <c r="X24" s="22"/>
      <c r="Y24" s="22"/>
      <c r="Z24" s="22"/>
      <c r="AA24" s="22" t="s">
        <v>161</v>
      </c>
      <c r="AB24" s="22"/>
      <c r="AC24" s="22" t="s">
        <v>162</v>
      </c>
      <c r="AD24" s="22" t="str" cm="1">
        <f t="array" ref="AD24">_xlfn.LET(_xlpm.r,_xlfn.XLOOKUP(1,( [1]Sheet1!$A:$A = MappingGuide[[#This Row],[TableName]] ) * ( [1]Sheet1!$B:$B =RIGHT( MappingGuide[[#This Row],[ColumnName]],4) ),[1]Sheet1!$L:$L,""),IF(_xlpm.r=0,"",_xlpm.r))</f>
        <v>Preferred document delivery method</v>
      </c>
      <c r="AE24" s="22" t="str" cm="1">
        <f t="array" ref="AE24">_xlfn.LET(_xlpm.r,_xlfn.XLOOKUP(1,( [1]Sheet1!$A:$A = MappingGuide[[#This Row],[TableName]] ) * ( [1]Sheet1!$B:$B =RIGHT( MappingGuide[[#This Row],[ColumnName]],4) ),[1]Sheet1!$M:$M,""),IF(_xlpm.r=0,"",_xlpm.r))</f>
        <v>Controls output for PO and logistics docs (email, EDI, paper), supports automation and communication preferences. Select Email is recommended.</v>
      </c>
      <c r="AF24" s="22"/>
      <c r="AG24" s="22"/>
      <c r="AH24" s="22"/>
      <c r="AI24" s="22" t="s">
        <v>91</v>
      </c>
      <c r="AJ24" s="22"/>
      <c r="AK24" s="22"/>
    </row>
    <row r="25" spans="1:37" ht="17">
      <c r="A25" s="22">
        <v>291</v>
      </c>
      <c r="B25" s="22" t="s">
        <v>40</v>
      </c>
      <c r="C25" s="22" t="s">
        <v>163</v>
      </c>
      <c r="D25" s="22" t="s">
        <v>164</v>
      </c>
      <c r="E25" s="22" t="s">
        <v>43</v>
      </c>
      <c r="F25" s="22" t="s">
        <v>44</v>
      </c>
      <c r="G25" s="22"/>
      <c r="H25" s="22"/>
      <c r="I25" s="22"/>
      <c r="J25" s="22" t="s">
        <v>54</v>
      </c>
      <c r="K25" s="22" t="s">
        <v>55</v>
      </c>
      <c r="L25" s="22"/>
      <c r="M25" s="22"/>
      <c r="N25" s="22"/>
      <c r="O25" s="22" t="s">
        <v>56</v>
      </c>
      <c r="P25" s="22" t="s">
        <v>57</v>
      </c>
      <c r="Q25" s="22" t="s">
        <v>165</v>
      </c>
      <c r="R25" s="22"/>
      <c r="S25" s="22"/>
      <c r="T25" s="22"/>
      <c r="U25" s="22"/>
      <c r="V25" s="22"/>
      <c r="W25" s="22"/>
      <c r="X25" s="22"/>
      <c r="Y25" s="22"/>
      <c r="Z25" s="22"/>
      <c r="AA25" s="22" t="s">
        <v>166</v>
      </c>
      <c r="AB25" s="22"/>
      <c r="AC25" s="22"/>
      <c r="AD25" s="22" t="str" cm="1">
        <f t="array" ref="AD25">_xlfn.LET(_xlpm.r,_xlfn.XLOOKUP(1,( [1]Sheet1!$A:$A = MappingGuide[[#This Row],[TableName]] ) * ( [1]Sheet1!$B:$B =RIGHT( MappingGuide[[#This Row],[ColumnName]],4) ),[1]Sheet1!$L:$L,""),IF(_xlpm.r=0,"",_xlpm.r))</f>
        <v>Lead time for mail-based requests/quotations</v>
      </c>
      <c r="AE25" s="22" t="str" cm="1">
        <f t="array" ref="AE25">_xlfn.LET(_xlpm.r,_xlfn.XLOOKUP(1,( [1]Sheet1!$A:$A = MappingGuide[[#This Row],[TableName]] ) * ( [1]Sheet1!$B:$B =RIGHT( MappingGuide[[#This Row],[ColumnName]],4) ),[1]Sheet1!$M:$M,""),IF(_xlpm.r=0,"",_xlpm.r))</f>
        <v>Used in MRP calculations when acquisition method is 'purchase'; postal delay added to total lead time for quotations sent by mail. Rarely used nowadays.</v>
      </c>
      <c r="AF25" s="22"/>
      <c r="AG25" s="22"/>
      <c r="AH25" s="22"/>
      <c r="AI25" s="22" t="s">
        <v>91</v>
      </c>
      <c r="AJ25" s="22"/>
      <c r="AK25" s="22"/>
    </row>
    <row r="26" spans="1:37" ht="17">
      <c r="A26" s="22">
        <v>292</v>
      </c>
      <c r="B26" s="22" t="s">
        <v>40</v>
      </c>
      <c r="C26" s="22" t="s">
        <v>167</v>
      </c>
      <c r="D26" s="22" t="s">
        <v>168</v>
      </c>
      <c r="E26" s="22" t="s">
        <v>52</v>
      </c>
      <c r="F26" s="22" t="s">
        <v>53</v>
      </c>
      <c r="G26" s="22"/>
      <c r="H26" s="22"/>
      <c r="I26" s="22"/>
      <c r="J26" s="22" t="s">
        <v>54</v>
      </c>
      <c r="K26" s="22" t="s">
        <v>169</v>
      </c>
      <c r="L26" s="22"/>
      <c r="M26" s="22"/>
      <c r="N26" s="22"/>
      <c r="O26" s="22" t="s">
        <v>56</v>
      </c>
      <c r="P26" s="22" t="s">
        <v>57</v>
      </c>
      <c r="Q26" s="22" t="s">
        <v>170</v>
      </c>
      <c r="R26" s="22"/>
      <c r="S26" s="22"/>
      <c r="T26" s="22"/>
      <c r="U26" s="22"/>
      <c r="V26" s="22"/>
      <c r="W26" s="22"/>
      <c r="X26" s="22"/>
      <c r="Y26" s="22"/>
      <c r="Z26" s="22"/>
      <c r="AA26" s="22" t="s">
        <v>171</v>
      </c>
      <c r="AB26" s="22"/>
      <c r="AC26" s="22" t="s">
        <v>172</v>
      </c>
      <c r="AD26" s="22" t="str" cm="1">
        <f t="array" ref="AD26">_xlfn.LET(_xlpm.r,_xlfn.XLOOKUP(1,( [1]Sheet1!$A:$A = MappingGuide[[#This Row],[TableName]] ) * ( [1]Sheet1!$B:$B =RIGHT( MappingGuide[[#This Row],[ColumnName]],4) ),[1]Sheet1!$L:$L,""),IF(_xlpm.r=0,"",_xlpm.r))</f>
        <v>flag vendors for FSC certification could be an example for one of these fields</v>
      </c>
      <c r="AE26" s="22" t="str" cm="1">
        <f t="array" ref="AE26">_xlfn.LET(_xlpm.r,_xlfn.XLOOKUP(1,( [1]Sheet1!$A:$A = MappingGuide[[#This Row],[TableName]] ) * ( [1]Sheet1!$B:$B =RIGHT( MappingGuide[[#This Row],[ColumnName]],4) ),[1]Sheet1!$M:$M,""),IF(_xlpm.r=0,"",_xlpm.r))</f>
        <v>Track certifications or other supplier-specific data: attach value(s) to supplier via selectable value ; supports business-specific reporting and process control for configuration. For example: if you need to track some kind of certification: We can use this field CFI1 that I would rename as 'certification'. 
There is a separate table for four of those five 'CFI' fields, allowing to create four custom lists for business purposes (grouping, LOB, Material type, certifications...). Then attaching a value to the supplier.</v>
      </c>
      <c r="AF26" s="22"/>
      <c r="AG26" s="22"/>
      <c r="AH26" s="22"/>
      <c r="AI26" s="22" t="s">
        <v>91</v>
      </c>
      <c r="AJ26" s="22"/>
      <c r="AK26" s="22"/>
    </row>
    <row r="27" spans="1:37" ht="17">
      <c r="A27" s="22">
        <v>293</v>
      </c>
      <c r="B27" s="22" t="s">
        <v>40</v>
      </c>
      <c r="C27" s="22" t="s">
        <v>173</v>
      </c>
      <c r="D27" s="22" t="s">
        <v>174</v>
      </c>
      <c r="E27" s="22" t="s">
        <v>43</v>
      </c>
      <c r="F27" s="22" t="s">
        <v>175</v>
      </c>
      <c r="G27" s="22" t="s">
        <v>82</v>
      </c>
      <c r="H27" s="22"/>
      <c r="I27" s="22"/>
      <c r="J27" s="22" t="s">
        <v>54</v>
      </c>
      <c r="K27" s="22" t="s">
        <v>169</v>
      </c>
      <c r="L27" s="22"/>
      <c r="M27" s="22"/>
      <c r="N27" s="22"/>
      <c r="O27" s="22" t="s">
        <v>56</v>
      </c>
      <c r="P27" s="22" t="s">
        <v>57</v>
      </c>
      <c r="Q27" s="22" t="s">
        <v>176</v>
      </c>
      <c r="R27" s="22"/>
      <c r="S27" s="22"/>
      <c r="T27" s="22"/>
      <c r="U27" s="22"/>
      <c r="V27" s="22"/>
      <c r="W27" s="22"/>
      <c r="X27" s="22"/>
      <c r="Y27" s="22"/>
      <c r="Z27" s="22"/>
      <c r="AA27" s="22" t="s">
        <v>171</v>
      </c>
      <c r="AB27" s="22"/>
      <c r="AC27" s="22"/>
      <c r="AD27" s="22" t="str" cm="1">
        <f t="array" ref="AD27">_xlfn.LET(_xlpm.r,_xlfn.XLOOKUP(1,( [1]Sheet1!$A:$A = MappingGuide[[#This Row],[TableName]] ) * ( [1]Sheet1!$B:$B =RIGHT( MappingGuide[[#This Row],[ColumnName]],4) ),[1]Sheet1!$L:$L,""),IF(_xlpm.r=0,"",_xlpm.r))</f>
        <v/>
      </c>
      <c r="AE27" s="22" t="str" cm="1">
        <f t="array" ref="AE27">_xlfn.LET(_xlpm.r,_xlfn.XLOOKUP(1,( [1]Sheet1!$A:$A = MappingGuide[[#This Row],[TableName]] ) * ( [1]Sheet1!$B:$B =RIGHT( MappingGuide[[#This Row],[ColumnName]],4) ),[1]Sheet1!$M:$M,""),IF(_xlpm.r=0,"",_xlpm.r))</f>
        <v/>
      </c>
      <c r="AF27" s="22"/>
      <c r="AG27" s="22"/>
      <c r="AH27" s="22"/>
      <c r="AI27" s="22" t="s">
        <v>91</v>
      </c>
      <c r="AJ27" s="22"/>
      <c r="AK27" s="22"/>
    </row>
    <row r="28" spans="1:37" ht="17">
      <c r="A28" s="22">
        <v>294</v>
      </c>
      <c r="B28" s="22" t="s">
        <v>40</v>
      </c>
      <c r="C28" s="22" t="s">
        <v>177</v>
      </c>
      <c r="D28" s="22" t="s">
        <v>178</v>
      </c>
      <c r="E28" s="22" t="s">
        <v>52</v>
      </c>
      <c r="F28" s="22" t="s">
        <v>44</v>
      </c>
      <c r="G28" s="22"/>
      <c r="H28" s="22"/>
      <c r="I28" s="22"/>
      <c r="J28" s="22" t="s">
        <v>54</v>
      </c>
      <c r="K28" s="22" t="s">
        <v>169</v>
      </c>
      <c r="L28" s="22"/>
      <c r="M28" s="22"/>
      <c r="N28" s="22"/>
      <c r="O28" s="22" t="s">
        <v>56</v>
      </c>
      <c r="P28" s="22" t="s">
        <v>57</v>
      </c>
      <c r="Q28" s="22" t="s">
        <v>179</v>
      </c>
      <c r="R28" s="22"/>
      <c r="S28" s="22"/>
      <c r="T28" s="22"/>
      <c r="U28" s="22"/>
      <c r="V28" s="22"/>
      <c r="W28" s="22"/>
      <c r="X28" s="22"/>
      <c r="Y28" s="22"/>
      <c r="Z28" s="22"/>
      <c r="AA28" s="22" t="s">
        <v>171</v>
      </c>
      <c r="AB28" s="22"/>
      <c r="AC28" s="22" t="s">
        <v>180</v>
      </c>
      <c r="AD28" s="22" t="str" cm="1">
        <f t="array" ref="AD28">_xlfn.LET(_xlpm.r,_xlfn.XLOOKUP(1,( [1]Sheet1!$A:$A = MappingGuide[[#This Row],[TableName]] ) * ( [1]Sheet1!$B:$B =RIGHT( MappingGuide[[#This Row],[ColumnName]],4) ),[1]Sheet1!$L:$L,""),IF(_xlpm.r=0,"",_xlpm.r))</f>
        <v/>
      </c>
      <c r="AE28" s="22" t="str" cm="1">
        <f t="array" ref="AE28">_xlfn.LET(_xlpm.r,_xlfn.XLOOKUP(1,( [1]Sheet1!$A:$A = MappingGuide[[#This Row],[TableName]] ) * ( [1]Sheet1!$B:$B =RIGHT( MappingGuide[[#This Row],[ColumnName]],4) ),[1]Sheet1!$M:$M,""),IF(_xlpm.r=0,"",_xlpm.r))</f>
        <v>Identical as CFI1 field, in case there is a businnes need to assign a different value to a vendor, to track something else, or for stats purposes</v>
      </c>
      <c r="AF28" s="22"/>
      <c r="AG28" s="22"/>
      <c r="AH28" s="22"/>
      <c r="AI28" s="22" t="s">
        <v>91</v>
      </c>
      <c r="AJ28" s="22"/>
      <c r="AK28" s="22"/>
    </row>
    <row r="29" spans="1:37" ht="17">
      <c r="A29" s="22">
        <v>295</v>
      </c>
      <c r="B29" s="22" t="s">
        <v>40</v>
      </c>
      <c r="C29" s="22" t="s">
        <v>181</v>
      </c>
      <c r="D29" s="22" t="s">
        <v>182</v>
      </c>
      <c r="E29" s="22" t="s">
        <v>52</v>
      </c>
      <c r="F29" s="22" t="s">
        <v>183</v>
      </c>
      <c r="G29" s="22"/>
      <c r="H29" s="22"/>
      <c r="I29" s="22"/>
      <c r="J29" s="22" t="s">
        <v>54</v>
      </c>
      <c r="K29" s="22" t="s">
        <v>169</v>
      </c>
      <c r="L29" s="22"/>
      <c r="M29" s="22"/>
      <c r="N29" s="22"/>
      <c r="O29" s="22" t="s">
        <v>56</v>
      </c>
      <c r="P29" s="22" t="s">
        <v>57</v>
      </c>
      <c r="Q29" s="22" t="s">
        <v>184</v>
      </c>
      <c r="R29" s="22"/>
      <c r="S29" s="22"/>
      <c r="T29" s="22"/>
      <c r="U29" s="22"/>
      <c r="V29" s="22"/>
      <c r="W29" s="22"/>
      <c r="X29" s="22"/>
      <c r="Y29" s="22"/>
      <c r="Z29" s="22"/>
      <c r="AA29" s="22" t="s">
        <v>171</v>
      </c>
      <c r="AB29" s="22"/>
      <c r="AC29" s="22" t="s">
        <v>185</v>
      </c>
      <c r="AD29" s="22" t="str" cm="1">
        <f t="array" ref="AD29">_xlfn.LET(_xlpm.r,_xlfn.XLOOKUP(1,( [1]Sheet1!$A:$A = MappingGuide[[#This Row],[TableName]] ) * ( [1]Sheet1!$B:$B =RIGHT( MappingGuide[[#This Row],[ColumnName]],4) ),[1]Sheet1!$L:$L,""),IF(_xlpm.r=0,"",_xlpm.r))</f>
        <v/>
      </c>
      <c r="AE29" s="22" t="str" cm="1">
        <f t="array" ref="AE29">_xlfn.LET(_xlpm.r,_xlfn.XLOOKUP(1,( [1]Sheet1!$A:$A = MappingGuide[[#This Row],[TableName]] ) * ( [1]Sheet1!$B:$B =RIGHT( MappingGuide[[#This Row],[ColumnName]],4) ),[1]Sheet1!$M:$M,""),IF(_xlpm.r=0,"",_xlpm.r))</f>
        <v>Identical as CFI1 field, in case there is a businnes need to assign a different value to a vendor, to track something else, or for stats purposes</v>
      </c>
      <c r="AF29" s="22"/>
      <c r="AG29" s="22"/>
      <c r="AH29" s="22"/>
      <c r="AI29" s="22" t="s">
        <v>91</v>
      </c>
      <c r="AJ29" s="22"/>
      <c r="AK29" s="22"/>
    </row>
    <row r="30" spans="1:37" ht="17">
      <c r="A30" s="22">
        <v>296</v>
      </c>
      <c r="B30" s="22" t="s">
        <v>40</v>
      </c>
      <c r="C30" s="22" t="s">
        <v>186</v>
      </c>
      <c r="D30" s="22" t="s">
        <v>187</v>
      </c>
      <c r="E30" s="22" t="s">
        <v>52</v>
      </c>
      <c r="F30" s="22" t="s">
        <v>64</v>
      </c>
      <c r="G30" s="22"/>
      <c r="H30" s="22"/>
      <c r="I30" s="22"/>
      <c r="J30" s="22" t="s">
        <v>54</v>
      </c>
      <c r="K30" s="22" t="s">
        <v>169</v>
      </c>
      <c r="L30" s="22"/>
      <c r="M30" s="22"/>
      <c r="N30" s="22"/>
      <c r="O30" s="22" t="s">
        <v>56</v>
      </c>
      <c r="P30" s="22" t="s">
        <v>57</v>
      </c>
      <c r="Q30" s="22" t="s">
        <v>188</v>
      </c>
      <c r="R30" s="22"/>
      <c r="S30" s="22"/>
      <c r="T30" s="22"/>
      <c r="U30" s="22"/>
      <c r="V30" s="22"/>
      <c r="W30" s="22"/>
      <c r="X30" s="22"/>
      <c r="Y30" s="22"/>
      <c r="Z30" s="22"/>
      <c r="AA30" s="22" t="s">
        <v>171</v>
      </c>
      <c r="AB30" s="22"/>
      <c r="AC30" s="22" t="s">
        <v>189</v>
      </c>
      <c r="AD30" s="22" t="str" cm="1">
        <f t="array" ref="AD30">_xlfn.LET(_xlpm.r,_xlfn.XLOOKUP(1,( [1]Sheet1!$A:$A = MappingGuide[[#This Row],[TableName]] ) * ( [1]Sheet1!$B:$B =RIGHT( MappingGuide[[#This Row],[ColumnName]],4) ),[1]Sheet1!$L:$L,""),IF(_xlpm.r=0,"",_xlpm.r))</f>
        <v/>
      </c>
      <c r="AE30" s="22" t="str" cm="1">
        <f t="array" ref="AE30">_xlfn.LET(_xlpm.r,_xlfn.XLOOKUP(1,( [1]Sheet1!$A:$A = MappingGuide[[#This Row],[TableName]] ) * ( [1]Sheet1!$B:$B =RIGHT( MappingGuide[[#This Row],[ColumnName]],4) ),[1]Sheet1!$M:$M,""),IF(_xlpm.r=0,"",_xlpm.r))</f>
        <v>Identical as CFI1 field, in case there is a business need to assign a different value to a vendor, to track something else, or for stats purposes. This one CFI5 has only 1 digit available. So in the related table CRS185, you could create a list of values like :1-xxxx ; 2- yyyyy...etc...and the value 1 or 2 being attached to the CFI5 field, the corresponding description ('xxxx' ) could be fetch and display in any screen or reports where it is needed.</v>
      </c>
      <c r="AF30" s="22"/>
      <c r="AG30" s="22"/>
      <c r="AH30" s="22"/>
      <c r="AI30" s="22" t="s">
        <v>91</v>
      </c>
      <c r="AJ30" s="22"/>
      <c r="AK30" s="22"/>
    </row>
    <row r="31" spans="1:37" ht="17">
      <c r="A31" s="22">
        <v>297</v>
      </c>
      <c r="B31" s="22" t="s">
        <v>40</v>
      </c>
      <c r="C31" s="22" t="s">
        <v>190</v>
      </c>
      <c r="D31" s="22" t="s">
        <v>191</v>
      </c>
      <c r="E31" s="22" t="s">
        <v>52</v>
      </c>
      <c r="F31" s="22" t="s">
        <v>192</v>
      </c>
      <c r="G31" s="22"/>
      <c r="H31" s="22"/>
      <c r="I31" s="22"/>
      <c r="J31" s="22" t="s">
        <v>54</v>
      </c>
      <c r="K31" s="22" t="s">
        <v>55</v>
      </c>
      <c r="L31" s="22"/>
      <c r="M31" s="22"/>
      <c r="N31" s="22"/>
      <c r="O31" s="22" t="s">
        <v>56</v>
      </c>
      <c r="P31" s="22" t="s">
        <v>57</v>
      </c>
      <c r="Q31" s="22" t="s">
        <v>193</v>
      </c>
      <c r="R31" s="22"/>
      <c r="S31" s="22"/>
      <c r="T31" s="22"/>
      <c r="U31" s="22"/>
      <c r="V31" s="22"/>
      <c r="W31" s="22"/>
      <c r="X31" s="22"/>
      <c r="Y31" s="22"/>
      <c r="Z31" s="22"/>
      <c r="AA31" s="22" t="s">
        <v>194</v>
      </c>
      <c r="AB31" s="22"/>
      <c r="AC31" s="22" t="s">
        <v>195</v>
      </c>
      <c r="AD31" s="22" t="str" cm="1">
        <f t="array" ref="AD31">_xlfn.LET(_xlpm.r,_xlfn.XLOOKUP(1,( [1]Sheet1!$A:$A = MappingGuide[[#This Row],[TableName]] ) * ( [1]Sheet1!$B:$B =RIGHT( MappingGuide[[#This Row],[ColumnName]],4) ),[1]Sheet1!$L:$L,""),IF(_xlpm.r=0,"",_xlpm.r))</f>
        <v>Logistics location code</v>
      </c>
      <c r="AE31" s="22" t="str" cm="1">
        <f t="array" ref="AE31">_xlfn.LET(_xlpm.r,_xlfn.XLOOKUP(1,( [1]Sheet1!$A:$A = MappingGuide[[#This Row],[TableName]] ) * ( [1]Sheet1!$B:$B =RIGHT( MappingGuide[[#This Row],[ColumnName]],4) ),[1]Sheet1!$M:$M,""),IF(_xlpm.r=0,"",_xlpm.r))</f>
        <v>Used for transport planning and trade reporting; relevant for mapping supplier shipments which bypass central customs, crucial for trade stat compliance and routing in exports/imports, especially in multi-modal shipping setups.</v>
      </c>
      <c r="AF31" s="22"/>
      <c r="AG31" s="22"/>
      <c r="AH31" s="22"/>
      <c r="AI31" s="22" t="s">
        <v>91</v>
      </c>
      <c r="AJ31" s="22"/>
      <c r="AK31" s="22"/>
    </row>
    <row r="32" spans="1:37" ht="17">
      <c r="A32" s="22">
        <v>298</v>
      </c>
      <c r="B32" s="22" t="s">
        <v>40</v>
      </c>
      <c r="C32" s="22" t="s">
        <v>196</v>
      </c>
      <c r="D32" s="22" t="s">
        <v>197</v>
      </c>
      <c r="E32" s="22" t="s">
        <v>52</v>
      </c>
      <c r="F32" s="22" t="s">
        <v>82</v>
      </c>
      <c r="G32" s="22"/>
      <c r="H32" s="22"/>
      <c r="I32" s="22"/>
      <c r="J32" s="22" t="s">
        <v>54</v>
      </c>
      <c r="K32" s="22" t="s">
        <v>55</v>
      </c>
      <c r="L32" s="22"/>
      <c r="M32" s="22"/>
      <c r="N32" s="22"/>
      <c r="O32" s="22" t="s">
        <v>56</v>
      </c>
      <c r="P32" s="22" t="s">
        <v>57</v>
      </c>
      <c r="Q32" s="22" t="s">
        <v>198</v>
      </c>
      <c r="R32" s="22"/>
      <c r="S32" s="22"/>
      <c r="T32" s="22"/>
      <c r="U32" s="22"/>
      <c r="V32" s="22"/>
      <c r="W32" s="22"/>
      <c r="X32" s="22"/>
      <c r="Y32" s="22"/>
      <c r="Z32" s="22"/>
      <c r="AA32" s="22" t="s">
        <v>199</v>
      </c>
      <c r="AB32" s="22"/>
      <c r="AC32" s="22"/>
      <c r="AD32" s="22" t="str" cm="1">
        <f t="array" ref="AD32">_xlfn.LET(_xlpm.r,_xlfn.XLOOKUP(1,( [1]Sheet1!$A:$A = MappingGuide[[#This Row],[TableName]] ) * ( [1]Sheet1!$B:$B =RIGHT( MappingGuide[[#This Row],[ColumnName]],4) ),[1]Sheet1!$L:$L,""),IF(_xlpm.r=0,"",_xlpm.r))</f>
        <v/>
      </c>
      <c r="AE32" s="22" t="str" cm="1">
        <f t="array" ref="AE32">_xlfn.LET(_xlpm.r,_xlfn.XLOOKUP(1,( [1]Sheet1!$A:$A = MappingGuide[[#This Row],[TableName]] ) * ( [1]Sheet1!$B:$B =RIGHT( MappingGuide[[#This Row],[ColumnName]],4) ),[1]Sheet1!$M:$M,""),IF(_xlpm.r=0,"",_xlpm.r))</f>
        <v>The field indicates the language code to use when printing the option description from a product configuration. If no code is entered, the language code from the supplier is used</v>
      </c>
      <c r="AF32" s="22"/>
      <c r="AG32" s="22"/>
      <c r="AH32" s="22"/>
      <c r="AI32" s="22" t="s">
        <v>48</v>
      </c>
      <c r="AJ32" s="22" t="s">
        <v>99</v>
      </c>
      <c r="AK32" s="22"/>
    </row>
    <row r="33" spans="1:37" ht="17">
      <c r="A33" s="22">
        <v>299</v>
      </c>
      <c r="B33" s="22" t="s">
        <v>40</v>
      </c>
      <c r="C33" s="22" t="s">
        <v>200</v>
      </c>
      <c r="D33" s="22" t="s">
        <v>201</v>
      </c>
      <c r="E33" s="22" t="s">
        <v>52</v>
      </c>
      <c r="F33" s="22" t="s">
        <v>183</v>
      </c>
      <c r="G33" s="22"/>
      <c r="H33" s="22"/>
      <c r="I33" s="22"/>
      <c r="J33" s="22"/>
      <c r="K33" s="22"/>
      <c r="L33" s="22"/>
      <c r="M33" s="22"/>
      <c r="N33" s="22"/>
      <c r="O33" s="22"/>
      <c r="P33" s="22"/>
      <c r="Q33" s="22"/>
      <c r="R33" s="22"/>
      <c r="S33" s="22"/>
      <c r="T33" s="22"/>
      <c r="U33" s="22"/>
      <c r="V33" s="22"/>
      <c r="W33" s="22"/>
      <c r="X33" s="22"/>
      <c r="Y33" s="22"/>
      <c r="Z33" s="22"/>
      <c r="AA33" s="22" t="s">
        <v>202</v>
      </c>
      <c r="AB33" s="22"/>
      <c r="AC33" s="22" t="s">
        <v>203</v>
      </c>
      <c r="AD33" s="22" t="str" cm="1">
        <f t="array" ref="AD33">_xlfn.LET(_xlpm.r,_xlfn.XLOOKUP(1,( [1]Sheet1!$A:$A = MappingGuide[[#This Row],[TableName]] ) * ( [1]Sheet1!$B:$B =RIGHT( MappingGuide[[#This Row],[ColumnName]],4) ),[1]Sheet1!$L:$L,""),IF(_xlpm.r=0,"",_xlpm.r))</f>
        <v/>
      </c>
      <c r="AE33" s="22" t="str" cm="1">
        <f t="array" ref="AE33">_xlfn.LET(_xlpm.r,_xlfn.XLOOKUP(1,( [1]Sheet1!$A:$A = MappingGuide[[#This Row],[TableName]] ) * ( [1]Sheet1!$B:$B =RIGHT( MappingGuide[[#This Row],[ColumnName]],4) ),[1]Sheet1!$M:$M,""),IF(_xlpm.r=0,"",_xlpm.r))</f>
        <v/>
      </c>
      <c r="AF33" s="22"/>
      <c r="AG33" s="22"/>
      <c r="AH33" s="22"/>
      <c r="AI33" s="22" t="s">
        <v>91</v>
      </c>
      <c r="AJ33" s="22"/>
      <c r="AK33" s="22"/>
    </row>
    <row r="34" spans="1:37" ht="17">
      <c r="A34" s="22">
        <v>300</v>
      </c>
      <c r="B34" s="22" t="s">
        <v>40</v>
      </c>
      <c r="C34" s="22" t="s">
        <v>204</v>
      </c>
      <c r="D34" s="22" t="s">
        <v>205</v>
      </c>
      <c r="E34" s="22" t="s">
        <v>52</v>
      </c>
      <c r="F34" s="22" t="s">
        <v>206</v>
      </c>
      <c r="G34" s="22"/>
      <c r="H34" s="22"/>
      <c r="I34" s="22"/>
      <c r="J34" s="22" t="s">
        <v>54</v>
      </c>
      <c r="K34" s="22" t="s">
        <v>55</v>
      </c>
      <c r="L34" s="22" t="s">
        <v>48</v>
      </c>
      <c r="M34" s="22"/>
      <c r="N34" s="22"/>
      <c r="O34" s="22" t="s">
        <v>56</v>
      </c>
      <c r="P34" s="22" t="s">
        <v>57</v>
      </c>
      <c r="Q34" s="22" t="s">
        <v>207</v>
      </c>
      <c r="R34" s="22"/>
      <c r="S34" s="22"/>
      <c r="T34" s="22"/>
      <c r="U34" s="22"/>
      <c r="V34" s="22"/>
      <c r="W34" s="22"/>
      <c r="X34" s="22"/>
      <c r="Y34" s="22"/>
      <c r="Z34" s="22"/>
      <c r="AA34" s="22" t="s">
        <v>208</v>
      </c>
      <c r="AB34" s="22"/>
      <c r="AC34" s="22"/>
      <c r="AD34" s="22" t="str" cm="1">
        <f t="array" ref="AD34">_xlfn.LET(_xlpm.r,_xlfn.XLOOKUP(1,( [1]Sheet1!$A:$A = MappingGuide[[#This Row],[TableName]] ) * ( [1]Sheet1!$B:$B =RIGHT( MappingGuide[[#This Row],[ColumnName]],4) ),[1]Sheet1!$L:$L,""),IF(_xlpm.r=0,"",_xlpm.r))</f>
        <v>Standard Carrier Alpha Code (forwarder)</v>
      </c>
      <c r="AE34" s="22" t="str" cm="1">
        <f t="array" ref="AE34">_xlfn.LET(_xlpm.r,_xlfn.XLOOKUP(1,( [1]Sheet1!$A:$A = MappingGuide[[#This Row],[TableName]] ) * ( [1]Sheet1!$B:$B =RIGHT( MappingGuide[[#This Row],[ColumnName]],4) ),[1]Sheet1!$M:$M,""),IF(_xlpm.r=0,"",_xlpm.r))</f>
        <v>Required when supplier acts as a carrier; included on bill of lading to automate carrier identification for logistics processing and customs documents. Enter SCAC code for Type 5 suppliers.</v>
      </c>
      <c r="AF34" s="22"/>
      <c r="AG34" s="22"/>
      <c r="AH34" s="22"/>
      <c r="AI34" s="22" t="s">
        <v>91</v>
      </c>
      <c r="AJ34" s="22"/>
      <c r="AK34" s="22"/>
    </row>
    <row r="35" spans="1:37" ht="17">
      <c r="A35" s="22">
        <v>301</v>
      </c>
      <c r="B35" s="22" t="s">
        <v>40</v>
      </c>
      <c r="C35" s="22" t="s">
        <v>209</v>
      </c>
      <c r="D35" s="22" t="s">
        <v>210</v>
      </c>
      <c r="E35" s="22" t="s">
        <v>43</v>
      </c>
      <c r="F35" s="22" t="s">
        <v>211</v>
      </c>
      <c r="G35" s="22"/>
      <c r="H35" s="22"/>
      <c r="I35" s="22"/>
      <c r="J35" s="22"/>
      <c r="K35" s="22"/>
      <c r="L35" s="22"/>
      <c r="M35" s="22"/>
      <c r="N35" s="22"/>
      <c r="O35" s="22"/>
      <c r="P35" s="22"/>
      <c r="Q35" s="22"/>
      <c r="R35" s="22"/>
      <c r="S35" s="22"/>
      <c r="T35" s="22"/>
      <c r="U35" s="22"/>
      <c r="V35" s="22"/>
      <c r="W35" s="22"/>
      <c r="X35" s="22"/>
      <c r="Y35" s="22"/>
      <c r="Z35" s="22"/>
      <c r="AA35" s="22" t="s">
        <v>212</v>
      </c>
      <c r="AB35" s="22"/>
      <c r="AC35" s="22"/>
      <c r="AD35" s="22" t="str" cm="1">
        <f t="array" ref="AD35">_xlfn.LET(_xlpm.r,_xlfn.XLOOKUP(1,( [1]Sheet1!$A:$A = MappingGuide[[#This Row],[TableName]] ) * ( [1]Sheet1!$B:$B =RIGHT( MappingGuide[[#This Row],[ColumnName]],4) ),[1]Sheet1!$L:$L,""),IF(_xlpm.r=0,"",_xlpm.r))</f>
        <v/>
      </c>
      <c r="AE35" s="22" t="str" cm="1">
        <f t="array" ref="AE35">_xlfn.LET(_xlpm.r,_xlfn.XLOOKUP(1,( [1]Sheet1!$A:$A = MappingGuide[[#This Row],[TableName]] ) * ( [1]Sheet1!$B:$B =RIGHT( MappingGuide[[#This Row],[ColumnName]],4) ),[1]Sheet1!$M:$M,""),IF(_xlpm.r=0,"",_xlpm.r))</f>
        <v>User defined text</v>
      </c>
      <c r="AF35" s="22"/>
      <c r="AG35" s="22"/>
      <c r="AH35" s="22"/>
      <c r="AI35" s="22" t="s">
        <v>91</v>
      </c>
      <c r="AJ35" s="22"/>
      <c r="AK35" s="22"/>
    </row>
    <row r="36" spans="1:37" ht="17">
      <c r="A36" s="22">
        <v>302</v>
      </c>
      <c r="B36" s="22" t="s">
        <v>40</v>
      </c>
      <c r="C36" s="22" t="s">
        <v>213</v>
      </c>
      <c r="D36" s="22" t="s">
        <v>214</v>
      </c>
      <c r="E36" s="22" t="s">
        <v>43</v>
      </c>
      <c r="F36" s="22" t="s">
        <v>215</v>
      </c>
      <c r="G36" s="22"/>
      <c r="H36" s="22"/>
      <c r="I36" s="22"/>
      <c r="J36" s="22"/>
      <c r="K36" s="22"/>
      <c r="L36" s="22"/>
      <c r="M36" s="22"/>
      <c r="N36" s="22"/>
      <c r="O36" s="22"/>
      <c r="P36" s="22"/>
      <c r="Q36" s="22"/>
      <c r="R36" s="22"/>
      <c r="S36" s="22"/>
      <c r="T36" s="22"/>
      <c r="U36" s="22"/>
      <c r="V36" s="22"/>
      <c r="W36" s="22"/>
      <c r="X36" s="22"/>
      <c r="Y36" s="22"/>
      <c r="Z36" s="22"/>
      <c r="AA36" s="22" t="s">
        <v>216</v>
      </c>
      <c r="AB36" s="22"/>
      <c r="AC36" s="22"/>
      <c r="AD36" s="22" t="str" cm="1">
        <f t="array" ref="AD36">_xlfn.LET(_xlpm.r,_xlfn.XLOOKUP(1,( [1]Sheet1!$A:$A = MappingGuide[[#This Row],[TableName]] ) * ( [1]Sheet1!$B:$B =RIGHT( MappingGuide[[#This Row],[ColumnName]],4) ),[1]Sheet1!$L:$L,""),IF(_xlpm.r=0,"",_xlpm.r))</f>
        <v/>
      </c>
      <c r="AE36" s="22" t="str" cm="1">
        <f t="array" ref="AE36">_xlfn.LET(_xlpm.r,_xlfn.XLOOKUP(1,( [1]Sheet1!$A:$A = MappingGuide[[#This Row],[TableName]] ) * ( [1]Sheet1!$B:$B =RIGHT( MappingGuide[[#This Row],[ColumnName]],4) ),[1]Sheet1!$M:$M,""),IF(_xlpm.r=0,"",_xlpm.r))</f>
        <v/>
      </c>
      <c r="AF36" s="22"/>
      <c r="AG36" s="22"/>
      <c r="AH36" s="22"/>
      <c r="AI36" s="22" t="s">
        <v>91</v>
      </c>
      <c r="AJ36" s="22"/>
      <c r="AK36" s="22"/>
    </row>
    <row r="37" spans="1:37" ht="17">
      <c r="A37" s="22">
        <v>303</v>
      </c>
      <c r="B37" s="22" t="s">
        <v>40</v>
      </c>
      <c r="C37" s="22" t="s">
        <v>217</v>
      </c>
      <c r="D37" s="22" t="s">
        <v>218</v>
      </c>
      <c r="E37" s="22" t="s">
        <v>43</v>
      </c>
      <c r="F37" s="22" t="s">
        <v>192</v>
      </c>
      <c r="G37" s="22"/>
      <c r="H37" s="22"/>
      <c r="I37" s="22"/>
      <c r="J37" s="22"/>
      <c r="K37" s="22"/>
      <c r="L37" s="22"/>
      <c r="M37" s="22"/>
      <c r="N37" s="22"/>
      <c r="O37" s="22"/>
      <c r="P37" s="22"/>
      <c r="Q37" s="22"/>
      <c r="R37" s="22"/>
      <c r="S37" s="22"/>
      <c r="T37" s="22"/>
      <c r="U37" s="22"/>
      <c r="V37" s="22"/>
      <c r="W37" s="22"/>
      <c r="X37" s="22"/>
      <c r="Y37" s="22"/>
      <c r="Z37" s="22"/>
      <c r="AA37" s="22" t="s">
        <v>219</v>
      </c>
      <c r="AB37" s="22"/>
      <c r="AC37" s="22"/>
      <c r="AD37" s="22" t="str" cm="1">
        <f t="array" ref="AD37">_xlfn.LET(_xlpm.r,_xlfn.XLOOKUP(1,( [1]Sheet1!$A:$A = MappingGuide[[#This Row],[TableName]] ) * ( [1]Sheet1!$B:$B =RIGHT( MappingGuide[[#This Row],[ColumnName]],4) ),[1]Sheet1!$L:$L,""),IF(_xlpm.r=0,"",_xlpm.r))</f>
        <v/>
      </c>
      <c r="AE37" s="22" t="str" cm="1">
        <f t="array" ref="AE37">_xlfn.LET(_xlpm.r,_xlfn.XLOOKUP(1,( [1]Sheet1!$A:$A = MappingGuide[[#This Row],[TableName]] ) * ( [1]Sheet1!$B:$B =RIGHT( MappingGuide[[#This Row],[ColumnName]],4) ),[1]Sheet1!$M:$M,""),IF(_xlpm.r=0,"",_xlpm.r))</f>
        <v/>
      </c>
      <c r="AF37" s="22"/>
      <c r="AG37" s="22"/>
      <c r="AH37" s="22"/>
      <c r="AI37" s="22" t="s">
        <v>91</v>
      </c>
      <c r="AJ37" s="22"/>
      <c r="AK37" s="22"/>
    </row>
    <row r="38" spans="1:37" ht="17">
      <c r="A38" s="22">
        <v>304</v>
      </c>
      <c r="B38" s="22" t="s">
        <v>40</v>
      </c>
      <c r="C38" s="22" t="s">
        <v>220</v>
      </c>
      <c r="D38" s="22" t="s">
        <v>221</v>
      </c>
      <c r="E38" s="22" t="s">
        <v>43</v>
      </c>
      <c r="F38" s="22" t="s">
        <v>215</v>
      </c>
      <c r="G38" s="22"/>
      <c r="H38" s="22"/>
      <c r="I38" s="22"/>
      <c r="J38" s="22"/>
      <c r="K38" s="22"/>
      <c r="L38" s="22"/>
      <c r="M38" s="22"/>
      <c r="N38" s="22"/>
      <c r="O38" s="22"/>
      <c r="P38" s="22"/>
      <c r="Q38" s="22"/>
      <c r="R38" s="22"/>
      <c r="S38" s="22"/>
      <c r="T38" s="22"/>
      <c r="U38" s="22"/>
      <c r="V38" s="22"/>
      <c r="W38" s="22"/>
      <c r="X38" s="22"/>
      <c r="Y38" s="22"/>
      <c r="Z38" s="22"/>
      <c r="AA38" s="22" t="s">
        <v>222</v>
      </c>
      <c r="AB38" s="22"/>
      <c r="AC38" s="22"/>
      <c r="AD38" s="22" t="str" cm="1">
        <f t="array" ref="AD38">_xlfn.LET(_xlpm.r,_xlfn.XLOOKUP(1,( [1]Sheet1!$A:$A = MappingGuide[[#This Row],[TableName]] ) * ( [1]Sheet1!$B:$B =RIGHT( MappingGuide[[#This Row],[ColumnName]],4) ),[1]Sheet1!$L:$L,""),IF(_xlpm.r=0,"",_xlpm.r))</f>
        <v/>
      </c>
      <c r="AE38" s="22" t="str" cm="1">
        <f t="array" ref="AE38">_xlfn.LET(_xlpm.r,_xlfn.XLOOKUP(1,( [1]Sheet1!$A:$A = MappingGuide[[#This Row],[TableName]] ) * ( [1]Sheet1!$B:$B =RIGHT( MappingGuide[[#This Row],[ColumnName]],4) ),[1]Sheet1!$M:$M,""),IF(_xlpm.r=0,"",_xlpm.r))</f>
        <v/>
      </c>
      <c r="AF38" s="22"/>
      <c r="AG38" s="22"/>
      <c r="AH38" s="22"/>
      <c r="AI38" s="22" t="s">
        <v>91</v>
      </c>
      <c r="AJ38" s="22"/>
      <c r="AK38" s="22"/>
    </row>
    <row r="39" spans="1:37" ht="17">
      <c r="A39" s="22">
        <v>305</v>
      </c>
      <c r="B39" s="22" t="s">
        <v>40</v>
      </c>
      <c r="C39" s="22" t="s">
        <v>223</v>
      </c>
      <c r="D39" s="22" t="s">
        <v>224</v>
      </c>
      <c r="E39" s="22" t="s">
        <v>43</v>
      </c>
      <c r="F39" s="22" t="s">
        <v>44</v>
      </c>
      <c r="G39" s="22"/>
      <c r="H39" s="22"/>
      <c r="I39" s="22"/>
      <c r="J39" s="22"/>
      <c r="K39" s="22"/>
      <c r="L39" s="22"/>
      <c r="M39" s="22"/>
      <c r="N39" s="22"/>
      <c r="O39" s="22"/>
      <c r="P39" s="22"/>
      <c r="Q39" s="22"/>
      <c r="R39" s="22"/>
      <c r="S39" s="22"/>
      <c r="T39" s="22"/>
      <c r="U39" s="22"/>
      <c r="V39" s="22"/>
      <c r="W39" s="22"/>
      <c r="X39" s="22"/>
      <c r="Y39" s="22"/>
      <c r="Z39" s="22"/>
      <c r="AA39" s="22" t="s">
        <v>225</v>
      </c>
      <c r="AB39" s="22"/>
      <c r="AC39" s="22"/>
      <c r="AD39" s="22" t="str" cm="1">
        <f t="array" ref="AD39">_xlfn.LET(_xlpm.r,_xlfn.XLOOKUP(1,( [1]Sheet1!$A:$A = MappingGuide[[#This Row],[TableName]] ) * ( [1]Sheet1!$B:$B =RIGHT( MappingGuide[[#This Row],[ColumnName]],4) ),[1]Sheet1!$L:$L,""),IF(_xlpm.r=0,"",_xlpm.r))</f>
        <v/>
      </c>
      <c r="AE39" s="22" t="str" cm="1">
        <f t="array" ref="AE39">_xlfn.LET(_xlpm.r,_xlfn.XLOOKUP(1,( [1]Sheet1!$A:$A = MappingGuide[[#This Row],[TableName]] ) * ( [1]Sheet1!$B:$B =RIGHT( MappingGuide[[#This Row],[ColumnName]],4) ),[1]Sheet1!$M:$M,""),IF(_xlpm.r=0,"",_xlpm.r))</f>
        <v/>
      </c>
      <c r="AF39" s="22"/>
      <c r="AG39" s="22"/>
      <c r="AH39" s="22"/>
      <c r="AI39" s="22" t="s">
        <v>91</v>
      </c>
      <c r="AJ39" s="22"/>
      <c r="AK39" s="22"/>
    </row>
    <row r="40" spans="1:37" ht="17">
      <c r="A40" s="22">
        <v>306</v>
      </c>
      <c r="B40" s="22" t="s">
        <v>40</v>
      </c>
      <c r="C40" s="22" t="s">
        <v>226</v>
      </c>
      <c r="D40" s="22" t="s">
        <v>227</v>
      </c>
      <c r="E40" s="22" t="s">
        <v>52</v>
      </c>
      <c r="F40" s="22" t="s">
        <v>53</v>
      </c>
      <c r="G40" s="22"/>
      <c r="H40" s="22"/>
      <c r="I40" s="22"/>
      <c r="J40" s="22"/>
      <c r="K40" s="22"/>
      <c r="L40" s="22"/>
      <c r="M40" s="22"/>
      <c r="N40" s="22"/>
      <c r="O40" s="22"/>
      <c r="P40" s="22"/>
      <c r="Q40" s="22"/>
      <c r="R40" s="22"/>
      <c r="S40" s="22"/>
      <c r="T40" s="22"/>
      <c r="U40" s="22"/>
      <c r="V40" s="22"/>
      <c r="W40" s="22"/>
      <c r="X40" s="22"/>
      <c r="Y40" s="22"/>
      <c r="Z40" s="22"/>
      <c r="AA40" s="22" t="s">
        <v>228</v>
      </c>
      <c r="AB40" s="22"/>
      <c r="AC40" s="22"/>
      <c r="AD40" s="22" t="str" cm="1">
        <f t="array" ref="AD40">_xlfn.LET(_xlpm.r,_xlfn.XLOOKUP(1,( [1]Sheet1!$A:$A = MappingGuide[[#This Row],[TableName]] ) * ( [1]Sheet1!$B:$B =RIGHT( MappingGuide[[#This Row],[ColumnName]],4) ),[1]Sheet1!$L:$L,""),IF(_xlpm.r=0,"",_xlpm.r))</f>
        <v/>
      </c>
      <c r="AE40" s="22" t="str" cm="1">
        <f t="array" ref="AE40">_xlfn.LET(_xlpm.r,_xlfn.XLOOKUP(1,( [1]Sheet1!$A:$A = MappingGuide[[#This Row],[TableName]] ) * ( [1]Sheet1!$B:$B =RIGHT( MappingGuide[[#This Row],[ColumnName]],4) ),[1]Sheet1!$M:$M,""),IF(_xlpm.r=0,"",_xlpm.r))</f>
        <v/>
      </c>
      <c r="AF40" s="22"/>
      <c r="AG40" s="22"/>
      <c r="AH40" s="22"/>
      <c r="AI40" s="22" t="s">
        <v>91</v>
      </c>
      <c r="AJ40" s="22"/>
      <c r="AK40" s="22"/>
    </row>
    <row r="41" spans="1:37" ht="17">
      <c r="A41" s="22">
        <v>307</v>
      </c>
      <c r="B41" s="22" t="s">
        <v>40</v>
      </c>
      <c r="C41" s="22" t="s">
        <v>229</v>
      </c>
      <c r="D41" s="22" t="s">
        <v>230</v>
      </c>
      <c r="E41" s="22" t="s">
        <v>43</v>
      </c>
      <c r="F41" s="22" t="s">
        <v>64</v>
      </c>
      <c r="G41" s="22"/>
      <c r="H41" s="22"/>
      <c r="I41" s="22"/>
      <c r="J41" s="22" t="s">
        <v>54</v>
      </c>
      <c r="K41" s="22" t="s">
        <v>55</v>
      </c>
      <c r="L41" s="22"/>
      <c r="M41" s="22"/>
      <c r="N41" s="22"/>
      <c r="O41" s="22" t="s">
        <v>56</v>
      </c>
      <c r="P41" s="22" t="s">
        <v>57</v>
      </c>
      <c r="Q41" s="22" t="s">
        <v>231</v>
      </c>
      <c r="R41" s="22"/>
      <c r="S41" s="22"/>
      <c r="T41" s="22"/>
      <c r="U41" s="22"/>
      <c r="V41" s="22"/>
      <c r="W41" s="22"/>
      <c r="X41" s="22"/>
      <c r="Y41" s="22"/>
      <c r="Z41" s="22"/>
      <c r="AA41" s="22" t="s">
        <v>232</v>
      </c>
      <c r="AB41" s="22" t="s">
        <v>233</v>
      </c>
      <c r="AC41" s="22"/>
      <c r="AD41" s="22" t="str" cm="1">
        <f t="array" ref="AD41">_xlfn.LET(_xlpm.r,_xlfn.XLOOKUP(1,( [1]Sheet1!$A:$A = MappingGuide[[#This Row],[TableName]] ) * ( [1]Sheet1!$B:$B =RIGHT( MappingGuide[[#This Row],[ColumnName]],4) ),[1]Sheet1!$L:$L,""),IF(_xlpm.r=0,"",_xlpm.r))</f>
        <v>Packing document automation</v>
      </c>
      <c r="AE41" s="22" t="str" cm="1">
        <f t="array" ref="AE41">_xlfn.LET(_xlpm.r,_xlfn.XLOOKUP(1,( [1]Sheet1!$A:$A = MappingGuide[[#This Row],[TableName]] ) * ( [1]Sheet1!$B:$B =RIGHT( MappingGuide[[#This Row],[ColumnName]],4) ),[1]Sheet1!$M:$M,""),IF(_xlpm.r=0,"",_xlpm.r))</f>
        <v>Activates automatic printing of packing instructions connected to PO: "How to Pack" and "Mark-for Consignee" can be auto-printed and attached for specific suppliers, streamlining logistics document workflow.</v>
      </c>
      <c r="AF41" s="22"/>
      <c r="AG41" s="22"/>
      <c r="AH41" s="22"/>
      <c r="AI41" s="22" t="s">
        <v>91</v>
      </c>
      <c r="AJ41" s="22"/>
      <c r="AK41" s="22"/>
    </row>
    <row r="42" spans="1:37" ht="17">
      <c r="A42" s="22">
        <v>308</v>
      </c>
      <c r="B42" s="22" t="s">
        <v>40</v>
      </c>
      <c r="C42" s="22" t="s">
        <v>234</v>
      </c>
      <c r="D42" s="22" t="s">
        <v>235</v>
      </c>
      <c r="E42" s="22" t="s">
        <v>43</v>
      </c>
      <c r="F42" s="22" t="s">
        <v>236</v>
      </c>
      <c r="G42" s="22"/>
      <c r="H42" s="22"/>
      <c r="I42" s="22"/>
      <c r="J42" s="22"/>
      <c r="K42" s="22"/>
      <c r="L42" s="22"/>
      <c r="M42" s="22"/>
      <c r="N42" s="22"/>
      <c r="O42" s="22"/>
      <c r="P42" s="22"/>
      <c r="Q42" s="22"/>
      <c r="R42" s="22"/>
      <c r="S42" s="22"/>
      <c r="T42" s="22"/>
      <c r="U42" s="22"/>
      <c r="V42" s="22"/>
      <c r="W42" s="22"/>
      <c r="X42" s="22"/>
      <c r="Y42" s="22"/>
      <c r="Z42" s="22"/>
      <c r="AA42" s="22"/>
      <c r="AB42" s="22"/>
      <c r="AC42" s="22"/>
      <c r="AD42" s="22" t="str" cm="1">
        <f t="array" ref="AD42">_xlfn.LET(_xlpm.r,_xlfn.XLOOKUP(1,( [1]Sheet1!$A:$A = MappingGuide[[#This Row],[TableName]] ) * ( [1]Sheet1!$B:$B =RIGHT( MappingGuide[[#This Row],[ColumnName]],4) ),[1]Sheet1!$L:$L,""),IF(_xlpm.r=0,"",_xlpm.r))</f>
        <v/>
      </c>
      <c r="AE42" s="22" t="str" cm="1">
        <f t="array" ref="AE42">_xlfn.LET(_xlpm.r,_xlfn.XLOOKUP(1,( [1]Sheet1!$A:$A = MappingGuide[[#This Row],[TableName]] ) * ( [1]Sheet1!$B:$B =RIGHT( MappingGuide[[#This Row],[ColumnName]],4) ),[1]Sheet1!$M:$M,""),IF(_xlpm.r=0,"",_xlpm.r))</f>
        <v/>
      </c>
      <c r="AF42" s="22"/>
      <c r="AG42" s="22"/>
      <c r="AH42" s="22"/>
      <c r="AI42" s="22" t="s">
        <v>91</v>
      </c>
      <c r="AJ42" s="22"/>
      <c r="AK42" s="22"/>
    </row>
    <row r="43" spans="1:37" ht="17">
      <c r="A43" s="22">
        <v>309</v>
      </c>
      <c r="B43" s="22" t="s">
        <v>40</v>
      </c>
      <c r="C43" s="22" t="s">
        <v>237</v>
      </c>
      <c r="D43" s="22" t="s">
        <v>238</v>
      </c>
      <c r="E43" s="22" t="s">
        <v>43</v>
      </c>
      <c r="F43" s="22" t="s">
        <v>239</v>
      </c>
      <c r="G43" s="22"/>
      <c r="H43" s="22"/>
      <c r="I43" s="22"/>
      <c r="J43" s="22"/>
      <c r="K43" s="22"/>
      <c r="L43" s="22"/>
      <c r="M43" s="22"/>
      <c r="N43" s="22"/>
      <c r="O43" s="22" t="s">
        <v>56</v>
      </c>
      <c r="P43" s="22" t="s">
        <v>57</v>
      </c>
      <c r="Q43" s="22" t="s">
        <v>240</v>
      </c>
      <c r="R43" s="22"/>
      <c r="S43" s="22"/>
      <c r="T43" s="22"/>
      <c r="U43" s="22"/>
      <c r="V43" s="22"/>
      <c r="W43" s="22"/>
      <c r="X43" s="22"/>
      <c r="Y43" s="22"/>
      <c r="Z43" s="22"/>
      <c r="AA43" s="22" t="s">
        <v>241</v>
      </c>
      <c r="AB43" s="22"/>
      <c r="AC43" s="22" t="s">
        <v>242</v>
      </c>
      <c r="AD43" s="22" t="str" cm="1">
        <f t="array" ref="AD43">_xlfn.LET(_xlpm.r,_xlfn.XLOOKUP(1,( [1]Sheet1!$A:$A = MappingGuide[[#This Row],[TableName]] ) * ( [1]Sheet1!$B:$B =RIGHT( MappingGuide[[#This Row],[ColumnName]],4) ),[1]Sheet1!$L:$L,""),IF(_xlpm.r=0,"",_xlpm.r))</f>
        <v/>
      </c>
      <c r="AE43" s="22" t="str" cm="1">
        <f t="array" ref="AE43">_xlfn.LET(_xlpm.r,_xlfn.XLOOKUP(1,( [1]Sheet1!$A:$A = MappingGuide[[#This Row],[TableName]] ) * ( [1]Sheet1!$B:$B =RIGHT( MappingGuide[[#This Row],[ColumnName]],4) ),[1]Sheet1!$M:$M,""),IF(_xlpm.r=0,"",_xlpm.r))</f>
        <v/>
      </c>
      <c r="AF43" s="22"/>
      <c r="AG43" s="22"/>
      <c r="AH43" s="22"/>
      <c r="AI43" s="22" t="s">
        <v>91</v>
      </c>
      <c r="AJ43" s="22"/>
      <c r="AK43" s="22"/>
    </row>
    <row r="44" spans="1:37" ht="17">
      <c r="A44" s="22">
        <v>310</v>
      </c>
      <c r="B44" s="22" t="s">
        <v>40</v>
      </c>
      <c r="C44" s="22" t="s">
        <v>243</v>
      </c>
      <c r="D44" s="22" t="s">
        <v>244</v>
      </c>
      <c r="E44" s="22" t="s">
        <v>52</v>
      </c>
      <c r="F44" s="22" t="s">
        <v>53</v>
      </c>
      <c r="G44" s="22"/>
      <c r="H44" s="22"/>
      <c r="I44" s="22"/>
      <c r="J44" s="22"/>
      <c r="K44" s="22"/>
      <c r="L44" s="22"/>
      <c r="M44" s="22"/>
      <c r="N44" s="22"/>
      <c r="O44" s="22" t="s">
        <v>56</v>
      </c>
      <c r="P44" s="22" t="s">
        <v>57</v>
      </c>
      <c r="Q44" s="22" t="s">
        <v>245</v>
      </c>
      <c r="R44" s="22"/>
      <c r="S44" s="22"/>
      <c r="T44" s="22"/>
      <c r="U44" s="22"/>
      <c r="V44" s="22"/>
      <c r="W44" s="22"/>
      <c r="X44" s="22"/>
      <c r="Y44" s="22"/>
      <c r="Z44" s="22"/>
      <c r="AA44" s="22" t="s">
        <v>246</v>
      </c>
      <c r="AB44" s="22"/>
      <c r="AC44" s="22" t="s">
        <v>247</v>
      </c>
      <c r="AD44" s="22" t="str" cm="1">
        <f t="array" ref="AD44">_xlfn.LET(_xlpm.r,_xlfn.XLOOKUP(1,( [1]Sheet1!$A:$A = MappingGuide[[#This Row],[TableName]] ) * ( [1]Sheet1!$B:$B =RIGHT( MappingGuide[[#This Row],[ColumnName]],4) ),[1]Sheet1!$L:$L,""),IF(_xlpm.r=0,"",_xlpm.r))</f>
        <v/>
      </c>
      <c r="AE44" s="22" t="str" cm="1">
        <f t="array" ref="AE44">_xlfn.LET(_xlpm.r,_xlfn.XLOOKUP(1,( [1]Sheet1!$A:$A = MappingGuide[[#This Row],[TableName]] ) * ( [1]Sheet1!$B:$B =RIGHT( MappingGuide[[#This Row],[ColumnName]],4) ),[1]Sheet1!$M:$M,""),IF(_xlpm.r=0,"",_xlpm.r))</f>
        <v/>
      </c>
      <c r="AF44" s="22"/>
      <c r="AG44" s="22"/>
      <c r="AH44" s="22"/>
      <c r="AI44" s="22" t="s">
        <v>91</v>
      </c>
      <c r="AJ44" s="22"/>
      <c r="AK44" s="22"/>
    </row>
    <row r="45" spans="1:37" ht="17">
      <c r="A45" s="22">
        <v>311</v>
      </c>
      <c r="B45" s="22" t="s">
        <v>248</v>
      </c>
      <c r="C45" s="22" t="s">
        <v>249</v>
      </c>
      <c r="D45" s="22" t="s">
        <v>42</v>
      </c>
      <c r="E45" s="22" t="s">
        <v>43</v>
      </c>
      <c r="F45" s="22" t="s">
        <v>44</v>
      </c>
      <c r="G45" s="22"/>
      <c r="H45" s="22" t="s">
        <v>45</v>
      </c>
      <c r="I45" s="22"/>
      <c r="J45" s="22"/>
      <c r="K45" s="22"/>
      <c r="L45" s="22"/>
      <c r="M45" s="22"/>
      <c r="N45" s="22"/>
      <c r="O45" s="22"/>
      <c r="P45" s="22"/>
      <c r="Q45" s="22"/>
      <c r="R45" s="22"/>
      <c r="S45" s="22"/>
      <c r="T45" s="22"/>
      <c r="U45" s="22"/>
      <c r="V45" s="22"/>
      <c r="W45" s="22"/>
      <c r="X45" s="22"/>
      <c r="Y45" s="22"/>
      <c r="Z45" s="22"/>
      <c r="AA45" s="22" t="s">
        <v>46</v>
      </c>
      <c r="AB45" s="22"/>
      <c r="AC45" s="22" t="s">
        <v>47</v>
      </c>
      <c r="AD45" s="22" t="str" cm="1">
        <f t="array" ref="AD45">_xlfn.LET(_xlpm.r,_xlfn.XLOOKUP(1,( [1]Sheet1!$A:$A = MappingGuide[[#This Row],[TableName]] ) * ( [1]Sheet1!$B:$B =RIGHT( MappingGuide[[#This Row],[ColumnName]],4) ),[1]Sheet1!$L:$L,""),IF(_xlpm.r=0,"",_xlpm.r))</f>
        <v/>
      </c>
      <c r="AE45" s="22" t="str" cm="1">
        <f t="array" ref="AE45">_xlfn.LET(_xlpm.r,_xlfn.XLOOKUP(1,( [1]Sheet1!$A:$A = MappingGuide[[#This Row],[TableName]] ) * ( [1]Sheet1!$B:$B =RIGHT( MappingGuide[[#This Row],[ColumnName]],4) ),[1]Sheet1!$M:$M,""),IF(_xlpm.r=0,"",_xlpm.r))</f>
        <v/>
      </c>
      <c r="AF45" s="22"/>
      <c r="AG45" s="22"/>
      <c r="AH45" s="22"/>
      <c r="AI45" s="22" t="s">
        <v>48</v>
      </c>
      <c r="AJ45" s="22" t="s">
        <v>49</v>
      </c>
      <c r="AK45" s="22"/>
    </row>
    <row r="46" spans="1:37" ht="17">
      <c r="A46" s="22">
        <v>312</v>
      </c>
      <c r="B46" s="22" t="s">
        <v>248</v>
      </c>
      <c r="C46" s="22" t="s">
        <v>250</v>
      </c>
      <c r="D46" s="22" t="s">
        <v>51</v>
      </c>
      <c r="E46" s="22" t="s">
        <v>52</v>
      </c>
      <c r="F46" s="22" t="s">
        <v>53</v>
      </c>
      <c r="G46" s="22"/>
      <c r="H46" s="22" t="s">
        <v>45</v>
      </c>
      <c r="I46" s="22"/>
      <c r="J46" s="22" t="s">
        <v>54</v>
      </c>
      <c r="K46" s="22" t="s">
        <v>55</v>
      </c>
      <c r="L46" s="22"/>
      <c r="M46" s="22" t="s">
        <v>48</v>
      </c>
      <c r="N46" s="22"/>
      <c r="O46" s="22" t="s">
        <v>56</v>
      </c>
      <c r="P46" s="22" t="s">
        <v>57</v>
      </c>
      <c r="Q46" s="22" t="s">
        <v>58</v>
      </c>
      <c r="R46" s="22" t="s">
        <v>48</v>
      </c>
      <c r="S46" s="22"/>
      <c r="T46" s="22"/>
      <c r="U46" s="22"/>
      <c r="V46" s="22"/>
      <c r="W46" s="22"/>
      <c r="X46" s="22" t="s">
        <v>48</v>
      </c>
      <c r="Y46" s="22" t="s">
        <v>59</v>
      </c>
      <c r="Z46" s="22"/>
      <c r="AA46" s="22" t="s">
        <v>60</v>
      </c>
      <c r="AB46" s="22"/>
      <c r="AC46" s="22" t="s">
        <v>54</v>
      </c>
      <c r="AD46" s="22" t="str" cm="1">
        <f t="array" ref="AD46">_xlfn.LET(_xlpm.r,_xlfn.XLOOKUP(1,( [1]Sheet1!$A:$A = MappingGuide[[#This Row],[TableName]] ) * ( [1]Sheet1!$B:$B =RIGHT( MappingGuide[[#This Row],[ColumnName]],4) ),[1]Sheet1!$L:$L,""),IF(_xlpm.r=0,"",_xlpm.r))</f>
        <v/>
      </c>
      <c r="AE46" s="22" t="str" cm="1">
        <f t="array" ref="AE46">_xlfn.LET(_xlpm.r,_xlfn.XLOOKUP(1,( [1]Sheet1!$A:$A = MappingGuide[[#This Row],[TableName]] ) * ( [1]Sheet1!$B:$B =RIGHT( MappingGuide[[#This Row],[ColumnName]],4) ),[1]Sheet1!$M:$M,""),IF(_xlpm.r=0,"",_xlpm.r))</f>
        <v/>
      </c>
      <c r="AF46" s="22"/>
      <c r="AG46" s="22"/>
      <c r="AH46" s="22"/>
      <c r="AI46" s="22" t="s">
        <v>48</v>
      </c>
      <c r="AJ46" s="22" t="s">
        <v>61</v>
      </c>
      <c r="AK46" s="22"/>
    </row>
    <row r="47" spans="1:37" ht="17">
      <c r="A47" s="22">
        <v>313</v>
      </c>
      <c r="B47" s="22" t="s">
        <v>248</v>
      </c>
      <c r="C47" s="22" t="s">
        <v>251</v>
      </c>
      <c r="D47" s="22" t="s">
        <v>252</v>
      </c>
      <c r="E47" s="22" t="s">
        <v>52</v>
      </c>
      <c r="F47" s="22" t="s">
        <v>44</v>
      </c>
      <c r="G47" s="22"/>
      <c r="H47" s="22"/>
      <c r="I47" s="22"/>
      <c r="J47" s="22" t="s">
        <v>253</v>
      </c>
      <c r="K47" s="22" t="s">
        <v>55</v>
      </c>
      <c r="L47" s="22" t="s">
        <v>48</v>
      </c>
      <c r="M47" s="22" t="s">
        <v>48</v>
      </c>
      <c r="N47" s="22"/>
      <c r="O47" s="22" t="s">
        <v>56</v>
      </c>
      <c r="P47" s="22" t="s">
        <v>57</v>
      </c>
      <c r="Q47" s="22" t="s">
        <v>254</v>
      </c>
      <c r="R47" s="22"/>
      <c r="S47" s="22"/>
      <c r="T47" s="22"/>
      <c r="U47" s="22"/>
      <c r="V47" s="22"/>
      <c r="W47" s="22"/>
      <c r="X47" s="22" t="s">
        <v>48</v>
      </c>
      <c r="Y47" s="22" t="s">
        <v>255</v>
      </c>
      <c r="Z47" s="22"/>
      <c r="AA47" s="22" t="s">
        <v>256</v>
      </c>
      <c r="AB47" s="22"/>
      <c r="AC47" s="22" t="s">
        <v>257</v>
      </c>
      <c r="AD47" s="22" t="str" cm="1">
        <f t="array" ref="AD47">_xlfn.LET(_xlpm.r,_xlfn.XLOOKUP(1,( [1]Sheet1!$A:$A = MappingGuide[[#This Row],[TableName]] ) * ( [1]Sheet1!$B:$B =RIGHT( MappingGuide[[#This Row],[ColumnName]],4) ),[1]Sheet1!$L:$L,""),IF(_xlpm.r=0,"",_xlpm.r))</f>
        <v>Supplier aggregation/group code</v>
      </c>
      <c r="AE47" s="22" t="str" cm="1">
        <f t="array" ref="AE47">_xlfn.LET(_xlpm.r,_xlfn.XLOOKUP(1,( [1]Sheet1!$A:$A = MappingGuide[[#This Row],[TableName]] ) * ( [1]Sheet1!$B:$B =RIGHT( MappingGuide[[#This Row],[ColumnName]],4) ),[1]Sheet1!$M:$M,""),IF(_xlpm.r=0,"",_xlpm.r))</f>
        <v>Assigns suppliers to purchasing groups; This field is user defined. This field is connected to a table with a user defined list. It could be use to categorize vendors by LOB, material type, or whatever grouping consideration. This field enables reporting/stats by user defined group. Essential for spend analysis and supplier diversity management for your company.</v>
      </c>
      <c r="AF47" s="22"/>
      <c r="AG47" s="22"/>
      <c r="AH47" s="22"/>
      <c r="AI47" s="22" t="s">
        <v>48</v>
      </c>
      <c r="AJ47" s="22" t="s">
        <v>255</v>
      </c>
      <c r="AK47" s="22"/>
    </row>
    <row r="48" spans="1:37" ht="17">
      <c r="A48" s="22">
        <v>314</v>
      </c>
      <c r="B48" s="22" t="s">
        <v>248</v>
      </c>
      <c r="C48" s="22" t="s">
        <v>258</v>
      </c>
      <c r="D48" s="22" t="s">
        <v>259</v>
      </c>
      <c r="E48" s="22" t="s">
        <v>52</v>
      </c>
      <c r="F48" s="22" t="s">
        <v>53</v>
      </c>
      <c r="G48" s="22"/>
      <c r="H48" s="22"/>
      <c r="I48" s="22"/>
      <c r="J48" s="22" t="s">
        <v>253</v>
      </c>
      <c r="K48" s="22" t="s">
        <v>55</v>
      </c>
      <c r="L48" s="22" t="s">
        <v>48</v>
      </c>
      <c r="M48" s="22"/>
      <c r="N48" s="22"/>
      <c r="O48" s="22" t="s">
        <v>56</v>
      </c>
      <c r="P48" s="22" t="s">
        <v>57</v>
      </c>
      <c r="Q48" s="22" t="s">
        <v>260</v>
      </c>
      <c r="R48" s="22"/>
      <c r="S48" s="22"/>
      <c r="T48" s="22"/>
      <c r="U48" s="22"/>
      <c r="V48" s="22"/>
      <c r="W48" s="22"/>
      <c r="X48" s="22"/>
      <c r="Y48" s="22"/>
      <c r="Z48" s="22"/>
      <c r="AA48" s="22" t="s">
        <v>261</v>
      </c>
      <c r="AB48" s="22"/>
      <c r="AC48" s="22"/>
      <c r="AD48" s="22" t="str" cm="1">
        <f t="array" ref="AD48">_xlfn.LET(_xlpm.r,_xlfn.XLOOKUP(1,( [1]Sheet1!$A:$A = MappingGuide[[#This Row],[TableName]] ) * ( [1]Sheet1!$B:$B =RIGHT( MappingGuide[[#This Row],[ColumnName]],4) ),[1]Sheet1!$L:$L,""),IF(_xlpm.r=0,"",_xlpm.r))</f>
        <v>Responsible buyer/person</v>
      </c>
      <c r="AE48" s="22" t="str" cm="1">
        <f t="array" ref="AE48">_xlfn.LET(_xlpm.r,_xlfn.XLOOKUP(1,( [1]Sheet1!$A:$A = MappingGuide[[#This Row],[TableName]] ) * ( [1]Sheet1!$B:$B =RIGHT( MappingGuide[[#This Row],[ColumnName]],4) ),[1]Sheet1!$M:$M,""),IF(_xlpm.r=0,"",_xlpm.r))</f>
        <v>The regular buyer responsible for purchasing with this Supplier. Allocates purchasing responsibility, supports tracking by buyer.</v>
      </c>
      <c r="AF48" s="22"/>
      <c r="AG48" s="22"/>
      <c r="AH48" s="22"/>
      <c r="AI48" s="22" t="s">
        <v>91</v>
      </c>
      <c r="AJ48" s="22"/>
      <c r="AK48" s="22"/>
    </row>
    <row r="49" spans="1:37" ht="17">
      <c r="A49" s="22">
        <v>315</v>
      </c>
      <c r="B49" s="22" t="s">
        <v>248</v>
      </c>
      <c r="C49" s="22" t="s">
        <v>262</v>
      </c>
      <c r="D49" s="22" t="s">
        <v>28</v>
      </c>
      <c r="E49" s="22" t="s">
        <v>52</v>
      </c>
      <c r="F49" s="22" t="s">
        <v>53</v>
      </c>
      <c r="G49" s="22"/>
      <c r="H49" s="22"/>
      <c r="I49" s="22"/>
      <c r="J49" s="22" t="s">
        <v>253</v>
      </c>
      <c r="K49" s="22" t="s">
        <v>55</v>
      </c>
      <c r="L49" s="22"/>
      <c r="M49" s="22"/>
      <c r="N49" s="22"/>
      <c r="O49" s="22" t="s">
        <v>56</v>
      </c>
      <c r="P49" s="22" t="s">
        <v>57</v>
      </c>
      <c r="Q49" s="22" t="s">
        <v>263</v>
      </c>
      <c r="R49" s="22"/>
      <c r="S49" s="22"/>
      <c r="T49" s="22"/>
      <c r="U49" s="22"/>
      <c r="V49" s="22"/>
      <c r="W49" s="22"/>
      <c r="X49" s="22"/>
      <c r="Y49" s="22"/>
      <c r="Z49" s="22"/>
      <c r="AA49" s="22" t="s">
        <v>264</v>
      </c>
      <c r="AB49" s="22"/>
      <c r="AC49" s="22" t="s">
        <v>265</v>
      </c>
      <c r="AD49" s="22" t="str" cm="1">
        <f t="array" ref="AD49">_xlfn.LET(_xlpm.r,_xlfn.XLOOKUP(1,( [1]Sheet1!$A:$A = MappingGuide[[#This Row],[TableName]] ) * ( [1]Sheet1!$B:$B =RIGHT( MappingGuide[[#This Row],[ColumnName]],4) ),[1]Sheet1!$L:$L,""),IF(_xlpm.r=0,"",_xlpm.r))</f>
        <v>AP user ID</v>
      </c>
      <c r="AE49" s="22" t="str" cm="1">
        <f t="array" ref="AE49">_xlfn.LET(_xlpm.r,_xlfn.XLOOKUP(1,( [1]Sheet1!$A:$A = MappingGuide[[#This Row],[TableName]] ) * ( [1]Sheet1!$B:$B =RIGHT( MappingGuide[[#This Row],[ColumnName]],4) ),[1]Sheet1!$M:$M,""),IF(_xlpm.r=0,"",_xlpm.r))</f>
        <v>The field indicates who is normally allowed to authorize invoices from this supplier. The User will be populated in APS100</v>
      </c>
      <c r="AF49" s="22"/>
      <c r="AG49" s="22"/>
      <c r="AH49" s="22"/>
      <c r="AI49" s="22" t="s">
        <v>91</v>
      </c>
      <c r="AJ49" s="22"/>
      <c r="AK49" s="22"/>
    </row>
    <row r="50" spans="1:37" ht="17">
      <c r="A50" s="22">
        <v>316</v>
      </c>
      <c r="B50" s="22" t="s">
        <v>248</v>
      </c>
      <c r="C50" s="22" t="s">
        <v>266</v>
      </c>
      <c r="D50" s="22" t="s">
        <v>267</v>
      </c>
      <c r="E50" s="22" t="s">
        <v>52</v>
      </c>
      <c r="F50" s="22" t="s">
        <v>82</v>
      </c>
      <c r="G50" s="22"/>
      <c r="H50" s="22"/>
      <c r="I50" s="22"/>
      <c r="J50" s="22" t="s">
        <v>253</v>
      </c>
      <c r="K50" s="22" t="s">
        <v>55</v>
      </c>
      <c r="L50" s="22" t="s">
        <v>48</v>
      </c>
      <c r="M50" s="22"/>
      <c r="N50" s="22"/>
      <c r="O50" s="22" t="s">
        <v>56</v>
      </c>
      <c r="P50" s="22" t="s">
        <v>57</v>
      </c>
      <c r="Q50" s="22" t="s">
        <v>268</v>
      </c>
      <c r="R50" s="22"/>
      <c r="S50" s="22"/>
      <c r="T50" s="22"/>
      <c r="U50" s="22"/>
      <c r="V50" s="22"/>
      <c r="W50" s="22"/>
      <c r="X50" s="22"/>
      <c r="Y50" s="22"/>
      <c r="Z50" s="22"/>
      <c r="AA50" s="22" t="s">
        <v>269</v>
      </c>
      <c r="AB50" s="22"/>
      <c r="AC50" s="22" t="s">
        <v>270</v>
      </c>
      <c r="AD50" s="22" t="str" cm="1">
        <f t="array" ref="AD50">_xlfn.LET(_xlpm.r,_xlfn.XLOOKUP(1,( [1]Sheet1!$A:$A = MappingGuide[[#This Row],[TableName]] ) * ( [1]Sheet1!$B:$B =RIGHT( MappingGuide[[#This Row],[ColumnName]],4) ),[1]Sheet1!$L:$L,""),IF(_xlpm.r=0,"",_xlpm.r))</f>
        <v>Quality class for suppliers or supplier/items</v>
      </c>
      <c r="AE50" s="22" t="str" cm="1">
        <f t="array" ref="AE50">_xlfn.LET(_xlpm.r,_xlfn.XLOOKUP(1,( [1]Sheet1!$A:$A = MappingGuide[[#This Row],[TableName]] ) * ( [1]Sheet1!$B:$B =RIGHT( MappingGuide[[#This Row],[ColumnName]],4) ),[1]Sheet1!$M:$M,""),IF(_xlpm.r=0,"",_xlpm.r))</f>
        <v>Used to apply a quality classification for a supplier, which is used to classify Supplier or the Item / Supplier record:
	• Quality Segmentation: Quality classes let users group suppliers with similar inspection requirements, ensuring the correct level of scrutiny is applied to received goods based on risk, supplier reliability
	• Inspection Control: In combination with receiving processes, quality classes determine whether full, partial, or no inspection is required for goods from a given supplier or for certain products.	How it Works in Practice:
	• The quality class is assigned in PPS020, either to the supplier in general or specifically to a supplier-item record.
	• By assigning quality classes to suppliers, we can establish a logical framework for which receiving methods should be used for different supplier-item combinations (configuration required). When goods are received, the system reads the quality class and activates the relevant inspection routines, qualified personnel assignment, and decision logic.
	• This functionality helps organizations manage compliance with regulations and contracts and reduces quality-related risks in procurement.</v>
      </c>
      <c r="AF50" s="22"/>
      <c r="AG50" s="22"/>
      <c r="AH50" s="22"/>
      <c r="AI50" s="22" t="s">
        <v>91</v>
      </c>
      <c r="AJ50" s="22"/>
      <c r="AK50" s="22"/>
    </row>
    <row r="51" spans="1:37" ht="17">
      <c r="A51" s="22">
        <v>317</v>
      </c>
      <c r="B51" s="22" t="s">
        <v>248</v>
      </c>
      <c r="C51" s="22" t="s">
        <v>271</v>
      </c>
      <c r="D51" s="22" t="s">
        <v>272</v>
      </c>
      <c r="E51" s="22" t="s">
        <v>52</v>
      </c>
      <c r="F51" s="22" t="s">
        <v>64</v>
      </c>
      <c r="G51" s="22"/>
      <c r="H51" s="22"/>
      <c r="I51" s="22"/>
      <c r="J51" s="22" t="s">
        <v>253</v>
      </c>
      <c r="K51" s="22" t="s">
        <v>55</v>
      </c>
      <c r="L51" s="22" t="s">
        <v>48</v>
      </c>
      <c r="M51" s="22"/>
      <c r="N51" s="22"/>
      <c r="O51" s="22" t="s">
        <v>56</v>
      </c>
      <c r="P51" s="22" t="s">
        <v>57</v>
      </c>
      <c r="Q51" s="22" t="s">
        <v>273</v>
      </c>
      <c r="R51" s="22"/>
      <c r="S51" s="22"/>
      <c r="T51" s="22"/>
      <c r="U51" s="22"/>
      <c r="V51" s="22"/>
      <c r="W51" s="22"/>
      <c r="X51" s="22"/>
      <c r="Y51" s="22"/>
      <c r="Z51" s="22"/>
      <c r="AA51" s="22" t="s">
        <v>274</v>
      </c>
      <c r="AB51" s="22"/>
      <c r="AC51" s="22"/>
      <c r="AD51" s="22" t="str" cm="1">
        <f t="array" ref="AD51">_xlfn.LET(_xlpm.r,_xlfn.XLOOKUP(1,( [1]Sheet1!$A:$A = MappingGuide[[#This Row],[TableName]] ) * ( [1]Sheet1!$B:$B =RIGHT( MappingGuide[[#This Row],[ColumnName]],4) ),[1]Sheet1!$L:$L,""),IF(_xlpm.r=0,"",_xlpm.r))</f>
        <v>Annual purchase volume class (A/B/C)</v>
      </c>
      <c r="AE51" s="22" t="str" cm="1">
        <f t="array" ref="AE51">_xlfn.LET(_xlpm.r,_xlfn.XLOOKUP(1,( [1]Sheet1!$A:$A = MappingGuide[[#This Row],[TableName]] ) * ( [1]Sheet1!$B:$B =RIGHT( MappingGuide[[#This Row],[ColumnName]],4) ),[1]Sheet1!$M:$M,""),IF(_xlpm.r=0,"",_xlpm.r))</f>
        <v xml:space="preserve">Used to classify suppliers by annual purchase volume. Supports prioritization/risk management, to load manually for go-live and then get updated as system accrues spend data; </v>
      </c>
      <c r="AF51" s="22"/>
      <c r="AG51" s="22"/>
      <c r="AH51" s="22"/>
      <c r="AI51" s="22" t="s">
        <v>91</v>
      </c>
      <c r="AJ51" s="22"/>
      <c r="AK51" s="22"/>
    </row>
    <row r="52" spans="1:37" ht="17">
      <c r="A52" s="22">
        <v>318</v>
      </c>
      <c r="B52" s="22" t="s">
        <v>248</v>
      </c>
      <c r="C52" s="22" t="s">
        <v>275</v>
      </c>
      <c r="D52" s="22" t="s">
        <v>276</v>
      </c>
      <c r="E52" s="22" t="s">
        <v>43</v>
      </c>
      <c r="F52" s="22" t="s">
        <v>64</v>
      </c>
      <c r="G52" s="22"/>
      <c r="H52" s="22"/>
      <c r="I52" s="22"/>
      <c r="J52" s="22" t="s">
        <v>253</v>
      </c>
      <c r="K52" s="22" t="s">
        <v>55</v>
      </c>
      <c r="L52" s="22"/>
      <c r="M52" s="22"/>
      <c r="N52" s="22"/>
      <c r="O52" s="22" t="s">
        <v>56</v>
      </c>
      <c r="P52" s="22" t="s">
        <v>57</v>
      </c>
      <c r="Q52" s="22" t="s">
        <v>277</v>
      </c>
      <c r="R52" s="22"/>
      <c r="S52" s="22"/>
      <c r="T52" s="22"/>
      <c r="U52" s="22"/>
      <c r="V52" s="22"/>
      <c r="W52" s="22"/>
      <c r="X52" s="22"/>
      <c r="Y52" s="22"/>
      <c r="Z52" s="22"/>
      <c r="AA52" s="22" t="s">
        <v>278</v>
      </c>
      <c r="AB52" s="22"/>
      <c r="AC52" s="22"/>
      <c r="AD52" s="22" t="str" cm="1">
        <f t="array" ref="AD52">_xlfn.LET(_xlpm.r,_xlfn.XLOOKUP(1,( [1]Sheet1!$A:$A = MappingGuide[[#This Row],[TableName]] ) * ( [1]Sheet1!$B:$B =RIGHT( MappingGuide[[#This Row],[ColumnName]],4) ),[1]Sheet1!$L:$L,""),IF(_xlpm.r=0,"",_xlpm.r))</f>
        <v/>
      </c>
      <c r="AE52" s="22" t="str" cm="1">
        <f t="array" ref="AE52">_xlfn.LET(_xlpm.r,_xlfn.XLOOKUP(1,( [1]Sheet1!$A:$A = MappingGuide[[#This Row],[TableName]] ) * ( [1]Sheet1!$B:$B =RIGHT( MappingGuide[[#This Row],[ColumnName]],4) ),[1]Sheet1!$M:$M,""),IF(_xlpm.r=0,"",_xlpm.r))</f>
        <v>Flag (check/unchecked). If you do not select the check box then the ABS class is updated manually. Select the check box to update the ABC class automatically (based on real transactions once M3 is live)</v>
      </c>
      <c r="AF52" s="22"/>
      <c r="AG52" s="22"/>
      <c r="AH52" s="22"/>
      <c r="AI52" s="22" t="s">
        <v>91</v>
      </c>
      <c r="AJ52" s="22"/>
      <c r="AK52" s="22"/>
    </row>
    <row r="53" spans="1:37" ht="17">
      <c r="A53" s="22">
        <v>319</v>
      </c>
      <c r="B53" s="22" t="s">
        <v>248</v>
      </c>
      <c r="C53" s="22" t="s">
        <v>279</v>
      </c>
      <c r="D53" s="22" t="s">
        <v>280</v>
      </c>
      <c r="E53" s="22" t="s">
        <v>52</v>
      </c>
      <c r="F53" s="22" t="s">
        <v>53</v>
      </c>
      <c r="G53" s="22"/>
      <c r="H53" s="22"/>
      <c r="I53" s="22"/>
      <c r="J53" s="22" t="s">
        <v>253</v>
      </c>
      <c r="K53" s="22" t="s">
        <v>55</v>
      </c>
      <c r="L53" s="22"/>
      <c r="M53" s="22"/>
      <c r="N53" s="22"/>
      <c r="O53" s="22" t="s">
        <v>56</v>
      </c>
      <c r="P53" s="22" t="s">
        <v>57</v>
      </c>
      <c r="Q53" s="22" t="s">
        <v>281</v>
      </c>
      <c r="R53" s="22"/>
      <c r="S53" s="22"/>
      <c r="T53" s="22"/>
      <c r="U53" s="22"/>
      <c r="V53" s="22"/>
      <c r="W53" s="22"/>
      <c r="X53" s="22"/>
      <c r="Y53" s="22"/>
      <c r="Z53" s="22"/>
      <c r="AA53" s="22" t="s">
        <v>282</v>
      </c>
      <c r="AB53" s="22"/>
      <c r="AC53" s="22"/>
      <c r="AD53" s="22" t="str" cm="1">
        <f t="array" ref="AD53">_xlfn.LET(_xlpm.r,_xlfn.XLOOKUP(1,( [1]Sheet1!$A:$A = MappingGuide[[#This Row],[TableName]] ) * ( [1]Sheet1!$B:$B =RIGHT( MappingGuide[[#This Row],[ColumnName]],4) ),[1]Sheet1!$L:$L,""),IF(_xlpm.r=0,"",_xlpm.r))</f>
        <v/>
      </c>
      <c r="AE53" s="22" t="str" cm="1">
        <f t="array" ref="AE53">_xlfn.LET(_xlpm.r,_xlfn.XLOOKUP(1,( [1]Sheet1!$A:$A = MappingGuide[[#This Row],[TableName]] ) * ( [1]Sheet1!$B:$B =RIGHT( MappingGuide[[#This Row],[ColumnName]],4) ),[1]Sheet1!$M:$M,""),IF(_xlpm.r=0,"",_xlpm.r))</f>
        <v>if supplier is also a customer, we can enter its M3 customer number here. This is for the finance team.</v>
      </c>
      <c r="AF53" s="22"/>
      <c r="AG53" s="22"/>
      <c r="AH53" s="22"/>
      <c r="AI53" s="22" t="s">
        <v>91</v>
      </c>
      <c r="AJ53" s="22"/>
      <c r="AK53" s="22"/>
    </row>
    <row r="54" spans="1:37" ht="17">
      <c r="A54" s="22">
        <v>320</v>
      </c>
      <c r="B54" s="22" t="s">
        <v>248</v>
      </c>
      <c r="C54" s="22" t="s">
        <v>283</v>
      </c>
      <c r="D54" s="22" t="s">
        <v>284</v>
      </c>
      <c r="E54" s="22" t="s">
        <v>52</v>
      </c>
      <c r="F54" s="22" t="s">
        <v>53</v>
      </c>
      <c r="G54" s="22"/>
      <c r="H54" s="22"/>
      <c r="I54" s="22"/>
      <c r="J54" s="22" t="s">
        <v>253</v>
      </c>
      <c r="K54" s="22" t="s">
        <v>55</v>
      </c>
      <c r="L54" s="22" t="s">
        <v>48</v>
      </c>
      <c r="M54" s="22"/>
      <c r="N54" s="22"/>
      <c r="O54" s="22" t="s">
        <v>56</v>
      </c>
      <c r="P54" s="22" t="s">
        <v>57</v>
      </c>
      <c r="Q54" s="22" t="s">
        <v>285</v>
      </c>
      <c r="R54" s="22"/>
      <c r="S54" s="22"/>
      <c r="T54" s="22"/>
      <c r="U54" s="22"/>
      <c r="V54" s="22"/>
      <c r="W54" s="22"/>
      <c r="X54" s="22"/>
      <c r="Y54" s="22"/>
      <c r="Z54" s="22"/>
      <c r="AA54" s="22" t="s">
        <v>286</v>
      </c>
      <c r="AB54" s="22"/>
      <c r="AC54" s="22"/>
      <c r="AD54" s="22" t="str" cm="1">
        <f t="array" ref="AD54">_xlfn.LET(_xlpm.r,_xlfn.XLOOKUP(1,( [1]Sheet1!$A:$A = MappingGuide[[#This Row],[TableName]] ) * ( [1]Sheet1!$B:$B =RIGHT( MappingGuide[[#This Row],[ColumnName]],4) ),[1]Sheet1!$L:$L,""),IF(_xlpm.r=0,"",_xlpm.r))</f>
        <v/>
      </c>
      <c r="AE54" s="22" t="str" cm="1">
        <f t="array" ref="AE54">_xlfn.LET(_xlpm.r,_xlfn.XLOOKUP(1,( [1]Sheet1!$A:$A = MappingGuide[[#This Row],[TableName]] ) * ( [1]Sheet1!$B:$B =RIGHT( MappingGuide[[#This Row],[ColumnName]],4) ),[1]Sheet1!$M:$M,""),IF(_xlpm.r=0,"",_xlpm.r))</f>
        <v>the field indicates our customer number at the supplier, which is the customer number the supplier uses as identity for us.</v>
      </c>
      <c r="AF54" s="22"/>
      <c r="AG54" s="22"/>
      <c r="AH54" s="22"/>
      <c r="AI54" s="22" t="s">
        <v>91</v>
      </c>
      <c r="AJ54" s="22"/>
      <c r="AK54" s="22"/>
    </row>
    <row r="55" spans="1:37" ht="17">
      <c r="A55" s="22">
        <v>321</v>
      </c>
      <c r="B55" s="22" t="s">
        <v>248</v>
      </c>
      <c r="C55" s="22" t="s">
        <v>287</v>
      </c>
      <c r="D55" s="22" t="s">
        <v>288</v>
      </c>
      <c r="E55" s="22" t="s">
        <v>52</v>
      </c>
      <c r="F55" s="22" t="s">
        <v>53</v>
      </c>
      <c r="G55" s="22"/>
      <c r="H55" s="22"/>
      <c r="I55" s="22"/>
      <c r="J55" s="22" t="s">
        <v>253</v>
      </c>
      <c r="K55" s="22" t="s">
        <v>169</v>
      </c>
      <c r="L55" s="22"/>
      <c r="M55" s="22"/>
      <c r="N55" s="22"/>
      <c r="O55" s="22" t="s">
        <v>56</v>
      </c>
      <c r="P55" s="22" t="s">
        <v>57</v>
      </c>
      <c r="Q55" s="22" t="s">
        <v>289</v>
      </c>
      <c r="R55" s="22"/>
      <c r="S55" s="22"/>
      <c r="T55" s="22"/>
      <c r="U55" s="22"/>
      <c r="V55" s="22"/>
      <c r="W55" s="22"/>
      <c r="X55" s="22"/>
      <c r="Y55" s="22"/>
      <c r="Z55" s="22"/>
      <c r="AA55" s="22" t="s">
        <v>290</v>
      </c>
      <c r="AB55" s="22"/>
      <c r="AC55" s="22"/>
      <c r="AD55" s="22" t="str" cm="1">
        <f t="array" ref="AD55">_xlfn.LET(_xlpm.r,_xlfn.XLOOKUP(1,( [1]Sheet1!$A:$A = MappingGuide[[#This Row],[TableName]] ) * ( [1]Sheet1!$B:$B =RIGHT( MappingGuide[[#This Row],[ColumnName]],4) ),[1]Sheet1!$L:$L,""),IF(_xlpm.r=0,"",_xlpm.r))</f>
        <v/>
      </c>
      <c r="AE55" s="22" t="str" cm="1">
        <f t="array" ref="AE55">_xlfn.LET(_xlpm.r,_xlfn.XLOOKUP(1,( [1]Sheet1!$A:$A = MappingGuide[[#This Row],[TableName]] ) * ( [1]Sheet1!$B:$B =RIGHT( MappingGuide[[#This Row],[ColumnName]],4) ),[1]Sheet1!$M:$M,""),IF(_xlpm.r=0,"",_xlpm.r))</f>
        <v>the supplier number for invoice recipient if it is different from the procurement current supplier. Must be a type 2 supplier existing in CRS620.</v>
      </c>
      <c r="AF55" s="22"/>
      <c r="AG55" s="22"/>
      <c r="AH55" s="22"/>
      <c r="AI55" s="22" t="s">
        <v>91</v>
      </c>
      <c r="AJ55" s="22"/>
      <c r="AK55" s="22"/>
    </row>
    <row r="56" spans="1:37" ht="17">
      <c r="A56" s="22">
        <v>322</v>
      </c>
      <c r="B56" s="22" t="s">
        <v>248</v>
      </c>
      <c r="C56" s="22" t="s">
        <v>291</v>
      </c>
      <c r="D56" s="22" t="s">
        <v>292</v>
      </c>
      <c r="E56" s="22" t="s">
        <v>52</v>
      </c>
      <c r="F56" s="22" t="s">
        <v>53</v>
      </c>
      <c r="G56" s="22"/>
      <c r="H56" s="22"/>
      <c r="I56" s="22"/>
      <c r="J56" s="22" t="s">
        <v>253</v>
      </c>
      <c r="K56" s="22" t="s">
        <v>55</v>
      </c>
      <c r="L56" s="22"/>
      <c r="M56" s="22"/>
      <c r="N56" s="22"/>
      <c r="O56" s="22" t="s">
        <v>56</v>
      </c>
      <c r="P56" s="22" t="s">
        <v>57</v>
      </c>
      <c r="Q56" s="22" t="s">
        <v>293</v>
      </c>
      <c r="R56" s="22"/>
      <c r="S56" s="22"/>
      <c r="T56" s="22"/>
      <c r="U56" s="22"/>
      <c r="V56" s="22"/>
      <c r="W56" s="22"/>
      <c r="X56" s="22"/>
      <c r="Y56" s="22"/>
      <c r="Z56" s="22"/>
      <c r="AA56" s="22" t="s">
        <v>294</v>
      </c>
      <c r="AB56" s="22"/>
      <c r="AC56" s="22"/>
      <c r="AD56" s="22" t="str" cm="1">
        <f t="array" ref="AD56">_xlfn.LET(_xlpm.r,_xlfn.XLOOKUP(1,( [1]Sheet1!$A:$A = MappingGuide[[#This Row],[TableName]] ) * ( [1]Sheet1!$B:$B =RIGHT( MappingGuide[[#This Row],[ColumnName]],4) ),[1]Sheet1!$L:$L,""),IF(_xlpm.r=0,"",_xlpm.r))</f>
        <v/>
      </c>
      <c r="AE56" s="22" t="str" cm="1">
        <f t="array" ref="AE56">_xlfn.LET(_xlpm.r,_xlfn.XLOOKUP(1,( [1]Sheet1!$A:$A = MappingGuide[[#This Row],[TableName]] ) * ( [1]Sheet1!$B:$B =RIGHT( MappingGuide[[#This Row],[ColumnName]],4) ),[1]Sheet1!$M:$M,""),IF(_xlpm.r=0,"",_xlpm.r))</f>
        <v xml:space="preserve"> the Supplier number representing a company group. If this supplier belongs to a company group that is also created in the supplier master (CRS620) as a type 3 vendor</v>
      </c>
      <c r="AF56" s="22"/>
      <c r="AG56" s="22"/>
      <c r="AH56" s="22"/>
      <c r="AI56" s="22" t="s">
        <v>91</v>
      </c>
      <c r="AJ56" s="22"/>
      <c r="AK56" s="22"/>
    </row>
    <row r="57" spans="1:37" ht="17">
      <c r="A57" s="22">
        <v>323</v>
      </c>
      <c r="B57" s="22" t="s">
        <v>248</v>
      </c>
      <c r="C57" s="22" t="s">
        <v>295</v>
      </c>
      <c r="D57" s="22" t="s">
        <v>296</v>
      </c>
      <c r="E57" s="22" t="s">
        <v>52</v>
      </c>
      <c r="F57" s="22" t="s">
        <v>53</v>
      </c>
      <c r="G57" s="22"/>
      <c r="H57" s="22"/>
      <c r="I57" s="22"/>
      <c r="J57" s="22" t="s">
        <v>253</v>
      </c>
      <c r="K57" s="22" t="s">
        <v>55</v>
      </c>
      <c r="L57" s="22"/>
      <c r="M57" s="22"/>
      <c r="N57" s="22"/>
      <c r="O57" s="22" t="s">
        <v>56</v>
      </c>
      <c r="P57" s="22" t="s">
        <v>57</v>
      </c>
      <c r="Q57" s="22" t="s">
        <v>297</v>
      </c>
      <c r="R57" s="22"/>
      <c r="S57" s="22"/>
      <c r="T57" s="22"/>
      <c r="U57" s="22"/>
      <c r="V57" s="22"/>
      <c r="W57" s="22"/>
      <c r="X57" s="22"/>
      <c r="Y57" s="22"/>
      <c r="Z57" s="22"/>
      <c r="AA57" s="22" t="s">
        <v>298</v>
      </c>
      <c r="AB57" s="22"/>
      <c r="AC57" s="22"/>
      <c r="AD57" s="22" t="str" cm="1">
        <f t="array" ref="AD57">_xlfn.LET(_xlpm.r,_xlfn.XLOOKUP(1,( [1]Sheet1!$A:$A = MappingGuide[[#This Row],[TableName]] ) * ( [1]Sheet1!$B:$B =RIGHT( MappingGuide[[#This Row],[ColumnName]],4) ),[1]Sheet1!$L:$L,""),IF(_xlpm.r=0,"",_xlpm.r))</f>
        <v/>
      </c>
      <c r="AE57" s="22" t="str" cm="1">
        <f t="array" ref="AE57">_xlfn.LET(_xlpm.r,_xlfn.XLOOKUP(1,( [1]Sheet1!$A:$A = MappingGuide[[#This Row],[TableName]] ) * ( [1]Sheet1!$B:$B =RIGHT( MappingGuide[[#This Row],[ColumnName]],4) ),[1]Sheet1!$M:$M,""),IF(_xlpm.r=0,"",_xlpm.r))</f>
        <v>The agent number (= Supplier number type 1 recorded in the supplier Master CRS620) is displayed by default on the purchase order</v>
      </c>
      <c r="AF57" s="22"/>
      <c r="AG57" s="22"/>
      <c r="AH57" s="22"/>
      <c r="AI57" s="22" t="s">
        <v>91</v>
      </c>
      <c r="AJ57" s="22"/>
      <c r="AK57" s="22"/>
    </row>
    <row r="58" spans="1:37" ht="17">
      <c r="A58" s="22">
        <v>324</v>
      </c>
      <c r="B58" s="22" t="s">
        <v>248</v>
      </c>
      <c r="C58" s="22" t="s">
        <v>299</v>
      </c>
      <c r="D58" s="22" t="s">
        <v>300</v>
      </c>
      <c r="E58" s="22" t="s">
        <v>52</v>
      </c>
      <c r="F58" s="22" t="s">
        <v>44</v>
      </c>
      <c r="G58" s="22"/>
      <c r="H58" s="22"/>
      <c r="I58" s="22"/>
      <c r="J58" s="22" t="s">
        <v>253</v>
      </c>
      <c r="K58" s="22" t="s">
        <v>55</v>
      </c>
      <c r="L58" s="22"/>
      <c r="M58" s="22"/>
      <c r="N58" s="22"/>
      <c r="O58" s="22" t="s">
        <v>56</v>
      </c>
      <c r="P58" s="22" t="s">
        <v>57</v>
      </c>
      <c r="Q58" s="22" t="s">
        <v>301</v>
      </c>
      <c r="R58" s="22" t="s">
        <v>48</v>
      </c>
      <c r="S58" s="22"/>
      <c r="T58" s="22"/>
      <c r="U58" s="22"/>
      <c r="V58" s="22"/>
      <c r="W58" s="22"/>
      <c r="X58" s="22" t="s">
        <v>48</v>
      </c>
      <c r="Y58" s="22" t="s">
        <v>302</v>
      </c>
      <c r="Z58" s="22"/>
      <c r="AA58" s="22" t="s">
        <v>303</v>
      </c>
      <c r="AB58" s="22"/>
      <c r="AC58" s="22" t="s">
        <v>304</v>
      </c>
      <c r="AD58" s="22" t="str" cm="1">
        <f t="array" ref="AD58">_xlfn.LET(_xlpm.r,_xlfn.XLOOKUP(1,( [1]Sheet1!$A:$A = MappingGuide[[#This Row],[TableName]] ) * ( [1]Sheet1!$B:$B =RIGHT( MappingGuide[[#This Row],[ColumnName]],4) ),[1]Sheet1!$L:$L,""),IF(_xlpm.r=0,"",_xlpm.r))</f>
        <v>PO transaction classification code</v>
      </c>
      <c r="AE58" s="22" t="str" cm="1">
        <f t="array" ref="AE58">_xlfn.LET(_xlpm.r,_xlfn.XLOOKUP(1,( [1]Sheet1!$A:$A = MappingGuide[[#This Row],[TableName]] ) * ( [1]Sheet1!$B:$B =RIGHT( MappingGuide[[#This Row],[ColumnName]],4) ),[1]Sheet1!$M:$M,""),IF(_xlpm.r=0,"",_xlpm.r))</f>
        <v>Sets default order type for supplier, controls flow, grouping, and rules for order entry, consolidation, document output.</v>
      </c>
      <c r="AF58" s="22"/>
      <c r="AG58" s="22"/>
      <c r="AH58" s="22"/>
      <c r="AI58" s="22" t="s">
        <v>48</v>
      </c>
      <c r="AJ58" s="22" t="s">
        <v>302</v>
      </c>
      <c r="AK58" s="22"/>
    </row>
    <row r="59" spans="1:37" ht="17">
      <c r="A59" s="22">
        <v>325</v>
      </c>
      <c r="B59" s="22" t="s">
        <v>248</v>
      </c>
      <c r="C59" s="22" t="s">
        <v>305</v>
      </c>
      <c r="D59" s="22" t="s">
        <v>306</v>
      </c>
      <c r="E59" s="22" t="s">
        <v>52</v>
      </c>
      <c r="F59" s="22" t="s">
        <v>44</v>
      </c>
      <c r="G59" s="22"/>
      <c r="H59" s="22"/>
      <c r="I59" s="22"/>
      <c r="J59" s="22" t="s">
        <v>253</v>
      </c>
      <c r="K59" s="22" t="s">
        <v>169</v>
      </c>
      <c r="L59" s="22"/>
      <c r="M59" s="22" t="s">
        <v>48</v>
      </c>
      <c r="N59" s="22"/>
      <c r="O59" s="22" t="s">
        <v>56</v>
      </c>
      <c r="P59" s="22" t="s">
        <v>57</v>
      </c>
      <c r="Q59" s="22" t="s">
        <v>307</v>
      </c>
      <c r="R59" s="22" t="s">
        <v>48</v>
      </c>
      <c r="S59" s="22"/>
      <c r="T59" s="22"/>
      <c r="U59" s="22"/>
      <c r="V59" s="22"/>
      <c r="W59" s="22"/>
      <c r="X59" s="22" t="s">
        <v>48</v>
      </c>
      <c r="Y59" s="22" t="s">
        <v>308</v>
      </c>
      <c r="Z59" s="22"/>
      <c r="AA59" s="22" t="s">
        <v>309</v>
      </c>
      <c r="AB59" s="22"/>
      <c r="AC59" s="22" t="s">
        <v>310</v>
      </c>
      <c r="AD59" s="22" t="str" cm="1">
        <f t="array" ref="AD59">_xlfn.LET(_xlpm.r,_xlfn.XLOOKUP(1,( [1]Sheet1!$A:$A = MappingGuide[[#This Row],[TableName]] ) * ( [1]Sheet1!$B:$B =RIGHT( MappingGuide[[#This Row],[ColumnName]],4) ),[1]Sheet1!$L:$L,""),IF(_xlpm.r=0,"",_xlpm.r))</f>
        <v>Default currency/exchange rate rule</v>
      </c>
      <c r="AE59" s="22" t="str" cm="1">
        <f t="array" ref="AE59">_xlfn.LET(_xlpm.r,_xlfn.XLOOKUP(1,( [1]Sheet1!$A:$A = MappingGuide[[#This Row],[TableName]] ) * ( [1]Sheet1!$B:$B =RIGHT( MappingGuide[[#This Row],[ColumnName]],4) ),[1]Sheet1!$M:$M,""),IF(_xlpm.r=0,"",_xlpm.r))</f>
        <v>Required for international procurement, enables cross-border finance, allows purchasing and invoicing in preferred currency, handles exchange rate conversion when needed.</v>
      </c>
      <c r="AF59" s="22"/>
      <c r="AG59" s="22"/>
      <c r="AH59" s="22"/>
      <c r="AI59" s="22" t="s">
        <v>48</v>
      </c>
      <c r="AJ59" s="22" t="s">
        <v>308</v>
      </c>
      <c r="AK59" s="22"/>
    </row>
    <row r="60" spans="1:37" ht="17">
      <c r="A60" s="22">
        <v>326</v>
      </c>
      <c r="B60" s="22" t="s">
        <v>248</v>
      </c>
      <c r="C60" s="22" t="s">
        <v>311</v>
      </c>
      <c r="D60" s="22" t="s">
        <v>312</v>
      </c>
      <c r="E60" s="22" t="s">
        <v>43</v>
      </c>
      <c r="F60" s="22" t="s">
        <v>82</v>
      </c>
      <c r="G60" s="22"/>
      <c r="H60" s="22"/>
      <c r="I60" s="22"/>
      <c r="J60" s="22" t="s">
        <v>253</v>
      </c>
      <c r="K60" s="22" t="s">
        <v>169</v>
      </c>
      <c r="L60" s="22"/>
      <c r="M60" s="22"/>
      <c r="N60" s="22"/>
      <c r="O60" s="22" t="s">
        <v>56</v>
      </c>
      <c r="P60" s="22" t="s">
        <v>57</v>
      </c>
      <c r="Q60" s="22" t="s">
        <v>313</v>
      </c>
      <c r="R60" s="22" t="s">
        <v>48</v>
      </c>
      <c r="S60" s="22"/>
      <c r="T60" s="22"/>
      <c r="U60" s="22"/>
      <c r="V60" s="22"/>
      <c r="W60" s="22"/>
      <c r="X60" s="22" t="s">
        <v>48</v>
      </c>
      <c r="Y60" s="22" t="s">
        <v>64</v>
      </c>
      <c r="Z60" s="22"/>
      <c r="AA60" s="22" t="s">
        <v>314</v>
      </c>
      <c r="AB60" s="22"/>
      <c r="AC60" s="22" t="s">
        <v>315</v>
      </c>
      <c r="AD60" s="22" t="str" cm="1">
        <f t="array" ref="AD60">_xlfn.LET(_xlpm.r,_xlfn.XLOOKUP(1,( [1]Sheet1!$A:$A = MappingGuide[[#This Row],[TableName]] ) * ( [1]Sheet1!$B:$B =RIGHT( MappingGuide[[#This Row],[ColumnName]],4) ),[1]Sheet1!$L:$L,""),IF(_xlpm.r=0,"",_xlpm.r))</f>
        <v/>
      </c>
      <c r="AE60" s="22" t="str" cm="1">
        <f t="array" ref="AE60">_xlfn.LET(_xlpm.r,_xlfn.XLOOKUP(1,( [1]Sheet1!$A:$A = MappingGuide[[#This Row],[TableName]] ) * ( [1]Sheet1!$B:$B =RIGHT( MappingGuide[[#This Row],[ColumnName]],4) ),[1]Sheet1!$M:$M,""),IF(_xlpm.r=0,"",_xlpm.r))</f>
        <v>The field indicates the exchange rate used when prices in the Purchase module are converted to local currency or another currency.</v>
      </c>
      <c r="AF60" s="22"/>
      <c r="AG60" s="22"/>
      <c r="AH60" s="22"/>
      <c r="AI60" s="22" t="s">
        <v>48</v>
      </c>
      <c r="AJ60" s="22" t="s">
        <v>64</v>
      </c>
      <c r="AK60" s="22"/>
    </row>
    <row r="61" spans="1:37" ht="17">
      <c r="A61" s="22">
        <v>327</v>
      </c>
      <c r="B61" s="22" t="s">
        <v>248</v>
      </c>
      <c r="C61" s="22" t="s">
        <v>316</v>
      </c>
      <c r="D61" s="22" t="s">
        <v>317</v>
      </c>
      <c r="E61" s="22" t="s">
        <v>43</v>
      </c>
      <c r="F61" s="22" t="s">
        <v>82</v>
      </c>
      <c r="G61" s="22"/>
      <c r="H61" s="22"/>
      <c r="I61" s="22"/>
      <c r="J61" s="22" t="s">
        <v>253</v>
      </c>
      <c r="K61" s="22" t="s">
        <v>169</v>
      </c>
      <c r="L61" s="22"/>
      <c r="M61" s="22"/>
      <c r="N61" s="22"/>
      <c r="O61" s="22" t="s">
        <v>56</v>
      </c>
      <c r="P61" s="22" t="s">
        <v>57</v>
      </c>
      <c r="Q61" s="22" t="s">
        <v>318</v>
      </c>
      <c r="R61" s="22"/>
      <c r="S61" s="22"/>
      <c r="T61" s="22"/>
      <c r="U61" s="22"/>
      <c r="V61" s="22"/>
      <c r="W61" s="22"/>
      <c r="X61" s="22"/>
      <c r="Y61" s="22"/>
      <c r="Z61" s="22"/>
      <c r="AA61" s="22" t="s">
        <v>319</v>
      </c>
      <c r="AB61" s="22"/>
      <c r="AC61" s="22" t="s">
        <v>320</v>
      </c>
      <c r="AD61" s="22" t="str" cm="1">
        <f t="array" ref="AD61">_xlfn.LET(_xlpm.r,_xlfn.XLOOKUP(1,( [1]Sheet1!$A:$A = MappingGuide[[#This Row],[TableName]] ) * ( [1]Sheet1!$B:$B =RIGHT( MappingGuide[[#This Row],[ColumnName]],4) ),[1]Sheet1!$L:$L,""),IF(_xlpm.r=0,"",_xlpm.r))</f>
        <v>Default VAT code/method</v>
      </c>
      <c r="AE61" s="22" t="str" cm="1">
        <f t="array" ref="AE61">_xlfn.LET(_xlpm.r,_xlfn.XLOOKUP(1,( [1]Sheet1!$A:$A = MappingGuide[[#This Row],[TableName]] ) * ( [1]Sheet1!$B:$B =RIGHT( MappingGuide[[#This Row],[ColumnName]],4) ),[1]Sheet1!$M:$M,""),IF(_xlpm.r=0,"",_xlpm.r))</f>
        <v>Ensures correct tax application and compliance, auto-populates VAT method and rate on invoices.</v>
      </c>
      <c r="AF61" s="22"/>
      <c r="AG61" s="22"/>
      <c r="AH61" s="22"/>
      <c r="AI61" s="22" t="s">
        <v>91</v>
      </c>
      <c r="AJ61" s="22"/>
      <c r="AK61" s="22"/>
    </row>
    <row r="62" spans="1:37" ht="17">
      <c r="A62" s="22">
        <v>328</v>
      </c>
      <c r="B62" s="22" t="s">
        <v>248</v>
      </c>
      <c r="C62" s="22" t="s">
        <v>321</v>
      </c>
      <c r="D62" s="22" t="s">
        <v>322</v>
      </c>
      <c r="E62" s="22" t="s">
        <v>43</v>
      </c>
      <c r="F62" s="22" t="s">
        <v>64</v>
      </c>
      <c r="G62" s="22"/>
      <c r="H62" s="22"/>
      <c r="I62" s="22"/>
      <c r="J62" s="22" t="s">
        <v>253</v>
      </c>
      <c r="K62" s="22" t="s">
        <v>169</v>
      </c>
      <c r="L62" s="22"/>
      <c r="M62" s="22"/>
      <c r="N62" s="22"/>
      <c r="O62" s="22" t="s">
        <v>56</v>
      </c>
      <c r="P62" s="22" t="s">
        <v>57</v>
      </c>
      <c r="Q62" s="22" t="s">
        <v>323</v>
      </c>
      <c r="R62" s="22"/>
      <c r="S62" s="22"/>
      <c r="T62" s="22"/>
      <c r="U62" s="22"/>
      <c r="V62" s="22"/>
      <c r="W62" s="22"/>
      <c r="X62" s="22"/>
      <c r="Y62" s="22"/>
      <c r="Z62" s="22"/>
      <c r="AA62" s="22" t="s">
        <v>324</v>
      </c>
      <c r="AB62" s="22" t="s">
        <v>325</v>
      </c>
      <c r="AC62" s="22"/>
      <c r="AD62" s="22" t="str" cm="1">
        <f t="array" ref="AD62">_xlfn.LET(_xlpm.r,_xlfn.XLOOKUP(1,( [1]Sheet1!$A:$A = MappingGuide[[#This Row],[TableName]] ) * ( [1]Sheet1!$B:$B =RIGHT( MappingGuide[[#This Row],[ColumnName]],4) ),[1]Sheet1!$L:$L,""),IF(_xlpm.r=0,"",_xlpm.r))</f>
        <v/>
      </c>
      <c r="AE62" s="22" t="str" cm="1">
        <f t="array" ref="AE62">_xlfn.LET(_xlpm.r,_xlfn.XLOOKUP(1,( [1]Sheet1!$A:$A = MappingGuide[[#This Row],[TableName]] ) * ( [1]Sheet1!$B:$B =RIGHT( MappingGuide[[#This Row],[ColumnName]],4) ),[1]Sheet1!$M:$M,""),IF(_xlpm.r=0,"",_xlpm.r))</f>
        <v/>
      </c>
      <c r="AF62" s="22"/>
      <c r="AG62" s="22"/>
      <c r="AH62" s="22"/>
      <c r="AI62" s="22" t="s">
        <v>91</v>
      </c>
      <c r="AJ62" s="22"/>
      <c r="AK62" s="22"/>
    </row>
    <row r="63" spans="1:37" ht="17">
      <c r="A63" s="22">
        <v>329</v>
      </c>
      <c r="B63" s="22" t="s">
        <v>248</v>
      </c>
      <c r="C63" s="22" t="s">
        <v>326</v>
      </c>
      <c r="D63" s="22" t="s">
        <v>327</v>
      </c>
      <c r="E63" s="22" t="s">
        <v>43</v>
      </c>
      <c r="F63" s="22" t="s">
        <v>64</v>
      </c>
      <c r="G63" s="22"/>
      <c r="H63" s="22"/>
      <c r="I63" s="22"/>
      <c r="J63" s="22" t="s">
        <v>253</v>
      </c>
      <c r="K63" s="22" t="s">
        <v>55</v>
      </c>
      <c r="L63" s="22"/>
      <c r="M63" s="22"/>
      <c r="N63" s="22"/>
      <c r="O63" s="22" t="s">
        <v>56</v>
      </c>
      <c r="P63" s="22" t="s">
        <v>57</v>
      </c>
      <c r="Q63" s="22" t="s">
        <v>328</v>
      </c>
      <c r="R63" s="22"/>
      <c r="S63" s="22"/>
      <c r="T63" s="22"/>
      <c r="U63" s="22"/>
      <c r="V63" s="22"/>
      <c r="W63" s="22"/>
      <c r="X63" s="22"/>
      <c r="Y63" s="22"/>
      <c r="Z63" s="22"/>
      <c r="AA63" s="22" t="s">
        <v>329</v>
      </c>
      <c r="AB63" s="22"/>
      <c r="AC63" s="22"/>
      <c r="AD63" s="22" t="str" cm="1">
        <f t="array" ref="AD63">_xlfn.LET(_xlpm.r,_xlfn.XLOOKUP(1,( [1]Sheet1!$A:$A = MappingGuide[[#This Row],[TableName]] ) * ( [1]Sheet1!$B:$B =RIGHT( MappingGuide[[#This Row],[ColumnName]],4) ),[1]Sheet1!$L:$L,""),IF(_xlpm.r=0,"",_xlpm.r))</f>
        <v>Discount chaining method (checkbox)</v>
      </c>
      <c r="AE63" s="22" t="str" cm="1">
        <f t="array" ref="AE63">_xlfn.LET(_xlpm.r,_xlfn.XLOOKUP(1,( [1]Sheet1!$A:$A = MappingGuide[[#This Row],[TableName]] ) * ( [1]Sheet1!$B:$B =RIGHT( MappingGuide[[#This Row],[ColumnName]],4) ),[1]Sheet1!$M:$M,""),IF(_xlpm.r=0,"",_xlpm.r))</f>
        <v>determines how discounts are calculated and applied for each supplier's purchase orders and lines. Cascading (D1 + D2 + D3) or total discounts.  This checkbox indicates the method for calculating the discount which is used for the calculation of the purchase order line's total discount; check the box if cascading discounts are planned for this supplier. But don't select the check box for a total discount calculation. 
The total discount is calculated as: D1 + D2 + D3 while the chain discount is calculated with formulas using some percentages on each discount. We will do some sessions on this if needed, but just FYI in M3 we can enter supplier discounts at different level: at the supplier level, at the agreement level, and at the agreement line level.</v>
      </c>
      <c r="AF63" s="22"/>
      <c r="AG63" s="22"/>
      <c r="AH63" s="22"/>
      <c r="AI63" s="22" t="s">
        <v>91</v>
      </c>
      <c r="AJ63" s="22"/>
      <c r="AK63" s="22"/>
    </row>
    <row r="64" spans="1:37" ht="17">
      <c r="A64" s="22">
        <v>330</v>
      </c>
      <c r="B64" s="22" t="s">
        <v>248</v>
      </c>
      <c r="C64" s="22" t="s">
        <v>330</v>
      </c>
      <c r="D64" s="22" t="s">
        <v>331</v>
      </c>
      <c r="E64" s="22" t="s">
        <v>52</v>
      </c>
      <c r="F64" s="22" t="s">
        <v>44</v>
      </c>
      <c r="G64" s="22"/>
      <c r="H64" s="22"/>
      <c r="I64" s="22"/>
      <c r="J64" s="22" t="s">
        <v>253</v>
      </c>
      <c r="K64" s="22" t="s">
        <v>169</v>
      </c>
      <c r="L64" s="22"/>
      <c r="M64" s="22" t="s">
        <v>48</v>
      </c>
      <c r="N64" s="22"/>
      <c r="O64" s="22" t="s">
        <v>56</v>
      </c>
      <c r="P64" s="22" t="s">
        <v>57</v>
      </c>
      <c r="Q64" s="22" t="s">
        <v>332</v>
      </c>
      <c r="R64" s="22"/>
      <c r="S64" s="22"/>
      <c r="T64" s="22"/>
      <c r="U64" s="22"/>
      <c r="V64" s="22"/>
      <c r="W64" s="22"/>
      <c r="X64" s="22" t="s">
        <v>48</v>
      </c>
      <c r="Y64" s="22" t="s">
        <v>333</v>
      </c>
      <c r="Z64" s="22"/>
      <c r="AA64" s="22" t="s">
        <v>334</v>
      </c>
      <c r="AB64" s="22"/>
      <c r="AC64" s="22" t="s">
        <v>335</v>
      </c>
      <c r="AD64" s="22" t="str" cm="1">
        <f t="array" ref="AD64">_xlfn.LET(_xlpm.r,_xlfn.XLOOKUP(1,( [1]Sheet1!$A:$A = MappingGuide[[#This Row],[TableName]] ) * ( [1]Sheet1!$B:$B =RIGHT( MappingGuide[[#This Row],[ColumnName]],4) ),[1]Sheet1!$L:$L,""),IF(_xlpm.r=0,"",_xlpm.r))</f>
        <v>Due date/payment scheduling</v>
      </c>
      <c r="AE64" s="22" t="str" cm="1">
        <f t="array" ref="AE64">_xlfn.LET(_xlpm.r,_xlfn.XLOOKUP(1,( [1]Sheet1!$A:$A = MappingGuide[[#This Row],[TableName]] ) * ( [1]Sheet1!$B:$B =RIGHT( MappingGuide[[#This Row],[ColumnName]],4) ),[1]Sheet1!$M:$M,""),IF(_xlpm.r=0,"",_xlpm.r))</f>
        <v>Dictates how M3 calculates invoice due date and credit; supports detailed timing scenarios (e.g., Net 30, milestone payments).</v>
      </c>
      <c r="AF64" s="22"/>
      <c r="AG64" s="22"/>
      <c r="AH64" s="22"/>
      <c r="AI64" s="22" t="s">
        <v>48</v>
      </c>
      <c r="AJ64" s="22" t="s">
        <v>333</v>
      </c>
      <c r="AK64" s="22"/>
    </row>
    <row r="65" spans="1:37" ht="17">
      <c r="A65" s="22">
        <v>331</v>
      </c>
      <c r="B65" s="22" t="s">
        <v>248</v>
      </c>
      <c r="C65" s="22" t="s">
        <v>336</v>
      </c>
      <c r="D65" s="22" t="s">
        <v>337</v>
      </c>
      <c r="E65" s="22" t="s">
        <v>52</v>
      </c>
      <c r="F65" s="22" t="s">
        <v>44</v>
      </c>
      <c r="G65" s="22"/>
      <c r="H65" s="22"/>
      <c r="I65" s="22"/>
      <c r="J65" s="22" t="s">
        <v>253</v>
      </c>
      <c r="K65" s="22" t="s">
        <v>169</v>
      </c>
      <c r="L65" s="22"/>
      <c r="M65" s="22"/>
      <c r="N65" s="22"/>
      <c r="O65" s="22" t="s">
        <v>56</v>
      </c>
      <c r="P65" s="22" t="s">
        <v>57</v>
      </c>
      <c r="Q65" s="22" t="s">
        <v>338</v>
      </c>
      <c r="R65" s="22"/>
      <c r="S65" s="22"/>
      <c r="T65" s="22"/>
      <c r="U65" s="22"/>
      <c r="V65" s="22"/>
      <c r="W65" s="22"/>
      <c r="X65" s="22" t="s">
        <v>48</v>
      </c>
      <c r="Y65" s="22" t="s">
        <v>339</v>
      </c>
      <c r="Z65" s="22"/>
      <c r="AA65" s="22" t="s">
        <v>340</v>
      </c>
      <c r="AB65" s="22"/>
      <c r="AC65" s="22" t="s">
        <v>341</v>
      </c>
      <c r="AD65" s="22" t="str" cm="1">
        <f t="array" ref="AD65">_xlfn.LET(_xlpm.r,_xlfn.XLOOKUP(1,( [1]Sheet1!$A:$A = MappingGuide[[#This Row],[TableName]] ) * ( [1]Sheet1!$B:$B =RIGHT( MappingGuide[[#This Row],[ColumnName]],4) ),[1]Sheet1!$L:$L,""),IF(_xlpm.r=0,"",_xlpm.r))</f>
        <v>How supplier is paid</v>
      </c>
      <c r="AE65" s="22" t="str" cm="1">
        <f t="array" ref="AE65">_xlfn.LET(_xlpm.r,_xlfn.XLOOKUP(1,( [1]Sheet1!$A:$A = MappingGuide[[#This Row],[TableName]] ) * ( [1]Sheet1!$B:$B =RIGHT( MappingGuide[[#This Row],[ColumnName]],4) ),[1]Sheet1!$M:$M,""),IF(_xlpm.r=0,"",_xlpm.r))</f>
        <v>Configures payment channel (ACH, check, wire), supports automation and selection logic for AP.</v>
      </c>
      <c r="AF65" s="22"/>
      <c r="AG65" s="22"/>
      <c r="AH65" s="22"/>
      <c r="AI65" s="22" t="s">
        <v>48</v>
      </c>
      <c r="AJ65" s="22" t="s">
        <v>339</v>
      </c>
      <c r="AK65" s="22"/>
    </row>
    <row r="66" spans="1:37" ht="17">
      <c r="A66" s="22">
        <v>332</v>
      </c>
      <c r="B66" s="22" t="s">
        <v>248</v>
      </c>
      <c r="C66" s="22" t="s">
        <v>342</v>
      </c>
      <c r="D66" s="22" t="s">
        <v>343</v>
      </c>
      <c r="E66" s="22" t="s">
        <v>52</v>
      </c>
      <c r="F66" s="22" t="s">
        <v>44</v>
      </c>
      <c r="G66" s="22"/>
      <c r="H66" s="22"/>
      <c r="I66" s="22"/>
      <c r="J66" s="22" t="s">
        <v>253</v>
      </c>
      <c r="K66" s="22" t="s">
        <v>169</v>
      </c>
      <c r="L66" s="22"/>
      <c r="M66" s="22"/>
      <c r="N66" s="22"/>
      <c r="O66" s="22" t="s">
        <v>56</v>
      </c>
      <c r="P66" s="22" t="s">
        <v>57</v>
      </c>
      <c r="Q66" s="22" t="s">
        <v>344</v>
      </c>
      <c r="R66" s="22"/>
      <c r="S66" s="22"/>
      <c r="T66" s="22"/>
      <c r="U66" s="22"/>
      <c r="V66" s="22"/>
      <c r="W66" s="22"/>
      <c r="X66" s="22"/>
      <c r="Y66" s="22"/>
      <c r="Z66" s="22"/>
      <c r="AA66" s="22" t="s">
        <v>345</v>
      </c>
      <c r="AB66" s="22"/>
      <c r="AC66" s="22" t="s">
        <v>346</v>
      </c>
      <c r="AD66" s="22" t="str" cm="1">
        <f t="array" ref="AD66">_xlfn.LET(_xlpm.r,_xlfn.XLOOKUP(1,( [1]Sheet1!$A:$A = MappingGuide[[#This Row],[TableName]] ) * ( [1]Sheet1!$B:$B =RIGHT( MappingGuide[[#This Row],[ColumnName]],4) ),[1]Sheet1!$L:$L,""),IF(_xlpm.r=0,"",_xlpm.r))</f>
        <v>Early payment discount logic</v>
      </c>
      <c r="AE66" s="22" t="str" cm="1">
        <f t="array" ref="AE66">_xlfn.LET(_xlpm.r,_xlfn.XLOOKUP(1,( [1]Sheet1!$A:$A = MappingGuide[[#This Row],[TableName]] ) * ( [1]Sheet1!$B:$B =RIGHT( MappingGuide[[#This Row],[ColumnName]],4) ),[1]Sheet1!$M:$M,""),IF(_xlpm.r=0,"",_xlpm.r))</f>
        <v>Automates supplier discount capture; sets terms for cash discount, used in payment scheduling to optimize financial operations.</v>
      </c>
      <c r="AF66" s="22"/>
      <c r="AG66" s="22"/>
      <c r="AH66" s="22"/>
      <c r="AI66" s="22" t="s">
        <v>91</v>
      </c>
      <c r="AJ66" s="22"/>
      <c r="AK66" s="22"/>
    </row>
    <row r="67" spans="1:37" ht="17">
      <c r="A67" s="22">
        <v>333</v>
      </c>
      <c r="B67" s="22" t="s">
        <v>248</v>
      </c>
      <c r="C67" s="22" t="s">
        <v>347</v>
      </c>
      <c r="D67" s="22" t="s">
        <v>348</v>
      </c>
      <c r="E67" s="22" t="s">
        <v>52</v>
      </c>
      <c r="F67" s="22" t="s">
        <v>44</v>
      </c>
      <c r="G67" s="22"/>
      <c r="H67" s="22"/>
      <c r="I67" s="22"/>
      <c r="J67" s="22" t="s">
        <v>253</v>
      </c>
      <c r="K67" s="22" t="s">
        <v>55</v>
      </c>
      <c r="L67" s="22"/>
      <c r="M67" s="22"/>
      <c r="N67" s="22"/>
      <c r="O67" s="22" t="s">
        <v>56</v>
      </c>
      <c r="P67" s="22" t="s">
        <v>57</v>
      </c>
      <c r="Q67" s="22" t="s">
        <v>349</v>
      </c>
      <c r="R67" s="22"/>
      <c r="S67" s="22"/>
      <c r="T67" s="22"/>
      <c r="U67" s="22"/>
      <c r="V67" s="22"/>
      <c r="W67" s="22"/>
      <c r="X67" s="22" t="s">
        <v>48</v>
      </c>
      <c r="Y67" s="22" t="s">
        <v>350</v>
      </c>
      <c r="Z67" s="22"/>
      <c r="AA67" s="22" t="s">
        <v>351</v>
      </c>
      <c r="AB67" s="22"/>
      <c r="AC67" s="22" t="s">
        <v>352</v>
      </c>
      <c r="AD67" s="22" t="str" cm="1">
        <f t="array" ref="AD67">_xlfn.LET(_xlpm.r,_xlfn.XLOOKUP(1,( [1]Sheet1!$A:$A = MappingGuide[[#This Row],[TableName]] ) * ( [1]Sheet1!$B:$B =RIGHT( MappingGuide[[#This Row],[ColumnName]],4) ),[1]Sheet1!$L:$L,""),IF(_xlpm.r=0,"",_xlpm.r))</f>
        <v>Standard contractual delivery terms</v>
      </c>
      <c r="AE67" s="22" t="str" cm="1">
        <f t="array" ref="AE67">_xlfn.LET(_xlpm.r,_xlfn.XLOOKUP(1,( [1]Sheet1!$A:$A = MappingGuide[[#This Row],[TableName]] ) * ( [1]Sheet1!$B:$B =RIGHT( MappingGuide[[#This Row],[ColumnName]],4) ),[1]Sheet1!$M:$M,""),IF(_xlpm.r=0,"",_xlpm.r))</f>
        <v>Maps PO delivery terms, sets transfer of responsibility/economic ownership milestones (FOB, CIF, DDP), required for regulatory and contractual shipping compliance. The field indicates delivery terms, which define when the responsibility for a delivery is transferred from the supplier to the company. M3 will assign the Term during PPOs and PO creations</v>
      </c>
      <c r="AF67" s="22"/>
      <c r="AG67" s="22"/>
      <c r="AH67" s="22"/>
      <c r="AI67" s="22" t="s">
        <v>48</v>
      </c>
      <c r="AJ67" s="22" t="s">
        <v>350</v>
      </c>
      <c r="AK67" s="22"/>
    </row>
    <row r="68" spans="1:37" ht="17">
      <c r="A68" s="22">
        <v>334</v>
      </c>
      <c r="B68" s="22" t="s">
        <v>248</v>
      </c>
      <c r="C68" s="22" t="s">
        <v>353</v>
      </c>
      <c r="D68" s="22" t="s">
        <v>354</v>
      </c>
      <c r="E68" s="22" t="s">
        <v>52</v>
      </c>
      <c r="F68" s="22" t="s">
        <v>44</v>
      </c>
      <c r="G68" s="22"/>
      <c r="H68" s="22"/>
      <c r="I68" s="22"/>
      <c r="J68" s="22" t="s">
        <v>253</v>
      </c>
      <c r="K68" s="22" t="s">
        <v>55</v>
      </c>
      <c r="L68" s="22"/>
      <c r="M68" s="22"/>
      <c r="N68" s="22"/>
      <c r="O68" s="22" t="s">
        <v>56</v>
      </c>
      <c r="P68" s="22" t="s">
        <v>57</v>
      </c>
      <c r="Q68" s="22" t="s">
        <v>355</v>
      </c>
      <c r="R68" s="22"/>
      <c r="S68" s="22"/>
      <c r="T68" s="22"/>
      <c r="U68" s="22"/>
      <c r="V68" s="22"/>
      <c r="W68" s="22"/>
      <c r="X68" s="22" t="s">
        <v>48</v>
      </c>
      <c r="Y68" s="22" t="s">
        <v>44</v>
      </c>
      <c r="Z68" s="22"/>
      <c r="AA68" s="22" t="s">
        <v>356</v>
      </c>
      <c r="AB68" s="22"/>
      <c r="AC68" s="22" t="s">
        <v>357</v>
      </c>
      <c r="AD68" s="22" t="str" cm="1">
        <f t="array" ref="AD68">_xlfn.LET(_xlpm.r,_xlfn.XLOOKUP(1,( [1]Sheet1!$A:$A = MappingGuide[[#This Row],[TableName]] ) * ( [1]Sheet1!$B:$B =RIGHT( MappingGuide[[#This Row],[ColumnName]],4) ),[1]Sheet1!$L:$L,""),IF(_xlpm.r=0,"",_xlpm.r))</f>
        <v/>
      </c>
      <c r="AE68" s="22" t="str" cm="1">
        <f t="array" ref="AE68">_xlfn.LET(_xlpm.r,_xlfn.XLOOKUP(1,( [1]Sheet1!$A:$A = MappingGuide[[#This Row],[TableName]] ) * ( [1]Sheet1!$B:$B =RIGHT( MappingGuide[[#This Row],[ColumnName]],4) ),[1]Sheet1!$M:$M,""),IF(_xlpm.r=0,"",_xlpm.r))</f>
        <v>default delivery is made. The Delivery mode is fetched during PO creation (and can be overridden). Ex: Road, Sea, Air...</v>
      </c>
      <c r="AF68" s="22"/>
      <c r="AG68" s="22"/>
      <c r="AH68" s="22"/>
      <c r="AI68" s="22" t="s">
        <v>48</v>
      </c>
      <c r="AJ68" s="22" t="s">
        <v>358</v>
      </c>
      <c r="AK68" s="22"/>
    </row>
    <row r="69" spans="1:37" ht="17">
      <c r="A69" s="22">
        <v>335</v>
      </c>
      <c r="B69" s="22" t="s">
        <v>248</v>
      </c>
      <c r="C69" s="22" t="s">
        <v>359</v>
      </c>
      <c r="D69" s="22" t="s">
        <v>360</v>
      </c>
      <c r="E69" s="22" t="s">
        <v>52</v>
      </c>
      <c r="F69" s="22" t="s">
        <v>44</v>
      </c>
      <c r="G69" s="22"/>
      <c r="H69" s="22"/>
      <c r="I69" s="22"/>
      <c r="J69" s="22" t="s">
        <v>253</v>
      </c>
      <c r="K69" s="22" t="s">
        <v>55</v>
      </c>
      <c r="L69" s="22"/>
      <c r="M69" s="22"/>
      <c r="N69" s="22"/>
      <c r="O69" s="22" t="s">
        <v>56</v>
      </c>
      <c r="P69" s="22" t="s">
        <v>57</v>
      </c>
      <c r="Q69" s="22" t="s">
        <v>361</v>
      </c>
      <c r="R69" s="22"/>
      <c r="S69" s="22"/>
      <c r="T69" s="22"/>
      <c r="U69" s="22"/>
      <c r="V69" s="22"/>
      <c r="W69" s="22"/>
      <c r="X69" s="22" t="s">
        <v>48</v>
      </c>
      <c r="Y69" s="22" t="s">
        <v>64</v>
      </c>
      <c r="Z69" s="22"/>
      <c r="AA69" s="22" t="s">
        <v>362</v>
      </c>
      <c r="AB69" s="22"/>
      <c r="AC69" s="22" t="s">
        <v>363</v>
      </c>
      <c r="AD69" s="22" t="str" cm="1">
        <f t="array" ref="AD69">_xlfn.LET(_xlpm.r,_xlfn.XLOOKUP(1,( [1]Sheet1!$A:$A = MappingGuide[[#This Row],[TableName]] ) * ( [1]Sheet1!$B:$B =RIGHT( MappingGuide[[#This Row],[ColumnName]],4) ),[1]Sheet1!$L:$L,""),IF(_xlpm.r=0,"",_xlpm.r))</f>
        <v>Logistics and packaging requirements</v>
      </c>
      <c r="AE69" s="22" t="str" cm="1">
        <f t="array" ref="AE69">_xlfn.LET(_xlpm.r,_xlfn.XLOOKUP(1,( [1]Sheet1!$A:$A = MappingGuide[[#This Row],[TableName]] ) * ( [1]Sheet1!$B:$B =RIGHT( MappingGuide[[#This Row],[ColumnName]],4) ),[1]Sheet1!$M:$M,""),IF(_xlpm.r=0,"",_xlpm.r))</f>
        <v>The field indicates what terms apply when goods are packed. Packaging terms can be printed on PO documents. Optional.</v>
      </c>
      <c r="AF69" s="22"/>
      <c r="AG69" s="22"/>
      <c r="AH69" s="22"/>
      <c r="AI69" s="22" t="s">
        <v>48</v>
      </c>
      <c r="AJ69" s="22" t="s">
        <v>364</v>
      </c>
      <c r="AK69" s="22"/>
    </row>
    <row r="70" spans="1:37" ht="17">
      <c r="A70" s="22">
        <v>336</v>
      </c>
      <c r="B70" s="22" t="s">
        <v>248</v>
      </c>
      <c r="C70" s="22" t="s">
        <v>365</v>
      </c>
      <c r="D70" s="22" t="s">
        <v>366</v>
      </c>
      <c r="E70" s="22" t="s">
        <v>52</v>
      </c>
      <c r="F70" s="22" t="s">
        <v>44</v>
      </c>
      <c r="G70" s="22"/>
      <c r="H70" s="22"/>
      <c r="I70" s="22"/>
      <c r="J70" s="22" t="s">
        <v>253</v>
      </c>
      <c r="K70" s="22" t="s">
        <v>55</v>
      </c>
      <c r="L70" s="22"/>
      <c r="M70" s="22"/>
      <c r="N70" s="22"/>
      <c r="O70" s="22" t="s">
        <v>56</v>
      </c>
      <c r="P70" s="22" t="s">
        <v>57</v>
      </c>
      <c r="Q70" s="22" t="s">
        <v>367</v>
      </c>
      <c r="R70" s="22"/>
      <c r="S70" s="22"/>
      <c r="T70" s="22"/>
      <c r="U70" s="22"/>
      <c r="V70" s="22"/>
      <c r="W70" s="22"/>
      <c r="X70" s="22"/>
      <c r="Y70" s="22"/>
      <c r="Z70" s="22"/>
      <c r="AA70" s="22" t="s">
        <v>368</v>
      </c>
      <c r="AB70" s="22"/>
      <c r="AC70" s="22" t="s">
        <v>369</v>
      </c>
      <c r="AD70" s="22" t="str" cm="1">
        <f t="array" ref="AD70">_xlfn.LET(_xlpm.r,_xlfn.XLOOKUP(1,( [1]Sheet1!$A:$A = MappingGuide[[#This Row],[TableName]] ) * ( [1]Sheet1!$B:$B =RIGHT( MappingGuide[[#This Row],[ColumnName]],4) ),[1]Sheet1!$L:$L,""),IF(_xlpm.r=0,"",_xlpm.r))</f>
        <v/>
      </c>
      <c r="AE70" s="22" t="str" cm="1">
        <f t="array" ref="AE70">_xlfn.LET(_xlpm.r,_xlfn.XLOOKUP(1,( [1]Sheet1!$A:$A = MappingGuide[[#This Row],[TableName]] ) * ( [1]Sheet1!$B:$B =RIGHT( MappingGuide[[#This Row],[ColumnName]],4) ),[1]Sheet1!$M:$M,""),IF(_xlpm.r=0,"",_xlpm.r))</f>
        <v xml:space="preserve">The field indicates the freight terms which apply for the delivered goods;  Freight Terms (in CRS126) typically include standard agreements like Incoterms (e.g., FOB, CIF, DDP) that specify the point of title passage and responsibility for freight charges. This setup ensures that freight agreements and charges are consistently applied within purchasing, order handling, and transportation processes in M3. M3 is designed to expect a value here, even if no specific term was agreed with the vendor. In this scenario we can create a 'None' record and select it during the supplier creation. </v>
      </c>
      <c r="AF70" s="22"/>
      <c r="AG70" s="22"/>
      <c r="AH70" s="22"/>
      <c r="AI70" s="22" t="s">
        <v>91</v>
      </c>
      <c r="AJ70" s="22"/>
      <c r="AK70" s="22"/>
    </row>
    <row r="71" spans="1:37" ht="17">
      <c r="A71" s="22">
        <v>337</v>
      </c>
      <c r="B71" s="22" t="s">
        <v>248</v>
      </c>
      <c r="C71" s="22" t="s">
        <v>370</v>
      </c>
      <c r="D71" s="22" t="s">
        <v>371</v>
      </c>
      <c r="E71" s="22" t="s">
        <v>43</v>
      </c>
      <c r="F71" s="22" t="s">
        <v>64</v>
      </c>
      <c r="G71" s="22"/>
      <c r="H71" s="22"/>
      <c r="I71" s="22"/>
      <c r="J71" s="22" t="s">
        <v>253</v>
      </c>
      <c r="K71" s="22" t="s">
        <v>55</v>
      </c>
      <c r="L71" s="22"/>
      <c r="M71" s="22"/>
      <c r="N71" s="22"/>
      <c r="O71" s="22" t="s">
        <v>56</v>
      </c>
      <c r="P71" s="22" t="s">
        <v>57</v>
      </c>
      <c r="Q71" s="22" t="s">
        <v>372</v>
      </c>
      <c r="R71" s="22" t="s">
        <v>48</v>
      </c>
      <c r="S71" s="22"/>
      <c r="T71" s="22"/>
      <c r="U71" s="22"/>
      <c r="V71" s="22"/>
      <c r="W71" s="22"/>
      <c r="X71" s="22" t="s">
        <v>48</v>
      </c>
      <c r="Y71" s="22" t="s">
        <v>64</v>
      </c>
      <c r="Z71" s="22"/>
      <c r="AA71" s="22" t="s">
        <v>373</v>
      </c>
      <c r="AB71" s="22" t="s">
        <v>374</v>
      </c>
      <c r="AC71" s="22"/>
      <c r="AD71" s="22" t="str" cm="1">
        <f t="array" ref="AD71">_xlfn.LET(_xlpm.r,_xlfn.XLOOKUP(1,( [1]Sheet1!$A:$A = MappingGuide[[#This Row],[TableName]] ) * ( [1]Sheet1!$B:$B =RIGHT( MappingGuide[[#This Row],[ColumnName]],4) ),[1]Sheet1!$L:$L,""),IF(_xlpm.r=0,"",_xlpm.r))</f>
        <v>PO date type</v>
      </c>
      <c r="AE71" s="22" t="str" cm="1">
        <f t="array" ref="AE71">_xlfn.LET(_xlpm.r,_xlfn.XLOOKUP(1,( [1]Sheet1!$A:$A = MappingGuide[[#This Row],[TableName]] ) * ( [1]Sheet1!$B:$B =RIGHT( MappingGuide[[#This Row],[ColumnName]],4) ),[1]Sheet1!$M:$M,""),IF(_xlpm.r=0,"",_xlpm.r))</f>
        <v xml:space="preserve">Important field. It indicates the date type, which determines the date that is registered on the purchase order line. The selection between alternative 1 and 2 also depends of the Incoterm.
Alternatives are: 1- Requested delivery date; 2- Planned put-away date; 3- Requested delivery date (cannot be overriden) ; 4 = Requested delivery date including hour and minutes. </v>
      </c>
      <c r="AF71" s="22"/>
      <c r="AG71" s="22"/>
      <c r="AH71" s="22"/>
      <c r="AI71" s="22" t="s">
        <v>48</v>
      </c>
      <c r="AJ71" s="22" t="s">
        <v>64</v>
      </c>
      <c r="AK71" s="22"/>
    </row>
    <row r="72" spans="1:37" ht="17">
      <c r="A72" s="22">
        <v>338</v>
      </c>
      <c r="B72" s="22" t="s">
        <v>248</v>
      </c>
      <c r="C72" s="22" t="s">
        <v>375</v>
      </c>
      <c r="D72" s="22" t="s">
        <v>376</v>
      </c>
      <c r="E72" s="22" t="s">
        <v>52</v>
      </c>
      <c r="F72" s="22" t="s">
        <v>64</v>
      </c>
      <c r="G72" s="22"/>
      <c r="H72" s="22"/>
      <c r="I72" s="22"/>
      <c r="J72" s="22" t="s">
        <v>253</v>
      </c>
      <c r="K72" s="22" t="s">
        <v>169</v>
      </c>
      <c r="L72" s="22"/>
      <c r="M72" s="22"/>
      <c r="N72" s="22"/>
      <c r="O72" s="22" t="s">
        <v>56</v>
      </c>
      <c r="P72" s="22" t="s">
        <v>57</v>
      </c>
      <c r="Q72" s="22" t="s">
        <v>377</v>
      </c>
      <c r="R72" s="22"/>
      <c r="S72" s="22"/>
      <c r="T72" s="22"/>
      <c r="U72" s="22"/>
      <c r="V72" s="22"/>
      <c r="W72" s="22"/>
      <c r="X72" s="22"/>
      <c r="Y72" s="22"/>
      <c r="Z72" s="22"/>
      <c r="AA72" s="22" t="s">
        <v>378</v>
      </c>
      <c r="AB72" s="22" t="s">
        <v>379</v>
      </c>
      <c r="AC72" s="22"/>
      <c r="AD72" s="22" t="str" cm="1">
        <f t="array" ref="AD72">_xlfn.LET(_xlpm.r,_xlfn.XLOOKUP(1,( [1]Sheet1!$A:$A = MappingGuide[[#This Row],[TableName]] ) * ( [1]Sheet1!$B:$B =RIGHT( MappingGuide[[#This Row],[ColumnName]],4) ),[1]Sheet1!$L:$L,""),IF(_xlpm.r=0,"",_xlpm.r))</f>
        <v>Payment proposal sort order</v>
      </c>
      <c r="AE72" s="22" t="str" cm="1">
        <f t="array" ref="AE72">_xlfn.LET(_xlpm.r,_xlfn.XLOOKUP(1,( [1]Sheet1!$A:$A = MappingGuide[[#This Row],[TableName]] ) * ( [1]Sheet1!$B:$B =RIGHT( MappingGuide[[#This Row],[ColumnName]],4) ),[1]Sheet1!$M:$M,""),IF(_xlpm.r=0,"",_xlpm.r))</f>
        <v>Prioritizes payments for AP team, controls selection logic for payment batches per supplier. If selected for the supplier, is used as selection criteria in connection with payment proposals in Accounts Payable. Optional. If used, selection (dropdown) from 1 to 9.</v>
      </c>
      <c r="AF72" s="22"/>
      <c r="AG72" s="22"/>
      <c r="AH72" s="22"/>
      <c r="AI72" s="22" t="s">
        <v>91</v>
      </c>
      <c r="AJ72" s="22"/>
      <c r="AK72" s="22"/>
    </row>
    <row r="73" spans="1:37" ht="17">
      <c r="A73" s="22">
        <v>339</v>
      </c>
      <c r="B73" s="22" t="s">
        <v>248</v>
      </c>
      <c r="C73" s="22" t="s">
        <v>380</v>
      </c>
      <c r="D73" s="22" t="s">
        <v>381</v>
      </c>
      <c r="E73" s="22" t="s">
        <v>43</v>
      </c>
      <c r="F73" s="22" t="s">
        <v>64</v>
      </c>
      <c r="G73" s="22"/>
      <c r="H73" s="22"/>
      <c r="I73" s="22"/>
      <c r="J73" s="22" t="s">
        <v>253</v>
      </c>
      <c r="K73" s="22" t="s">
        <v>169</v>
      </c>
      <c r="L73" s="22"/>
      <c r="M73" s="22"/>
      <c r="N73" s="22"/>
      <c r="O73" s="22" t="s">
        <v>56</v>
      </c>
      <c r="P73" s="22" t="s">
        <v>57</v>
      </c>
      <c r="Q73" s="22" t="s">
        <v>382</v>
      </c>
      <c r="R73" s="22"/>
      <c r="S73" s="22"/>
      <c r="T73" s="22"/>
      <c r="U73" s="22"/>
      <c r="V73" s="22"/>
      <c r="W73" s="22"/>
      <c r="X73" s="22"/>
      <c r="Y73" s="22"/>
      <c r="Z73" s="22"/>
      <c r="AA73" s="22" t="s">
        <v>383</v>
      </c>
      <c r="AB73" s="22" t="s">
        <v>384</v>
      </c>
      <c r="AC73" s="22"/>
      <c r="AD73" s="22" t="str" cm="1">
        <f t="array" ref="AD73">_xlfn.LET(_xlpm.r,_xlfn.XLOOKUP(1,( [1]Sheet1!$A:$A = MappingGuide[[#This Row],[TableName]] ) * ( [1]Sheet1!$B:$B =RIGHT( MappingGuide[[#This Row],[ColumnName]],4) ),[1]Sheet1!$L:$L,""),IF(_xlpm.r=0,"",_xlpm.r))</f>
        <v/>
      </c>
      <c r="AE73" s="22" t="str" cm="1">
        <f t="array" ref="AE73">_xlfn.LET(_xlpm.r,_xlfn.XLOOKUP(1,( [1]Sheet1!$A:$A = MappingGuide[[#This Row],[TableName]] ) * ( [1]Sheet1!$B:$B =RIGHT( MappingGuide[[#This Row],[ColumnName]],4) ),[1]Sheet1!$M:$M,""),IF(_xlpm.r=0,"",_xlpm.r))</f>
        <v>The field indicates whether it is possible to enter the invoice as Invoiced/Goods not received when the invoice is matched to a PO in</v>
      </c>
      <c r="AF73" s="22"/>
      <c r="AG73" s="22"/>
      <c r="AH73" s="22"/>
      <c r="AI73" s="22" t="s">
        <v>91</v>
      </c>
      <c r="AJ73" s="22"/>
      <c r="AK73" s="22"/>
    </row>
    <row r="74" spans="1:37" ht="17">
      <c r="A74" s="22">
        <v>340</v>
      </c>
      <c r="B74" s="22" t="s">
        <v>248</v>
      </c>
      <c r="C74" s="22" t="s">
        <v>385</v>
      </c>
      <c r="D74" s="22" t="s">
        <v>386</v>
      </c>
      <c r="E74" s="22" t="s">
        <v>43</v>
      </c>
      <c r="F74" s="22" t="s">
        <v>64</v>
      </c>
      <c r="G74" s="22"/>
      <c r="H74" s="22"/>
      <c r="I74" s="22"/>
      <c r="J74" s="22" t="s">
        <v>253</v>
      </c>
      <c r="K74" s="22" t="s">
        <v>169</v>
      </c>
      <c r="L74" s="22"/>
      <c r="M74" s="22"/>
      <c r="N74" s="22"/>
      <c r="O74" s="22" t="s">
        <v>56</v>
      </c>
      <c r="P74" s="22" t="s">
        <v>57</v>
      </c>
      <c r="Q74" s="22" t="s">
        <v>387</v>
      </c>
      <c r="R74" s="22"/>
      <c r="S74" s="22"/>
      <c r="T74" s="22"/>
      <c r="U74" s="22"/>
      <c r="V74" s="22"/>
      <c r="W74" s="22"/>
      <c r="X74" s="22"/>
      <c r="Y74" s="22"/>
      <c r="Z74" s="22"/>
      <c r="AA74" s="22" t="s">
        <v>388</v>
      </c>
      <c r="AB74" s="22" t="s">
        <v>389</v>
      </c>
      <c r="AC74" s="22"/>
      <c r="AD74" s="22" t="str" cm="1">
        <f t="array" ref="AD74">_xlfn.LET(_xlpm.r,_xlfn.XLOOKUP(1,( [1]Sheet1!$A:$A = MappingGuide[[#This Row],[TableName]] ) * ( [1]Sheet1!$B:$B =RIGHT( MappingGuide[[#This Row],[ColumnName]],4) ),[1]Sheet1!$L:$L,""),IF(_xlpm.r=0,"",_xlpm.r))</f>
        <v/>
      </c>
      <c r="AE74" s="22" t="str" cm="1">
        <f t="array" ref="AE74">_xlfn.LET(_xlpm.r,_xlfn.XLOOKUP(1,( [1]Sheet1!$A:$A = MappingGuide[[#This Row],[TableName]] ) * ( [1]Sheet1!$B:$B =RIGHT( MappingGuide[[#This Row],[ColumnName]],4) ),[1]Sheet1!$M:$M,""),IF(_xlpm.r=0,"",_xlpm.r))</f>
        <v>The field indicates the value against which the invoice quantity is checked during the automatic invoice check.</v>
      </c>
      <c r="AF74" s="22"/>
      <c r="AG74" s="22"/>
      <c r="AH74" s="22"/>
      <c r="AI74" s="22" t="s">
        <v>91</v>
      </c>
      <c r="AJ74" s="22"/>
      <c r="AK74" s="22"/>
    </row>
    <row r="75" spans="1:37" ht="17">
      <c r="A75" s="22">
        <v>341</v>
      </c>
      <c r="B75" s="22" t="s">
        <v>248</v>
      </c>
      <c r="C75" s="22" t="s">
        <v>390</v>
      </c>
      <c r="D75" s="22" t="s">
        <v>391</v>
      </c>
      <c r="E75" s="22" t="s">
        <v>43</v>
      </c>
      <c r="F75" s="22" t="s">
        <v>64</v>
      </c>
      <c r="G75" s="22"/>
      <c r="H75" s="22"/>
      <c r="I75" s="22"/>
      <c r="J75" s="22" t="s">
        <v>253</v>
      </c>
      <c r="K75" s="22" t="s">
        <v>169</v>
      </c>
      <c r="L75" s="22"/>
      <c r="M75" s="22"/>
      <c r="N75" s="22"/>
      <c r="O75" s="22" t="s">
        <v>56</v>
      </c>
      <c r="P75" s="22" t="s">
        <v>57</v>
      </c>
      <c r="Q75" s="22" t="s">
        <v>392</v>
      </c>
      <c r="R75" s="22"/>
      <c r="S75" s="22"/>
      <c r="T75" s="22"/>
      <c r="U75" s="22"/>
      <c r="V75" s="22"/>
      <c r="W75" s="22"/>
      <c r="X75" s="22"/>
      <c r="Y75" s="22"/>
      <c r="Z75" s="22"/>
      <c r="AA75" s="22" t="s">
        <v>393</v>
      </c>
      <c r="AB75" s="22" t="s">
        <v>394</v>
      </c>
      <c r="AC75" s="22"/>
      <c r="AD75" s="22" t="str" cm="1">
        <f t="array" ref="AD75">_xlfn.LET(_xlpm.r,_xlfn.XLOOKUP(1,( [1]Sheet1!$A:$A = MappingGuide[[#This Row],[TableName]] ) * ( [1]Sheet1!$B:$B =RIGHT( MappingGuide[[#This Row],[ColumnName]],4) ),[1]Sheet1!$L:$L,""),IF(_xlpm.r=0,"",_xlpm.r))</f>
        <v/>
      </c>
      <c r="AE75" s="22" t="str" cm="1">
        <f t="array" ref="AE75">_xlfn.LET(_xlpm.r,_xlfn.XLOOKUP(1,( [1]Sheet1!$A:$A = MappingGuide[[#This Row],[TableName]] ) * ( [1]Sheet1!$B:$B =RIGHT( MappingGuide[[#This Row],[ColumnName]],4) ),[1]Sheet1!$M:$M,""),IF(_xlpm.r=0,"",_xlpm.r))</f>
        <v>The field indicates whether it is possible to create a debit note in the invoice matching routine</v>
      </c>
      <c r="AF75" s="22"/>
      <c r="AG75" s="22"/>
      <c r="AH75" s="22"/>
      <c r="AI75" s="22" t="s">
        <v>91</v>
      </c>
      <c r="AJ75" s="22"/>
      <c r="AK75" s="22"/>
    </row>
    <row r="76" spans="1:37" ht="17">
      <c r="A76" s="22">
        <v>342</v>
      </c>
      <c r="B76" s="22" t="s">
        <v>248</v>
      </c>
      <c r="C76" s="22" t="s">
        <v>395</v>
      </c>
      <c r="D76" s="22" t="s">
        <v>396</v>
      </c>
      <c r="E76" s="22" t="s">
        <v>43</v>
      </c>
      <c r="F76" s="22" t="s">
        <v>64</v>
      </c>
      <c r="G76" s="22"/>
      <c r="H76" s="22"/>
      <c r="I76" s="22"/>
      <c r="J76" s="22" t="s">
        <v>253</v>
      </c>
      <c r="K76" s="22" t="s">
        <v>169</v>
      </c>
      <c r="L76" s="22"/>
      <c r="M76" s="22"/>
      <c r="N76" s="22"/>
      <c r="O76" s="22" t="s">
        <v>56</v>
      </c>
      <c r="P76" s="22" t="s">
        <v>57</v>
      </c>
      <c r="Q76" s="22" t="s">
        <v>397</v>
      </c>
      <c r="R76" s="22"/>
      <c r="S76" s="22"/>
      <c r="T76" s="22"/>
      <c r="U76" s="22"/>
      <c r="V76" s="22"/>
      <c r="W76" s="22"/>
      <c r="X76" s="22"/>
      <c r="Y76" s="22"/>
      <c r="Z76" s="22"/>
      <c r="AA76" s="22" t="s">
        <v>398</v>
      </c>
      <c r="AB76" s="22" t="s">
        <v>399</v>
      </c>
      <c r="AC76" s="22"/>
      <c r="AD76" s="22" t="str" cm="1">
        <f t="array" ref="AD76">_xlfn.LET(_xlpm.r,_xlfn.XLOOKUP(1,( [1]Sheet1!$A:$A = MappingGuide[[#This Row],[TableName]] ) * ( [1]Sheet1!$B:$B =RIGHT( MappingGuide[[#This Row],[ColumnName]],4) ),[1]Sheet1!$L:$L,""),IF(_xlpm.r=0,"",_xlpm.r))</f>
        <v>Invoice approval logic</v>
      </c>
      <c r="AE76" s="22" t="str" cm="1">
        <f t="array" ref="AE76">_xlfn.LET(_xlpm.r,_xlfn.XLOOKUP(1,( [1]Sheet1!$A:$A = MappingGuide[[#This Row],[TableName]] ) * ( [1]Sheet1!$B:$B =RIGHT( MappingGuide[[#This Row],[ColumnName]],4) ),[1]Sheet1!$M:$M,""),IF(_xlpm.r=0,"",_xlpm.r))</f>
        <v>Manual or auto approval; enables automated invoice processing when goods are received, reduces manual intervention, speeds workflow.</v>
      </c>
      <c r="AF76" s="22"/>
      <c r="AG76" s="22"/>
      <c r="AH76" s="22"/>
      <c r="AI76" s="22" t="s">
        <v>91</v>
      </c>
      <c r="AJ76" s="22"/>
      <c r="AK76" s="22"/>
    </row>
    <row r="77" spans="1:37" ht="17">
      <c r="A77" s="22">
        <v>343</v>
      </c>
      <c r="B77" s="22" t="s">
        <v>248</v>
      </c>
      <c r="C77" s="22" t="s">
        <v>400</v>
      </c>
      <c r="D77" s="22" t="s">
        <v>401</v>
      </c>
      <c r="E77" s="22" t="s">
        <v>52</v>
      </c>
      <c r="F77" s="22" t="s">
        <v>44</v>
      </c>
      <c r="G77" s="22"/>
      <c r="H77" s="22"/>
      <c r="I77" s="22"/>
      <c r="J77" s="22" t="s">
        <v>253</v>
      </c>
      <c r="K77" s="22" t="s">
        <v>55</v>
      </c>
      <c r="L77" s="22"/>
      <c r="M77" s="22"/>
      <c r="N77" s="22"/>
      <c r="O77" s="22" t="s">
        <v>56</v>
      </c>
      <c r="P77" s="22" t="s">
        <v>57</v>
      </c>
      <c r="Q77" s="22" t="s">
        <v>402</v>
      </c>
      <c r="R77" s="22"/>
      <c r="S77" s="22"/>
      <c r="T77" s="22"/>
      <c r="U77" s="22"/>
      <c r="V77" s="22"/>
      <c r="W77" s="22"/>
      <c r="X77" s="22"/>
      <c r="Y77" s="22"/>
      <c r="Z77" s="22"/>
      <c r="AA77" s="22" t="s">
        <v>403</v>
      </c>
      <c r="AB77" s="22"/>
      <c r="AC77" s="22" t="s">
        <v>404</v>
      </c>
      <c r="AD77" s="22" t="str" cm="1">
        <f t="array" ref="AD77">_xlfn.LET(_xlpm.r,_xlfn.XLOOKUP(1,( [1]Sheet1!$A:$A = MappingGuide[[#This Row],[TableName]] ) * ( [1]Sheet1!$B:$B =RIGHT( MappingGuide[[#This Row],[ColumnName]],4) ),[1]Sheet1!$L:$L,""),IF(_xlpm.r=0,"",_xlpm.r))</f>
        <v/>
      </c>
      <c r="AE77" s="22" t="str" cm="1">
        <f t="array" ref="AE77">_xlfn.LET(_xlpm.r,_xlfn.XLOOKUP(1,( [1]Sheet1!$A:$A = MappingGuide[[#This Row],[TableName]] ) * ( [1]Sheet1!$B:$B =RIGHT( MappingGuide[[#This Row],[ColumnName]],4) ),[1]Sheet1!$M:$M,""),IF(_xlpm.r=0,"",_xlpm.r))</f>
        <v>This field indicates a list with actions to be performed for a given purchase order. The idea is to set an action date for each action, which is specified as days before/after the delivery date or order date. This functionality helps ensure deliveries and order confirmations are tracked effectively as part of the procurement and supply chain process. It can be activated here at the vendor level, for new suppliers for example. It acts as a follow-up and monitoring tool for purchasing teams to keep supplier orders under review and manage timely execution of supply commitments</v>
      </c>
      <c r="AF77" s="22"/>
      <c r="AG77" s="22"/>
      <c r="AH77" s="22"/>
      <c r="AI77" s="22" t="s">
        <v>91</v>
      </c>
      <c r="AJ77" s="22"/>
      <c r="AK77" s="22"/>
    </row>
    <row r="78" spans="1:37" ht="17">
      <c r="A78" s="22">
        <v>344</v>
      </c>
      <c r="B78" s="22" t="s">
        <v>248</v>
      </c>
      <c r="C78" s="22" t="s">
        <v>405</v>
      </c>
      <c r="D78" s="22" t="s">
        <v>406</v>
      </c>
      <c r="E78" s="22" t="s">
        <v>52</v>
      </c>
      <c r="F78" s="22" t="s">
        <v>82</v>
      </c>
      <c r="G78" s="22"/>
      <c r="H78" s="22"/>
      <c r="I78" s="22"/>
      <c r="J78" s="22" t="s">
        <v>253</v>
      </c>
      <c r="K78" s="22" t="s">
        <v>55</v>
      </c>
      <c r="L78" s="22"/>
      <c r="M78" s="22"/>
      <c r="N78" s="22"/>
      <c r="O78" s="22" t="s">
        <v>56</v>
      </c>
      <c r="P78" s="22" t="s">
        <v>57</v>
      </c>
      <c r="Q78" s="22" t="s">
        <v>407</v>
      </c>
      <c r="R78" s="22"/>
      <c r="S78" s="22"/>
      <c r="T78" s="22"/>
      <c r="U78" s="22"/>
      <c r="V78" s="22"/>
      <c r="W78" s="22"/>
      <c r="X78" s="22"/>
      <c r="Y78" s="22"/>
      <c r="Z78" s="22"/>
      <c r="AA78" s="22" t="s">
        <v>408</v>
      </c>
      <c r="AB78" s="22"/>
      <c r="AC78" s="22" t="s">
        <v>409</v>
      </c>
      <c r="AD78" s="22" t="str" cm="1">
        <f t="array" ref="AD78">_xlfn.LET(_xlpm.r,_xlfn.XLOOKUP(1,( [1]Sheet1!$A:$A = MappingGuide[[#This Row],[TableName]] ) * ( [1]Sheet1!$B:$B =RIGHT( MappingGuide[[#This Row],[ColumnName]],4) ),[1]Sheet1!$L:$L,""),IF(_xlpm.r=0,"",_xlpm.r))</f>
        <v>Monitoring/follow-up classification</v>
      </c>
      <c r="AE78" s="22" t="str" cm="1">
        <f t="array" ref="AE78">_xlfn.LET(_xlpm.r,_xlfn.XLOOKUP(1,( [1]Sheet1!$A:$A = MappingGuide[[#This Row],[TableName]] ) * ( [1]Sheet1!$B:$B =RIGHT( MappingGuide[[#This Row],[ColumnName]],4) ),[1]Sheet1!$M:$M,""),IF(_xlpm.r=0,"",_xlpm.r))</f>
        <v>Monitoring Classes are classifications used for following up on deliveries and transportation from suppliers. Unlike quality classes which focus on product quality, monitor classes are oriented toward supplier performance tracking and delivery monitoring. Monitoring classes in Infor M3 are entirely manual classification tools that require active management by your Procure-to-Pay (P2P) team. M3's monitoring class field is not automatically updated by the system—it serves as a manual input field that you must maintain based on your analysis of supplier performance statistics (which are done in M3). Useful field as long as the P2P team designs a workflow on Suppliers stats.</v>
      </c>
      <c r="AF78" s="22"/>
      <c r="AG78" s="22"/>
      <c r="AH78" s="22"/>
      <c r="AI78" s="22" t="s">
        <v>91</v>
      </c>
      <c r="AJ78" s="22"/>
      <c r="AK78" s="22"/>
    </row>
    <row r="79" spans="1:37" ht="17">
      <c r="A79" s="22">
        <v>345</v>
      </c>
      <c r="B79" s="22" t="s">
        <v>248</v>
      </c>
      <c r="C79" s="22" t="s">
        <v>410</v>
      </c>
      <c r="D79" s="22" t="s">
        <v>411</v>
      </c>
      <c r="E79" s="22" t="s">
        <v>43</v>
      </c>
      <c r="F79" s="22" t="s">
        <v>64</v>
      </c>
      <c r="G79" s="22"/>
      <c r="H79" s="22"/>
      <c r="I79" s="22"/>
      <c r="J79" s="22" t="s">
        <v>253</v>
      </c>
      <c r="K79" s="22" t="s">
        <v>55</v>
      </c>
      <c r="L79" s="22"/>
      <c r="M79" s="22"/>
      <c r="N79" s="22"/>
      <c r="O79" s="22" t="s">
        <v>56</v>
      </c>
      <c r="P79" s="22" t="s">
        <v>57</v>
      </c>
      <c r="Q79" s="22" t="s">
        <v>412</v>
      </c>
      <c r="R79" s="22"/>
      <c r="S79" s="22"/>
      <c r="T79" s="22"/>
      <c r="U79" s="22"/>
      <c r="V79" s="22"/>
      <c r="W79" s="22"/>
      <c r="X79" s="22"/>
      <c r="Y79" s="22"/>
      <c r="Z79" s="22"/>
      <c r="AA79" s="22" t="s">
        <v>413</v>
      </c>
      <c r="AB79" s="22" t="s">
        <v>414</v>
      </c>
      <c r="AC79" s="22"/>
      <c r="AD79" s="22" t="str" cm="1">
        <f t="array" ref="AD79">_xlfn.LET(_xlpm.r,_xlfn.XLOOKUP(1,( [1]Sheet1!$A:$A = MappingGuide[[#This Row],[TableName]] ) * ( [1]Sheet1!$B:$B =RIGHT( MappingGuide[[#This Row],[ColumnName]],4) ),[1]Sheet1!$L:$L,""),IF(_xlpm.r=0,"",_xlpm.r))</f>
        <v/>
      </c>
      <c r="AE79" s="22" t="str" cm="1">
        <f t="array" ref="AE79">_xlfn.LET(_xlpm.r,_xlfn.XLOOKUP(1,( [1]Sheet1!$A:$A = MappingGuide[[#This Row],[TableName]] ) * ( [1]Sheet1!$B:$B =RIGHT( MappingGuide[[#This Row],[ColumnName]],4) ),[1]Sheet1!$M:$M,""),IF(_xlpm.r=0,"",_xlpm.r))</f>
        <v>The field indicates if the shipment table should be used to adjust delivery times on the purchase order. There is a table available to set PO receiving days for example. It is going to be seen by MRP when planning the receiving dates and times</v>
      </c>
      <c r="AF79" s="22"/>
      <c r="AG79" s="22"/>
      <c r="AH79" s="22"/>
      <c r="AI79" s="22" t="s">
        <v>91</v>
      </c>
      <c r="AJ79" s="22"/>
      <c r="AK79" s="22"/>
    </row>
    <row r="80" spans="1:37" ht="17">
      <c r="A80" s="22">
        <v>346</v>
      </c>
      <c r="B80" s="22" t="s">
        <v>248</v>
      </c>
      <c r="C80" s="22" t="s">
        <v>415</v>
      </c>
      <c r="D80" s="22" t="s">
        <v>416</v>
      </c>
      <c r="E80" s="22" t="s">
        <v>52</v>
      </c>
      <c r="F80" s="22" t="s">
        <v>53</v>
      </c>
      <c r="G80" s="22"/>
      <c r="H80" s="22"/>
      <c r="I80" s="22"/>
      <c r="J80" s="22"/>
      <c r="K80" s="22"/>
      <c r="L80" s="22"/>
      <c r="M80" s="22"/>
      <c r="N80" s="22"/>
      <c r="O80" s="22"/>
      <c r="P80" s="22"/>
      <c r="Q80" s="22"/>
      <c r="R80" s="22"/>
      <c r="S80" s="22"/>
      <c r="T80" s="22"/>
      <c r="U80" s="22"/>
      <c r="V80" s="22"/>
      <c r="W80" s="22"/>
      <c r="X80" s="22"/>
      <c r="Y80" s="22"/>
      <c r="Z80" s="22"/>
      <c r="AA80" s="22" t="s">
        <v>417</v>
      </c>
      <c r="AB80" s="22"/>
      <c r="AC80" s="22"/>
      <c r="AD80" s="22" t="str" cm="1">
        <f t="array" ref="AD80">_xlfn.LET(_xlpm.r,_xlfn.XLOOKUP(1,( [1]Sheet1!$A:$A = MappingGuide[[#This Row],[TableName]] ) * ( [1]Sheet1!$B:$B =RIGHT( MappingGuide[[#This Row],[ColumnName]],4) ),[1]Sheet1!$L:$L,""),IF(_xlpm.r=0,"",_xlpm.r))</f>
        <v/>
      </c>
      <c r="AE80" s="22" t="str" cm="1">
        <f t="array" ref="AE80">_xlfn.LET(_xlpm.r,_xlfn.XLOOKUP(1,( [1]Sheet1!$A:$A = MappingGuide[[#This Row],[TableName]] ) * ( [1]Sheet1!$B:$B =RIGHT( MappingGuide[[#This Row],[ColumnName]],4) ),[1]Sheet1!$M:$M,""),IF(_xlpm.r=0,"",_xlpm.r))</f>
        <v/>
      </c>
      <c r="AF80" s="22"/>
      <c r="AG80" s="22"/>
      <c r="AH80" s="22"/>
      <c r="AI80" s="22" t="s">
        <v>91</v>
      </c>
      <c r="AJ80" s="22"/>
      <c r="AK80" s="22"/>
    </row>
    <row r="81" spans="1:37" ht="17">
      <c r="A81" s="22">
        <v>347</v>
      </c>
      <c r="B81" s="22" t="s">
        <v>248</v>
      </c>
      <c r="C81" s="22" t="s">
        <v>418</v>
      </c>
      <c r="D81" s="22" t="s">
        <v>419</v>
      </c>
      <c r="E81" s="22" t="s">
        <v>43</v>
      </c>
      <c r="F81" s="22" t="s">
        <v>64</v>
      </c>
      <c r="G81" s="22"/>
      <c r="H81" s="22"/>
      <c r="I81" s="22"/>
      <c r="J81" s="22" t="s">
        <v>253</v>
      </c>
      <c r="K81" s="22" t="s">
        <v>169</v>
      </c>
      <c r="L81" s="22"/>
      <c r="M81" s="22"/>
      <c r="N81" s="22"/>
      <c r="O81" s="22" t="s">
        <v>56</v>
      </c>
      <c r="P81" s="22" t="s">
        <v>57</v>
      </c>
      <c r="Q81" s="22" t="s">
        <v>420</v>
      </c>
      <c r="R81" s="22"/>
      <c r="S81" s="22"/>
      <c r="T81" s="22"/>
      <c r="U81" s="22"/>
      <c r="V81" s="22"/>
      <c r="W81" s="22"/>
      <c r="X81" s="22"/>
      <c r="Y81" s="22"/>
      <c r="Z81" s="22"/>
      <c r="AA81" s="22" t="s">
        <v>421</v>
      </c>
      <c r="AB81" s="22"/>
      <c r="AC81" s="22"/>
      <c r="AD81" s="22" t="str" cm="1">
        <f t="array" ref="AD81">_xlfn.LET(_xlpm.r,_xlfn.XLOOKUP(1,( [1]Sheet1!$A:$A = MappingGuide[[#This Row],[TableName]] ) * ( [1]Sheet1!$B:$B =RIGHT( MappingGuide[[#This Row],[ColumnName]],4) ),[1]Sheet1!$L:$L,""),IF(_xlpm.r=0,"",_xlpm.r))</f>
        <v/>
      </c>
      <c r="AE81" s="22" t="str" cm="1">
        <f t="array" ref="AE81">_xlfn.LET(_xlpm.r,_xlfn.XLOOKUP(1,( [1]Sheet1!$A:$A = MappingGuide[[#This Row],[TableName]] ) * ( [1]Sheet1!$B:$B =RIGHT( MappingGuide[[#This Row],[ColumnName]],4) ),[1]Sheet1!$M:$M,""),IF(_xlpm.r=0,"",_xlpm.r))</f>
        <v>Flag this setting (or write '1' in the API transaction) if statistics are to be calculated for the supplier</v>
      </c>
      <c r="AF81" s="22"/>
      <c r="AG81" s="22"/>
      <c r="AH81" s="22"/>
      <c r="AI81" s="22" t="s">
        <v>91</v>
      </c>
      <c r="AJ81" s="22"/>
      <c r="AK81" s="22"/>
    </row>
    <row r="82" spans="1:37" ht="17">
      <c r="A82" s="22">
        <v>348</v>
      </c>
      <c r="B82" s="22" t="s">
        <v>248</v>
      </c>
      <c r="C82" s="22" t="s">
        <v>422</v>
      </c>
      <c r="D82" s="22" t="s">
        <v>423</v>
      </c>
      <c r="E82" s="22" t="s">
        <v>43</v>
      </c>
      <c r="F82" s="22" t="s">
        <v>82</v>
      </c>
      <c r="G82" s="22"/>
      <c r="H82" s="22"/>
      <c r="I82" s="22"/>
      <c r="J82" s="22" t="s">
        <v>253</v>
      </c>
      <c r="K82" s="22" t="s">
        <v>169</v>
      </c>
      <c r="L82" s="22"/>
      <c r="M82" s="22"/>
      <c r="N82" s="22"/>
      <c r="O82" s="22" t="s">
        <v>56</v>
      </c>
      <c r="P82" s="22" t="s">
        <v>57</v>
      </c>
      <c r="Q82" s="22" t="s">
        <v>424</v>
      </c>
      <c r="R82" s="22"/>
      <c r="S82" s="22"/>
      <c r="T82" s="22"/>
      <c r="U82" s="22"/>
      <c r="V82" s="22"/>
      <c r="W82" s="22"/>
      <c r="X82" s="22"/>
      <c r="Y82" s="22"/>
      <c r="Z82" s="22"/>
      <c r="AA82" s="22" t="s">
        <v>425</v>
      </c>
      <c r="AB82" s="22"/>
      <c r="AC82" s="22"/>
      <c r="AD82" s="22" t="str" cm="1">
        <f t="array" ref="AD82">_xlfn.LET(_xlpm.r,_xlfn.XLOOKUP(1,( [1]Sheet1!$A:$A = MappingGuide[[#This Row],[TableName]] ) * ( [1]Sheet1!$B:$B =RIGHT( MappingGuide[[#This Row],[ColumnName]],4) ),[1]Sheet1!$L:$L,""),IF(_xlpm.r=0,"",_xlpm.r))</f>
        <v/>
      </c>
      <c r="AE82" s="22" t="str" cm="1">
        <f t="array" ref="AE82">_xlfn.LET(_xlpm.r,_xlfn.XLOOKUP(1,( [1]Sheet1!$A:$A = MappingGuide[[#This Row],[TableName]] ) * ( [1]Sheet1!$B:$B =RIGHT( MappingGuide[[#This Row],[ColumnName]],4) ),[1]Sheet1!$M:$M,""),IF(_xlpm.r=0,"",_xlpm.r))</f>
        <v>The field indicates the number of years accumulated supplier statistics are to be saved</v>
      </c>
      <c r="AF82" s="22"/>
      <c r="AG82" s="22"/>
      <c r="AH82" s="22"/>
      <c r="AI82" s="22" t="s">
        <v>91</v>
      </c>
      <c r="AJ82" s="22"/>
      <c r="AK82" s="22"/>
    </row>
    <row r="83" spans="1:37" ht="17">
      <c r="A83" s="22">
        <v>349</v>
      </c>
      <c r="B83" s="22" t="s">
        <v>248</v>
      </c>
      <c r="C83" s="22" t="s">
        <v>426</v>
      </c>
      <c r="D83" s="22" t="s">
        <v>427</v>
      </c>
      <c r="E83" s="22" t="s">
        <v>43</v>
      </c>
      <c r="F83" s="22" t="s">
        <v>44</v>
      </c>
      <c r="G83" s="22"/>
      <c r="H83" s="22"/>
      <c r="I83" s="22"/>
      <c r="J83" s="22" t="s">
        <v>253</v>
      </c>
      <c r="K83" s="22" t="s">
        <v>169</v>
      </c>
      <c r="L83" s="22"/>
      <c r="M83" s="22"/>
      <c r="N83" s="22"/>
      <c r="O83" s="22" t="s">
        <v>56</v>
      </c>
      <c r="P83" s="22" t="s">
        <v>57</v>
      </c>
      <c r="Q83" s="22" t="s">
        <v>428</v>
      </c>
      <c r="R83" s="22"/>
      <c r="S83" s="22"/>
      <c r="T83" s="22"/>
      <c r="U83" s="22"/>
      <c r="V83" s="22"/>
      <c r="W83" s="22"/>
      <c r="X83" s="22"/>
      <c r="Y83" s="22"/>
      <c r="Z83" s="22"/>
      <c r="AA83" s="22" t="s">
        <v>429</v>
      </c>
      <c r="AB83" s="22"/>
      <c r="AC83" s="22" t="s">
        <v>430</v>
      </c>
      <c r="AD83" s="22" t="str" cm="1">
        <f t="array" ref="AD83">_xlfn.LET(_xlpm.r,_xlfn.XLOOKUP(1,( [1]Sheet1!$A:$A = MappingGuide[[#This Row],[TableName]] ) * ( [1]Sheet1!$B:$B =RIGHT( MappingGuide[[#This Row],[ColumnName]],4) ),[1]Sheet1!$L:$L,""),IF(_xlpm.r=0,"",_xlpm.r))</f>
        <v>Accounting string structure/model</v>
      </c>
      <c r="AE83" s="22" t="str" cm="1">
        <f t="array" ref="AE83">_xlfn.LET(_xlpm.r,_xlfn.XLOOKUP(1,( [1]Sheet1!$A:$A = MappingGuide[[#This Row],[TableName]] ) * ( [1]Sheet1!$B:$B =RIGHT( MappingGuide[[#This Row],[ColumnName]],4) ),[1]Sheet1!$M:$M,""),IF(_xlpm.r=0,"",_xlpm.r))</f>
        <v>Presets accounting structure/template, defaulted at entry for audit-ready invoice posting and reporting.</v>
      </c>
      <c r="AF83" s="22"/>
      <c r="AG83" s="22"/>
      <c r="AH83" s="22"/>
      <c r="AI83" s="22" t="s">
        <v>91</v>
      </c>
      <c r="AJ83" s="22"/>
      <c r="AK83" s="22"/>
    </row>
    <row r="84" spans="1:37" ht="17">
      <c r="A84" s="22">
        <v>350</v>
      </c>
      <c r="B84" s="22" t="s">
        <v>248</v>
      </c>
      <c r="C84" s="22" t="s">
        <v>431</v>
      </c>
      <c r="D84" s="22" t="s">
        <v>432</v>
      </c>
      <c r="E84" s="22" t="s">
        <v>52</v>
      </c>
      <c r="F84" s="22" t="s">
        <v>215</v>
      </c>
      <c r="G84" s="22"/>
      <c r="H84" s="22"/>
      <c r="I84" s="22"/>
      <c r="J84" s="22" t="s">
        <v>253</v>
      </c>
      <c r="K84" s="22" t="s">
        <v>169</v>
      </c>
      <c r="L84" s="22"/>
      <c r="M84" s="22"/>
      <c r="N84" s="22"/>
      <c r="O84" s="22" t="s">
        <v>56</v>
      </c>
      <c r="P84" s="22" t="s">
        <v>57</v>
      </c>
      <c r="Q84" s="22" t="s">
        <v>433</v>
      </c>
      <c r="R84" s="22"/>
      <c r="S84" s="22"/>
      <c r="T84" s="22"/>
      <c r="U84" s="22"/>
      <c r="V84" s="22"/>
      <c r="W84" s="22"/>
      <c r="X84" s="22"/>
      <c r="Y84" s="22"/>
      <c r="Z84" s="22"/>
      <c r="AA84" s="22" t="s">
        <v>434</v>
      </c>
      <c r="AB84" s="22"/>
      <c r="AC84" s="22" t="s">
        <v>435</v>
      </c>
      <c r="AD84" s="22" t="str" cm="1">
        <f t="array" ref="AD84">_xlfn.LET(_xlpm.r,_xlfn.XLOOKUP(1,( [1]Sheet1!$A:$A = MappingGuide[[#This Row],[TableName]] ) * ( [1]Sheet1!$B:$B =RIGHT( MappingGuide[[#This Row],[ColumnName]],4) ),[1]Sheet1!$L:$L,""),IF(_xlpm.r=0,"",_xlpm.r))</f>
        <v/>
      </c>
      <c r="AE84" s="22" t="str" cm="1">
        <f t="array" ref="AE84">_xlfn.LET(_xlpm.r,_xlfn.XLOOKUP(1,( [1]Sheet1!$A:$A = MappingGuide[[#This Row],[TableName]] ) * ( [1]Sheet1!$B:$B =RIGHT( MappingGuide[[#This Row],[ColumnName]],4) ),[1]Sheet1!$M:$M,""),IF(_xlpm.r=0,"",_xlpm.r))</f>
        <v/>
      </c>
      <c r="AF84" s="22"/>
      <c r="AG84" s="22"/>
      <c r="AH84" s="22"/>
      <c r="AI84" s="22" t="s">
        <v>91</v>
      </c>
      <c r="AJ84" s="22"/>
      <c r="AK84" s="22"/>
    </row>
    <row r="85" spans="1:37" ht="17">
      <c r="A85" s="22">
        <v>351</v>
      </c>
      <c r="B85" s="22" t="s">
        <v>248</v>
      </c>
      <c r="C85" s="22" t="s">
        <v>436</v>
      </c>
      <c r="D85" s="22" t="s">
        <v>168</v>
      </c>
      <c r="E85" s="22" t="s">
        <v>52</v>
      </c>
      <c r="F85" s="22" t="s">
        <v>53</v>
      </c>
      <c r="G85" s="22"/>
      <c r="H85" s="22"/>
      <c r="I85" s="22"/>
      <c r="J85" s="22" t="s">
        <v>54</v>
      </c>
      <c r="K85" s="22" t="s">
        <v>169</v>
      </c>
      <c r="L85" s="22"/>
      <c r="M85" s="22"/>
      <c r="N85" s="22"/>
      <c r="O85" s="22" t="s">
        <v>56</v>
      </c>
      <c r="P85" s="22" t="s">
        <v>57</v>
      </c>
      <c r="Q85" s="22" t="s">
        <v>170</v>
      </c>
      <c r="R85" s="22"/>
      <c r="S85" s="22"/>
      <c r="T85" s="22"/>
      <c r="U85" s="22"/>
      <c r="V85" s="22"/>
      <c r="W85" s="22"/>
      <c r="X85" s="22"/>
      <c r="Y85" s="22"/>
      <c r="Z85" s="22"/>
      <c r="AA85" s="22" t="s">
        <v>437</v>
      </c>
      <c r="AB85" s="22"/>
      <c r="AC85" s="22" t="s">
        <v>172</v>
      </c>
      <c r="AD85" s="22" t="str" cm="1">
        <f t="array" ref="AD85">_xlfn.LET(_xlpm.r,_xlfn.XLOOKUP(1,( [1]Sheet1!$A:$A = MappingGuide[[#This Row],[TableName]] ) * ( [1]Sheet1!$B:$B =RIGHT( MappingGuide[[#This Row],[ColumnName]],4) ),[1]Sheet1!$L:$L,""),IF(_xlpm.r=0,"",_xlpm.r))</f>
        <v/>
      </c>
      <c r="AE85" s="22" t="str" cm="1">
        <f t="array" ref="AE85">_xlfn.LET(_xlpm.r,_xlfn.XLOOKUP(1,( [1]Sheet1!$A:$A = MappingGuide[[#This Row],[TableName]] ) * ( [1]Sheet1!$B:$B =RIGHT( MappingGuide[[#This Row],[ColumnName]],4)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F85" s="22"/>
      <c r="AG85" s="22"/>
      <c r="AH85" s="22"/>
      <c r="AI85" s="22" t="s">
        <v>91</v>
      </c>
      <c r="AJ85" s="22"/>
      <c r="AK85" s="22"/>
    </row>
    <row r="86" spans="1:37" ht="17">
      <c r="A86" s="22">
        <v>352</v>
      </c>
      <c r="B86" s="22" t="s">
        <v>248</v>
      </c>
      <c r="C86" s="22" t="s">
        <v>438</v>
      </c>
      <c r="D86" s="22" t="s">
        <v>174</v>
      </c>
      <c r="E86" s="22" t="s">
        <v>43</v>
      </c>
      <c r="F86" s="22" t="s">
        <v>175</v>
      </c>
      <c r="G86" s="22" t="s">
        <v>82</v>
      </c>
      <c r="H86" s="22"/>
      <c r="I86" s="22"/>
      <c r="J86" s="22" t="s">
        <v>54</v>
      </c>
      <c r="K86" s="22" t="s">
        <v>169</v>
      </c>
      <c r="L86" s="22"/>
      <c r="M86" s="22"/>
      <c r="N86" s="22"/>
      <c r="O86" s="22" t="s">
        <v>56</v>
      </c>
      <c r="P86" s="22" t="s">
        <v>57</v>
      </c>
      <c r="Q86" s="22" t="s">
        <v>176</v>
      </c>
      <c r="R86" s="22"/>
      <c r="S86" s="22"/>
      <c r="T86" s="22"/>
      <c r="U86" s="22"/>
      <c r="V86" s="22"/>
      <c r="W86" s="22"/>
      <c r="X86" s="22"/>
      <c r="Y86" s="22"/>
      <c r="Z86" s="22"/>
      <c r="AA86" s="22" t="s">
        <v>437</v>
      </c>
      <c r="AB86" s="22"/>
      <c r="AC86" s="22"/>
      <c r="AD86" s="22" t="str" cm="1">
        <f t="array" ref="AD86">_xlfn.LET(_xlpm.r,_xlfn.XLOOKUP(1,( [1]Sheet1!$A:$A = MappingGuide[[#This Row],[TableName]] ) * ( [1]Sheet1!$B:$B =RIGHT( MappingGuide[[#This Row],[ColumnName]],4) ),[1]Sheet1!$L:$L,""),IF(_xlpm.r=0,"",_xlpm.r))</f>
        <v/>
      </c>
      <c r="AE86" s="22" t="str" cm="1">
        <f t="array" ref="AE86">_xlfn.LET(_xlpm.r,_xlfn.XLOOKUP(1,( [1]Sheet1!$A:$A = MappingGuide[[#This Row],[TableName]] ) * ( [1]Sheet1!$B:$B =RIGHT( MappingGuide[[#This Row],[ColumnName]],4)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F86" s="22"/>
      <c r="AG86" s="22"/>
      <c r="AH86" s="22"/>
      <c r="AI86" s="22" t="s">
        <v>91</v>
      </c>
      <c r="AJ86" s="22"/>
      <c r="AK86" s="22"/>
    </row>
    <row r="87" spans="1:37" ht="17">
      <c r="A87" s="22">
        <v>353</v>
      </c>
      <c r="B87" s="22" t="s">
        <v>248</v>
      </c>
      <c r="C87" s="22" t="s">
        <v>439</v>
      </c>
      <c r="D87" s="22" t="s">
        <v>178</v>
      </c>
      <c r="E87" s="22" t="s">
        <v>52</v>
      </c>
      <c r="F87" s="22" t="s">
        <v>44</v>
      </c>
      <c r="G87" s="22"/>
      <c r="H87" s="22"/>
      <c r="I87" s="22"/>
      <c r="J87" s="22" t="s">
        <v>54</v>
      </c>
      <c r="K87" s="22" t="s">
        <v>169</v>
      </c>
      <c r="L87" s="22"/>
      <c r="M87" s="22"/>
      <c r="N87" s="22"/>
      <c r="O87" s="22" t="s">
        <v>56</v>
      </c>
      <c r="P87" s="22" t="s">
        <v>57</v>
      </c>
      <c r="Q87" s="22" t="s">
        <v>179</v>
      </c>
      <c r="R87" s="22"/>
      <c r="S87" s="22"/>
      <c r="T87" s="22"/>
      <c r="U87" s="22"/>
      <c r="V87" s="22"/>
      <c r="W87" s="22"/>
      <c r="X87" s="22"/>
      <c r="Y87" s="22"/>
      <c r="Z87" s="22"/>
      <c r="AA87" s="22" t="s">
        <v>437</v>
      </c>
      <c r="AB87" s="22"/>
      <c r="AC87" s="22" t="s">
        <v>180</v>
      </c>
      <c r="AD87" s="22" t="str" cm="1">
        <f t="array" ref="AD87">_xlfn.LET(_xlpm.r,_xlfn.XLOOKUP(1,( [1]Sheet1!$A:$A = MappingGuide[[#This Row],[TableName]] ) * ( [1]Sheet1!$B:$B =RIGHT( MappingGuide[[#This Row],[ColumnName]],4) ),[1]Sheet1!$L:$L,""),IF(_xlpm.r=0,"",_xlpm.r))</f>
        <v/>
      </c>
      <c r="AE87" s="22" t="str" cm="1">
        <f t="array" ref="AE87">_xlfn.LET(_xlpm.r,_xlfn.XLOOKUP(1,( [1]Sheet1!$A:$A = MappingGuide[[#This Row],[TableName]] ) * ( [1]Sheet1!$B:$B =RIGHT( MappingGuide[[#This Row],[ColumnName]],4)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F87" s="22"/>
      <c r="AG87" s="22"/>
      <c r="AH87" s="22"/>
      <c r="AI87" s="22" t="s">
        <v>91</v>
      </c>
      <c r="AJ87" s="22"/>
      <c r="AK87" s="22"/>
    </row>
    <row r="88" spans="1:37" ht="17">
      <c r="A88" s="22">
        <v>354</v>
      </c>
      <c r="B88" s="22" t="s">
        <v>248</v>
      </c>
      <c r="C88" s="22" t="s">
        <v>440</v>
      </c>
      <c r="D88" s="22" t="s">
        <v>182</v>
      </c>
      <c r="E88" s="22" t="s">
        <v>52</v>
      </c>
      <c r="F88" s="22" t="s">
        <v>183</v>
      </c>
      <c r="G88" s="22"/>
      <c r="H88" s="22"/>
      <c r="I88" s="22"/>
      <c r="J88" s="22" t="s">
        <v>54</v>
      </c>
      <c r="K88" s="22" t="s">
        <v>169</v>
      </c>
      <c r="L88" s="22"/>
      <c r="M88" s="22"/>
      <c r="N88" s="22"/>
      <c r="O88" s="22" t="s">
        <v>56</v>
      </c>
      <c r="P88" s="22" t="s">
        <v>57</v>
      </c>
      <c r="Q88" s="22" t="s">
        <v>184</v>
      </c>
      <c r="R88" s="22"/>
      <c r="S88" s="22"/>
      <c r="T88" s="22"/>
      <c r="U88" s="22"/>
      <c r="V88" s="22"/>
      <c r="W88" s="22"/>
      <c r="X88" s="22"/>
      <c r="Y88" s="22"/>
      <c r="Z88" s="22"/>
      <c r="AA88" s="22" t="s">
        <v>437</v>
      </c>
      <c r="AB88" s="22"/>
      <c r="AC88" s="22" t="s">
        <v>185</v>
      </c>
      <c r="AD88" s="22" t="str" cm="1">
        <f t="array" ref="AD88">_xlfn.LET(_xlpm.r,_xlfn.XLOOKUP(1,( [1]Sheet1!$A:$A = MappingGuide[[#This Row],[TableName]] ) * ( [1]Sheet1!$B:$B =RIGHT( MappingGuide[[#This Row],[ColumnName]],4) ),[1]Sheet1!$L:$L,""),IF(_xlpm.r=0,"",_xlpm.r))</f>
        <v/>
      </c>
      <c r="AE88" s="22" t="str" cm="1">
        <f t="array" ref="AE88">_xlfn.LET(_xlpm.r,_xlfn.XLOOKUP(1,( [1]Sheet1!$A:$A = MappingGuide[[#This Row],[TableName]] ) * ( [1]Sheet1!$B:$B =RIGHT( MappingGuide[[#This Row],[ColumnName]],4)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F88" s="22"/>
      <c r="AG88" s="22"/>
      <c r="AH88" s="22"/>
      <c r="AI88" s="22" t="s">
        <v>91</v>
      </c>
      <c r="AJ88" s="22"/>
      <c r="AK88" s="22"/>
    </row>
    <row r="89" spans="1:37" ht="17">
      <c r="A89" s="22">
        <v>355</v>
      </c>
      <c r="B89" s="22" t="s">
        <v>248</v>
      </c>
      <c r="C89" s="22" t="s">
        <v>441</v>
      </c>
      <c r="D89" s="22" t="s">
        <v>187</v>
      </c>
      <c r="E89" s="22" t="s">
        <v>52</v>
      </c>
      <c r="F89" s="22" t="s">
        <v>64</v>
      </c>
      <c r="G89" s="22"/>
      <c r="H89" s="22"/>
      <c r="I89" s="22"/>
      <c r="J89" s="22" t="s">
        <v>54</v>
      </c>
      <c r="K89" s="22" t="s">
        <v>169</v>
      </c>
      <c r="L89" s="22"/>
      <c r="M89" s="22"/>
      <c r="N89" s="22"/>
      <c r="O89" s="22" t="s">
        <v>56</v>
      </c>
      <c r="P89" s="22" t="s">
        <v>57</v>
      </c>
      <c r="Q89" s="22" t="s">
        <v>188</v>
      </c>
      <c r="R89" s="22"/>
      <c r="S89" s="22"/>
      <c r="T89" s="22"/>
      <c r="U89" s="22"/>
      <c r="V89" s="22"/>
      <c r="W89" s="22"/>
      <c r="X89" s="22"/>
      <c r="Y89" s="22"/>
      <c r="Z89" s="22"/>
      <c r="AA89" s="22" t="s">
        <v>437</v>
      </c>
      <c r="AB89" s="22"/>
      <c r="AC89" s="22" t="s">
        <v>189</v>
      </c>
      <c r="AD89" s="22" t="str" cm="1">
        <f t="array" ref="AD89">_xlfn.LET(_xlpm.r,_xlfn.XLOOKUP(1,( [1]Sheet1!$A:$A = MappingGuide[[#This Row],[TableName]] ) * ( [1]Sheet1!$B:$B =RIGHT( MappingGuide[[#This Row],[ColumnName]],4) ),[1]Sheet1!$L:$L,""),IF(_xlpm.r=0,"",_xlpm.r))</f>
        <v/>
      </c>
      <c r="AE89" s="22" t="str" cm="1">
        <f t="array" ref="AE89">_xlfn.LET(_xlpm.r,_xlfn.XLOOKUP(1,( [1]Sheet1!$A:$A = MappingGuide[[#This Row],[TableName]] ) * ( [1]Sheet1!$B:$B =RIGHT( MappingGuide[[#This Row],[ColumnName]],4) ),[1]Sheet1!$M:$M,""),IF(_xlpm.r=0,"",_xlpm.r))</f>
        <v>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v>
      </c>
      <c r="AF89" s="22"/>
      <c r="AG89" s="22"/>
      <c r="AH89" s="22"/>
      <c r="AI89" s="22" t="s">
        <v>91</v>
      </c>
      <c r="AJ89" s="22"/>
      <c r="AK89" s="22"/>
    </row>
    <row r="90" spans="1:37" ht="17">
      <c r="A90" s="22">
        <v>356</v>
      </c>
      <c r="B90" s="22" t="s">
        <v>248</v>
      </c>
      <c r="C90" s="22" t="s">
        <v>442</v>
      </c>
      <c r="D90" s="22" t="s">
        <v>443</v>
      </c>
      <c r="E90" s="22" t="s">
        <v>43</v>
      </c>
      <c r="F90" s="22" t="s">
        <v>82</v>
      </c>
      <c r="G90" s="22"/>
      <c r="H90" s="22"/>
      <c r="I90" s="22"/>
      <c r="J90" s="22" t="s">
        <v>253</v>
      </c>
      <c r="K90" s="22" t="s">
        <v>169</v>
      </c>
      <c r="L90" s="22"/>
      <c r="M90" s="22"/>
      <c r="N90" s="22"/>
      <c r="O90" s="22" t="s">
        <v>56</v>
      </c>
      <c r="P90" s="22" t="s">
        <v>57</v>
      </c>
      <c r="Q90" s="22" t="s">
        <v>444</v>
      </c>
      <c r="R90" s="22"/>
      <c r="S90" s="22"/>
      <c r="T90" s="22"/>
      <c r="U90" s="22"/>
      <c r="V90" s="22"/>
      <c r="W90" s="22"/>
      <c r="X90" s="22"/>
      <c r="Y90" s="22"/>
      <c r="Z90" s="22"/>
      <c r="AA90" s="22" t="s">
        <v>445</v>
      </c>
      <c r="AB90" s="22"/>
      <c r="AC90" s="22"/>
      <c r="AD90" s="22" t="str" cm="1">
        <f t="array" ref="AD90">_xlfn.LET(_xlpm.r,_xlfn.XLOOKUP(1,( [1]Sheet1!$A:$A = MappingGuide[[#This Row],[TableName]] ) * ( [1]Sheet1!$B:$B =RIGHT( MappingGuide[[#This Row],[ColumnName]],4) ),[1]Sheet1!$L:$L,""),IF(_xlpm.r=0,"",_xlpm.r))</f>
        <v>Allowable late payment days</v>
      </c>
      <c r="AE90" s="22" t="str" cm="1">
        <f t="array" ref="AE90">_xlfn.LET(_xlpm.r,_xlfn.XLOOKUP(1,( [1]Sheet1!$A:$A = MappingGuide[[#This Row],[TableName]] ) * ( [1]Sheet1!$B:$B =RIGHT( MappingGuide[[#This Row],[ColumnName]],4) ),[1]Sheet1!$M:$M,""),IF(_xlpm.r=0,"",_xlpm.r))</f>
        <v>Workflow control for AP, defines how many days after due date before penalties accrue, critical for process and compliance automation.</v>
      </c>
      <c r="AF90" s="22"/>
      <c r="AG90" s="22"/>
      <c r="AH90" s="22"/>
      <c r="AI90" s="22" t="s">
        <v>91</v>
      </c>
      <c r="AJ90" s="22"/>
      <c r="AK90" s="22"/>
    </row>
    <row r="91" spans="1:37" ht="17">
      <c r="A91" s="22">
        <v>357</v>
      </c>
      <c r="B91" s="22" t="s">
        <v>248</v>
      </c>
      <c r="C91" s="22" t="s">
        <v>446</v>
      </c>
      <c r="D91" s="22" t="s">
        <v>447</v>
      </c>
      <c r="E91" s="22" t="s">
        <v>43</v>
      </c>
      <c r="F91" s="22" t="s">
        <v>82</v>
      </c>
      <c r="G91" s="22"/>
      <c r="H91" s="22"/>
      <c r="I91" s="22"/>
      <c r="J91" s="22" t="s">
        <v>253</v>
      </c>
      <c r="K91" s="22" t="s">
        <v>169</v>
      </c>
      <c r="L91" s="22"/>
      <c r="M91" s="22"/>
      <c r="N91" s="22"/>
      <c r="O91" s="22" t="s">
        <v>56</v>
      </c>
      <c r="P91" s="22" t="s">
        <v>57</v>
      </c>
      <c r="Q91" s="22" t="s">
        <v>448</v>
      </c>
      <c r="R91" s="22"/>
      <c r="S91" s="22"/>
      <c r="T91" s="22"/>
      <c r="U91" s="22"/>
      <c r="V91" s="22"/>
      <c r="W91" s="22"/>
      <c r="X91" s="22"/>
      <c r="Y91" s="22"/>
      <c r="Z91" s="22"/>
      <c r="AA91" s="22" t="s">
        <v>449</v>
      </c>
      <c r="AB91" s="22"/>
      <c r="AC91" s="22"/>
      <c r="AD91" s="22" t="str" cm="1">
        <f t="array" ref="AD91">_xlfn.LET(_xlpm.r,_xlfn.XLOOKUP(1,( [1]Sheet1!$A:$A = MappingGuide[[#This Row],[TableName]] ) * ( [1]Sheet1!$B:$B =RIGHT( MappingGuide[[#This Row],[ColumnName]],4) ),[1]Sheet1!$L:$L,""),IF(_xlpm.r=0,"",_xlpm.r))</f>
        <v/>
      </c>
      <c r="AE91" s="22" t="str" cm="1">
        <f t="array" ref="AE91">_xlfn.LET(_xlpm.r,_xlfn.XLOOKUP(1,( [1]Sheet1!$A:$A = MappingGuide[[#This Row],[TableName]] ) * ( [1]Sheet1!$B:$B =RIGHT( MappingGuide[[#This Row],[ColumnName]],4) ),[1]Sheet1!$M:$M,""),IF(_xlpm.r=0,"",_xlpm.r))</f>
        <v>This is used to pulled statistics reports from M3. It actually indicates the number of days an early or late delivery can be accepted as delivered on time. (e.g., 2 days).</v>
      </c>
      <c r="AF91" s="22"/>
      <c r="AG91" s="22"/>
      <c r="AH91" s="22"/>
      <c r="AI91" s="22" t="s">
        <v>91</v>
      </c>
      <c r="AJ91" s="22"/>
      <c r="AK91" s="22"/>
    </row>
    <row r="92" spans="1:37" ht="17">
      <c r="A92" s="22">
        <v>358</v>
      </c>
      <c r="B92" s="22" t="s">
        <v>248</v>
      </c>
      <c r="C92" s="22" t="s">
        <v>450</v>
      </c>
      <c r="D92" s="22" t="s">
        <v>451</v>
      </c>
      <c r="E92" s="22" t="s">
        <v>43</v>
      </c>
      <c r="F92" s="22" t="s">
        <v>215</v>
      </c>
      <c r="G92" s="22"/>
      <c r="H92" s="22"/>
      <c r="I92" s="22"/>
      <c r="J92" s="22" t="s">
        <v>253</v>
      </c>
      <c r="K92" s="22" t="s">
        <v>169</v>
      </c>
      <c r="L92" s="22"/>
      <c r="M92" s="22"/>
      <c r="N92" s="22"/>
      <c r="O92" s="22"/>
      <c r="P92" s="22"/>
      <c r="Q92" s="22"/>
      <c r="R92" s="22"/>
      <c r="S92" s="22"/>
      <c r="T92" s="22"/>
      <c r="U92" s="22"/>
      <c r="V92" s="22"/>
      <c r="W92" s="22"/>
      <c r="X92" s="22"/>
      <c r="Y92" s="22"/>
      <c r="Z92" s="22"/>
      <c r="AA92" s="22" t="s">
        <v>452</v>
      </c>
      <c r="AB92" s="22"/>
      <c r="AC92" s="22"/>
      <c r="AD92" s="22" t="str" cm="1">
        <f t="array" ref="AD92">_xlfn.LET(_xlpm.r,_xlfn.XLOOKUP(1,( [1]Sheet1!$A:$A = MappingGuide[[#This Row],[TableName]] ) * ( [1]Sheet1!$B:$B =RIGHT( MappingGuide[[#This Row],[ColumnName]],4) ),[1]Sheet1!$L:$L,""),IF(_xlpm.r=0,"",_xlpm.r))</f>
        <v/>
      </c>
      <c r="AE92" s="22" t="str" cm="1">
        <f t="array" ref="AE92">_xlfn.LET(_xlpm.r,_xlfn.XLOOKUP(1,( [1]Sheet1!$A:$A = MappingGuide[[#This Row],[TableName]] ) * ( [1]Sheet1!$B:$B =RIGHT( MappingGuide[[#This Row],[ColumnName]],4) ),[1]Sheet1!$M:$M,""),IF(_xlpm.r=0,"",_xlpm.r))</f>
        <v/>
      </c>
      <c r="AF92" s="22"/>
      <c r="AG92" s="22"/>
      <c r="AH92" s="22"/>
      <c r="AI92" s="22" t="s">
        <v>91</v>
      </c>
      <c r="AJ92" s="22"/>
      <c r="AK92" s="22"/>
    </row>
    <row r="93" spans="1:37" ht="17">
      <c r="A93" s="22">
        <v>359</v>
      </c>
      <c r="B93" s="22" t="s">
        <v>248</v>
      </c>
      <c r="C93" s="22" t="s">
        <v>453</v>
      </c>
      <c r="D93" s="22" t="s">
        <v>454</v>
      </c>
      <c r="E93" s="22" t="s">
        <v>43</v>
      </c>
      <c r="F93" s="22" t="s">
        <v>64</v>
      </c>
      <c r="G93" s="22"/>
      <c r="H93" s="22"/>
      <c r="I93" s="22"/>
      <c r="J93" s="22" t="s">
        <v>253</v>
      </c>
      <c r="K93" s="22" t="s">
        <v>169</v>
      </c>
      <c r="L93" s="22"/>
      <c r="M93" s="22"/>
      <c r="N93" s="22"/>
      <c r="O93" s="22" t="s">
        <v>56</v>
      </c>
      <c r="P93" s="22" t="s">
        <v>57</v>
      </c>
      <c r="Q93" s="22" t="s">
        <v>455</v>
      </c>
      <c r="R93" s="22"/>
      <c r="S93" s="22"/>
      <c r="T93" s="22"/>
      <c r="U93" s="22"/>
      <c r="V93" s="22"/>
      <c r="W93" s="22"/>
      <c r="X93" s="22"/>
      <c r="Y93" s="22"/>
      <c r="Z93" s="22"/>
      <c r="AA93" s="22" t="s">
        <v>456</v>
      </c>
      <c r="AB93" s="22" t="s">
        <v>457</v>
      </c>
      <c r="AC93" s="22"/>
      <c r="AD93" s="22" t="str" cm="1">
        <f t="array" ref="AD93">_xlfn.LET(_xlpm.r,_xlfn.XLOOKUP(1,( [1]Sheet1!$A:$A = MappingGuide[[#This Row],[TableName]] ) * ( [1]Sheet1!$B:$B =RIGHT( MappingGuide[[#This Row],[ColumnName]],4) ),[1]Sheet1!$L:$L,""),IF(_xlpm.r=0,"",_xlpm.r))</f>
        <v/>
      </c>
      <c r="AE93" s="22" t="str" cm="1">
        <f t="array" ref="AE93">_xlfn.LET(_xlpm.r,_xlfn.XLOOKUP(1,( [1]Sheet1!$A:$A = MappingGuide[[#This Row],[TableName]] ) * ( [1]Sheet1!$B:$B =RIGHT( MappingGuide[[#This Row],[ColumnName]],4) ),[1]Sheet1!$M:$M,""),IF(_xlpm.r=0,"",_xlpm.r))</f>
        <v xml:space="preserve">The field indicates by which method the supplier will send a shipment advice. </v>
      </c>
      <c r="AF93" s="22"/>
      <c r="AG93" s="22"/>
      <c r="AH93" s="22"/>
      <c r="AI93" s="22" t="s">
        <v>91</v>
      </c>
      <c r="AJ93" s="22"/>
      <c r="AK93" s="22"/>
    </row>
    <row r="94" spans="1:37" ht="17">
      <c r="A94" s="22">
        <v>360</v>
      </c>
      <c r="B94" s="22" t="s">
        <v>248</v>
      </c>
      <c r="C94" s="22" t="s">
        <v>458</v>
      </c>
      <c r="D94" s="22" t="s">
        <v>459</v>
      </c>
      <c r="E94" s="22" t="s">
        <v>43</v>
      </c>
      <c r="F94" s="22" t="s">
        <v>64</v>
      </c>
      <c r="G94" s="22"/>
      <c r="H94" s="22"/>
      <c r="I94" s="22"/>
      <c r="J94" s="22"/>
      <c r="K94" s="22"/>
      <c r="L94" s="22"/>
      <c r="M94" s="22"/>
      <c r="N94" s="22"/>
      <c r="O94" s="22"/>
      <c r="P94" s="22"/>
      <c r="Q94" s="22"/>
      <c r="R94" s="22"/>
      <c r="S94" s="22"/>
      <c r="T94" s="22"/>
      <c r="U94" s="22"/>
      <c r="V94" s="22"/>
      <c r="W94" s="22"/>
      <c r="X94" s="22"/>
      <c r="Y94" s="22"/>
      <c r="Z94" s="22"/>
      <c r="AA94" s="22" t="s">
        <v>460</v>
      </c>
      <c r="AB94" s="22"/>
      <c r="AC94" s="22"/>
      <c r="AD94" s="22" t="str" cm="1">
        <f t="array" ref="AD94">_xlfn.LET(_xlpm.r,_xlfn.XLOOKUP(1,( [1]Sheet1!$A:$A = MappingGuide[[#This Row],[TableName]] ) * ( [1]Sheet1!$B:$B =RIGHT( MappingGuide[[#This Row],[ColumnName]],4) ),[1]Sheet1!$L:$L,""),IF(_xlpm.r=0,"",_xlpm.r))</f>
        <v/>
      </c>
      <c r="AE94" s="22" t="str" cm="1">
        <f t="array" ref="AE94">_xlfn.LET(_xlpm.r,_xlfn.XLOOKUP(1,( [1]Sheet1!$A:$A = MappingGuide[[#This Row],[TableName]] ) * ( [1]Sheet1!$B:$B =RIGHT( MappingGuide[[#This Row],[ColumnName]],4) ),[1]Sheet1!$M:$M,""),IF(_xlpm.r=0,"",_xlpm.r))</f>
        <v/>
      </c>
      <c r="AF94" s="22"/>
      <c r="AG94" s="22"/>
      <c r="AH94" s="22"/>
      <c r="AI94" s="22" t="s">
        <v>91</v>
      </c>
      <c r="AJ94" s="22"/>
      <c r="AK94" s="22"/>
    </row>
    <row r="95" spans="1:37" ht="17">
      <c r="A95" s="22">
        <v>361</v>
      </c>
      <c r="B95" s="22" t="s">
        <v>248</v>
      </c>
      <c r="C95" s="22" t="s">
        <v>461</v>
      </c>
      <c r="D95" s="22" t="s">
        <v>462</v>
      </c>
      <c r="E95" s="22" t="s">
        <v>43</v>
      </c>
      <c r="F95" s="22" t="s">
        <v>82</v>
      </c>
      <c r="G95" s="22"/>
      <c r="H95" s="22"/>
      <c r="I95" s="22"/>
      <c r="J95" s="22" t="s">
        <v>253</v>
      </c>
      <c r="K95" s="22" t="s">
        <v>169</v>
      </c>
      <c r="L95" s="22"/>
      <c r="M95" s="22"/>
      <c r="N95" s="22"/>
      <c r="O95" s="22" t="s">
        <v>56</v>
      </c>
      <c r="P95" s="22" t="s">
        <v>57</v>
      </c>
      <c r="Q95" s="22" t="s">
        <v>463</v>
      </c>
      <c r="R95" s="22"/>
      <c r="S95" s="22"/>
      <c r="T95" s="22"/>
      <c r="U95" s="22"/>
      <c r="V95" s="22"/>
      <c r="W95" s="22"/>
      <c r="X95" s="22"/>
      <c r="Y95" s="22"/>
      <c r="Z95" s="22"/>
      <c r="AA95" s="22" t="s">
        <v>464</v>
      </c>
      <c r="AB95" s="22"/>
      <c r="AC95" s="22" t="s">
        <v>465</v>
      </c>
      <c r="AD95" s="22" t="str" cm="1">
        <f t="array" ref="AD95">_xlfn.LET(_xlpm.r,_xlfn.XLOOKUP(1,( [1]Sheet1!$A:$A = MappingGuide[[#This Row],[TableName]] ) * ( [1]Sheet1!$B:$B =RIGHT( MappingGuide[[#This Row],[ColumnName]],4) ),[1]Sheet1!$L:$L,""),IF(_xlpm.r=0,"",_xlpm.r))</f>
        <v/>
      </c>
      <c r="AE95" s="22" t="str" cm="1">
        <f t="array" ref="AE95">_xlfn.LET(_xlpm.r,_xlfn.XLOOKUP(1,( [1]Sheet1!$A:$A = MappingGuide[[#This Row],[TableName]] ) * ( [1]Sheet1!$B:$B =RIGHT( MappingGuide[[#This Row],[ColumnName]],4) ),[1]Sheet1!$M:$M,""),IF(_xlpm.r=0,"",_xlpm.r))</f>
        <v xml:space="preserve">You use service codes when entering invoices from self-employed suppliers, if your company is required to report such payments to the tax authorities. </v>
      </c>
      <c r="AF95" s="22"/>
      <c r="AG95" s="22"/>
      <c r="AH95" s="22"/>
      <c r="AI95" s="22" t="s">
        <v>91</v>
      </c>
      <c r="AJ95" s="22"/>
      <c r="AK95" s="22"/>
    </row>
    <row r="96" spans="1:37" ht="17">
      <c r="A96" s="22">
        <v>362</v>
      </c>
      <c r="B96" s="22" t="s">
        <v>248</v>
      </c>
      <c r="C96" s="22" t="s">
        <v>466</v>
      </c>
      <c r="D96" s="22" t="s">
        <v>467</v>
      </c>
      <c r="E96" s="22" t="s">
        <v>52</v>
      </c>
      <c r="F96" s="22" t="s">
        <v>53</v>
      </c>
      <c r="G96" s="22"/>
      <c r="H96" s="22"/>
      <c r="I96" s="22"/>
      <c r="J96" s="22" t="s">
        <v>253</v>
      </c>
      <c r="K96" s="22" t="s">
        <v>55</v>
      </c>
      <c r="L96" s="22"/>
      <c r="M96" s="22"/>
      <c r="N96" s="22"/>
      <c r="O96" s="22" t="s">
        <v>56</v>
      </c>
      <c r="P96" s="22" t="s">
        <v>57</v>
      </c>
      <c r="Q96" s="22" t="s">
        <v>468</v>
      </c>
      <c r="R96" s="22"/>
      <c r="S96" s="22"/>
      <c r="T96" s="22"/>
      <c r="U96" s="22"/>
      <c r="V96" s="22"/>
      <c r="W96" s="22"/>
      <c r="X96" s="22"/>
      <c r="Y96" s="22"/>
      <c r="Z96" s="22"/>
      <c r="AA96" s="22" t="s">
        <v>469</v>
      </c>
      <c r="AB96" s="22"/>
      <c r="AC96" s="22"/>
      <c r="AD96" s="22" t="str" cm="1">
        <f t="array" ref="AD96">_xlfn.LET(_xlpm.r,_xlfn.XLOOKUP(1,( [1]Sheet1!$A:$A = MappingGuide[[#This Row],[TableName]] ) * ( [1]Sheet1!$B:$B =RIGHT( MappingGuide[[#This Row],[ColumnName]],4) ),[1]Sheet1!$L:$L,""),IF(_xlpm.r=0,"",_xlpm.r))</f>
        <v>Statistical Supplier Number (if different)</v>
      </c>
      <c r="AE96" s="22" t="str" cm="1">
        <f t="array" ref="AE96">_xlfn.LET(_xlpm.r,_xlfn.XLOOKUP(1,( [1]Sheet1!$A:$A = MappingGuide[[#This Row],[TableName]] ) * ( [1]Sheet1!$B:$B =RIGHT( MappingGuide[[#This Row],[ColumnName]],4) ),[1]Sheet1!$M:$M,""),IF(_xlpm.r=0,"",_xlpm.r))</f>
        <v>Used for aggregated reporting when supplier statistics must be tracked separately from main vendor record (multi-vendor groups, alternate reporting identifier).</v>
      </c>
      <c r="AF96" s="22"/>
      <c r="AG96" s="22"/>
      <c r="AH96" s="22"/>
      <c r="AI96" s="22" t="s">
        <v>91</v>
      </c>
      <c r="AJ96" s="22"/>
      <c r="AK96" s="22"/>
    </row>
    <row r="97" spans="1:37" ht="17">
      <c r="A97" s="22">
        <v>363</v>
      </c>
      <c r="B97" s="22" t="s">
        <v>248</v>
      </c>
      <c r="C97" s="22" t="s">
        <v>470</v>
      </c>
      <c r="D97" s="22" t="s">
        <v>471</v>
      </c>
      <c r="E97" s="22" t="s">
        <v>52</v>
      </c>
      <c r="F97" s="22" t="s">
        <v>44</v>
      </c>
      <c r="G97" s="22"/>
      <c r="H97" s="22"/>
      <c r="I97" s="22"/>
      <c r="J97" s="22" t="s">
        <v>253</v>
      </c>
      <c r="K97" s="22" t="s">
        <v>169</v>
      </c>
      <c r="L97" s="22"/>
      <c r="M97" s="22"/>
      <c r="N97" s="22"/>
      <c r="O97" s="22" t="s">
        <v>56</v>
      </c>
      <c r="P97" s="22" t="s">
        <v>57</v>
      </c>
      <c r="Q97" s="22" t="s">
        <v>472</v>
      </c>
      <c r="R97" s="22"/>
      <c r="S97" s="22"/>
      <c r="T97" s="22"/>
      <c r="U97" s="22"/>
      <c r="V97" s="22"/>
      <c r="W97" s="22"/>
      <c r="X97" s="22"/>
      <c r="Y97" s="22"/>
      <c r="Z97" s="22"/>
      <c r="AA97" s="22" t="s">
        <v>473</v>
      </c>
      <c r="AB97" s="22"/>
      <c r="AC97" s="22" t="s">
        <v>474</v>
      </c>
      <c r="AD97" s="22" t="str" cm="1">
        <f t="array" ref="AD97">_xlfn.LET(_xlpm.r,_xlfn.XLOOKUP(1,( [1]Sheet1!$A:$A = MappingGuide[[#This Row],[TableName]] ) * ( [1]Sheet1!$B:$B =RIGHT( MappingGuide[[#This Row],[ColumnName]],4) ),[1]Sheet1!$L:$L,""),IF(_xlpm.r=0,"",_xlpm.r))</f>
        <v/>
      </c>
      <c r="AE97" s="22" t="str" cm="1">
        <f t="array" ref="AE97">_xlfn.LET(_xlpm.r,_xlfn.XLOOKUP(1,( [1]Sheet1!$A:$A = MappingGuide[[#This Row],[TableName]] ) * ( [1]Sheet1!$B:$B =RIGHT( MappingGuide[[#This Row],[ColumnName]],4) ),[1]Sheet1!$M:$M,""),IF(_xlpm.r=0,"",_xlpm.r))</f>
        <v>The tax code is used to calculate US sales tax</v>
      </c>
      <c r="AF97" s="22"/>
      <c r="AG97" s="22"/>
      <c r="AH97" s="22"/>
      <c r="AI97" s="22" t="s">
        <v>91</v>
      </c>
      <c r="AJ97" s="22"/>
      <c r="AK97" s="22"/>
    </row>
    <row r="98" spans="1:37" ht="17">
      <c r="A98" s="22">
        <v>364</v>
      </c>
      <c r="B98" s="22" t="s">
        <v>248</v>
      </c>
      <c r="C98" s="22" t="s">
        <v>475</v>
      </c>
      <c r="D98" s="22" t="s">
        <v>476</v>
      </c>
      <c r="E98" s="22" t="s">
        <v>52</v>
      </c>
      <c r="F98" s="22" t="s">
        <v>53</v>
      </c>
      <c r="G98" s="22"/>
      <c r="H98" s="22"/>
      <c r="I98" s="22"/>
      <c r="J98" s="22" t="s">
        <v>253</v>
      </c>
      <c r="K98" s="22" t="s">
        <v>55</v>
      </c>
      <c r="L98" s="22"/>
      <c r="M98" s="22"/>
      <c r="N98" s="22"/>
      <c r="O98" s="22" t="s">
        <v>56</v>
      </c>
      <c r="P98" s="22" t="s">
        <v>57</v>
      </c>
      <c r="Q98" s="22" t="s">
        <v>477</v>
      </c>
      <c r="R98" s="22"/>
      <c r="S98" s="22"/>
      <c r="T98" s="22"/>
      <c r="U98" s="22"/>
      <c r="V98" s="22"/>
      <c r="W98" s="22"/>
      <c r="X98" s="22"/>
      <c r="Y98" s="22"/>
      <c r="Z98" s="22"/>
      <c r="AA98" s="22" t="s">
        <v>478</v>
      </c>
      <c r="AB98" s="22"/>
      <c r="AC98" s="22"/>
      <c r="AD98" s="22" t="str" cm="1">
        <f t="array" ref="AD98">_xlfn.LET(_xlpm.r,_xlfn.XLOOKUP(1,( [1]Sheet1!$A:$A = MappingGuide[[#This Row],[TableName]] ) * ( [1]Sheet1!$B:$B =RIGHT( MappingGuide[[#This Row],[ColumnName]],4) ),[1]Sheet1!$L:$L,""),IF(_xlpm.r=0,"",_xlpm.r))</f>
        <v/>
      </c>
      <c r="AE98" s="22" t="str" cm="1">
        <f t="array" ref="AE98">_xlfn.LET(_xlpm.r,_xlfn.XLOOKUP(1,( [1]Sheet1!$A:$A = MappingGuide[[#This Row],[TableName]] ) * ( [1]Sheet1!$B:$B =RIGHT( MappingGuide[[#This Row],[ColumnName]],4) ),[1]Sheet1!$M:$M,""),IF(_xlpm.r=0,"",_xlpm.r))</f>
        <v/>
      </c>
      <c r="AF98" s="22"/>
      <c r="AG98" s="22"/>
      <c r="AH98" s="22"/>
      <c r="AI98" s="22" t="s">
        <v>91</v>
      </c>
      <c r="AJ98" s="22"/>
      <c r="AK98" s="22"/>
    </row>
    <row r="99" spans="1:37" ht="17">
      <c r="A99" s="22">
        <v>365</v>
      </c>
      <c r="B99" s="22" t="s">
        <v>248</v>
      </c>
      <c r="C99" s="22" t="s">
        <v>479</v>
      </c>
      <c r="D99" s="22" t="s">
        <v>210</v>
      </c>
      <c r="E99" s="22" t="s">
        <v>43</v>
      </c>
      <c r="F99" s="22" t="s">
        <v>211</v>
      </c>
      <c r="G99" s="22"/>
      <c r="H99" s="22"/>
      <c r="I99" s="22"/>
      <c r="J99" s="22"/>
      <c r="K99" s="22"/>
      <c r="L99" s="22"/>
      <c r="M99" s="22"/>
      <c r="N99" s="22"/>
      <c r="O99" s="22"/>
      <c r="P99" s="22"/>
      <c r="Q99" s="22"/>
      <c r="R99" s="22"/>
      <c r="S99" s="22"/>
      <c r="T99" s="22"/>
      <c r="U99" s="22"/>
      <c r="V99" s="22"/>
      <c r="W99" s="22"/>
      <c r="X99" s="22"/>
      <c r="Y99" s="22"/>
      <c r="Z99" s="22"/>
      <c r="AA99" s="22" t="s">
        <v>212</v>
      </c>
      <c r="AB99" s="22"/>
      <c r="AC99" s="22"/>
      <c r="AD99" s="22" t="str" cm="1">
        <f t="array" ref="AD99">_xlfn.LET(_xlpm.r,_xlfn.XLOOKUP(1,( [1]Sheet1!$A:$A = MappingGuide[[#This Row],[TableName]] ) * ( [1]Sheet1!$B:$B =RIGHT( MappingGuide[[#This Row],[ColumnName]],4) ),[1]Sheet1!$L:$L,""),IF(_xlpm.r=0,"",_xlpm.r))</f>
        <v/>
      </c>
      <c r="AE99" s="22" t="str" cm="1">
        <f t="array" ref="AE99">_xlfn.LET(_xlpm.r,_xlfn.XLOOKUP(1,( [1]Sheet1!$A:$A = MappingGuide[[#This Row],[TableName]] ) * ( [1]Sheet1!$B:$B =RIGHT( MappingGuide[[#This Row],[ColumnName]],4) ),[1]Sheet1!$M:$M,""),IF(_xlpm.r=0,"",_xlpm.r))</f>
        <v/>
      </c>
      <c r="AF99" s="22"/>
      <c r="AG99" s="22"/>
      <c r="AH99" s="22"/>
      <c r="AI99" s="22" t="s">
        <v>91</v>
      </c>
      <c r="AJ99" s="22"/>
      <c r="AK99" s="22"/>
    </row>
    <row r="100" spans="1:37" ht="17">
      <c r="A100" s="22">
        <v>366</v>
      </c>
      <c r="B100" s="22" t="s">
        <v>248</v>
      </c>
      <c r="C100" s="22" t="s">
        <v>480</v>
      </c>
      <c r="D100" s="22" t="s">
        <v>481</v>
      </c>
      <c r="E100" s="22" t="s">
        <v>52</v>
      </c>
      <c r="F100" s="22" t="s">
        <v>206</v>
      </c>
      <c r="G100" s="22"/>
      <c r="H100" s="22"/>
      <c r="I100" s="22"/>
      <c r="J100" s="22" t="s">
        <v>253</v>
      </c>
      <c r="K100" s="22" t="s">
        <v>169</v>
      </c>
      <c r="L100" s="22"/>
      <c r="M100" s="22"/>
      <c r="N100" s="22"/>
      <c r="O100" s="22" t="s">
        <v>56</v>
      </c>
      <c r="P100" s="22" t="s">
        <v>57</v>
      </c>
      <c r="Q100" s="22" t="s">
        <v>482</v>
      </c>
      <c r="R100" s="22"/>
      <c r="S100" s="22"/>
      <c r="T100" s="22"/>
      <c r="U100" s="22"/>
      <c r="V100" s="22"/>
      <c r="W100" s="22"/>
      <c r="X100" s="22"/>
      <c r="Y100" s="22"/>
      <c r="Z100" s="22"/>
      <c r="AA100" s="22" t="s">
        <v>483</v>
      </c>
      <c r="AB100" s="22"/>
      <c r="AC100" s="22" t="s">
        <v>484</v>
      </c>
      <c r="AD100" s="22" t="str" cm="1">
        <f t="array" ref="AD100">_xlfn.LET(_xlpm.r,_xlfn.XLOOKUP(1,( [1]Sheet1!$A:$A = MappingGuide[[#This Row],[TableName]] ) * ( [1]Sheet1!$B:$B =RIGHT( MappingGuide[[#This Row],[ColumnName]],4) ),[1]Sheet1!$L:$L,""),IF(_xlpm.r=0,"",_xlpm.r))</f>
        <v/>
      </c>
      <c r="AE100" s="22" t="str" cm="1">
        <f t="array" ref="AE100">_xlfn.LET(_xlpm.r,_xlfn.XLOOKUP(1,( [1]Sheet1!$A:$A = MappingGuide[[#This Row],[TableName]] ) * ( [1]Sheet1!$B:$B =RIGHT( MappingGuide[[#This Row],[ColumnName]],4) ),[1]Sheet1!$M:$M,""),IF(_xlpm.r=0,"",_xlpm.r))</f>
        <v>Most countries require statistics on international trade. Each company reports what it has paid to suppliers in other countries, categorized by material, services...The trade code is defaulted (but can be changed) for the supplier when processing transactions such as recording invoices in APS100</v>
      </c>
      <c r="AF100" s="22"/>
      <c r="AG100" s="22"/>
      <c r="AH100" s="22"/>
      <c r="AI100" s="22" t="s">
        <v>91</v>
      </c>
      <c r="AJ100" s="22"/>
      <c r="AK100" s="22"/>
    </row>
    <row r="101" spans="1:37" ht="17">
      <c r="A101" s="22">
        <v>367</v>
      </c>
      <c r="B101" s="22" t="s">
        <v>248</v>
      </c>
      <c r="C101" s="22" t="s">
        <v>485</v>
      </c>
      <c r="D101" s="22" t="s">
        <v>486</v>
      </c>
      <c r="E101" s="22" t="s">
        <v>52</v>
      </c>
      <c r="F101" s="22" t="s">
        <v>44</v>
      </c>
      <c r="G101" s="22"/>
      <c r="H101" s="22"/>
      <c r="I101" s="22"/>
      <c r="J101" s="22" t="s">
        <v>253</v>
      </c>
      <c r="K101" s="22" t="s">
        <v>55</v>
      </c>
      <c r="L101" s="22"/>
      <c r="M101" s="22"/>
      <c r="N101" s="22"/>
      <c r="O101" s="22" t="s">
        <v>56</v>
      </c>
      <c r="P101" s="22" t="s">
        <v>57</v>
      </c>
      <c r="Q101" s="22" t="s">
        <v>487</v>
      </c>
      <c r="R101" s="22"/>
      <c r="S101" s="22"/>
      <c r="T101" s="22"/>
      <c r="U101" s="22"/>
      <c r="V101" s="22"/>
      <c r="W101" s="22"/>
      <c r="X101" s="22"/>
      <c r="Y101" s="22"/>
      <c r="Z101" s="22"/>
      <c r="AA101" s="22" t="s">
        <v>488</v>
      </c>
      <c r="AB101" s="22" t="s">
        <v>489</v>
      </c>
      <c r="AC101" s="22" t="s">
        <v>490</v>
      </c>
      <c r="AD101" s="22" t="str" cm="1">
        <f t="array" ref="AD101">_xlfn.LET(_xlpm.r,_xlfn.XLOOKUP(1,( [1]Sheet1!$A:$A = MappingGuide[[#This Row],[TableName]] ) * ( [1]Sheet1!$B:$B =RIGHT( MappingGuide[[#This Row],[ColumnName]],4) ),[1]Sheet1!$L:$L,""),IF(_xlpm.r=0,"",_xlpm.r))</f>
        <v/>
      </c>
      <c r="AE101" s="22" t="str" cm="1">
        <f t="array" ref="AE101">_xlfn.LET(_xlpm.r,_xlfn.XLOOKUP(1,( [1]Sheet1!$A:$A = MappingGuide[[#This Row],[TableName]] ) * ( [1]Sheet1!$B:$B =RIGHT( MappingGuide[[#This Row],[ColumnName]],4) ),[1]Sheet1!$M:$M,""),IF(_xlpm.r=0,"",_xlpm.r))</f>
        <v>The field indicates the ID of a time table containing planning points specified in days, hours, and minutes. </v>
      </c>
      <c r="AF101" s="22"/>
      <c r="AG101" s="22"/>
      <c r="AH101" s="22"/>
      <c r="AI101" s="22" t="s">
        <v>91</v>
      </c>
      <c r="AJ101" s="22"/>
      <c r="AK101" s="22"/>
    </row>
    <row r="102" spans="1:37" ht="17">
      <c r="A102" s="22">
        <v>368</v>
      </c>
      <c r="B102" s="22" t="s">
        <v>248</v>
      </c>
      <c r="C102" s="22" t="s">
        <v>491</v>
      </c>
      <c r="D102" s="22" t="s">
        <v>492</v>
      </c>
      <c r="E102" s="22" t="s">
        <v>52</v>
      </c>
      <c r="F102" s="22" t="s">
        <v>64</v>
      </c>
      <c r="G102" s="22"/>
      <c r="H102" s="22"/>
      <c r="I102" s="22"/>
      <c r="J102" s="22" t="s">
        <v>253</v>
      </c>
      <c r="K102" s="22" t="s">
        <v>169</v>
      </c>
      <c r="L102" s="22"/>
      <c r="M102" s="22"/>
      <c r="N102" s="22"/>
      <c r="O102" s="22" t="s">
        <v>56</v>
      </c>
      <c r="P102" s="22" t="s">
        <v>57</v>
      </c>
      <c r="Q102" s="22" t="s">
        <v>493</v>
      </c>
      <c r="R102" s="22" t="s">
        <v>48</v>
      </c>
      <c r="S102" s="22"/>
      <c r="T102" s="22"/>
      <c r="U102" s="22"/>
      <c r="V102" s="22"/>
      <c r="W102" s="22"/>
      <c r="X102" s="22" t="s">
        <v>48</v>
      </c>
      <c r="Y102" s="22" t="s">
        <v>82</v>
      </c>
      <c r="Z102" s="22"/>
      <c r="AA102" s="22" t="s">
        <v>494</v>
      </c>
      <c r="AB102" s="22" t="s">
        <v>495</v>
      </c>
      <c r="AC102" s="22"/>
      <c r="AD102" s="22" t="str" cm="1">
        <f t="array" ref="AD102">_xlfn.LET(_xlpm.r,_xlfn.XLOOKUP(1,( [1]Sheet1!$A:$A = MappingGuide[[#This Row],[TableName]] ) * ( [1]Sheet1!$B:$B =RIGHT( MappingGuide[[#This Row],[ColumnName]],4) ),[1]Sheet1!$L:$L,""),IF(_xlpm.r=0,"",_xlpm.r))</f>
        <v>PO line attribute pricing rule</v>
      </c>
      <c r="AE102" s="22" t="str" cm="1">
        <f t="array" ref="AE102">_xlfn.LET(_xlpm.r,_xlfn.XLOOKUP(1,( [1]Sheet1!$A:$A = MappingGuide[[#This Row],[TableName]] ) * ( [1]Sheet1!$B:$B =RIGHT( MappingGuide[[#This Row],[ColumnName]],4) ),[1]Sheet1!$M:$M,""),IF(_xlpm.r=0,"",_xlpm.r))</f>
        <v>Controls rule for price calculation at PO line/item level (choose actual attribute values vs expected); applies to attribute-priced products/services. If 1 Expected then the price calculation is based on the requirement to the vendor (expect). If set to 2, it is calculated on what actual attributes. So, either alternative 1 = Expected attribute values, or 2 = Actual attributes values are used as base.</v>
      </c>
      <c r="AF102" s="22"/>
      <c r="AG102" s="22"/>
      <c r="AH102" s="22"/>
      <c r="AI102" s="22" t="s">
        <v>48</v>
      </c>
      <c r="AJ102" s="22" t="s">
        <v>64</v>
      </c>
      <c r="AK102" s="22"/>
    </row>
    <row r="103" spans="1:37" ht="17">
      <c r="A103" s="22">
        <v>369</v>
      </c>
      <c r="B103" s="22" t="s">
        <v>248</v>
      </c>
      <c r="C103" s="22" t="s">
        <v>496</v>
      </c>
      <c r="D103" s="22" t="s">
        <v>497</v>
      </c>
      <c r="E103" s="22" t="s">
        <v>43</v>
      </c>
      <c r="F103" s="22" t="s">
        <v>64</v>
      </c>
      <c r="G103" s="22"/>
      <c r="H103" s="22"/>
      <c r="I103" s="22"/>
      <c r="J103" s="22" t="s">
        <v>253</v>
      </c>
      <c r="K103" s="22" t="s">
        <v>55</v>
      </c>
      <c r="L103" s="22"/>
      <c r="M103" s="22"/>
      <c r="N103" s="22"/>
      <c r="O103" s="22" t="s">
        <v>56</v>
      </c>
      <c r="P103" s="22" t="s">
        <v>57</v>
      </c>
      <c r="Q103" s="22" t="s">
        <v>498</v>
      </c>
      <c r="R103" s="22" t="s">
        <v>48</v>
      </c>
      <c r="S103" s="22"/>
      <c r="T103" s="22"/>
      <c r="U103" s="22"/>
      <c r="V103" s="22"/>
      <c r="W103" s="22"/>
      <c r="X103" s="22" t="s">
        <v>48</v>
      </c>
      <c r="Y103" s="22" t="s">
        <v>64</v>
      </c>
      <c r="Z103" s="22"/>
      <c r="AA103" s="22" t="s">
        <v>499</v>
      </c>
      <c r="AB103" s="22" t="s">
        <v>500</v>
      </c>
      <c r="AC103" s="22"/>
      <c r="AD103" s="22" t="str" cm="1">
        <f t="array" ref="AD103">_xlfn.LET(_xlpm.r,_xlfn.XLOOKUP(1,( [1]Sheet1!$A:$A = MappingGuide[[#This Row],[TableName]] ) * ( [1]Sheet1!$B:$B =RIGHT( MappingGuide[[#This Row],[ColumnName]],4) ),[1]Sheet1!$L:$L,""),IF(_xlpm.r=0,"",_xlpm.r))</f>
        <v>Date for Pricing and correct agreement selection</v>
      </c>
      <c r="AE103" s="22" t="str" cm="1">
        <f t="array" ref="AE103">_xlfn.LET(_xlpm.r,_xlfn.XLOOKUP(1,( [1]Sheet1!$A:$A = MappingGuide[[#This Row],[TableName]] ) * ( [1]Sheet1!$B:$B =RIGHT( MappingGuide[[#This Row],[ColumnName]],4) ),[1]Sheet1!$M:$M,""),IF(_xlpm.r=0,"",_xlpm.r))</f>
        <v xml:space="preserve">indicates which date on the purchase order is to be used as the comparison date for the agreement's dates. Used to obtain the correct agreement number and therefore the correct price on your purchase orders. You can choose between the Order date creation (1) or the requested delivery date (2). It is an important field for vendors that have long lead times. The system will fetch the correct Supplier agreement (and price) based on this setting: Is the agreeement and price to be fetched in the PPO, is the one valid at the PPO creation date (order date) or the one valid at the requested delivery date? </v>
      </c>
      <c r="AF103" s="22"/>
      <c r="AG103" s="22"/>
      <c r="AH103" s="22"/>
      <c r="AI103" s="22" t="s">
        <v>48</v>
      </c>
      <c r="AJ103" s="22" t="s">
        <v>64</v>
      </c>
      <c r="AK103" s="22"/>
    </row>
    <row r="104" spans="1:37" ht="17">
      <c r="A104" s="22">
        <v>370</v>
      </c>
      <c r="B104" s="22" t="s">
        <v>248</v>
      </c>
      <c r="C104" s="22" t="s">
        <v>501</v>
      </c>
      <c r="D104" s="22" t="s">
        <v>502</v>
      </c>
      <c r="E104" s="22" t="s">
        <v>43</v>
      </c>
      <c r="F104" s="22" t="s">
        <v>64</v>
      </c>
      <c r="G104" s="22"/>
      <c r="H104" s="22"/>
      <c r="I104" s="22"/>
      <c r="J104" s="22" t="s">
        <v>253</v>
      </c>
      <c r="K104" s="22" t="s">
        <v>169</v>
      </c>
      <c r="L104" s="22"/>
      <c r="M104" s="22"/>
      <c r="N104" s="22"/>
      <c r="O104" s="22" t="s">
        <v>56</v>
      </c>
      <c r="P104" s="22" t="s">
        <v>57</v>
      </c>
      <c r="Q104" s="22" t="s">
        <v>503</v>
      </c>
      <c r="R104" s="22"/>
      <c r="S104" s="22"/>
      <c r="T104" s="22"/>
      <c r="U104" s="22"/>
      <c r="V104" s="22"/>
      <c r="W104" s="22"/>
      <c r="X104" s="22"/>
      <c r="Y104" s="22"/>
      <c r="Z104" s="22"/>
      <c r="AA104" s="22" t="s">
        <v>504</v>
      </c>
      <c r="AB104" s="22"/>
      <c r="AC104" s="22"/>
      <c r="AD104" s="22" t="str" cm="1">
        <f t="array" ref="AD104">_xlfn.LET(_xlpm.r,_xlfn.XLOOKUP(1,( [1]Sheet1!$A:$A = MappingGuide[[#This Row],[TableName]] ) * ( [1]Sheet1!$B:$B =RIGHT( MappingGuide[[#This Row],[ColumnName]],4) ),[1]Sheet1!$L:$L,""),IF(_xlpm.r=0,"",_xlpm.r))</f>
        <v/>
      </c>
      <c r="AE104" s="22" t="str" cm="1">
        <f t="array" ref="AE104">_xlfn.LET(_xlpm.r,_xlfn.XLOOKUP(1,( [1]Sheet1!$A:$A = MappingGuide[[#This Row],[TableName]] ) * ( [1]Sheet1!$B:$B =RIGHT( MappingGuide[[#This Row],[ColumnName]],4) ),[1]Sheet1!$M:$M,""),IF(_xlpm.r=0,"",_xlpm.r))</f>
        <v>Select the check box if self-billing is permitted for the current supplier</v>
      </c>
      <c r="AF104" s="22"/>
      <c r="AG104" s="22"/>
      <c r="AH104" s="22"/>
      <c r="AI104" s="22" t="s">
        <v>91</v>
      </c>
      <c r="AJ104" s="22"/>
      <c r="AK104" s="22"/>
    </row>
    <row r="105" spans="1:37" ht="17">
      <c r="A105" s="22">
        <v>371</v>
      </c>
      <c r="B105" s="22" t="s">
        <v>248</v>
      </c>
      <c r="C105" s="22" t="s">
        <v>505</v>
      </c>
      <c r="D105" s="22" t="s">
        <v>506</v>
      </c>
      <c r="E105" s="22" t="s">
        <v>43</v>
      </c>
      <c r="F105" s="22" t="s">
        <v>64</v>
      </c>
      <c r="G105" s="22"/>
      <c r="H105" s="22"/>
      <c r="I105" s="22"/>
      <c r="J105" s="22" t="s">
        <v>253</v>
      </c>
      <c r="K105" s="22" t="s">
        <v>169</v>
      </c>
      <c r="L105" s="22"/>
      <c r="M105" s="22"/>
      <c r="N105" s="22"/>
      <c r="O105" s="22" t="s">
        <v>56</v>
      </c>
      <c r="P105" s="22" t="s">
        <v>57</v>
      </c>
      <c r="Q105" s="22" t="s">
        <v>507</v>
      </c>
      <c r="R105" s="22"/>
      <c r="S105" s="22"/>
      <c r="T105" s="22"/>
      <c r="U105" s="22"/>
      <c r="V105" s="22"/>
      <c r="W105" s="22"/>
      <c r="X105" s="22"/>
      <c r="Y105" s="22"/>
      <c r="Z105" s="22"/>
      <c r="AA105" s="22" t="s">
        <v>508</v>
      </c>
      <c r="AB105" s="22" t="s">
        <v>509</v>
      </c>
      <c r="AC105" s="22"/>
      <c r="AD105" s="22" t="str" cm="1">
        <f t="array" ref="AD105">_xlfn.LET(_xlpm.r,_xlfn.XLOOKUP(1,( [1]Sheet1!$A:$A = MappingGuide[[#This Row],[TableName]] ) * ( [1]Sheet1!$B:$B =RIGHT( MappingGuide[[#This Row],[ColumnName]],4) ),[1]Sheet1!$L:$L,""),IF(_xlpm.r=0,"",_xlpm.r))</f>
        <v/>
      </c>
      <c r="AE105" s="22" t="str" cm="1">
        <f t="array" ref="AE105">_xlfn.LET(_xlpm.r,_xlfn.XLOOKUP(1,( [1]Sheet1!$A:$A = MappingGuide[[#This Row],[TableName]] ) * ( [1]Sheet1!$B:$B =RIGHT( MappingGuide[[#This Row],[ColumnName]],4) ),[1]Sheet1!$M:$M,""),IF(_xlpm.r=0,"",_xlpm.r))</f>
        <v>The field indicates whether the system calculates and books supplier tax withheld at the source when the company registers or pays invoices from certain suppliers.</v>
      </c>
      <c r="AF105" s="22"/>
      <c r="AG105" s="22"/>
      <c r="AH105" s="22"/>
      <c r="AI105" s="22" t="s">
        <v>91</v>
      </c>
      <c r="AJ105" s="22"/>
      <c r="AK105" s="22"/>
    </row>
    <row r="106" spans="1:37" ht="17">
      <c r="A106" s="22">
        <v>372</v>
      </c>
      <c r="B106" s="22" t="s">
        <v>248</v>
      </c>
      <c r="C106" s="22" t="s">
        <v>510</v>
      </c>
      <c r="D106" s="22" t="s">
        <v>511</v>
      </c>
      <c r="E106" s="22" t="s">
        <v>43</v>
      </c>
      <c r="F106" s="22" t="s">
        <v>206</v>
      </c>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t="str" cm="1">
        <f t="array" ref="AD106">_xlfn.LET(_xlpm.r,_xlfn.XLOOKUP(1,( [1]Sheet1!$A:$A = MappingGuide[[#This Row],[TableName]] ) * ( [1]Sheet1!$B:$B =RIGHT( MappingGuide[[#This Row],[ColumnName]],4) ),[1]Sheet1!$L:$L,""),IF(_xlpm.r=0,"",_xlpm.r))</f>
        <v/>
      </c>
      <c r="AE106" s="22" t="str" cm="1">
        <f t="array" ref="AE106">_xlfn.LET(_xlpm.r,_xlfn.XLOOKUP(1,( [1]Sheet1!$A:$A = MappingGuide[[#This Row],[TableName]] ) * ( [1]Sheet1!$B:$B =RIGHT( MappingGuide[[#This Row],[ColumnName]],4) ),[1]Sheet1!$M:$M,""),IF(_xlpm.r=0,"",_xlpm.r))</f>
        <v/>
      </c>
      <c r="AF106" s="22"/>
      <c r="AG106" s="22"/>
      <c r="AH106" s="22"/>
      <c r="AI106" s="22" t="s">
        <v>91</v>
      </c>
      <c r="AJ106" s="22"/>
      <c r="AK106" s="22"/>
    </row>
    <row r="107" spans="1:37" ht="17">
      <c r="A107" s="22">
        <v>373</v>
      </c>
      <c r="B107" s="22" t="s">
        <v>248</v>
      </c>
      <c r="C107" s="22" t="s">
        <v>512</v>
      </c>
      <c r="D107" s="22" t="s">
        <v>513</v>
      </c>
      <c r="E107" s="22" t="s">
        <v>43</v>
      </c>
      <c r="F107" s="22" t="s">
        <v>239</v>
      </c>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t="str" cm="1">
        <f t="array" ref="AD107">_xlfn.LET(_xlpm.r,_xlfn.XLOOKUP(1,( [1]Sheet1!$A:$A = MappingGuide[[#This Row],[TableName]] ) * ( [1]Sheet1!$B:$B =RIGHT( MappingGuide[[#This Row],[ColumnName]],4) ),[1]Sheet1!$L:$L,""),IF(_xlpm.r=0,"",_xlpm.r))</f>
        <v/>
      </c>
      <c r="AE107" s="22" t="str" cm="1">
        <f t="array" ref="AE107">_xlfn.LET(_xlpm.r,_xlfn.XLOOKUP(1,( [1]Sheet1!$A:$A = MappingGuide[[#This Row],[TableName]] ) * ( [1]Sheet1!$B:$B =RIGHT( MappingGuide[[#This Row],[ColumnName]],4) ),[1]Sheet1!$M:$M,""),IF(_xlpm.r=0,"",_xlpm.r))</f>
        <v/>
      </c>
      <c r="AF107" s="22"/>
      <c r="AG107" s="22"/>
      <c r="AH107" s="22"/>
      <c r="AI107" s="22" t="s">
        <v>91</v>
      </c>
      <c r="AJ107" s="22"/>
      <c r="AK107" s="22"/>
    </row>
    <row r="108" spans="1:37" ht="17">
      <c r="A108" s="22">
        <v>374</v>
      </c>
      <c r="B108" s="22" t="s">
        <v>248</v>
      </c>
      <c r="C108" s="22" t="s">
        <v>514</v>
      </c>
      <c r="D108" s="22" t="s">
        <v>515</v>
      </c>
      <c r="E108" s="22" t="s">
        <v>52</v>
      </c>
      <c r="F108" s="22" t="s">
        <v>175</v>
      </c>
      <c r="G108" s="22"/>
      <c r="H108" s="22"/>
      <c r="I108" s="22"/>
      <c r="J108" s="22" t="s">
        <v>253</v>
      </c>
      <c r="K108" s="22" t="s">
        <v>55</v>
      </c>
      <c r="L108" s="22"/>
      <c r="M108" s="22" t="s">
        <v>48</v>
      </c>
      <c r="N108" s="22"/>
      <c r="O108" s="22" t="s">
        <v>56</v>
      </c>
      <c r="P108" s="22" t="s">
        <v>57</v>
      </c>
      <c r="Q108" s="22" t="s">
        <v>516</v>
      </c>
      <c r="R108" s="22"/>
      <c r="S108" s="22"/>
      <c r="T108" s="22"/>
      <c r="U108" s="22"/>
      <c r="V108" s="22"/>
      <c r="W108" s="22"/>
      <c r="X108" s="22"/>
      <c r="Y108" s="22"/>
      <c r="Z108" s="22"/>
      <c r="AA108" s="22" t="s">
        <v>517</v>
      </c>
      <c r="AB108" s="22"/>
      <c r="AC108" s="22"/>
      <c r="AD108" s="22" t="str" cm="1">
        <f t="array" ref="AD108">_xlfn.LET(_xlpm.r,_xlfn.XLOOKUP(1,( [1]Sheet1!$A:$A = MappingGuide[[#This Row],[TableName]] ) * ( [1]Sheet1!$B:$B =RIGHT( MappingGuide[[#This Row],[ColumnName]],4) ),[1]Sheet1!$L:$L,""),IF(_xlpm.r=0,"",_xlpm.r))</f>
        <v/>
      </c>
      <c r="AE108" s="22" t="str" cm="1">
        <f t="array" ref="AE108">_xlfn.LET(_xlpm.r,_xlfn.XLOOKUP(1,( [1]Sheet1!$A:$A = MappingGuide[[#This Row],[TableName]] ) * ( [1]Sheet1!$B:$B =RIGHT( MappingGuide[[#This Row],[ColumnName]],4) ),[1]Sheet1!$M:$M,""),IF(_xlpm.r=0,"",_xlpm.r))</f>
        <v/>
      </c>
      <c r="AF108" s="22"/>
      <c r="AG108" s="22"/>
      <c r="AH108" s="22"/>
      <c r="AI108" s="22" t="s">
        <v>91</v>
      </c>
      <c r="AJ108" s="22"/>
      <c r="AK108" s="22"/>
    </row>
    <row r="109" spans="1:37" ht="17">
      <c r="A109" s="22">
        <v>375</v>
      </c>
      <c r="B109" s="22" t="s">
        <v>248</v>
      </c>
      <c r="C109" s="22" t="s">
        <v>518</v>
      </c>
      <c r="D109" s="22" t="s">
        <v>519</v>
      </c>
      <c r="E109" s="22" t="s">
        <v>52</v>
      </c>
      <c r="F109" s="22" t="s">
        <v>44</v>
      </c>
      <c r="G109" s="22"/>
      <c r="H109" s="22"/>
      <c r="I109" s="22"/>
      <c r="J109" s="22" t="s">
        <v>253</v>
      </c>
      <c r="K109" s="22" t="s">
        <v>169</v>
      </c>
      <c r="L109" s="22"/>
      <c r="M109" s="22"/>
      <c r="N109" s="22"/>
      <c r="O109" s="22" t="s">
        <v>56</v>
      </c>
      <c r="P109" s="22" t="s">
        <v>57</v>
      </c>
      <c r="Q109" s="22" t="s">
        <v>520</v>
      </c>
      <c r="R109" s="22"/>
      <c r="S109" s="22"/>
      <c r="T109" s="22"/>
      <c r="U109" s="22"/>
      <c r="V109" s="22"/>
      <c r="W109" s="22"/>
      <c r="X109" s="22"/>
      <c r="Y109" s="22"/>
      <c r="Z109" s="22"/>
      <c r="AA109" s="22" t="s">
        <v>521</v>
      </c>
      <c r="AB109" s="22"/>
      <c r="AC109" s="22" t="s">
        <v>522</v>
      </c>
      <c r="AD109" s="22" t="str" cm="1">
        <f t="array" ref="AD109">_xlfn.LET(_xlpm.r,_xlfn.XLOOKUP(1,( [1]Sheet1!$A:$A = MappingGuide[[#This Row],[TableName]] ) * ( [1]Sheet1!$B:$B =RIGHT( MappingGuide[[#This Row],[ColumnName]],4) ),[1]Sheet1!$L:$L,""),IF(_xlpm.r=0,"",_xlpm.r))</f>
        <v>French tax activity identifier</v>
      </c>
      <c r="AE109" s="22" t="str" cm="1">
        <f t="array" ref="AE109">_xlfn.LET(_xlpm.r,_xlfn.XLOOKUP(1,( [1]Sheet1!$A:$A = MappingGuide[[#This Row],[TableName]] ) * ( [1]Sheet1!$B:$B =RIGHT( MappingGuide[[#This Row],[ColumnName]],4) ),[1]Sheet1!$M:$M,""),IF(_xlpm.r=0,"",_xlpm.r))</f>
        <v>Used for regulatory compliance and tax filing, especially for French suppliers per finance requirements.</v>
      </c>
      <c r="AF109" s="22"/>
      <c r="AG109" s="22"/>
      <c r="AH109" s="22"/>
      <c r="AI109" s="22" t="s">
        <v>91</v>
      </c>
      <c r="AJ109" s="22"/>
      <c r="AK109" s="22"/>
    </row>
    <row r="110" spans="1:37" ht="17">
      <c r="A110" s="22">
        <v>376</v>
      </c>
      <c r="B110" s="22" t="s">
        <v>248</v>
      </c>
      <c r="C110" s="22" t="s">
        <v>523</v>
      </c>
      <c r="D110" s="22" t="s">
        <v>524</v>
      </c>
      <c r="E110" s="22" t="s">
        <v>43</v>
      </c>
      <c r="F110" s="22" t="s">
        <v>64</v>
      </c>
      <c r="G110" s="22"/>
      <c r="H110" s="22"/>
      <c r="I110" s="22"/>
      <c r="J110" s="22"/>
      <c r="K110" s="22"/>
      <c r="L110" s="22"/>
      <c r="M110" s="22"/>
      <c r="N110" s="22"/>
      <c r="O110" s="22" t="s">
        <v>56</v>
      </c>
      <c r="P110" s="22" t="s">
        <v>57</v>
      </c>
      <c r="Q110" s="22" t="s">
        <v>525</v>
      </c>
      <c r="R110" s="22"/>
      <c r="S110" s="22"/>
      <c r="T110" s="22"/>
      <c r="U110" s="22"/>
      <c r="V110" s="22"/>
      <c r="W110" s="22"/>
      <c r="X110" s="22"/>
      <c r="Y110" s="22"/>
      <c r="Z110" s="22"/>
      <c r="AA110" s="22" t="s">
        <v>526</v>
      </c>
      <c r="AB110" s="22"/>
      <c r="AC110" s="22"/>
      <c r="AD110" s="22" t="str" cm="1">
        <f t="array" ref="AD110">_xlfn.LET(_xlpm.r,_xlfn.XLOOKUP(1,( [1]Sheet1!$A:$A = MappingGuide[[#This Row],[TableName]] ) * ( [1]Sheet1!$B:$B =RIGHT( MappingGuide[[#This Row],[ColumnName]],4) ),[1]Sheet1!$L:$L,""),IF(_xlpm.r=0,"",_xlpm.r))</f>
        <v/>
      </c>
      <c r="AE110" s="22" t="str" cm="1">
        <f t="array" ref="AE110">_xlfn.LET(_xlpm.r,_xlfn.XLOOKUP(1,( [1]Sheet1!$A:$A = MappingGuide[[#This Row],[TableName]] ) * ( [1]Sheet1!$B:$B =RIGHT( MappingGuide[[#This Row],[ColumnName]],4) ),[1]Sheet1!$M:$M,""),IF(_xlpm.r=0,"",_xlpm.r))</f>
        <v/>
      </c>
      <c r="AF110" s="22"/>
      <c r="AG110" s="22"/>
      <c r="AH110" s="22"/>
      <c r="AI110" s="22" t="s">
        <v>91</v>
      </c>
      <c r="AJ110" s="22"/>
      <c r="AK110" s="22"/>
    </row>
    <row r="111" spans="1:37" ht="17">
      <c r="A111" s="22">
        <v>377</v>
      </c>
      <c r="B111" s="22" t="s">
        <v>248</v>
      </c>
      <c r="C111" s="22" t="s">
        <v>527</v>
      </c>
      <c r="D111" s="22" t="s">
        <v>528</v>
      </c>
      <c r="E111" s="22" t="s">
        <v>52</v>
      </c>
      <c r="F111" s="22" t="s">
        <v>44</v>
      </c>
      <c r="G111" s="22"/>
      <c r="H111" s="22"/>
      <c r="I111" s="22"/>
      <c r="J111" s="22"/>
      <c r="K111" s="22"/>
      <c r="L111" s="22"/>
      <c r="M111" s="22"/>
      <c r="N111" s="22"/>
      <c r="O111" s="22" t="s">
        <v>56</v>
      </c>
      <c r="P111" s="22" t="s">
        <v>57</v>
      </c>
      <c r="Q111" s="22" t="s">
        <v>529</v>
      </c>
      <c r="R111" s="22"/>
      <c r="S111" s="22"/>
      <c r="T111" s="22"/>
      <c r="U111" s="22"/>
      <c r="V111" s="22"/>
      <c r="W111" s="22"/>
      <c r="X111" s="22"/>
      <c r="Y111" s="22"/>
      <c r="Z111" s="22"/>
      <c r="AA111" s="22" t="s">
        <v>530</v>
      </c>
      <c r="AB111" s="22"/>
      <c r="AC111" s="22" t="s">
        <v>531</v>
      </c>
      <c r="AD111" s="22" t="str" cm="1">
        <f t="array" ref="AD111">_xlfn.LET(_xlpm.r,_xlfn.XLOOKUP(1,( [1]Sheet1!$A:$A = MappingGuide[[#This Row],[TableName]] ) * ( [1]Sheet1!$B:$B =RIGHT( MappingGuide[[#This Row],[ColumnName]],4) ),[1]Sheet1!$L:$L,""),IF(_xlpm.r=0,"",_xlpm.r))</f>
        <v/>
      </c>
      <c r="AE111" s="22" t="str" cm="1">
        <f t="array" ref="AE111">_xlfn.LET(_xlpm.r,_xlfn.XLOOKUP(1,( [1]Sheet1!$A:$A = MappingGuide[[#This Row],[TableName]] ) * ( [1]Sheet1!$B:$B =RIGHT( MappingGuide[[#This Row],[ColumnName]],4) ),[1]Sheet1!$M:$M,""),IF(_xlpm.r=0,"",_xlpm.r))</f>
        <v/>
      </c>
      <c r="AF111" s="22"/>
      <c r="AG111" s="22"/>
      <c r="AH111" s="22"/>
      <c r="AI111" s="22" t="s">
        <v>91</v>
      </c>
      <c r="AJ111" s="22"/>
      <c r="AK111" s="22"/>
    </row>
    <row r="112" spans="1:37" ht="17">
      <c r="A112" s="22">
        <v>378</v>
      </c>
      <c r="B112" s="22" t="s">
        <v>248</v>
      </c>
      <c r="C112" s="22" t="s">
        <v>532</v>
      </c>
      <c r="D112" s="22" t="s">
        <v>214</v>
      </c>
      <c r="E112" s="22" t="s">
        <v>43</v>
      </c>
      <c r="F112" s="22" t="s">
        <v>215</v>
      </c>
      <c r="G112" s="22"/>
      <c r="H112" s="22"/>
      <c r="I112" s="22"/>
      <c r="J112" s="22"/>
      <c r="K112" s="22"/>
      <c r="L112" s="22"/>
      <c r="M112" s="22"/>
      <c r="N112" s="22"/>
      <c r="O112" s="22"/>
      <c r="P112" s="22"/>
      <c r="Q112" s="22"/>
      <c r="R112" s="22"/>
      <c r="S112" s="22"/>
      <c r="T112" s="22"/>
      <c r="U112" s="22"/>
      <c r="V112" s="22"/>
      <c r="W112" s="22"/>
      <c r="X112" s="22"/>
      <c r="Y112" s="22"/>
      <c r="Z112" s="22"/>
      <c r="AA112" s="22" t="s">
        <v>216</v>
      </c>
      <c r="AB112" s="22"/>
      <c r="AC112" s="22"/>
      <c r="AD112" s="22" t="str" cm="1">
        <f t="array" ref="AD112">_xlfn.LET(_xlpm.r,_xlfn.XLOOKUP(1,( [1]Sheet1!$A:$A = MappingGuide[[#This Row],[TableName]] ) * ( [1]Sheet1!$B:$B =RIGHT( MappingGuide[[#This Row],[ColumnName]],4) ),[1]Sheet1!$L:$L,""),IF(_xlpm.r=0,"",_xlpm.r))</f>
        <v/>
      </c>
      <c r="AE112" s="22" t="str" cm="1">
        <f t="array" ref="AE112">_xlfn.LET(_xlpm.r,_xlfn.XLOOKUP(1,( [1]Sheet1!$A:$A = MappingGuide[[#This Row],[TableName]] ) * ( [1]Sheet1!$B:$B =RIGHT( MappingGuide[[#This Row],[ColumnName]],4) ),[1]Sheet1!$M:$M,""),IF(_xlpm.r=0,"",_xlpm.r))</f>
        <v/>
      </c>
      <c r="AF112" s="22"/>
      <c r="AG112" s="22"/>
      <c r="AH112" s="22"/>
      <c r="AI112" s="22" t="s">
        <v>91</v>
      </c>
      <c r="AJ112" s="22"/>
      <c r="AK112" s="22"/>
    </row>
    <row r="113" spans="1:37" ht="17">
      <c r="A113" s="22">
        <v>379</v>
      </c>
      <c r="B113" s="22" t="s">
        <v>248</v>
      </c>
      <c r="C113" s="22" t="s">
        <v>533</v>
      </c>
      <c r="D113" s="22" t="s">
        <v>218</v>
      </c>
      <c r="E113" s="22" t="s">
        <v>43</v>
      </c>
      <c r="F113" s="22" t="s">
        <v>192</v>
      </c>
      <c r="G113" s="22"/>
      <c r="H113" s="22"/>
      <c r="I113" s="22"/>
      <c r="J113" s="22"/>
      <c r="K113" s="22"/>
      <c r="L113" s="22"/>
      <c r="M113" s="22"/>
      <c r="N113" s="22"/>
      <c r="O113" s="22"/>
      <c r="P113" s="22"/>
      <c r="Q113" s="22"/>
      <c r="R113" s="22"/>
      <c r="S113" s="22"/>
      <c r="T113" s="22"/>
      <c r="U113" s="22"/>
      <c r="V113" s="22"/>
      <c r="W113" s="22"/>
      <c r="X113" s="22"/>
      <c r="Y113" s="22"/>
      <c r="Z113" s="22"/>
      <c r="AA113" s="22" t="s">
        <v>219</v>
      </c>
      <c r="AB113" s="22"/>
      <c r="AC113" s="22"/>
      <c r="AD113" s="22" t="str" cm="1">
        <f t="array" ref="AD113">_xlfn.LET(_xlpm.r,_xlfn.XLOOKUP(1,( [1]Sheet1!$A:$A = MappingGuide[[#This Row],[TableName]] ) * ( [1]Sheet1!$B:$B =RIGHT( MappingGuide[[#This Row],[ColumnName]],4) ),[1]Sheet1!$L:$L,""),IF(_xlpm.r=0,"",_xlpm.r))</f>
        <v/>
      </c>
      <c r="AE113" s="22" t="str" cm="1">
        <f t="array" ref="AE113">_xlfn.LET(_xlpm.r,_xlfn.XLOOKUP(1,( [1]Sheet1!$A:$A = MappingGuide[[#This Row],[TableName]] ) * ( [1]Sheet1!$B:$B =RIGHT( MappingGuide[[#This Row],[ColumnName]],4) ),[1]Sheet1!$M:$M,""),IF(_xlpm.r=0,"",_xlpm.r))</f>
        <v/>
      </c>
      <c r="AF113" s="22"/>
      <c r="AG113" s="22"/>
      <c r="AH113" s="22"/>
      <c r="AI113" s="22" t="s">
        <v>91</v>
      </c>
      <c r="AJ113" s="22"/>
      <c r="AK113" s="22"/>
    </row>
    <row r="114" spans="1:37" ht="17">
      <c r="A114" s="22">
        <v>380</v>
      </c>
      <c r="B114" s="22" t="s">
        <v>248</v>
      </c>
      <c r="C114" s="22" t="s">
        <v>534</v>
      </c>
      <c r="D114" s="22" t="s">
        <v>221</v>
      </c>
      <c r="E114" s="22" t="s">
        <v>43</v>
      </c>
      <c r="F114" s="22" t="s">
        <v>215</v>
      </c>
      <c r="G114" s="22"/>
      <c r="H114" s="22"/>
      <c r="I114" s="22"/>
      <c r="J114" s="22"/>
      <c r="K114" s="22"/>
      <c r="L114" s="22"/>
      <c r="M114" s="22"/>
      <c r="N114" s="22"/>
      <c r="O114" s="22"/>
      <c r="P114" s="22"/>
      <c r="Q114" s="22"/>
      <c r="R114" s="22"/>
      <c r="S114" s="22"/>
      <c r="T114" s="22"/>
      <c r="U114" s="22"/>
      <c r="V114" s="22"/>
      <c r="W114" s="22"/>
      <c r="X114" s="22"/>
      <c r="Y114" s="22"/>
      <c r="Z114" s="22"/>
      <c r="AA114" s="22" t="s">
        <v>222</v>
      </c>
      <c r="AB114" s="22"/>
      <c r="AC114" s="22"/>
      <c r="AD114" s="22" t="str" cm="1">
        <f t="array" ref="AD114">_xlfn.LET(_xlpm.r,_xlfn.XLOOKUP(1,( [1]Sheet1!$A:$A = MappingGuide[[#This Row],[TableName]] ) * ( [1]Sheet1!$B:$B =RIGHT( MappingGuide[[#This Row],[ColumnName]],4) ),[1]Sheet1!$L:$L,""),IF(_xlpm.r=0,"",_xlpm.r))</f>
        <v/>
      </c>
      <c r="AE114" s="22" t="str" cm="1">
        <f t="array" ref="AE114">_xlfn.LET(_xlpm.r,_xlfn.XLOOKUP(1,( [1]Sheet1!$A:$A = MappingGuide[[#This Row],[TableName]] ) * ( [1]Sheet1!$B:$B =RIGHT( MappingGuide[[#This Row],[ColumnName]],4) ),[1]Sheet1!$M:$M,""),IF(_xlpm.r=0,"",_xlpm.r))</f>
        <v/>
      </c>
      <c r="AF114" s="22"/>
      <c r="AG114" s="22"/>
      <c r="AH114" s="22"/>
      <c r="AI114" s="22" t="s">
        <v>91</v>
      </c>
      <c r="AJ114" s="22"/>
      <c r="AK114" s="22"/>
    </row>
    <row r="115" spans="1:37" ht="17">
      <c r="A115" s="22">
        <v>381</v>
      </c>
      <c r="B115" s="22" t="s">
        <v>248</v>
      </c>
      <c r="C115" s="22" t="s">
        <v>535</v>
      </c>
      <c r="D115" s="22" t="s">
        <v>224</v>
      </c>
      <c r="E115" s="22" t="s">
        <v>43</v>
      </c>
      <c r="F115" s="22" t="s">
        <v>44</v>
      </c>
      <c r="G115" s="22"/>
      <c r="H115" s="22"/>
      <c r="I115" s="22"/>
      <c r="J115" s="22"/>
      <c r="K115" s="22"/>
      <c r="L115" s="22"/>
      <c r="M115" s="22"/>
      <c r="N115" s="22"/>
      <c r="O115" s="22"/>
      <c r="P115" s="22"/>
      <c r="Q115" s="22"/>
      <c r="R115" s="22"/>
      <c r="S115" s="22"/>
      <c r="T115" s="22"/>
      <c r="U115" s="22"/>
      <c r="V115" s="22"/>
      <c r="W115" s="22"/>
      <c r="X115" s="22"/>
      <c r="Y115" s="22"/>
      <c r="Z115" s="22"/>
      <c r="AA115" s="22" t="s">
        <v>225</v>
      </c>
      <c r="AB115" s="22"/>
      <c r="AC115" s="22"/>
      <c r="AD115" s="22" t="str" cm="1">
        <f t="array" ref="AD115">_xlfn.LET(_xlpm.r,_xlfn.XLOOKUP(1,( [1]Sheet1!$A:$A = MappingGuide[[#This Row],[TableName]] ) * ( [1]Sheet1!$B:$B =RIGHT( MappingGuide[[#This Row],[ColumnName]],4) ),[1]Sheet1!$L:$L,""),IF(_xlpm.r=0,"",_xlpm.r))</f>
        <v/>
      </c>
      <c r="AE115" s="22" t="str" cm="1">
        <f t="array" ref="AE115">_xlfn.LET(_xlpm.r,_xlfn.XLOOKUP(1,( [1]Sheet1!$A:$A = MappingGuide[[#This Row],[TableName]] ) * ( [1]Sheet1!$B:$B =RIGHT( MappingGuide[[#This Row],[ColumnName]],4) ),[1]Sheet1!$M:$M,""),IF(_xlpm.r=0,"",_xlpm.r))</f>
        <v/>
      </c>
      <c r="AF115" s="22"/>
      <c r="AG115" s="22"/>
      <c r="AH115" s="22"/>
      <c r="AI115" s="22" t="s">
        <v>91</v>
      </c>
      <c r="AJ115" s="22"/>
      <c r="AK115" s="22"/>
    </row>
    <row r="116" spans="1:37" ht="17">
      <c r="A116" s="22">
        <v>382</v>
      </c>
      <c r="B116" s="22" t="s">
        <v>248</v>
      </c>
      <c r="C116" s="22" t="s">
        <v>536</v>
      </c>
      <c r="D116" s="22" t="s">
        <v>227</v>
      </c>
      <c r="E116" s="22" t="s">
        <v>52</v>
      </c>
      <c r="F116" s="22" t="s">
        <v>53</v>
      </c>
      <c r="G116" s="22"/>
      <c r="H116" s="22"/>
      <c r="I116" s="22"/>
      <c r="J116" s="22"/>
      <c r="K116" s="22"/>
      <c r="L116" s="22"/>
      <c r="M116" s="22"/>
      <c r="N116" s="22"/>
      <c r="O116" s="22"/>
      <c r="P116" s="22"/>
      <c r="Q116" s="22"/>
      <c r="R116" s="22"/>
      <c r="S116" s="22"/>
      <c r="T116" s="22"/>
      <c r="U116" s="22"/>
      <c r="V116" s="22"/>
      <c r="W116" s="22"/>
      <c r="X116" s="22"/>
      <c r="Y116" s="22"/>
      <c r="Z116" s="22"/>
      <c r="AA116" s="22" t="s">
        <v>228</v>
      </c>
      <c r="AB116" s="22"/>
      <c r="AC116" s="22"/>
      <c r="AD116" s="22" t="str" cm="1">
        <f t="array" ref="AD116">_xlfn.LET(_xlpm.r,_xlfn.XLOOKUP(1,( [1]Sheet1!$A:$A = MappingGuide[[#This Row],[TableName]] ) * ( [1]Sheet1!$B:$B =RIGHT( MappingGuide[[#This Row],[ColumnName]],4) ),[1]Sheet1!$L:$L,""),IF(_xlpm.r=0,"",_xlpm.r))</f>
        <v/>
      </c>
      <c r="AE116" s="22" t="str" cm="1">
        <f t="array" ref="AE116">_xlfn.LET(_xlpm.r,_xlfn.XLOOKUP(1,( [1]Sheet1!$A:$A = MappingGuide[[#This Row],[TableName]] ) * ( [1]Sheet1!$B:$B =RIGHT( MappingGuide[[#This Row],[ColumnName]],4) ),[1]Sheet1!$M:$M,""),IF(_xlpm.r=0,"",_xlpm.r))</f>
        <v/>
      </c>
      <c r="AF116" s="22"/>
      <c r="AG116" s="22"/>
      <c r="AH116" s="22"/>
      <c r="AI116" s="22" t="s">
        <v>91</v>
      </c>
      <c r="AJ116" s="22"/>
      <c r="AK116" s="22"/>
    </row>
    <row r="117" spans="1:37" ht="17">
      <c r="A117" s="22">
        <v>383</v>
      </c>
      <c r="B117" s="22" t="s">
        <v>248</v>
      </c>
      <c r="C117" s="22" t="s">
        <v>537</v>
      </c>
      <c r="D117" s="22" t="s">
        <v>235</v>
      </c>
      <c r="E117" s="22" t="s">
        <v>43</v>
      </c>
      <c r="F117" s="22" t="s">
        <v>236</v>
      </c>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t="str" cm="1">
        <f t="array" ref="AD117">_xlfn.LET(_xlpm.r,_xlfn.XLOOKUP(1,( [1]Sheet1!$A:$A = MappingGuide[[#This Row],[TableName]] ) * ( [1]Sheet1!$B:$B =RIGHT( MappingGuide[[#This Row],[ColumnName]],4) ),[1]Sheet1!$L:$L,""),IF(_xlpm.r=0,"",_xlpm.r))</f>
        <v/>
      </c>
      <c r="AE117" s="22" t="str" cm="1">
        <f t="array" ref="AE117">_xlfn.LET(_xlpm.r,_xlfn.XLOOKUP(1,( [1]Sheet1!$A:$A = MappingGuide[[#This Row],[TableName]] ) * ( [1]Sheet1!$B:$B =RIGHT( MappingGuide[[#This Row],[ColumnName]],4) ),[1]Sheet1!$M:$M,""),IF(_xlpm.r=0,"",_xlpm.r))</f>
        <v/>
      </c>
      <c r="AF117" s="22"/>
      <c r="AG117" s="22"/>
      <c r="AH117" s="22"/>
      <c r="AI117" s="22" t="s">
        <v>91</v>
      </c>
      <c r="AJ117" s="22"/>
      <c r="AK117" s="22"/>
    </row>
    <row r="118" spans="1:37" ht="17">
      <c r="A118" s="22">
        <v>384</v>
      </c>
      <c r="B118" s="22" t="s">
        <v>248</v>
      </c>
      <c r="C118" s="22" t="s">
        <v>538</v>
      </c>
      <c r="D118" s="22" t="s">
        <v>539</v>
      </c>
      <c r="E118" s="22" t="s">
        <v>43</v>
      </c>
      <c r="F118" s="22" t="s">
        <v>82</v>
      </c>
      <c r="G118" s="22"/>
      <c r="H118" s="22"/>
      <c r="I118" s="22"/>
      <c r="J118" s="22"/>
      <c r="K118" s="22"/>
      <c r="L118" s="22"/>
      <c r="M118" s="22"/>
      <c r="N118" s="22"/>
      <c r="O118" s="22" t="s">
        <v>56</v>
      </c>
      <c r="P118" s="22" t="s">
        <v>57</v>
      </c>
      <c r="Q118" s="22" t="s">
        <v>540</v>
      </c>
      <c r="R118" s="22"/>
      <c r="S118" s="22"/>
      <c r="T118" s="22"/>
      <c r="U118" s="22"/>
      <c r="V118" s="22"/>
      <c r="W118" s="22"/>
      <c r="X118" s="22"/>
      <c r="Y118" s="22"/>
      <c r="Z118" s="22"/>
      <c r="AA118" s="22" t="s">
        <v>541</v>
      </c>
      <c r="AB118" s="22" t="s">
        <v>542</v>
      </c>
      <c r="AC118" s="22"/>
      <c r="AD118" s="22" t="str" cm="1">
        <f t="array" ref="AD118">_xlfn.LET(_xlpm.r,_xlfn.XLOOKUP(1,( [1]Sheet1!$A:$A = MappingGuide[[#This Row],[TableName]] ) * ( [1]Sheet1!$B:$B =RIGHT( MappingGuide[[#This Row],[ColumnName]],4) ),[1]Sheet1!$L:$L,""),IF(_xlpm.r=0,"",_xlpm.r))</f>
        <v/>
      </c>
      <c r="AE118" s="22" t="str" cm="1">
        <f t="array" ref="AE118">_xlfn.LET(_xlpm.r,_xlfn.XLOOKUP(1,( [1]Sheet1!$A:$A = MappingGuide[[#This Row],[TableName]] ) * ( [1]Sheet1!$B:$B =RIGHT( MappingGuide[[#This Row],[ColumnName]],4) ),[1]Sheet1!$M:$M,""),IF(_xlpm.r=0,"",_xlpm.r))</f>
        <v>This field is used to control target bying functionality and purchase planning per product line at the supplier level</v>
      </c>
      <c r="AF118" s="22"/>
      <c r="AG118" s="22"/>
      <c r="AH118" s="22"/>
      <c r="AI118" s="22" t="s">
        <v>91</v>
      </c>
      <c r="AJ118" s="22"/>
      <c r="AK118" s="22"/>
    </row>
    <row r="119" spans="1:37" ht="17">
      <c r="A119" s="22">
        <v>385</v>
      </c>
      <c r="B119" s="22" t="s">
        <v>248</v>
      </c>
      <c r="C119" s="22" t="s">
        <v>543</v>
      </c>
      <c r="D119" s="22" t="s">
        <v>544</v>
      </c>
      <c r="E119" s="22" t="s">
        <v>52</v>
      </c>
      <c r="F119" s="22" t="s">
        <v>53</v>
      </c>
      <c r="G119" s="22"/>
      <c r="H119" s="22"/>
      <c r="I119" s="22"/>
      <c r="J119" s="22"/>
      <c r="K119" s="22"/>
      <c r="L119" s="22"/>
      <c r="M119" s="22"/>
      <c r="N119" s="22"/>
      <c r="O119" s="22" t="s">
        <v>56</v>
      </c>
      <c r="P119" s="22" t="s">
        <v>57</v>
      </c>
      <c r="Q119" s="22" t="s">
        <v>545</v>
      </c>
      <c r="R119" s="22"/>
      <c r="S119" s="22"/>
      <c r="T119" s="22"/>
      <c r="U119" s="22"/>
      <c r="V119" s="22"/>
      <c r="W119" s="22"/>
      <c r="X119" s="22"/>
      <c r="Y119" s="22"/>
      <c r="Z119" s="22"/>
      <c r="AA119" s="22" t="s">
        <v>546</v>
      </c>
      <c r="AB119" s="22"/>
      <c r="AC119" s="22" t="s">
        <v>547</v>
      </c>
      <c r="AD119" s="22" t="str" cm="1">
        <f t="array" ref="AD119">_xlfn.LET(_xlpm.r,_xlfn.XLOOKUP(1,( [1]Sheet1!$A:$A = MappingGuide[[#This Row],[TableName]] ) * ( [1]Sheet1!$B:$B =RIGHT( MappingGuide[[#This Row],[ColumnName]],4) ),[1]Sheet1!$L:$L,""),IF(_xlpm.r=0,"",_xlpm.r))</f>
        <v>PO consolidation group identifier</v>
      </c>
      <c r="AE119" s="22" t="str" cm="1">
        <f t="array" ref="AE119">_xlfn.LET(_xlpm.r,_xlfn.XLOOKUP(1,( [1]Sheet1!$A:$A = MappingGuide[[#This Row],[TableName]] ) * ( [1]Sheet1!$B:$B =RIGHT( MappingGuide[[#This Row],[ColumnName]],4) ),[1]Sheet1!$M:$M,""),IF(_xlpm.r=0,"",_xlpm.r))</f>
        <v xml:space="preserve">Used to group the planned purchase orders together (into one or multiple firm PO during the PPO release) for processing, release, and tracking, allows configuration by consolidation rules. Configuration in PPS019, and value selection in this field if needed. The consolidation group can be attached to the PO order type instead, and not to the supplier. </v>
      </c>
      <c r="AF119" s="22"/>
      <c r="AG119" s="22"/>
      <c r="AH119" s="22"/>
      <c r="AI119" s="22" t="s">
        <v>91</v>
      </c>
      <c r="AJ119" s="22"/>
      <c r="AK119" s="22"/>
    </row>
    <row r="120" spans="1:37" ht="17">
      <c r="A120" s="22">
        <v>386</v>
      </c>
      <c r="B120" s="22" t="s">
        <v>248</v>
      </c>
      <c r="C120" s="22" t="s">
        <v>548</v>
      </c>
      <c r="D120" s="22" t="s">
        <v>549</v>
      </c>
      <c r="E120" s="22" t="s">
        <v>43</v>
      </c>
      <c r="F120" s="22" t="s">
        <v>64</v>
      </c>
      <c r="G120" s="22"/>
      <c r="H120" s="22"/>
      <c r="I120" s="22"/>
      <c r="J120" s="22"/>
      <c r="K120" s="22"/>
      <c r="L120" s="22"/>
      <c r="M120" s="22"/>
      <c r="N120" s="22"/>
      <c r="O120" s="22" t="s">
        <v>56</v>
      </c>
      <c r="P120" s="22" t="s">
        <v>57</v>
      </c>
      <c r="Q120" s="22" t="s">
        <v>550</v>
      </c>
      <c r="R120" s="22"/>
      <c r="S120" s="22"/>
      <c r="T120" s="22"/>
      <c r="U120" s="22"/>
      <c r="V120" s="22"/>
      <c r="W120" s="22"/>
      <c r="X120" s="22"/>
      <c r="Y120" s="22"/>
      <c r="Z120" s="22"/>
      <c r="AA120" s="22" t="s">
        <v>551</v>
      </c>
      <c r="AB120" s="22"/>
      <c r="AC120" s="22"/>
      <c r="AD120" s="22" t="str" cm="1">
        <f t="array" ref="AD120">_xlfn.LET(_xlpm.r,_xlfn.XLOOKUP(1,( [1]Sheet1!$A:$A = MappingGuide[[#This Row],[TableName]] ) * ( [1]Sheet1!$B:$B =RIGHT( MappingGuide[[#This Row],[ColumnName]],4) ),[1]Sheet1!$L:$L,""),IF(_xlpm.r=0,"",_xlpm.r))</f>
        <v/>
      </c>
      <c r="AE120" s="22" t="str" cm="1">
        <f t="array" ref="AE120">_xlfn.LET(_xlpm.r,_xlfn.XLOOKUP(1,( [1]Sheet1!$A:$A = MappingGuide[[#This Row],[TableName]] ) * ( [1]Sheet1!$B:$B =RIGHT( MappingGuide[[#This Row],[ColumnName]],4) ),[1]Sheet1!$M:$M,""),IF(_xlpm.r=0,"",_xlpm.r))</f>
        <v/>
      </c>
      <c r="AF120" s="22"/>
      <c r="AG120" s="22"/>
      <c r="AH120" s="22"/>
      <c r="AI120" s="22" t="s">
        <v>91</v>
      </c>
      <c r="AJ120" s="22"/>
      <c r="AK120" s="22"/>
    </row>
    <row r="121" spans="1:37" ht="17">
      <c r="A121" s="22">
        <v>387</v>
      </c>
      <c r="B121" s="22" t="s">
        <v>248</v>
      </c>
      <c r="C121" s="22" t="s">
        <v>552</v>
      </c>
      <c r="D121" s="22" t="s">
        <v>553</v>
      </c>
      <c r="E121" s="22" t="s">
        <v>43</v>
      </c>
      <c r="F121" s="22" t="s">
        <v>211</v>
      </c>
      <c r="G121" s="22"/>
      <c r="H121" s="22"/>
      <c r="I121" s="22"/>
      <c r="J121" s="22"/>
      <c r="K121" s="22"/>
      <c r="L121" s="22"/>
      <c r="M121" s="22"/>
      <c r="N121" s="22"/>
      <c r="O121" s="22"/>
      <c r="P121" s="22"/>
      <c r="Q121" s="22"/>
      <c r="R121" s="22"/>
      <c r="S121" s="22"/>
      <c r="T121" s="22"/>
      <c r="U121" s="22"/>
      <c r="V121" s="22"/>
      <c r="W121" s="22"/>
      <c r="X121" s="22"/>
      <c r="Y121" s="22"/>
      <c r="Z121" s="22"/>
      <c r="AA121" s="22" t="s">
        <v>554</v>
      </c>
      <c r="AB121" s="22"/>
      <c r="AC121" s="22"/>
      <c r="AD121" s="22" t="str" cm="1">
        <f t="array" ref="AD121">_xlfn.LET(_xlpm.r,_xlfn.XLOOKUP(1,( [1]Sheet1!$A:$A = MappingGuide[[#This Row],[TableName]] ) * ( [1]Sheet1!$B:$B =RIGHT( MappingGuide[[#This Row],[ColumnName]],4) ),[1]Sheet1!$L:$L,""),IF(_xlpm.r=0,"",_xlpm.r))</f>
        <v/>
      </c>
      <c r="AE121" s="22" t="str" cm="1">
        <f t="array" ref="AE121">_xlfn.LET(_xlpm.r,_xlfn.XLOOKUP(1,( [1]Sheet1!$A:$A = MappingGuide[[#This Row],[TableName]] ) * ( [1]Sheet1!$B:$B =RIGHT( MappingGuide[[#This Row],[ColumnName]],4) ),[1]Sheet1!$M:$M,""),IF(_xlpm.r=0,"",_xlpm.r))</f>
        <v/>
      </c>
      <c r="AF121" s="22"/>
      <c r="AG121" s="22"/>
      <c r="AH121" s="22"/>
      <c r="AI121" s="22" t="s">
        <v>91</v>
      </c>
      <c r="AJ121" s="22"/>
      <c r="AK121" s="22"/>
    </row>
    <row r="122" spans="1:37" ht="17">
      <c r="A122" s="22">
        <v>388</v>
      </c>
      <c r="B122" s="22" t="s">
        <v>248</v>
      </c>
      <c r="C122" s="22" t="s">
        <v>555</v>
      </c>
      <c r="D122" s="22" t="s">
        <v>556</v>
      </c>
      <c r="E122" s="22" t="s">
        <v>43</v>
      </c>
      <c r="F122" s="22" t="s">
        <v>64</v>
      </c>
      <c r="G122" s="22"/>
      <c r="H122" s="22"/>
      <c r="I122" s="22"/>
      <c r="J122" s="22"/>
      <c r="K122" s="22"/>
      <c r="L122" s="22"/>
      <c r="M122" s="22"/>
      <c r="N122" s="22"/>
      <c r="O122" s="22" t="s">
        <v>56</v>
      </c>
      <c r="P122" s="22" t="s">
        <v>57</v>
      </c>
      <c r="Q122" s="22" t="s">
        <v>557</v>
      </c>
      <c r="R122" s="22"/>
      <c r="S122" s="22"/>
      <c r="T122" s="22"/>
      <c r="U122" s="22"/>
      <c r="V122" s="22"/>
      <c r="W122" s="22"/>
      <c r="X122" s="22"/>
      <c r="Y122" s="22"/>
      <c r="Z122" s="22"/>
      <c r="AA122" s="22" t="s">
        <v>558</v>
      </c>
      <c r="AB122" s="22"/>
      <c r="AC122" s="22"/>
      <c r="AD122" s="22" t="str" cm="1">
        <f t="array" ref="AD122">_xlfn.LET(_xlpm.r,_xlfn.XLOOKUP(1,( [1]Sheet1!$A:$A = MappingGuide[[#This Row],[TableName]] ) * ( [1]Sheet1!$B:$B =RIGHT( MappingGuide[[#This Row],[ColumnName]],4) ),[1]Sheet1!$L:$L,""),IF(_xlpm.r=0,"",_xlpm.r))</f>
        <v/>
      </c>
      <c r="AE122" s="22" t="str" cm="1">
        <f t="array" ref="AE122">_xlfn.LET(_xlpm.r,_xlfn.XLOOKUP(1,( [1]Sheet1!$A:$A = MappingGuide[[#This Row],[TableName]] ) * ( [1]Sheet1!$B:$B =RIGHT( MappingGuide[[#This Row],[ColumnName]],4) ),[1]Sheet1!$M:$M,""),IF(_xlpm.r=0,"",_xlpm.r))</f>
        <v>Select the check box to enable the creation of a consignment agreement for this supplier. When the checkbox is selected, stock can be physically received and stored while legal ownership remains with the supplier until consumption or sale, which changes when and how the purchase is considered received and invoiced.</v>
      </c>
      <c r="AF122" s="22"/>
      <c r="AG122" s="22"/>
      <c r="AH122" s="22"/>
      <c r="AI122" s="22" t="s">
        <v>91</v>
      </c>
      <c r="AJ122" s="22"/>
      <c r="AK122" s="22"/>
    </row>
    <row r="123" spans="1:37" ht="17">
      <c r="A123" s="22">
        <v>389</v>
      </c>
      <c r="B123" s="22" t="s">
        <v>248</v>
      </c>
      <c r="C123" s="22" t="s">
        <v>559</v>
      </c>
      <c r="D123" s="22" t="s">
        <v>560</v>
      </c>
      <c r="E123" s="22" t="s">
        <v>52</v>
      </c>
      <c r="F123" s="22" t="s">
        <v>44</v>
      </c>
      <c r="G123" s="22"/>
      <c r="H123" s="22"/>
      <c r="I123" s="22"/>
      <c r="J123" s="22"/>
      <c r="K123" s="22"/>
      <c r="L123" s="22"/>
      <c r="M123" s="22"/>
      <c r="N123" s="22"/>
      <c r="O123" s="22" t="s">
        <v>56</v>
      </c>
      <c r="P123" s="22" t="s">
        <v>57</v>
      </c>
      <c r="Q123" s="22" t="s">
        <v>561</v>
      </c>
      <c r="R123" s="22"/>
      <c r="S123" s="22"/>
      <c r="T123" s="22"/>
      <c r="U123" s="22"/>
      <c r="V123" s="22"/>
      <c r="W123" s="22"/>
      <c r="X123" s="22"/>
      <c r="Y123" s="22"/>
      <c r="Z123" s="22"/>
      <c r="AA123" s="22" t="s">
        <v>562</v>
      </c>
      <c r="AB123" s="22"/>
      <c r="AC123" s="22"/>
      <c r="AD123" s="22" t="str" cm="1">
        <f t="array" ref="AD123">_xlfn.LET(_xlpm.r,_xlfn.XLOOKUP(1,( [1]Sheet1!$A:$A = MappingGuide[[#This Row],[TableName]] ) * ( [1]Sheet1!$B:$B =RIGHT( MappingGuide[[#This Row],[ColumnName]],4) ),[1]Sheet1!$L:$L,""),IF(_xlpm.r=0,"",_xlpm.r))</f>
        <v/>
      </c>
      <c r="AE123" s="22" t="str" cm="1">
        <f t="array" ref="AE123">_xlfn.LET(_xlpm.r,_xlfn.XLOOKUP(1,( [1]Sheet1!$A:$A = MappingGuide[[#This Row],[TableName]] ) * ( [1]Sheet1!$B:$B =RIGHT( MappingGuide[[#This Row],[ColumnName]],4) ),[1]Sheet1!$M:$M,""),IF(_xlpm.r=0,"",_xlpm.r))</f>
        <v/>
      </c>
      <c r="AF123" s="22"/>
      <c r="AG123" s="22"/>
      <c r="AH123" s="22"/>
      <c r="AI123" s="22" t="s">
        <v>91</v>
      </c>
      <c r="AJ123" s="22"/>
      <c r="AK123" s="22"/>
    </row>
    <row r="124" spans="1:37" ht="17">
      <c r="A124" s="22">
        <v>390</v>
      </c>
      <c r="B124" s="22" t="s">
        <v>248</v>
      </c>
      <c r="C124" s="22" t="s">
        <v>563</v>
      </c>
      <c r="D124" s="22" t="s">
        <v>564</v>
      </c>
      <c r="E124" s="22" t="s">
        <v>52</v>
      </c>
      <c r="F124" s="22" t="s">
        <v>44</v>
      </c>
      <c r="G124" s="22"/>
      <c r="H124" s="22"/>
      <c r="I124" s="22"/>
      <c r="J124" s="22"/>
      <c r="K124" s="22"/>
      <c r="L124" s="22"/>
      <c r="M124" s="22"/>
      <c r="N124" s="22"/>
      <c r="O124" s="22" t="s">
        <v>56</v>
      </c>
      <c r="P124" s="22" t="s">
        <v>57</v>
      </c>
      <c r="Q124" s="22" t="s">
        <v>565</v>
      </c>
      <c r="R124" s="22"/>
      <c r="S124" s="22"/>
      <c r="T124" s="22"/>
      <c r="U124" s="22"/>
      <c r="V124" s="22"/>
      <c r="W124" s="22"/>
      <c r="X124" s="22"/>
      <c r="Y124" s="22"/>
      <c r="Z124" s="22"/>
      <c r="AA124" s="22" t="s">
        <v>566</v>
      </c>
      <c r="AB124" s="22"/>
      <c r="AC124" s="22"/>
      <c r="AD124" s="22" t="str" cm="1">
        <f t="array" ref="AD124">_xlfn.LET(_xlpm.r,_xlfn.XLOOKUP(1,( [1]Sheet1!$A:$A = MappingGuide[[#This Row],[TableName]] ) * ( [1]Sheet1!$B:$B =RIGHT( MappingGuide[[#This Row],[ColumnName]],4) ),[1]Sheet1!$L:$L,""),IF(_xlpm.r=0,"",_xlpm.r))</f>
        <v/>
      </c>
      <c r="AE124" s="22" t="str" cm="1">
        <f t="array" ref="AE124">_xlfn.LET(_xlpm.r,_xlfn.XLOOKUP(1,( [1]Sheet1!$A:$A = MappingGuide[[#This Row],[TableName]] ) * ( [1]Sheet1!$B:$B =RIGHT( MappingGuide[[#This Row],[ColumnName]],4) ),[1]Sheet1!$M:$M,""),IF(_xlpm.r=0,"",_xlpm.r))</f>
        <v/>
      </c>
      <c r="AF124" s="22"/>
      <c r="AG124" s="22"/>
      <c r="AH124" s="22"/>
      <c r="AI124" s="22" t="s">
        <v>91</v>
      </c>
      <c r="AJ124" s="22"/>
      <c r="AK124" s="22"/>
    </row>
    <row r="125" spans="1:37" ht="17">
      <c r="A125" s="22">
        <v>391</v>
      </c>
      <c r="B125" s="22" t="s">
        <v>248</v>
      </c>
      <c r="C125" s="22" t="s">
        <v>567</v>
      </c>
      <c r="D125" s="22" t="s">
        <v>568</v>
      </c>
      <c r="E125" s="22" t="s">
        <v>43</v>
      </c>
      <c r="F125" s="22" t="s">
        <v>64</v>
      </c>
      <c r="G125" s="22"/>
      <c r="H125" s="22"/>
      <c r="I125" s="22"/>
      <c r="J125" s="22"/>
      <c r="K125" s="22"/>
      <c r="L125" s="22"/>
      <c r="M125" s="22"/>
      <c r="N125" s="22"/>
      <c r="O125" s="22" t="s">
        <v>56</v>
      </c>
      <c r="P125" s="22" t="s">
        <v>57</v>
      </c>
      <c r="Q125" s="22" t="s">
        <v>569</v>
      </c>
      <c r="R125" s="22"/>
      <c r="S125" s="22"/>
      <c r="T125" s="22"/>
      <c r="U125" s="22"/>
      <c r="V125" s="22"/>
      <c r="W125" s="22"/>
      <c r="X125" s="22"/>
      <c r="Y125" s="22"/>
      <c r="Z125" s="22"/>
      <c r="AA125" s="22" t="s">
        <v>570</v>
      </c>
      <c r="AB125" s="22"/>
      <c r="AC125" s="22"/>
      <c r="AD125" s="22" t="str" cm="1">
        <f t="array" ref="AD125">_xlfn.LET(_xlpm.r,_xlfn.XLOOKUP(1,( [1]Sheet1!$A:$A = MappingGuide[[#This Row],[TableName]] ) * ( [1]Sheet1!$B:$B =RIGHT( MappingGuide[[#This Row],[ColumnName]],4) ),[1]Sheet1!$L:$L,""),IF(_xlpm.r=0,"",_xlpm.r))</f>
        <v/>
      </c>
      <c r="AE125" s="22" t="str" cm="1">
        <f t="array" ref="AE125">_xlfn.LET(_xlpm.r,_xlfn.XLOOKUP(1,( [1]Sheet1!$A:$A = MappingGuide[[#This Row],[TableName]] ) * ( [1]Sheet1!$B:$B =RIGHT( MappingGuide[[#This Row],[ColumnName]],4) ),[1]Sheet1!$M:$M,""),IF(_xlpm.r=0,"",_xlpm.r))</f>
        <v/>
      </c>
      <c r="AF125" s="22"/>
      <c r="AG125" s="22"/>
      <c r="AH125" s="22"/>
      <c r="AI125" s="22" t="s">
        <v>91</v>
      </c>
      <c r="AJ125" s="22"/>
      <c r="AK125" s="22"/>
    </row>
    <row r="126" spans="1:37" ht="17">
      <c r="A126" s="22">
        <v>392</v>
      </c>
      <c r="B126" s="22" t="s">
        <v>248</v>
      </c>
      <c r="C126" s="22" t="s">
        <v>571</v>
      </c>
      <c r="D126" s="22" t="s">
        <v>572</v>
      </c>
      <c r="E126" s="22" t="s">
        <v>52</v>
      </c>
      <c r="F126" s="22" t="s">
        <v>53</v>
      </c>
      <c r="G126" s="22"/>
      <c r="H126" s="22"/>
      <c r="I126" s="22"/>
      <c r="J126" s="22"/>
      <c r="K126" s="22"/>
      <c r="L126" s="22"/>
      <c r="M126" s="22"/>
      <c r="N126" s="22"/>
      <c r="O126" s="22" t="s">
        <v>56</v>
      </c>
      <c r="P126" s="22" t="s">
        <v>57</v>
      </c>
      <c r="Q126" s="22" t="s">
        <v>573</v>
      </c>
      <c r="R126" s="22"/>
      <c r="S126" s="22"/>
      <c r="T126" s="22"/>
      <c r="U126" s="22"/>
      <c r="V126" s="22"/>
      <c r="W126" s="22"/>
      <c r="X126" s="22"/>
      <c r="Y126" s="22"/>
      <c r="Z126" s="22"/>
      <c r="AA126" s="22" t="s">
        <v>574</v>
      </c>
      <c r="AB126" s="22"/>
      <c r="AC126" s="22" t="s">
        <v>575</v>
      </c>
      <c r="AD126" s="22" t="str" cm="1">
        <f t="array" ref="AD126">_xlfn.LET(_xlpm.r,_xlfn.XLOOKUP(1,( [1]Sheet1!$A:$A = MappingGuide[[#This Row],[TableName]] ) * ( [1]Sheet1!$B:$B =RIGHT( MappingGuide[[#This Row],[ColumnName]],4) ),[1]Sheet1!$L:$L,""),IF(_xlpm.r=0,"",_xlpm.r))</f>
        <v/>
      </c>
      <c r="AE126" s="22" t="str" cm="1">
        <f t="array" ref="AE126">_xlfn.LET(_xlpm.r,_xlfn.XLOOKUP(1,( [1]Sheet1!$A:$A = MappingGuide[[#This Row],[TableName]] ) * ( [1]Sheet1!$B:$B =RIGHT( MappingGuide[[#This Row],[ColumnName]],4) ),[1]Sheet1!$M:$M,""),IF(_xlpm.r=0,"",_xlpm.r))</f>
        <v/>
      </c>
      <c r="AF126" s="22"/>
      <c r="AG126" s="22"/>
      <c r="AH126" s="22"/>
      <c r="AI126" s="22" t="s">
        <v>91</v>
      </c>
      <c r="AJ126" s="22"/>
      <c r="AK126" s="22"/>
    </row>
    <row r="127" spans="1:37" ht="17">
      <c r="A127" s="22">
        <v>393</v>
      </c>
      <c r="B127" s="22" t="s">
        <v>248</v>
      </c>
      <c r="C127" s="22" t="s">
        <v>576</v>
      </c>
      <c r="D127" s="22" t="s">
        <v>577</v>
      </c>
      <c r="E127" s="22" t="s">
        <v>43</v>
      </c>
      <c r="F127" s="22" t="s">
        <v>64</v>
      </c>
      <c r="G127" s="22"/>
      <c r="H127" s="22"/>
      <c r="I127" s="22"/>
      <c r="J127" s="22"/>
      <c r="K127" s="22"/>
      <c r="L127" s="22"/>
      <c r="M127" s="22"/>
      <c r="N127" s="22"/>
      <c r="O127" s="22" t="s">
        <v>56</v>
      </c>
      <c r="P127" s="22" t="s">
        <v>57</v>
      </c>
      <c r="Q127" s="22" t="s">
        <v>578</v>
      </c>
      <c r="R127" s="22"/>
      <c r="S127" s="22"/>
      <c r="T127" s="22"/>
      <c r="U127" s="22"/>
      <c r="V127" s="22"/>
      <c r="W127" s="22"/>
      <c r="X127" s="22"/>
      <c r="Y127" s="22"/>
      <c r="Z127" s="22"/>
      <c r="AA127" s="22" t="s">
        <v>579</v>
      </c>
      <c r="AB127" s="22"/>
      <c r="AC127" s="22"/>
      <c r="AD127" s="22" t="str" cm="1">
        <f t="array" ref="AD127">_xlfn.LET(_xlpm.r,_xlfn.XLOOKUP(1,( [1]Sheet1!$A:$A = MappingGuide[[#This Row],[TableName]] ) * ( [1]Sheet1!$B:$B =RIGHT( MappingGuide[[#This Row],[ColumnName]],4) ),[1]Sheet1!$L:$L,""),IF(_xlpm.r=0,"",_xlpm.r))</f>
        <v/>
      </c>
      <c r="AE127" s="22" t="str" cm="1">
        <f t="array" ref="AE127">_xlfn.LET(_xlpm.r,_xlfn.XLOOKUP(1,( [1]Sheet1!$A:$A = MappingGuide[[#This Row],[TableName]] ) * ( [1]Sheet1!$B:$B =RIGHT( MappingGuide[[#This Row],[ColumnName]],4) ),[1]Sheet1!$M:$M,""),IF(_xlpm.r=0,"",_xlpm.r))</f>
        <v/>
      </c>
      <c r="AF127" s="22"/>
      <c r="AG127" s="22"/>
      <c r="AH127" s="22"/>
      <c r="AI127" s="22" t="s">
        <v>91</v>
      </c>
      <c r="AJ127" s="22"/>
      <c r="AK127" s="22"/>
    </row>
    <row r="128" spans="1:37" ht="17">
      <c r="A128" s="22">
        <v>394</v>
      </c>
      <c r="B128" s="22" t="s">
        <v>248</v>
      </c>
      <c r="C128" s="22" t="s">
        <v>580</v>
      </c>
      <c r="D128" s="22" t="s">
        <v>581</v>
      </c>
      <c r="E128" s="22" t="s">
        <v>52</v>
      </c>
      <c r="F128" s="22" t="s">
        <v>44</v>
      </c>
      <c r="G128" s="22"/>
      <c r="H128" s="22"/>
      <c r="I128" s="22"/>
      <c r="J128" s="22"/>
      <c r="K128" s="22"/>
      <c r="L128" s="22"/>
      <c r="M128" s="22"/>
      <c r="N128" s="22"/>
      <c r="O128" s="22" t="s">
        <v>56</v>
      </c>
      <c r="P128" s="22" t="s">
        <v>57</v>
      </c>
      <c r="Q128" s="22" t="s">
        <v>582</v>
      </c>
      <c r="R128" s="22"/>
      <c r="S128" s="22"/>
      <c r="T128" s="22"/>
      <c r="U128" s="22"/>
      <c r="V128" s="22"/>
      <c r="W128" s="22"/>
      <c r="X128" s="22"/>
      <c r="Y128" s="22"/>
      <c r="Z128" s="22"/>
      <c r="AA128" s="22" t="s">
        <v>583</v>
      </c>
      <c r="AB128" s="22" t="s">
        <v>584</v>
      </c>
      <c r="AC128" s="22" t="s">
        <v>531</v>
      </c>
      <c r="AD128" s="22" t="str" cm="1">
        <f t="array" ref="AD128">_xlfn.LET(_xlpm.r,_xlfn.XLOOKUP(1,( [1]Sheet1!$A:$A = MappingGuide[[#This Row],[TableName]] ) * ( [1]Sheet1!$B:$B =RIGHT( MappingGuide[[#This Row],[ColumnName]],4) ),[1]Sheet1!$L:$L,""),IF(_xlpm.r=0,"",_xlpm.r))</f>
        <v/>
      </c>
      <c r="AE128" s="22" t="str" cm="1">
        <f t="array" ref="AE128">_xlfn.LET(_xlpm.r,_xlfn.XLOOKUP(1,( [1]Sheet1!$A:$A = MappingGuide[[#This Row],[TableName]] ) * ( [1]Sheet1!$B:$B =RIGHT( MappingGuide[[#This Row],[ColumnName]],4) ),[1]Sheet1!$M:$M,""),IF(_xlpm.r=0,"",_xlpm.r))</f>
        <v/>
      </c>
      <c r="AF128" s="22"/>
      <c r="AG128" s="22"/>
      <c r="AH128" s="22"/>
      <c r="AI128" s="22" t="s">
        <v>91</v>
      </c>
      <c r="AJ128" s="22"/>
      <c r="AK128" s="22"/>
    </row>
    <row r="129" spans="1:37" ht="17">
      <c r="A129" s="22">
        <v>395</v>
      </c>
      <c r="B129" s="22" t="s">
        <v>248</v>
      </c>
      <c r="C129" s="22" t="s">
        <v>585</v>
      </c>
      <c r="D129" s="22" t="s">
        <v>586</v>
      </c>
      <c r="E129" s="22" t="s">
        <v>52</v>
      </c>
      <c r="F129" s="22" t="s">
        <v>53</v>
      </c>
      <c r="G129" s="22"/>
      <c r="H129" s="22"/>
      <c r="I129" s="22"/>
      <c r="J129" s="22"/>
      <c r="K129" s="22"/>
      <c r="L129" s="22"/>
      <c r="M129" s="22"/>
      <c r="N129" s="22"/>
      <c r="O129" s="22" t="s">
        <v>56</v>
      </c>
      <c r="P129" s="22" t="s">
        <v>57</v>
      </c>
      <c r="Q129" s="22" t="s">
        <v>587</v>
      </c>
      <c r="R129" s="22"/>
      <c r="S129" s="22"/>
      <c r="T129" s="22"/>
      <c r="U129" s="22"/>
      <c r="V129" s="22"/>
      <c r="W129" s="22"/>
      <c r="X129" s="22"/>
      <c r="Y129" s="22"/>
      <c r="Z129" s="22"/>
      <c r="AA129" s="22" t="s">
        <v>588</v>
      </c>
      <c r="AB129" s="22"/>
      <c r="AC129" s="22"/>
      <c r="AD129" s="22" t="str" cm="1">
        <f t="array" ref="AD129">_xlfn.LET(_xlpm.r,_xlfn.XLOOKUP(1,( [1]Sheet1!$A:$A = MappingGuide[[#This Row],[TableName]] ) * ( [1]Sheet1!$B:$B =RIGHT( MappingGuide[[#This Row],[ColumnName]],4) ),[1]Sheet1!$L:$L,""),IF(_xlpm.r=0,"",_xlpm.r))</f>
        <v/>
      </c>
      <c r="AE129" s="22" t="str" cm="1">
        <f t="array" ref="AE129">_xlfn.LET(_xlpm.r,_xlfn.XLOOKUP(1,( [1]Sheet1!$A:$A = MappingGuide[[#This Row],[TableName]] ) * ( [1]Sheet1!$B:$B =RIGHT( MappingGuide[[#This Row],[ColumnName]],4) ),[1]Sheet1!$M:$M,""),IF(_xlpm.r=0,"",_xlpm.r))</f>
        <v/>
      </c>
      <c r="AF129" s="22"/>
      <c r="AG129" s="22"/>
      <c r="AH129" s="22"/>
      <c r="AI129" s="22" t="s">
        <v>91</v>
      </c>
      <c r="AJ129" s="22"/>
      <c r="AK129" s="22"/>
    </row>
    <row r="130" spans="1:37" ht="17">
      <c r="A130" s="22">
        <v>396</v>
      </c>
      <c r="B130" s="22" t="s">
        <v>589</v>
      </c>
      <c r="C130" s="22" t="s">
        <v>590</v>
      </c>
      <c r="D130" s="22" t="s">
        <v>42</v>
      </c>
      <c r="E130" s="22" t="s">
        <v>43</v>
      </c>
      <c r="F130" s="22" t="s">
        <v>44</v>
      </c>
      <c r="G130" s="22"/>
      <c r="H130" s="22" t="s">
        <v>45</v>
      </c>
      <c r="I130" s="22"/>
      <c r="J130" s="22"/>
      <c r="K130" s="22"/>
      <c r="L130" s="22"/>
      <c r="M130" s="22"/>
      <c r="N130" s="22"/>
      <c r="O130" s="22"/>
      <c r="P130" s="22"/>
      <c r="Q130" s="22"/>
      <c r="R130" s="22"/>
      <c r="S130" s="22"/>
      <c r="T130" s="22"/>
      <c r="U130" s="22"/>
      <c r="V130" s="22"/>
      <c r="W130" s="22"/>
      <c r="X130" s="22"/>
      <c r="Y130" s="22"/>
      <c r="Z130" s="22"/>
      <c r="AA130" s="22" t="s">
        <v>46</v>
      </c>
      <c r="AB130" s="22"/>
      <c r="AC130" s="22" t="s">
        <v>47</v>
      </c>
      <c r="AD130" s="22" t="str" cm="1">
        <f t="array" ref="AD130">_xlfn.LET(_xlpm.r,_xlfn.XLOOKUP(1,( [1]Sheet1!$A:$A = MappingGuide[[#This Row],[TableName]] ) * ( [1]Sheet1!$B:$B =RIGHT( MappingGuide[[#This Row],[ColumnName]],4) ),[1]Sheet1!$L:$L,""),IF(_xlpm.r=0,"",_xlpm.r))</f>
        <v/>
      </c>
      <c r="AE130" s="22" t="str" cm="1">
        <f t="array" ref="AE130">_xlfn.LET(_xlpm.r,_xlfn.XLOOKUP(1,( [1]Sheet1!$A:$A = MappingGuide[[#This Row],[TableName]] ) * ( [1]Sheet1!$B:$B =RIGHT( MappingGuide[[#This Row],[ColumnName]],4) ),[1]Sheet1!$M:$M,""),IF(_xlpm.r=0,"",_xlpm.r))</f>
        <v/>
      </c>
      <c r="AF130" s="22"/>
      <c r="AG130" s="22"/>
      <c r="AH130" s="22"/>
      <c r="AI130" s="22" t="s">
        <v>48</v>
      </c>
      <c r="AJ130" s="22" t="s">
        <v>49</v>
      </c>
      <c r="AK130" s="22"/>
    </row>
    <row r="131" spans="1:37" ht="17">
      <c r="A131" s="22">
        <v>397</v>
      </c>
      <c r="B131" s="22" t="s">
        <v>589</v>
      </c>
      <c r="C131" s="22" t="s">
        <v>591</v>
      </c>
      <c r="D131" s="22" t="s">
        <v>51</v>
      </c>
      <c r="E131" s="22" t="s">
        <v>52</v>
      </c>
      <c r="F131" s="22" t="s">
        <v>53</v>
      </c>
      <c r="G131" s="22"/>
      <c r="H131" s="22" t="s">
        <v>45</v>
      </c>
      <c r="I131" s="22"/>
      <c r="J131" s="22" t="s">
        <v>592</v>
      </c>
      <c r="K131" s="22" t="s">
        <v>55</v>
      </c>
      <c r="L131" s="22"/>
      <c r="M131" s="22" t="s">
        <v>48</v>
      </c>
      <c r="N131" s="22"/>
      <c r="O131" s="22" t="s">
        <v>56</v>
      </c>
      <c r="P131" s="22" t="s">
        <v>593</v>
      </c>
      <c r="Q131" s="22" t="s">
        <v>58</v>
      </c>
      <c r="R131" s="22" t="s">
        <v>48</v>
      </c>
      <c r="S131" s="22"/>
      <c r="T131" s="22"/>
      <c r="U131" s="22"/>
      <c r="V131" s="22"/>
      <c r="W131" s="22"/>
      <c r="X131" s="22" t="s">
        <v>48</v>
      </c>
      <c r="Y131" s="22" t="s">
        <v>59</v>
      </c>
      <c r="Z131" s="22"/>
      <c r="AA131" s="22" t="s">
        <v>60</v>
      </c>
      <c r="AB131" s="22"/>
      <c r="AC131" s="22" t="s">
        <v>54</v>
      </c>
      <c r="AD131" s="22" t="str" cm="1">
        <f t="array" ref="AD131">_xlfn.LET(_xlpm.r,_xlfn.XLOOKUP(1,( [1]Sheet1!$A:$A = MappingGuide[[#This Row],[TableName]] ) * ( [1]Sheet1!$B:$B =RIGHT( MappingGuide[[#This Row],[ColumnName]],4) ),[1]Sheet1!$L:$L,""),IF(_xlpm.r=0,"",_xlpm.r))</f>
        <v/>
      </c>
      <c r="AE131" s="22" t="str" cm="1">
        <f t="array" ref="AE131">_xlfn.LET(_xlpm.r,_xlfn.XLOOKUP(1,( [1]Sheet1!$A:$A = MappingGuide[[#This Row],[TableName]] ) * ( [1]Sheet1!$B:$B =RIGHT( MappingGuide[[#This Row],[ColumnName]],4) ),[1]Sheet1!$M:$M,""),IF(_xlpm.r=0,"",_xlpm.r))</f>
        <v/>
      </c>
      <c r="AF131" s="22"/>
      <c r="AG131" s="22"/>
      <c r="AH131" s="22"/>
      <c r="AI131" s="22" t="s">
        <v>48</v>
      </c>
      <c r="AJ131" s="22" t="s">
        <v>61</v>
      </c>
      <c r="AK131" s="22"/>
    </row>
    <row r="132" spans="1:37" ht="17">
      <c r="A132" s="22">
        <v>398</v>
      </c>
      <c r="B132" s="22" t="s">
        <v>589</v>
      </c>
      <c r="C132" s="22" t="s">
        <v>594</v>
      </c>
      <c r="D132" s="22" t="s">
        <v>595</v>
      </c>
      <c r="E132" s="22" t="s">
        <v>43</v>
      </c>
      <c r="F132" s="22" t="s">
        <v>82</v>
      </c>
      <c r="G132" s="22"/>
      <c r="H132" s="22" t="s">
        <v>45</v>
      </c>
      <c r="I132" s="22"/>
      <c r="J132" s="22" t="s">
        <v>592</v>
      </c>
      <c r="K132" s="22" t="s">
        <v>55</v>
      </c>
      <c r="L132" s="22"/>
      <c r="M132" s="22" t="s">
        <v>48</v>
      </c>
      <c r="N132" s="22"/>
      <c r="O132" s="22" t="s">
        <v>56</v>
      </c>
      <c r="P132" s="22" t="s">
        <v>593</v>
      </c>
      <c r="Q132" s="22" t="s">
        <v>596</v>
      </c>
      <c r="R132" s="22" t="s">
        <v>48</v>
      </c>
      <c r="S132" s="22"/>
      <c r="T132" s="22"/>
      <c r="U132" s="22"/>
      <c r="V132" s="22"/>
      <c r="W132" s="22"/>
      <c r="X132" s="22" t="s">
        <v>48</v>
      </c>
      <c r="Y132" s="22" t="s">
        <v>64</v>
      </c>
      <c r="Z132" s="22"/>
      <c r="AA132" s="22" t="s">
        <v>597</v>
      </c>
      <c r="AB132" s="22" t="s">
        <v>598</v>
      </c>
      <c r="AC132" s="22"/>
      <c r="AD132" s="22" t="str" cm="1">
        <f t="array" ref="AD132">_xlfn.LET(_xlpm.r,_xlfn.XLOOKUP(1,( [1]Sheet1!$A:$A = MappingGuide[[#This Row],[TableName]] ) * ( [1]Sheet1!$B:$B =RIGHT( MappingGuide[[#This Row],[ColumnName]],4) ),[1]Sheet1!$L:$L,""),IF(_xlpm.r=0,"",_xlpm.r))</f>
        <v>Coded type: postal, pick-up, withdrawal, origin, delivery, billing</v>
      </c>
      <c r="AE132" s="22" t="str" cm="1">
        <f t="array" ref="AE132">_xlfn.LET(_xlpm.r,_xlfn.XLOOKUP(1,( [1]Sheet1!$A:$A = MappingGuide[[#This Row],[TableName]] ) * ( [1]Sheet1!$B:$B =RIGHT( MappingGuide[[#This Row],[ColumnName]],4) ),[1]Sheet1!$M:$M,""),IF(_xlpm.r=0,"",_xlpm.r))</f>
        <v>CRS622 is the program for the suppliers addresses records. It also controls workflow logic for procurement, logistics, invoicing. Apart from the regular  01 ‘postal address’ type, it also include different important address types: 
03 'Pick-Up Address' used for supplier collect shipping terms/direct plant POs: system generates shipping instructions from actual supplier facility (not generic head office), critical for multi-site vendors. 
05 'Final Delivery Address': targets drop shipment and indirect shipping destination scenarios—allows deliveries to customer or project site, not default warehouse.  This address specifies where goods should be delivered at the end of the purchase or shipping process. It's often used when the delivery destination is not the main receiving warehouse but another location, such as a customer site, project location, or secondary warehouse. For complex supply chains or drop shipments, this address type ensures the supplier delivers directly to the intended endpoint.
04 'Origin Address': identifies the location where goods are produced, initially stored, or exported from by the supplier. It is separate from the main business address, pick-up address, or delivery location, and is typically used in supplier setups where multiple plants, production sites, or export facilities exist. 
		• The origin address is referenced in transactions that require origin tracking, such as international shipments where country-of-origin labeling and documentation are mandatory.
It is also useful in processes where goods are sourced from third-party manufacturing sites or contract manufacturers, enabling M3 to differentiate between the legal supplier’s headquarters and the actual physical point of origin</v>
      </c>
      <c r="AF132" s="22"/>
      <c r="AG132" s="22"/>
      <c r="AH132" s="22"/>
      <c r="AI132" s="22" t="s">
        <v>48</v>
      </c>
      <c r="AJ132" s="22" t="s">
        <v>64</v>
      </c>
      <c r="AK132" s="22"/>
    </row>
    <row r="133" spans="1:37" ht="17">
      <c r="A133" s="22">
        <v>399</v>
      </c>
      <c r="B133" s="22" t="s">
        <v>589</v>
      </c>
      <c r="C133" s="22" t="s">
        <v>599</v>
      </c>
      <c r="D133" s="22" t="s">
        <v>600</v>
      </c>
      <c r="E133" s="22" t="s">
        <v>52</v>
      </c>
      <c r="F133" s="22" t="s">
        <v>192</v>
      </c>
      <c r="G133" s="22"/>
      <c r="H133" s="22" t="s">
        <v>45</v>
      </c>
      <c r="I133" s="22"/>
      <c r="J133" s="22" t="s">
        <v>592</v>
      </c>
      <c r="K133" s="22" t="s">
        <v>55</v>
      </c>
      <c r="L133" s="22"/>
      <c r="M133" s="22" t="s">
        <v>48</v>
      </c>
      <c r="N133" s="22"/>
      <c r="O133" s="22" t="s">
        <v>56</v>
      </c>
      <c r="P133" s="22" t="s">
        <v>593</v>
      </c>
      <c r="Q133" s="22" t="s">
        <v>601</v>
      </c>
      <c r="R133" s="22"/>
      <c r="S133" s="22"/>
      <c r="T133" s="22"/>
      <c r="U133" s="22"/>
      <c r="V133" s="22"/>
      <c r="W133" s="22"/>
      <c r="X133" s="22" t="s">
        <v>48</v>
      </c>
      <c r="Y133" s="22" t="s">
        <v>64</v>
      </c>
      <c r="Z133" s="22"/>
      <c r="AA133" s="22" t="s">
        <v>602</v>
      </c>
      <c r="AB133" s="22"/>
      <c r="AC133" s="22" t="s">
        <v>603</v>
      </c>
      <c r="AD133" s="22" t="str" cm="1">
        <f t="array" ref="AD133">_xlfn.LET(_xlpm.r,_xlfn.XLOOKUP(1,( [1]Sheet1!$A:$A = MappingGuide[[#This Row],[TableName]] ) * ( [1]Sheet1!$B:$B =RIGHT( MappingGuide[[#This Row],[ColumnName]],4) ),[1]Sheet1!$L:$L,""),IF(_xlpm.r=0,"",_xlpm.r))</f>
        <v>System-assigned address identifier</v>
      </c>
      <c r="AE133" s="22" t="str" cm="1">
        <f t="array" ref="AE133">_xlfn.LET(_xlpm.r,_xlfn.XLOOKUP(1,( [1]Sheet1!$A:$A = MappingGuide[[#This Row],[TableName]] ) * ( [1]Sheet1!$B:$B =RIGHT( MappingGuide[[#This Row],[ColumnName]],4) ),[1]Sheet1!$M:$M,""),IF(_xlpm.r=0,"",_xlpm.r))</f>
        <v xml:space="preserve">Uniquely identifies address records; crucial for differentiating multiple sites per supplier, </v>
      </c>
      <c r="AF133" s="22"/>
      <c r="AG133" s="22"/>
      <c r="AH133" s="22"/>
      <c r="AI133" s="22" t="s">
        <v>48</v>
      </c>
      <c r="AJ133" s="22" t="s">
        <v>604</v>
      </c>
      <c r="AK133" s="22"/>
    </row>
    <row r="134" spans="1:37" ht="17">
      <c r="A134" s="22">
        <v>400</v>
      </c>
      <c r="B134" s="22" t="s">
        <v>589</v>
      </c>
      <c r="C134" s="22" t="s">
        <v>605</v>
      </c>
      <c r="D134" s="22" t="s">
        <v>606</v>
      </c>
      <c r="E134" s="22" t="s">
        <v>43</v>
      </c>
      <c r="F134" s="22" t="s">
        <v>215</v>
      </c>
      <c r="G134" s="22"/>
      <c r="H134" s="22" t="s">
        <v>45</v>
      </c>
      <c r="I134" s="22"/>
      <c r="J134" s="22" t="s">
        <v>592</v>
      </c>
      <c r="K134" s="22" t="s">
        <v>55</v>
      </c>
      <c r="L134" s="22"/>
      <c r="M134" s="22"/>
      <c r="N134" s="22"/>
      <c r="O134" s="22" t="s">
        <v>56</v>
      </c>
      <c r="P134" s="22" t="s">
        <v>593</v>
      </c>
      <c r="Q134" s="22" t="s">
        <v>607</v>
      </c>
      <c r="R134" s="22"/>
      <c r="S134" s="22"/>
      <c r="T134" s="22"/>
      <c r="U134" s="22"/>
      <c r="V134" s="22"/>
      <c r="W134" s="22"/>
      <c r="X134" s="22" t="s">
        <v>48</v>
      </c>
      <c r="Y134" s="22" t="s">
        <v>608</v>
      </c>
      <c r="Z134" s="22"/>
      <c r="AA134" s="22" t="s">
        <v>609</v>
      </c>
      <c r="AB134" s="22"/>
      <c r="AC134" s="22"/>
      <c r="AD134" s="22" t="str" cm="1">
        <f t="array" ref="AD134">_xlfn.LET(_xlpm.r,_xlfn.XLOOKUP(1,( [1]Sheet1!$A:$A = MappingGuide[[#This Row],[TableName]] ) * ( [1]Sheet1!$B:$B =RIGHT( MappingGuide[[#This Row],[ColumnName]],4) ),[1]Sheet1!$L:$L,""),IF(_xlpm.r=0,"",_xlpm.r))</f>
        <v/>
      </c>
      <c r="AE134" s="22" t="str" cm="1">
        <f t="array" ref="AE134">_xlfn.LET(_xlpm.r,_xlfn.XLOOKUP(1,( [1]Sheet1!$A:$A = MappingGuide[[#This Row],[TableName]] ) * ( [1]Sheet1!$B:$B =RIGHT( MappingGuide[[#This Row],[ColumnName]],4) ),[1]Sheet1!$M:$M,""),IF(_xlpm.r=0,"",_xlpm.r))</f>
        <v/>
      </c>
      <c r="AF134" s="22"/>
      <c r="AG134" s="22"/>
      <c r="AH134" s="22"/>
      <c r="AI134" s="22" t="s">
        <v>48</v>
      </c>
      <c r="AJ134" s="22" t="s">
        <v>608</v>
      </c>
      <c r="AK134" s="22"/>
    </row>
    <row r="135" spans="1:37" ht="17">
      <c r="A135" s="22">
        <v>401</v>
      </c>
      <c r="B135" s="22" t="s">
        <v>589</v>
      </c>
      <c r="C135" s="22" t="s">
        <v>610</v>
      </c>
      <c r="D135" s="22" t="s">
        <v>69</v>
      </c>
      <c r="E135" s="22" t="s">
        <v>52</v>
      </c>
      <c r="F135" s="22" t="s">
        <v>70</v>
      </c>
      <c r="G135" s="22"/>
      <c r="H135" s="22"/>
      <c r="I135" s="22"/>
      <c r="J135" s="22" t="s">
        <v>592</v>
      </c>
      <c r="K135" s="22" t="s">
        <v>55</v>
      </c>
      <c r="L135" s="22" t="s">
        <v>48</v>
      </c>
      <c r="M135" s="22" t="s">
        <v>48</v>
      </c>
      <c r="N135" s="22"/>
      <c r="O135" s="22" t="s">
        <v>56</v>
      </c>
      <c r="P135" s="22" t="s">
        <v>593</v>
      </c>
      <c r="Q135" s="22" t="s">
        <v>71</v>
      </c>
      <c r="R135" s="22"/>
      <c r="S135" s="22"/>
      <c r="T135" s="22"/>
      <c r="U135" s="22"/>
      <c r="V135" s="22"/>
      <c r="W135" s="22"/>
      <c r="X135" s="22" t="s">
        <v>48</v>
      </c>
      <c r="Y135" s="22" t="s">
        <v>72</v>
      </c>
      <c r="Z135" s="22"/>
      <c r="AA135" s="22" t="s">
        <v>73</v>
      </c>
      <c r="AB135" s="22"/>
      <c r="AC135" s="22"/>
      <c r="AD135" s="22" t="str" cm="1">
        <f t="array" ref="AD135">_xlfn.LET(_xlpm.r,_xlfn.XLOOKUP(1,( [1]Sheet1!$A:$A = MappingGuide[[#This Row],[TableName]] ) * ( [1]Sheet1!$B:$B =RIGHT( MappingGuide[[#This Row],[ColumnName]],4) ),[1]Sheet1!$L:$L,""),IF(_xlpm.r=0,"",_xlpm.r))</f>
        <v/>
      </c>
      <c r="AE135" s="22" t="str" cm="1">
        <f t="array" ref="AE135">_xlfn.LET(_xlpm.r,_xlfn.XLOOKUP(1,( [1]Sheet1!$A:$A = MappingGuide[[#This Row],[TableName]] ) * ( [1]Sheet1!$B:$B =RIGHT( MappingGuide[[#This Row],[ColumnName]],4) ),[1]Sheet1!$M:$M,""),IF(_xlpm.r=0,"",_xlpm.r))</f>
        <v/>
      </c>
      <c r="AF135" s="22"/>
      <c r="AG135" s="22"/>
      <c r="AH135" s="22"/>
      <c r="AI135" s="22" t="s">
        <v>48</v>
      </c>
      <c r="AJ135" s="22" t="s">
        <v>74</v>
      </c>
      <c r="AK135" s="22"/>
    </row>
    <row r="136" spans="1:37" ht="17">
      <c r="A136" s="22">
        <v>402</v>
      </c>
      <c r="B136" s="22" t="s">
        <v>589</v>
      </c>
      <c r="C136" s="22" t="s">
        <v>611</v>
      </c>
      <c r="D136" s="22" t="s">
        <v>612</v>
      </c>
      <c r="E136" s="22" t="s">
        <v>43</v>
      </c>
      <c r="F136" s="22" t="s">
        <v>64</v>
      </c>
      <c r="G136" s="22"/>
      <c r="H136" s="22"/>
      <c r="I136" s="22"/>
      <c r="J136" s="22" t="s">
        <v>592</v>
      </c>
      <c r="K136" s="22" t="s">
        <v>55</v>
      </c>
      <c r="L136" s="22"/>
      <c r="M136" s="22"/>
      <c r="N136" s="22"/>
      <c r="O136" s="22" t="s">
        <v>56</v>
      </c>
      <c r="P136" s="22" t="s">
        <v>593</v>
      </c>
      <c r="Q136" s="22" t="s">
        <v>613</v>
      </c>
      <c r="R136" s="22"/>
      <c r="S136" s="22"/>
      <c r="T136" s="22"/>
      <c r="U136" s="22"/>
      <c r="V136" s="22"/>
      <c r="W136" s="22"/>
      <c r="X136" s="22"/>
      <c r="Y136" s="22"/>
      <c r="Z136" s="22"/>
      <c r="AA136" s="22" t="s">
        <v>614</v>
      </c>
      <c r="AB136" s="22" t="s">
        <v>615</v>
      </c>
      <c r="AC136" s="22"/>
      <c r="AD136" s="22" t="str" cm="1">
        <f t="array" ref="AD136">_xlfn.LET(_xlpm.r,_xlfn.XLOOKUP(1,( [1]Sheet1!$A:$A = MappingGuide[[#This Row],[TableName]] ) * ( [1]Sheet1!$B:$B =RIGHT( MappingGuide[[#This Row],[ColumnName]],4) ),[1]Sheet1!$L:$L,""),IF(_xlpm.r=0,"",_xlpm.r))</f>
        <v>Layout/format code for addresses</v>
      </c>
      <c r="AE136" s="22" t="str" cm="1">
        <f t="array" ref="AE136">_xlfn.LET(_xlpm.r,_xlfn.XLOOKUP(1,( [1]Sheet1!$A:$A = MappingGuide[[#This Row],[TableName]] ) * ( [1]Sheet1!$B:$B =RIGHT( MappingGuide[[#This Row],[ColumnName]],4) ),[1]Sheet1!$M:$M,""),IF(_xlpm.r=0,"",_xlpm.r))</f>
        <v>Customizes address formatting and ordering for external documents: either the Supplier Name or his detailed address.</v>
      </c>
      <c r="AF136" s="22"/>
      <c r="AG136" s="22"/>
      <c r="AH136" s="22"/>
      <c r="AI136" s="22" t="s">
        <v>91</v>
      </c>
      <c r="AJ136" s="22"/>
      <c r="AK136" s="22"/>
    </row>
    <row r="137" spans="1:37" ht="17">
      <c r="A137" s="22">
        <v>403</v>
      </c>
      <c r="B137" s="22" t="s">
        <v>589</v>
      </c>
      <c r="C137" s="22" t="s">
        <v>616</v>
      </c>
      <c r="D137" s="22" t="s">
        <v>617</v>
      </c>
      <c r="E137" s="22" t="s">
        <v>52</v>
      </c>
      <c r="F137" s="22" t="s">
        <v>70</v>
      </c>
      <c r="G137" s="22"/>
      <c r="H137" s="22"/>
      <c r="I137" s="22"/>
      <c r="J137" s="22" t="s">
        <v>592</v>
      </c>
      <c r="K137" s="22" t="s">
        <v>55</v>
      </c>
      <c r="L137" s="22" t="s">
        <v>48</v>
      </c>
      <c r="M137" s="22" t="s">
        <v>48</v>
      </c>
      <c r="N137" s="22"/>
      <c r="O137" s="22" t="s">
        <v>56</v>
      </c>
      <c r="P137" s="22" t="s">
        <v>593</v>
      </c>
      <c r="Q137" s="22" t="s">
        <v>618</v>
      </c>
      <c r="R137" s="22"/>
      <c r="S137" s="22"/>
      <c r="T137" s="22"/>
      <c r="U137" s="22"/>
      <c r="V137" s="22"/>
      <c r="W137" s="22"/>
      <c r="X137" s="22" t="s">
        <v>48</v>
      </c>
      <c r="Y137" s="22" t="s">
        <v>619</v>
      </c>
      <c r="Z137" s="22"/>
      <c r="AA137" s="22" t="s">
        <v>620</v>
      </c>
      <c r="AB137" s="22"/>
      <c r="AC137" s="22"/>
      <c r="AD137" s="22" t="str" cm="1">
        <f t="array" ref="AD137">_xlfn.LET(_xlpm.r,_xlfn.XLOOKUP(1,( [1]Sheet1!$A:$A = MappingGuide[[#This Row],[TableName]] ) * ( [1]Sheet1!$B:$B =RIGHT( MappingGuide[[#This Row],[ColumnName]],4) ),[1]Sheet1!$L:$L,""),IF(_xlpm.r=0,"",_xlpm.r))</f>
        <v/>
      </c>
      <c r="AE137" s="22" t="str" cm="1">
        <f t="array" ref="AE137">_xlfn.LET(_xlpm.r,_xlfn.XLOOKUP(1,( [1]Sheet1!$A:$A = MappingGuide[[#This Row],[TableName]] ) * ( [1]Sheet1!$B:$B =RIGHT( MappingGuide[[#This Row],[ColumnName]],4) ),[1]Sheet1!$M:$M,""),IF(_xlpm.r=0,"",_xlpm.r))</f>
        <v/>
      </c>
      <c r="AF137" s="22"/>
      <c r="AG137" s="22"/>
      <c r="AH137" s="22"/>
      <c r="AI137" s="22" t="s">
        <v>48</v>
      </c>
      <c r="AJ137" s="22" t="s">
        <v>621</v>
      </c>
      <c r="AK137" s="22"/>
    </row>
    <row r="138" spans="1:37" ht="17">
      <c r="A138" s="22">
        <v>404</v>
      </c>
      <c r="B138" s="22" t="s">
        <v>589</v>
      </c>
      <c r="C138" s="22" t="s">
        <v>622</v>
      </c>
      <c r="D138" s="22" t="s">
        <v>623</v>
      </c>
      <c r="E138" s="22" t="s">
        <v>52</v>
      </c>
      <c r="F138" s="22" t="s">
        <v>70</v>
      </c>
      <c r="G138" s="22"/>
      <c r="H138" s="22"/>
      <c r="I138" s="22"/>
      <c r="J138" s="22" t="s">
        <v>592</v>
      </c>
      <c r="K138" s="22" t="s">
        <v>55</v>
      </c>
      <c r="L138" s="22" t="s">
        <v>48</v>
      </c>
      <c r="M138" s="22"/>
      <c r="N138" s="22"/>
      <c r="O138" s="22" t="s">
        <v>56</v>
      </c>
      <c r="P138" s="22" t="s">
        <v>593</v>
      </c>
      <c r="Q138" s="22" t="s">
        <v>624</v>
      </c>
      <c r="R138" s="22"/>
      <c r="S138" s="22"/>
      <c r="T138" s="22"/>
      <c r="U138" s="22"/>
      <c r="V138" s="22"/>
      <c r="W138" s="22"/>
      <c r="X138" s="22" t="s">
        <v>48</v>
      </c>
      <c r="Y138" s="22"/>
      <c r="Z138" s="22"/>
      <c r="AA138" s="22" t="s">
        <v>620</v>
      </c>
      <c r="AB138" s="22"/>
      <c r="AC138" s="22"/>
      <c r="AD138" s="22" t="str" cm="1">
        <f t="array" ref="AD138">_xlfn.LET(_xlpm.r,_xlfn.XLOOKUP(1,( [1]Sheet1!$A:$A = MappingGuide[[#This Row],[TableName]] ) * ( [1]Sheet1!$B:$B =RIGHT( MappingGuide[[#This Row],[ColumnName]],4) ),[1]Sheet1!$L:$L,""),IF(_xlpm.r=0,"",_xlpm.r))</f>
        <v/>
      </c>
      <c r="AE138" s="22" t="str" cm="1">
        <f t="array" ref="AE138">_xlfn.LET(_xlpm.r,_xlfn.XLOOKUP(1,( [1]Sheet1!$A:$A = MappingGuide[[#This Row],[TableName]] ) * ( [1]Sheet1!$B:$B =RIGHT( MappingGuide[[#This Row],[ColumnName]],4) ),[1]Sheet1!$M:$M,""),IF(_xlpm.r=0,"",_xlpm.r))</f>
        <v/>
      </c>
      <c r="AF138" s="22"/>
      <c r="AG138" s="22"/>
      <c r="AH138" s="22"/>
      <c r="AI138" s="22" t="s">
        <v>91</v>
      </c>
      <c r="AJ138" s="22"/>
      <c r="AK138" s="22"/>
    </row>
    <row r="139" spans="1:37" ht="17">
      <c r="A139" s="22">
        <v>405</v>
      </c>
      <c r="B139" s="22" t="s">
        <v>589</v>
      </c>
      <c r="C139" s="22" t="s">
        <v>625</v>
      </c>
      <c r="D139" s="22" t="s">
        <v>626</v>
      </c>
      <c r="E139" s="22" t="s">
        <v>52</v>
      </c>
      <c r="F139" s="22" t="s">
        <v>70</v>
      </c>
      <c r="G139" s="22"/>
      <c r="H139" s="22"/>
      <c r="I139" s="22"/>
      <c r="J139" s="22" t="s">
        <v>592</v>
      </c>
      <c r="K139" s="22" t="s">
        <v>55</v>
      </c>
      <c r="L139" s="22" t="s">
        <v>48</v>
      </c>
      <c r="M139" s="22"/>
      <c r="N139" s="22"/>
      <c r="O139" s="22" t="s">
        <v>56</v>
      </c>
      <c r="P139" s="22" t="s">
        <v>593</v>
      </c>
      <c r="Q139" s="22" t="s">
        <v>627</v>
      </c>
      <c r="R139" s="22"/>
      <c r="S139" s="22"/>
      <c r="T139" s="22"/>
      <c r="U139" s="22"/>
      <c r="V139" s="22"/>
      <c r="W139" s="22"/>
      <c r="X139" s="22"/>
      <c r="Y139" s="22"/>
      <c r="Z139" s="22"/>
      <c r="AA139" s="22" t="s">
        <v>628</v>
      </c>
      <c r="AB139" s="22"/>
      <c r="AC139" s="22"/>
      <c r="AD139" s="22" t="str" cm="1">
        <f t="array" ref="AD139">_xlfn.LET(_xlpm.r,_xlfn.XLOOKUP(1,( [1]Sheet1!$A:$A = MappingGuide[[#This Row],[TableName]] ) * ( [1]Sheet1!$B:$B =RIGHT( MappingGuide[[#This Row],[ColumnName]],4) ),[1]Sheet1!$L:$L,""),IF(_xlpm.r=0,"",_xlpm.r))</f>
        <v/>
      </c>
      <c r="AE139" s="22" t="str" cm="1">
        <f t="array" ref="AE139">_xlfn.LET(_xlpm.r,_xlfn.XLOOKUP(1,( [1]Sheet1!$A:$A = MappingGuide[[#This Row],[TableName]] ) * ( [1]Sheet1!$B:$B =RIGHT( MappingGuide[[#This Row],[ColumnName]],4) ),[1]Sheet1!$M:$M,""),IF(_xlpm.r=0,"",_xlpm.r))</f>
        <v/>
      </c>
      <c r="AF139" s="22"/>
      <c r="AG139" s="22"/>
      <c r="AH139" s="22"/>
      <c r="AI139" s="22" t="s">
        <v>48</v>
      </c>
      <c r="AJ139" s="22" t="s">
        <v>629</v>
      </c>
      <c r="AK139" s="22"/>
    </row>
    <row r="140" spans="1:37" ht="17">
      <c r="A140" s="22">
        <v>406</v>
      </c>
      <c r="B140" s="22" t="s">
        <v>589</v>
      </c>
      <c r="C140" s="22" t="s">
        <v>630</v>
      </c>
      <c r="D140" s="22" t="s">
        <v>631</v>
      </c>
      <c r="E140" s="22" t="s">
        <v>52</v>
      </c>
      <c r="F140" s="22" t="s">
        <v>70</v>
      </c>
      <c r="G140" s="22"/>
      <c r="H140" s="22"/>
      <c r="I140" s="22"/>
      <c r="J140" s="22" t="s">
        <v>592</v>
      </c>
      <c r="K140" s="22" t="s">
        <v>55</v>
      </c>
      <c r="L140" s="22" t="s">
        <v>48</v>
      </c>
      <c r="M140" s="22"/>
      <c r="N140" s="22"/>
      <c r="O140" s="22" t="s">
        <v>56</v>
      </c>
      <c r="P140" s="22" t="s">
        <v>593</v>
      </c>
      <c r="Q140" s="22" t="s">
        <v>632</v>
      </c>
      <c r="R140" s="22"/>
      <c r="S140" s="22"/>
      <c r="T140" s="22"/>
      <c r="U140" s="22"/>
      <c r="V140" s="22"/>
      <c r="W140" s="22"/>
      <c r="X140" s="22"/>
      <c r="Y140" s="22"/>
      <c r="Z140" s="22"/>
      <c r="AA140" s="22" t="s">
        <v>628</v>
      </c>
      <c r="AB140" s="22"/>
      <c r="AC140" s="22"/>
      <c r="AD140" s="22" t="str" cm="1">
        <f t="array" ref="AD140">_xlfn.LET(_xlpm.r,_xlfn.XLOOKUP(1,( [1]Sheet1!$A:$A = MappingGuide[[#This Row],[TableName]] ) * ( [1]Sheet1!$B:$B =RIGHT( MappingGuide[[#This Row],[ColumnName]],4) ),[1]Sheet1!$L:$L,""),IF(_xlpm.r=0,"",_xlpm.r))</f>
        <v/>
      </c>
      <c r="AE140" s="22" t="str" cm="1">
        <f t="array" ref="AE140">_xlfn.LET(_xlpm.r,_xlfn.XLOOKUP(1,( [1]Sheet1!$A:$A = MappingGuide[[#This Row],[TableName]] ) * ( [1]Sheet1!$B:$B =RIGHT( MappingGuide[[#This Row],[ColumnName]],4) ),[1]Sheet1!$M:$M,""),IF(_xlpm.r=0,"",_xlpm.r))</f>
        <v/>
      </c>
      <c r="AF140" s="22"/>
      <c r="AG140" s="22"/>
      <c r="AH140" s="22"/>
      <c r="AI140" s="22" t="s">
        <v>48</v>
      </c>
      <c r="AJ140" s="22" t="s">
        <v>633</v>
      </c>
      <c r="AK140" s="22"/>
    </row>
    <row r="141" spans="1:37" ht="17">
      <c r="A141" s="22">
        <v>407</v>
      </c>
      <c r="B141" s="22" t="s">
        <v>589</v>
      </c>
      <c r="C141" s="22" t="s">
        <v>634</v>
      </c>
      <c r="D141" s="22" t="s">
        <v>119</v>
      </c>
      <c r="E141" s="22" t="s">
        <v>52</v>
      </c>
      <c r="F141" s="22" t="s">
        <v>44</v>
      </c>
      <c r="G141" s="22"/>
      <c r="H141" s="22"/>
      <c r="I141" s="22"/>
      <c r="J141" s="22" t="s">
        <v>592</v>
      </c>
      <c r="K141" s="22" t="s">
        <v>55</v>
      </c>
      <c r="L141" s="22"/>
      <c r="M141" s="22" t="s">
        <v>48</v>
      </c>
      <c r="N141" s="22"/>
      <c r="O141" s="22" t="s">
        <v>56</v>
      </c>
      <c r="P141" s="22" t="s">
        <v>593</v>
      </c>
      <c r="Q141" s="22" t="s">
        <v>120</v>
      </c>
      <c r="R141" s="22" t="s">
        <v>48</v>
      </c>
      <c r="S141" s="22"/>
      <c r="T141" s="22"/>
      <c r="U141" s="22"/>
      <c r="V141" s="22"/>
      <c r="W141" s="22"/>
      <c r="X141" s="22" t="s">
        <v>48</v>
      </c>
      <c r="Y141" s="22" t="s">
        <v>121</v>
      </c>
      <c r="Z141" s="22"/>
      <c r="AA141" s="22" t="s">
        <v>122</v>
      </c>
      <c r="AB141" s="22"/>
      <c r="AC141" s="22" t="s">
        <v>123</v>
      </c>
      <c r="AD141" s="22" t="str" cm="1">
        <f t="array" ref="AD141">_xlfn.LET(_xlpm.r,_xlfn.XLOOKUP(1,( [1]Sheet1!$A:$A = MappingGuide[[#This Row],[TableName]] ) * ( [1]Sheet1!$B:$B =RIGHT( MappingGuide[[#This Row],[ColumnName]],4) ),[1]Sheet1!$L:$L,""),IF(_xlpm.r=0,"",_xlpm.r))</f>
        <v/>
      </c>
      <c r="AE141" s="22" t="str" cm="1">
        <f t="array" ref="AE141">_xlfn.LET(_xlpm.r,_xlfn.XLOOKUP(1,( [1]Sheet1!$A:$A = MappingGuide[[#This Row],[TableName]] ) * ( [1]Sheet1!$B:$B =RIGHT( MappingGuide[[#This Row],[ColumnName]],4) ),[1]Sheet1!$M:$M,""),IF(_xlpm.r=0,"",_xlpm.r))</f>
        <v/>
      </c>
      <c r="AF141" s="22"/>
      <c r="AG141" s="22"/>
      <c r="AH141" s="22"/>
      <c r="AI141" s="22" t="s">
        <v>48</v>
      </c>
      <c r="AJ141" s="22" t="s">
        <v>121</v>
      </c>
      <c r="AK141" s="22"/>
    </row>
    <row r="142" spans="1:37" ht="17">
      <c r="A142" s="22">
        <v>408</v>
      </c>
      <c r="B142" s="22" t="s">
        <v>589</v>
      </c>
      <c r="C142" s="22" t="s">
        <v>635</v>
      </c>
      <c r="D142" s="22" t="s">
        <v>636</v>
      </c>
      <c r="E142" s="22" t="s">
        <v>52</v>
      </c>
      <c r="F142" s="22" t="s">
        <v>53</v>
      </c>
      <c r="G142" s="22"/>
      <c r="H142" s="22"/>
      <c r="I142" s="22"/>
      <c r="J142" s="22" t="s">
        <v>592</v>
      </c>
      <c r="K142" s="22" t="s">
        <v>55</v>
      </c>
      <c r="L142" s="22"/>
      <c r="M142" s="22" t="s">
        <v>48</v>
      </c>
      <c r="N142" s="22"/>
      <c r="O142" s="22" t="s">
        <v>56</v>
      </c>
      <c r="P142" s="22" t="s">
        <v>593</v>
      </c>
      <c r="Q142" s="22" t="s">
        <v>637</v>
      </c>
      <c r="R142" s="22"/>
      <c r="S142" s="22"/>
      <c r="T142" s="22"/>
      <c r="U142" s="22"/>
      <c r="V142" s="22"/>
      <c r="W142" s="22"/>
      <c r="X142" s="22" t="s">
        <v>48</v>
      </c>
      <c r="Y142" s="22" t="s">
        <v>638</v>
      </c>
      <c r="Z142" s="22"/>
      <c r="AA142" s="22" t="s">
        <v>639</v>
      </c>
      <c r="AB142" s="22"/>
      <c r="AC142" s="22" t="s">
        <v>640</v>
      </c>
      <c r="AD142" s="22" t="str" cm="1">
        <f t="array" ref="AD142">_xlfn.LET(_xlpm.r,_xlfn.XLOOKUP(1,( [1]Sheet1!$A:$A = MappingGuide[[#This Row],[TableName]] ) * ( [1]Sheet1!$B:$B =RIGHT( MappingGuide[[#This Row],[ColumnName]],4) ),[1]Sheet1!$L:$L,""),IF(_xlpm.r=0,"",_xlpm.r))</f>
        <v/>
      </c>
      <c r="AE142" s="22" t="str" cm="1">
        <f t="array" ref="AE142">_xlfn.LET(_xlpm.r,_xlfn.XLOOKUP(1,( [1]Sheet1!$A:$A = MappingGuide[[#This Row],[TableName]] ) * ( [1]Sheet1!$B:$B =RIGHT( MappingGuide[[#This Row],[ColumnName]],4) ),[1]Sheet1!$M:$M,""),IF(_xlpm.r=0,"",_xlpm.r))</f>
        <v/>
      </c>
      <c r="AF142" s="22"/>
      <c r="AG142" s="22"/>
      <c r="AH142" s="22"/>
      <c r="AI142" s="22" t="s">
        <v>48</v>
      </c>
      <c r="AJ142" s="22" t="s">
        <v>641</v>
      </c>
      <c r="AK142" s="22"/>
    </row>
    <row r="143" spans="1:37" ht="17">
      <c r="A143" s="22">
        <v>409</v>
      </c>
      <c r="B143" s="22" t="s">
        <v>589</v>
      </c>
      <c r="C143" s="22" t="s">
        <v>642</v>
      </c>
      <c r="D143" s="22" t="s">
        <v>643</v>
      </c>
      <c r="E143" s="22" t="s">
        <v>52</v>
      </c>
      <c r="F143" s="22" t="s">
        <v>192</v>
      </c>
      <c r="G143" s="22"/>
      <c r="H143" s="22"/>
      <c r="I143" s="22"/>
      <c r="J143" s="22" t="s">
        <v>592</v>
      </c>
      <c r="K143" s="22" t="s">
        <v>55</v>
      </c>
      <c r="L143" s="22"/>
      <c r="M143" s="22"/>
      <c r="N143" s="22"/>
      <c r="O143" s="22" t="s">
        <v>56</v>
      </c>
      <c r="P143" s="22" t="s">
        <v>593</v>
      </c>
      <c r="Q143" s="22" t="s">
        <v>644</v>
      </c>
      <c r="R143" s="22"/>
      <c r="S143" s="22"/>
      <c r="T143" s="22"/>
      <c r="U143" s="22"/>
      <c r="V143" s="22"/>
      <c r="W143" s="22"/>
      <c r="X143" s="22"/>
      <c r="Y143" s="22"/>
      <c r="Z143" s="22"/>
      <c r="AA143" s="22" t="s">
        <v>645</v>
      </c>
      <c r="AB143" s="22"/>
      <c r="AC143" s="22" t="s">
        <v>646</v>
      </c>
      <c r="AD143" s="22" t="str" cm="1">
        <f t="array" ref="AD143">_xlfn.LET(_xlpm.r,_xlfn.XLOOKUP(1,( [1]Sheet1!$A:$A = MappingGuide[[#This Row],[TableName]] ) * ( [1]Sheet1!$B:$B =RIGHT( MappingGuide[[#This Row],[ColumnName]],4) ),[1]Sheet1!$L:$L,""),IF(_xlpm.r=0,"",_xlpm.r))</f>
        <v/>
      </c>
      <c r="AE143" s="22" t="str" cm="1">
        <f t="array" ref="AE143">_xlfn.LET(_xlpm.r,_xlfn.XLOOKUP(1,( [1]Sheet1!$A:$A = MappingGuide[[#This Row],[TableName]] ) * ( [1]Sheet1!$B:$B =RIGHT( MappingGuide[[#This Row],[ColumnName]],4) ),[1]Sheet1!$M:$M,""),IF(_xlpm.r=0,"",_xlpm.r))</f>
        <v>Field only available for addresses type 3, 5. Indicates the address the transport is shipped through before it arrives at the final address</v>
      </c>
      <c r="AF143" s="22"/>
      <c r="AG143" s="22"/>
      <c r="AH143" s="22"/>
      <c r="AI143" s="22" t="s">
        <v>91</v>
      </c>
      <c r="AJ143" s="22"/>
      <c r="AK143" s="22"/>
    </row>
    <row r="144" spans="1:37" ht="17">
      <c r="A144" s="22">
        <v>410</v>
      </c>
      <c r="B144" s="22" t="s">
        <v>589</v>
      </c>
      <c r="C144" s="22" t="s">
        <v>647</v>
      </c>
      <c r="D144" s="22" t="s">
        <v>648</v>
      </c>
      <c r="E144" s="22" t="s">
        <v>52</v>
      </c>
      <c r="F144" s="22" t="s">
        <v>53</v>
      </c>
      <c r="G144" s="22"/>
      <c r="H144" s="22"/>
      <c r="I144" s="22"/>
      <c r="J144" s="22" t="s">
        <v>592</v>
      </c>
      <c r="K144" s="22" t="s">
        <v>55</v>
      </c>
      <c r="L144" s="22"/>
      <c r="M144" s="22"/>
      <c r="N144" s="22"/>
      <c r="O144" s="22" t="s">
        <v>56</v>
      </c>
      <c r="P144" s="22" t="s">
        <v>593</v>
      </c>
      <c r="Q144" s="22" t="s">
        <v>649</v>
      </c>
      <c r="R144" s="22"/>
      <c r="S144" s="22"/>
      <c r="T144" s="22"/>
      <c r="U144" s="22"/>
      <c r="V144" s="22"/>
      <c r="W144" s="22"/>
      <c r="X144" s="22"/>
      <c r="Y144" s="22"/>
      <c r="Z144" s="22"/>
      <c r="AA144" s="22" t="s">
        <v>650</v>
      </c>
      <c r="AB144" s="22"/>
      <c r="AC144" s="22" t="s">
        <v>651</v>
      </c>
      <c r="AD144" s="22" t="str" cm="1">
        <f t="array" ref="AD144">_xlfn.LET(_xlpm.r,_xlfn.XLOOKUP(1,( [1]Sheet1!$A:$A = MappingGuide[[#This Row],[TableName]] ) * ( [1]Sheet1!$B:$B =RIGHT( MappingGuide[[#This Row],[ColumnName]],4) ),[1]Sheet1!$L:$L,""),IF(_xlpm.r=0,"",_xlpm.r))</f>
        <v/>
      </c>
      <c r="AE144" s="22" t="str" cm="1">
        <f t="array" ref="AE144">_xlfn.LET(_xlpm.r,_xlfn.XLOOKUP(1,( [1]Sheet1!$A:$A = MappingGuide[[#This Row],[TableName]] ) * ( [1]Sheet1!$B:$B =RIGHT( MappingGuide[[#This Row],[ColumnName]],4) ),[1]Sheet1!$M:$M,""),IF(_xlpm.r=0,"",_xlpm.r))</f>
        <v>Only available for addresses type 3 or 5; For address type 3, refers to place of loading and for address type 5, refers to place of unloading</v>
      </c>
      <c r="AF144" s="22"/>
      <c r="AG144" s="22"/>
      <c r="AH144" s="22"/>
      <c r="AI144" s="22" t="s">
        <v>91</v>
      </c>
      <c r="AJ144" s="22"/>
      <c r="AK144" s="22"/>
    </row>
    <row r="145" spans="1:37" ht="17">
      <c r="A145" s="22">
        <v>411</v>
      </c>
      <c r="B145" s="22" t="s">
        <v>589</v>
      </c>
      <c r="C145" s="22" t="s">
        <v>652</v>
      </c>
      <c r="D145" s="22" t="s">
        <v>238</v>
      </c>
      <c r="E145" s="22" t="s">
        <v>43</v>
      </c>
      <c r="F145" s="22" t="s">
        <v>239</v>
      </c>
      <c r="G145" s="22"/>
      <c r="H145" s="22"/>
      <c r="I145" s="22"/>
      <c r="J145" s="22"/>
      <c r="K145" s="22"/>
      <c r="L145" s="22"/>
      <c r="M145" s="22"/>
      <c r="N145" s="22"/>
      <c r="O145" s="22" t="s">
        <v>56</v>
      </c>
      <c r="P145" s="22" t="s">
        <v>593</v>
      </c>
      <c r="Q145" s="22" t="s">
        <v>240</v>
      </c>
      <c r="R145" s="22"/>
      <c r="S145" s="22"/>
      <c r="T145" s="22"/>
      <c r="U145" s="22"/>
      <c r="V145" s="22"/>
      <c r="W145" s="22"/>
      <c r="X145" s="22"/>
      <c r="Y145" s="22"/>
      <c r="Z145" s="22"/>
      <c r="AA145" s="22" t="s">
        <v>241</v>
      </c>
      <c r="AB145" s="22"/>
      <c r="AC145" s="22" t="s">
        <v>242</v>
      </c>
      <c r="AD145" s="22" t="str" cm="1">
        <f t="array" ref="AD145">_xlfn.LET(_xlpm.r,_xlfn.XLOOKUP(1,( [1]Sheet1!$A:$A = MappingGuide[[#This Row],[TableName]] ) * ( [1]Sheet1!$B:$B =RIGHT( MappingGuide[[#This Row],[ColumnName]],4) ),[1]Sheet1!$L:$L,""),IF(_xlpm.r=0,"",_xlpm.r))</f>
        <v/>
      </c>
      <c r="AE145" s="22" t="str" cm="1">
        <f t="array" ref="AE145">_xlfn.LET(_xlpm.r,_xlfn.XLOOKUP(1,( [1]Sheet1!$A:$A = MappingGuide[[#This Row],[TableName]] ) * ( [1]Sheet1!$B:$B =RIGHT( MappingGuide[[#This Row],[ColumnName]],4) ),[1]Sheet1!$M:$M,""),IF(_xlpm.r=0,"",_xlpm.r))</f>
        <v/>
      </c>
      <c r="AF145" s="22"/>
      <c r="AG145" s="22"/>
      <c r="AH145" s="22"/>
      <c r="AI145" s="22" t="s">
        <v>91</v>
      </c>
      <c r="AJ145" s="22"/>
      <c r="AK145" s="22"/>
    </row>
    <row r="146" spans="1:37" ht="17">
      <c r="A146" s="22">
        <v>412</v>
      </c>
      <c r="B146" s="22" t="s">
        <v>589</v>
      </c>
      <c r="C146" s="22" t="s">
        <v>653</v>
      </c>
      <c r="D146" s="22" t="s">
        <v>471</v>
      </c>
      <c r="E146" s="22" t="s">
        <v>52</v>
      </c>
      <c r="F146" s="22" t="s">
        <v>44</v>
      </c>
      <c r="G146" s="22"/>
      <c r="H146" s="22"/>
      <c r="I146" s="22"/>
      <c r="J146" s="22"/>
      <c r="K146" s="22"/>
      <c r="L146" s="22"/>
      <c r="M146" s="22"/>
      <c r="N146" s="22"/>
      <c r="O146" s="22" t="s">
        <v>56</v>
      </c>
      <c r="P146" s="22" t="s">
        <v>654</v>
      </c>
      <c r="Q146" s="22" t="s">
        <v>472</v>
      </c>
      <c r="R146" s="22"/>
      <c r="S146" s="22"/>
      <c r="T146" s="22"/>
      <c r="U146" s="22"/>
      <c r="V146" s="22"/>
      <c r="W146" s="22"/>
      <c r="X146" s="22"/>
      <c r="Y146" s="22"/>
      <c r="Z146" s="22"/>
      <c r="AA146" s="22" t="s">
        <v>473</v>
      </c>
      <c r="AB146" s="22"/>
      <c r="AC146" s="22" t="s">
        <v>474</v>
      </c>
      <c r="AD146" s="22" t="str" cm="1">
        <f t="array" ref="AD146">_xlfn.LET(_xlpm.r,_xlfn.XLOOKUP(1,( [1]Sheet1!$A:$A = MappingGuide[[#This Row],[TableName]] ) * ( [1]Sheet1!$B:$B =RIGHT( MappingGuide[[#This Row],[ColumnName]],4) ),[1]Sheet1!$L:$L,""),IF(_xlpm.r=0,"",_xlpm.r))</f>
        <v/>
      </c>
      <c r="AE146" s="22" t="str" cm="1">
        <f t="array" ref="AE146">_xlfn.LET(_xlpm.r,_xlfn.XLOOKUP(1,( [1]Sheet1!$A:$A = MappingGuide[[#This Row],[TableName]] ) * ( [1]Sheet1!$B:$B =RIGHT( MappingGuide[[#This Row],[ColumnName]],4) ),[1]Sheet1!$M:$M,""),IF(_xlpm.r=0,"",_xlpm.r))</f>
        <v/>
      </c>
      <c r="AF146" s="22"/>
      <c r="AG146" s="22"/>
      <c r="AH146" s="22"/>
      <c r="AI146" s="22" t="s">
        <v>91</v>
      </c>
      <c r="AJ146" s="22"/>
      <c r="AK146" s="22"/>
    </row>
    <row r="147" spans="1:37" ht="17">
      <c r="A147" s="22">
        <v>413</v>
      </c>
      <c r="B147" s="22" t="s">
        <v>589</v>
      </c>
      <c r="C147" s="22" t="s">
        <v>655</v>
      </c>
      <c r="D147" s="22" t="s">
        <v>125</v>
      </c>
      <c r="E147" s="22" t="s">
        <v>52</v>
      </c>
      <c r="F147" s="22" t="s">
        <v>82</v>
      </c>
      <c r="G147" s="22"/>
      <c r="H147" s="22"/>
      <c r="I147" s="22"/>
      <c r="J147" s="22" t="s">
        <v>592</v>
      </c>
      <c r="K147" s="22" t="s">
        <v>55</v>
      </c>
      <c r="L147" s="22"/>
      <c r="M147" s="22" t="s">
        <v>48</v>
      </c>
      <c r="N147" s="22"/>
      <c r="O147" s="22" t="s">
        <v>56</v>
      </c>
      <c r="P147" s="22" t="s">
        <v>593</v>
      </c>
      <c r="Q147" s="22" t="s">
        <v>126</v>
      </c>
      <c r="R147" s="22"/>
      <c r="S147" s="22"/>
      <c r="T147" s="22"/>
      <c r="U147" s="22"/>
      <c r="V147" s="22"/>
      <c r="W147" s="22"/>
      <c r="X147" s="22" t="s">
        <v>48</v>
      </c>
      <c r="Y147" s="22" t="s">
        <v>656</v>
      </c>
      <c r="Z147" s="22"/>
      <c r="AA147" s="22" t="s">
        <v>127</v>
      </c>
      <c r="AB147" s="22"/>
      <c r="AC147" s="22" t="s">
        <v>128</v>
      </c>
      <c r="AD147" s="22" t="str" cm="1">
        <f t="array" ref="AD147">_xlfn.LET(_xlpm.r,_xlfn.XLOOKUP(1,( [1]Sheet1!$A:$A = MappingGuide[[#This Row],[TableName]] ) * ( [1]Sheet1!$B:$B =RIGHT( MappingGuide[[#This Row],[ColumnName]],4) ),[1]Sheet1!$L:$L,""),IF(_xlpm.r=0,"",_xlpm.r))</f>
        <v/>
      </c>
      <c r="AE147" s="22" t="str" cm="1">
        <f t="array" ref="AE147">_xlfn.LET(_xlpm.r,_xlfn.XLOOKUP(1,( [1]Sheet1!$A:$A = MappingGuide[[#This Row],[TableName]] ) * ( [1]Sheet1!$B:$B =RIGHT( MappingGuide[[#This Row],[ColumnName]],4) ),[1]Sheet1!$M:$M,""),IF(_xlpm.r=0,"",_xlpm.r))</f>
        <v/>
      </c>
      <c r="AF147" s="22"/>
      <c r="AG147" s="22"/>
      <c r="AH147" s="22"/>
      <c r="AI147" s="22" t="s">
        <v>48</v>
      </c>
      <c r="AJ147" s="22" t="s">
        <v>657</v>
      </c>
      <c r="AK147" s="22"/>
    </row>
    <row r="148" spans="1:37" ht="17">
      <c r="A148" s="22">
        <v>414</v>
      </c>
      <c r="B148" s="22" t="s">
        <v>589</v>
      </c>
      <c r="C148" s="22" t="s">
        <v>658</v>
      </c>
      <c r="D148" s="22" t="s">
        <v>659</v>
      </c>
      <c r="E148" s="22" t="s">
        <v>52</v>
      </c>
      <c r="F148" s="22" t="s">
        <v>155</v>
      </c>
      <c r="G148" s="22"/>
      <c r="H148" s="22"/>
      <c r="I148" s="22"/>
      <c r="J148" s="22" t="s">
        <v>592</v>
      </c>
      <c r="K148" s="22" t="s">
        <v>55</v>
      </c>
      <c r="L148" s="22"/>
      <c r="M148" s="22" t="s">
        <v>48</v>
      </c>
      <c r="N148" s="22"/>
      <c r="O148" s="22" t="s">
        <v>56</v>
      </c>
      <c r="P148" s="22" t="s">
        <v>593</v>
      </c>
      <c r="Q148" s="22" t="s">
        <v>660</v>
      </c>
      <c r="R148" s="22"/>
      <c r="S148" s="22"/>
      <c r="T148" s="22"/>
      <c r="U148" s="22"/>
      <c r="V148" s="22"/>
      <c r="W148" s="22"/>
      <c r="X148" s="22" t="s">
        <v>48</v>
      </c>
      <c r="Y148" s="22" t="s">
        <v>661</v>
      </c>
      <c r="Z148" s="22"/>
      <c r="AA148" s="22" t="s">
        <v>662</v>
      </c>
      <c r="AB148" s="22"/>
      <c r="AC148" s="22"/>
      <c r="AD148" s="22" t="str" cm="1">
        <f t="array" ref="AD148">_xlfn.LET(_xlpm.r,_xlfn.XLOOKUP(1,( [1]Sheet1!$A:$A = MappingGuide[[#This Row],[TableName]] ) * ( [1]Sheet1!$B:$B =RIGHT( MappingGuide[[#This Row],[ColumnName]],4) ),[1]Sheet1!$L:$L,""),IF(_xlpm.r=0,"",_xlpm.r))</f>
        <v/>
      </c>
      <c r="AE148" s="22" t="str" cm="1">
        <f t="array" ref="AE148">_xlfn.LET(_xlpm.r,_xlfn.XLOOKUP(1,( [1]Sheet1!$A:$A = MappingGuide[[#This Row],[TableName]] ) * ( [1]Sheet1!$B:$B =RIGHT( MappingGuide[[#This Row],[ColumnName]],4) ),[1]Sheet1!$M:$M,""),IF(_xlpm.r=0,"",_xlpm.r))</f>
        <v/>
      </c>
      <c r="AF148" s="22"/>
      <c r="AG148" s="22"/>
      <c r="AH148" s="22"/>
      <c r="AI148" s="22" t="s">
        <v>48</v>
      </c>
      <c r="AJ148" s="22" t="s">
        <v>663</v>
      </c>
      <c r="AK148" s="22"/>
    </row>
    <row r="149" spans="1:37" ht="17">
      <c r="A149" s="22">
        <v>415</v>
      </c>
      <c r="B149" s="22" t="s">
        <v>589</v>
      </c>
      <c r="C149" s="22" t="s">
        <v>664</v>
      </c>
      <c r="D149" s="22" t="s">
        <v>665</v>
      </c>
      <c r="E149" s="22" t="s">
        <v>52</v>
      </c>
      <c r="F149" s="22" t="s">
        <v>175</v>
      </c>
      <c r="G149" s="22"/>
      <c r="H149" s="22"/>
      <c r="I149" s="22"/>
      <c r="J149" s="22" t="s">
        <v>592</v>
      </c>
      <c r="K149" s="22" t="s">
        <v>55</v>
      </c>
      <c r="L149" s="22"/>
      <c r="M149" s="22"/>
      <c r="N149" s="22"/>
      <c r="O149" s="22" t="s">
        <v>56</v>
      </c>
      <c r="P149" s="22" t="s">
        <v>593</v>
      </c>
      <c r="Q149" s="22" t="s">
        <v>666</v>
      </c>
      <c r="R149" s="22"/>
      <c r="S149" s="22"/>
      <c r="T149" s="22"/>
      <c r="U149" s="22"/>
      <c r="V149" s="22"/>
      <c r="W149" s="22"/>
      <c r="X149" s="22"/>
      <c r="Y149" s="22"/>
      <c r="Z149" s="22"/>
      <c r="AA149" s="22" t="s">
        <v>667</v>
      </c>
      <c r="AB149" s="22"/>
      <c r="AC149" s="22" t="s">
        <v>668</v>
      </c>
      <c r="AD149" s="22" t="str" cm="1">
        <f t="array" ref="AD149">_xlfn.LET(_xlpm.r,_xlfn.XLOOKUP(1,( [1]Sheet1!$A:$A = MappingGuide[[#This Row],[TableName]] ) * ( [1]Sheet1!$B:$B =RIGHT( MappingGuide[[#This Row],[ColumnName]],4) ),[1]Sheet1!$L:$L,""),IF(_xlpm.r=0,"",_xlpm.r))</f>
        <v/>
      </c>
      <c r="AE149" s="22" t="str" cm="1">
        <f t="array" ref="AE149">_xlfn.LET(_xlpm.r,_xlfn.XLOOKUP(1,( [1]Sheet1!$A:$A = MappingGuide[[#This Row],[TableName]] ) * ( [1]Sheet1!$B:$B =RIGHT( MappingGuide[[#This Row],[ColumnName]],4) ),[1]Sheet1!$M:$M,""),IF(_xlpm.r=0,"",_xlpm.r))</f>
        <v/>
      </c>
      <c r="AF149" s="22"/>
      <c r="AG149" s="22"/>
      <c r="AH149" s="22"/>
      <c r="AI149" s="22" t="s">
        <v>91</v>
      </c>
      <c r="AJ149" s="22"/>
      <c r="AK149" s="22"/>
    </row>
    <row r="150" spans="1:37" ht="17">
      <c r="A150" s="22">
        <v>416</v>
      </c>
      <c r="B150" s="22" t="s">
        <v>589</v>
      </c>
      <c r="C150" s="22" t="s">
        <v>669</v>
      </c>
      <c r="D150" s="22" t="s">
        <v>210</v>
      </c>
      <c r="E150" s="22" t="s">
        <v>43</v>
      </c>
      <c r="F150" s="22" t="s">
        <v>211</v>
      </c>
      <c r="G150" s="22"/>
      <c r="H150" s="22"/>
      <c r="I150" s="22"/>
      <c r="J150" s="22"/>
      <c r="K150" s="22"/>
      <c r="L150" s="22"/>
      <c r="M150" s="22"/>
      <c r="N150" s="22"/>
      <c r="O150" s="22"/>
      <c r="P150" s="22"/>
      <c r="Q150" s="22"/>
      <c r="R150" s="22"/>
      <c r="S150" s="22"/>
      <c r="T150" s="22"/>
      <c r="U150" s="22"/>
      <c r="V150" s="22"/>
      <c r="W150" s="22"/>
      <c r="X150" s="22"/>
      <c r="Y150" s="22"/>
      <c r="Z150" s="22"/>
      <c r="AA150" s="22" t="s">
        <v>212</v>
      </c>
      <c r="AB150" s="22"/>
      <c r="AC150" s="22"/>
      <c r="AD150" s="22" t="str" cm="1">
        <f t="array" ref="AD150">_xlfn.LET(_xlpm.r,_xlfn.XLOOKUP(1,( [1]Sheet1!$A:$A = MappingGuide[[#This Row],[TableName]] ) * ( [1]Sheet1!$B:$B =RIGHT( MappingGuide[[#This Row],[ColumnName]],4) ),[1]Sheet1!$L:$L,""),IF(_xlpm.r=0,"",_xlpm.r))</f>
        <v/>
      </c>
      <c r="AE150" s="22" t="str" cm="1">
        <f t="array" ref="AE150">_xlfn.LET(_xlpm.r,_xlfn.XLOOKUP(1,( [1]Sheet1!$A:$A = MappingGuide[[#This Row],[TableName]] ) * ( [1]Sheet1!$B:$B =RIGHT( MappingGuide[[#This Row],[ColumnName]],4) ),[1]Sheet1!$M:$M,""),IF(_xlpm.r=0,"",_xlpm.r))</f>
        <v/>
      </c>
      <c r="AF150" s="22"/>
      <c r="AG150" s="22"/>
      <c r="AH150" s="22"/>
      <c r="AI150" s="22" t="s">
        <v>91</v>
      </c>
      <c r="AJ150" s="22"/>
      <c r="AK150" s="22"/>
    </row>
    <row r="151" spans="1:37" ht="17">
      <c r="A151" s="22">
        <v>417</v>
      </c>
      <c r="B151" s="22" t="s">
        <v>589</v>
      </c>
      <c r="C151" s="22" t="s">
        <v>670</v>
      </c>
      <c r="D151" s="22" t="s">
        <v>214</v>
      </c>
      <c r="E151" s="22" t="s">
        <v>43</v>
      </c>
      <c r="F151" s="22" t="s">
        <v>215</v>
      </c>
      <c r="G151" s="22"/>
      <c r="H151" s="22"/>
      <c r="I151" s="22"/>
      <c r="J151" s="22"/>
      <c r="K151" s="22"/>
      <c r="L151" s="22"/>
      <c r="M151" s="22"/>
      <c r="N151" s="22"/>
      <c r="O151" s="22"/>
      <c r="P151" s="22"/>
      <c r="Q151" s="22"/>
      <c r="R151" s="22"/>
      <c r="S151" s="22"/>
      <c r="T151" s="22"/>
      <c r="U151" s="22"/>
      <c r="V151" s="22"/>
      <c r="W151" s="22"/>
      <c r="X151" s="22"/>
      <c r="Y151" s="22"/>
      <c r="Z151" s="22"/>
      <c r="AA151" s="22" t="s">
        <v>216</v>
      </c>
      <c r="AB151" s="22"/>
      <c r="AC151" s="22"/>
      <c r="AD151" s="22" t="str" cm="1">
        <f t="array" ref="AD151">_xlfn.LET(_xlpm.r,_xlfn.XLOOKUP(1,( [1]Sheet1!$A:$A = MappingGuide[[#This Row],[TableName]] ) * ( [1]Sheet1!$B:$B =RIGHT( MappingGuide[[#This Row],[ColumnName]],4) ),[1]Sheet1!$L:$L,""),IF(_xlpm.r=0,"",_xlpm.r))</f>
        <v/>
      </c>
      <c r="AE151" s="22" t="str" cm="1">
        <f t="array" ref="AE151">_xlfn.LET(_xlpm.r,_xlfn.XLOOKUP(1,( [1]Sheet1!$A:$A = MappingGuide[[#This Row],[TableName]] ) * ( [1]Sheet1!$B:$B =RIGHT( MappingGuide[[#This Row],[ColumnName]],4) ),[1]Sheet1!$M:$M,""),IF(_xlpm.r=0,"",_xlpm.r))</f>
        <v/>
      </c>
      <c r="AF151" s="22"/>
      <c r="AG151" s="22"/>
      <c r="AH151" s="22"/>
      <c r="AI151" s="22" t="s">
        <v>91</v>
      </c>
      <c r="AJ151" s="22"/>
      <c r="AK151" s="22"/>
    </row>
    <row r="152" spans="1:37" ht="17">
      <c r="A152" s="22">
        <v>418</v>
      </c>
      <c r="B152" s="22" t="s">
        <v>589</v>
      </c>
      <c r="C152" s="22" t="s">
        <v>671</v>
      </c>
      <c r="D152" s="22" t="s">
        <v>218</v>
      </c>
      <c r="E152" s="22" t="s">
        <v>43</v>
      </c>
      <c r="F152" s="22" t="s">
        <v>192</v>
      </c>
      <c r="G152" s="22"/>
      <c r="H152" s="22"/>
      <c r="I152" s="22"/>
      <c r="J152" s="22"/>
      <c r="K152" s="22"/>
      <c r="L152" s="22"/>
      <c r="M152" s="22"/>
      <c r="N152" s="22"/>
      <c r="O152" s="22"/>
      <c r="P152" s="22"/>
      <c r="Q152" s="22"/>
      <c r="R152" s="22"/>
      <c r="S152" s="22"/>
      <c r="T152" s="22"/>
      <c r="U152" s="22"/>
      <c r="V152" s="22"/>
      <c r="W152" s="22"/>
      <c r="X152" s="22"/>
      <c r="Y152" s="22"/>
      <c r="Z152" s="22"/>
      <c r="AA152" s="22" t="s">
        <v>219</v>
      </c>
      <c r="AB152" s="22"/>
      <c r="AC152" s="22"/>
      <c r="AD152" s="22" t="str" cm="1">
        <f t="array" ref="AD152">_xlfn.LET(_xlpm.r,_xlfn.XLOOKUP(1,( [1]Sheet1!$A:$A = MappingGuide[[#This Row],[TableName]] ) * ( [1]Sheet1!$B:$B =RIGHT( MappingGuide[[#This Row],[ColumnName]],4) ),[1]Sheet1!$L:$L,""),IF(_xlpm.r=0,"",_xlpm.r))</f>
        <v/>
      </c>
      <c r="AE152" s="22" t="str" cm="1">
        <f t="array" ref="AE152">_xlfn.LET(_xlpm.r,_xlfn.XLOOKUP(1,( [1]Sheet1!$A:$A = MappingGuide[[#This Row],[TableName]] ) * ( [1]Sheet1!$B:$B =RIGHT( MappingGuide[[#This Row],[ColumnName]],4) ),[1]Sheet1!$M:$M,""),IF(_xlpm.r=0,"",_xlpm.r))</f>
        <v/>
      </c>
      <c r="AF152" s="22"/>
      <c r="AG152" s="22"/>
      <c r="AH152" s="22"/>
      <c r="AI152" s="22" t="s">
        <v>91</v>
      </c>
      <c r="AJ152" s="22"/>
      <c r="AK152" s="22"/>
    </row>
    <row r="153" spans="1:37" ht="17">
      <c r="A153" s="22">
        <v>419</v>
      </c>
      <c r="B153" s="22" t="s">
        <v>589</v>
      </c>
      <c r="C153" s="22" t="s">
        <v>672</v>
      </c>
      <c r="D153" s="22" t="s">
        <v>221</v>
      </c>
      <c r="E153" s="22" t="s">
        <v>43</v>
      </c>
      <c r="F153" s="22" t="s">
        <v>215</v>
      </c>
      <c r="G153" s="22"/>
      <c r="H153" s="22"/>
      <c r="I153" s="22"/>
      <c r="J153" s="22"/>
      <c r="K153" s="22"/>
      <c r="L153" s="22"/>
      <c r="M153" s="22"/>
      <c r="N153" s="22"/>
      <c r="O153" s="22"/>
      <c r="P153" s="22"/>
      <c r="Q153" s="22"/>
      <c r="R153" s="22"/>
      <c r="S153" s="22"/>
      <c r="T153" s="22"/>
      <c r="U153" s="22"/>
      <c r="V153" s="22"/>
      <c r="W153" s="22"/>
      <c r="X153" s="22"/>
      <c r="Y153" s="22"/>
      <c r="Z153" s="22"/>
      <c r="AA153" s="22" t="s">
        <v>222</v>
      </c>
      <c r="AB153" s="22"/>
      <c r="AC153" s="22"/>
      <c r="AD153" s="22" t="str" cm="1">
        <f t="array" ref="AD153">_xlfn.LET(_xlpm.r,_xlfn.XLOOKUP(1,( [1]Sheet1!$A:$A = MappingGuide[[#This Row],[TableName]] ) * ( [1]Sheet1!$B:$B =RIGHT( MappingGuide[[#This Row],[ColumnName]],4) ),[1]Sheet1!$L:$L,""),IF(_xlpm.r=0,"",_xlpm.r))</f>
        <v/>
      </c>
      <c r="AE153" s="22" t="str" cm="1">
        <f t="array" ref="AE153">_xlfn.LET(_xlpm.r,_xlfn.XLOOKUP(1,( [1]Sheet1!$A:$A = MappingGuide[[#This Row],[TableName]] ) * ( [1]Sheet1!$B:$B =RIGHT( MappingGuide[[#This Row],[ColumnName]],4) ),[1]Sheet1!$M:$M,""),IF(_xlpm.r=0,"",_xlpm.r))</f>
        <v/>
      </c>
      <c r="AF153" s="22"/>
      <c r="AG153" s="22"/>
      <c r="AH153" s="22"/>
      <c r="AI153" s="22" t="s">
        <v>91</v>
      </c>
      <c r="AJ153" s="22"/>
      <c r="AK153" s="22"/>
    </row>
    <row r="154" spans="1:37" ht="17">
      <c r="A154" s="22">
        <v>420</v>
      </c>
      <c r="B154" s="22" t="s">
        <v>589</v>
      </c>
      <c r="C154" s="22" t="s">
        <v>673</v>
      </c>
      <c r="D154" s="22" t="s">
        <v>224</v>
      </c>
      <c r="E154" s="22" t="s">
        <v>43</v>
      </c>
      <c r="F154" s="22" t="s">
        <v>44</v>
      </c>
      <c r="G154" s="22"/>
      <c r="H154" s="22"/>
      <c r="I154" s="22"/>
      <c r="J154" s="22"/>
      <c r="K154" s="22"/>
      <c r="L154" s="22"/>
      <c r="M154" s="22"/>
      <c r="N154" s="22"/>
      <c r="O154" s="22"/>
      <c r="P154" s="22"/>
      <c r="Q154" s="22"/>
      <c r="R154" s="22"/>
      <c r="S154" s="22"/>
      <c r="T154" s="22"/>
      <c r="U154" s="22"/>
      <c r="V154" s="22"/>
      <c r="W154" s="22"/>
      <c r="X154" s="22"/>
      <c r="Y154" s="22"/>
      <c r="Z154" s="22"/>
      <c r="AA154" s="22" t="s">
        <v>225</v>
      </c>
      <c r="AB154" s="22"/>
      <c r="AC154" s="22"/>
      <c r="AD154" s="22" t="str" cm="1">
        <f t="array" ref="AD154">_xlfn.LET(_xlpm.r,_xlfn.XLOOKUP(1,( [1]Sheet1!$A:$A = MappingGuide[[#This Row],[TableName]] ) * ( [1]Sheet1!$B:$B =RIGHT( MappingGuide[[#This Row],[ColumnName]],4) ),[1]Sheet1!$L:$L,""),IF(_xlpm.r=0,"",_xlpm.r))</f>
        <v/>
      </c>
      <c r="AE154" s="22" t="str" cm="1">
        <f t="array" ref="AE154">_xlfn.LET(_xlpm.r,_xlfn.XLOOKUP(1,( [1]Sheet1!$A:$A = MappingGuide[[#This Row],[TableName]] ) * ( [1]Sheet1!$B:$B =RIGHT( MappingGuide[[#This Row],[ColumnName]],4) ),[1]Sheet1!$M:$M,""),IF(_xlpm.r=0,"",_xlpm.r))</f>
        <v/>
      </c>
      <c r="AF154" s="22"/>
      <c r="AG154" s="22"/>
      <c r="AH154" s="22"/>
      <c r="AI154" s="22" t="s">
        <v>91</v>
      </c>
      <c r="AJ154" s="22"/>
      <c r="AK154" s="22"/>
    </row>
    <row r="155" spans="1:37" ht="17">
      <c r="A155" s="22">
        <v>421</v>
      </c>
      <c r="B155" s="22" t="s">
        <v>589</v>
      </c>
      <c r="C155" s="22" t="s">
        <v>674</v>
      </c>
      <c r="D155" s="22" t="s">
        <v>227</v>
      </c>
      <c r="E155" s="22" t="s">
        <v>52</v>
      </c>
      <c r="F155" s="22" t="s">
        <v>53</v>
      </c>
      <c r="G155" s="22"/>
      <c r="H155" s="22"/>
      <c r="I155" s="22"/>
      <c r="J155" s="22"/>
      <c r="K155" s="22"/>
      <c r="L155" s="22"/>
      <c r="M155" s="22"/>
      <c r="N155" s="22"/>
      <c r="O155" s="22"/>
      <c r="P155" s="22"/>
      <c r="Q155" s="22"/>
      <c r="R155" s="22"/>
      <c r="S155" s="22"/>
      <c r="T155" s="22"/>
      <c r="U155" s="22"/>
      <c r="V155" s="22"/>
      <c r="W155" s="22"/>
      <c r="X155" s="22"/>
      <c r="Y155" s="22"/>
      <c r="Z155" s="22"/>
      <c r="AA155" s="22" t="s">
        <v>228</v>
      </c>
      <c r="AB155" s="22"/>
      <c r="AC155" s="22"/>
      <c r="AD155" s="22" t="str" cm="1">
        <f t="array" ref="AD155">_xlfn.LET(_xlpm.r,_xlfn.XLOOKUP(1,( [1]Sheet1!$A:$A = MappingGuide[[#This Row],[TableName]] ) * ( [1]Sheet1!$B:$B =RIGHT( MappingGuide[[#This Row],[ColumnName]],4) ),[1]Sheet1!$L:$L,""),IF(_xlpm.r=0,"",_xlpm.r))</f>
        <v/>
      </c>
      <c r="AE155" s="22" t="str" cm="1">
        <f t="array" ref="AE155">_xlfn.LET(_xlpm.r,_xlfn.XLOOKUP(1,( [1]Sheet1!$A:$A = MappingGuide[[#This Row],[TableName]] ) * ( [1]Sheet1!$B:$B =RIGHT( MappingGuide[[#This Row],[ColumnName]],4) ),[1]Sheet1!$M:$M,""),IF(_xlpm.r=0,"",_xlpm.r))</f>
        <v/>
      </c>
      <c r="AF155" s="22"/>
      <c r="AG155" s="22"/>
      <c r="AH155" s="22"/>
      <c r="AI155" s="22" t="s">
        <v>91</v>
      </c>
      <c r="AJ155" s="22"/>
      <c r="AK155" s="22"/>
    </row>
    <row r="156" spans="1:37" ht="17">
      <c r="A156" s="22">
        <v>422</v>
      </c>
      <c r="B156" s="22" t="s">
        <v>589</v>
      </c>
      <c r="C156" s="22" t="s">
        <v>675</v>
      </c>
      <c r="D156" s="22" t="s">
        <v>235</v>
      </c>
      <c r="E156" s="22" t="s">
        <v>43</v>
      </c>
      <c r="F156" s="22" t="s">
        <v>236</v>
      </c>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t="str" cm="1">
        <f t="array" ref="AD156">_xlfn.LET(_xlpm.r,_xlfn.XLOOKUP(1,( [1]Sheet1!$A:$A = MappingGuide[[#This Row],[TableName]] ) * ( [1]Sheet1!$B:$B =RIGHT( MappingGuide[[#This Row],[ColumnName]],4) ),[1]Sheet1!$L:$L,""),IF(_xlpm.r=0,"",_xlpm.r))</f>
        <v/>
      </c>
      <c r="AE156" s="22" t="str" cm="1">
        <f t="array" ref="AE156">_xlfn.LET(_xlpm.r,_xlfn.XLOOKUP(1,( [1]Sheet1!$A:$A = MappingGuide[[#This Row],[TableName]] ) * ( [1]Sheet1!$B:$B =RIGHT( MappingGuide[[#This Row],[ColumnName]],4) ),[1]Sheet1!$M:$M,""),IF(_xlpm.r=0,"",_xlpm.r))</f>
        <v/>
      </c>
      <c r="AF156" s="22"/>
      <c r="AG156" s="22"/>
      <c r="AH156" s="22"/>
      <c r="AI156" s="22" t="s">
        <v>91</v>
      </c>
      <c r="AJ156" s="22"/>
      <c r="AK156" s="22"/>
    </row>
    <row r="157" spans="1:37" ht="17">
      <c r="A157" s="22">
        <v>423</v>
      </c>
      <c r="B157" s="22" t="s">
        <v>589</v>
      </c>
      <c r="C157" s="22" t="s">
        <v>676</v>
      </c>
      <c r="D157" s="22" t="s">
        <v>677</v>
      </c>
      <c r="E157" s="22" t="s">
        <v>43</v>
      </c>
      <c r="F157" s="22" t="s">
        <v>175</v>
      </c>
      <c r="G157" s="22" t="s">
        <v>192</v>
      </c>
      <c r="H157" s="22"/>
      <c r="I157" s="22"/>
      <c r="J157" s="22" t="s">
        <v>592</v>
      </c>
      <c r="K157" s="22" t="s">
        <v>55</v>
      </c>
      <c r="L157" s="22"/>
      <c r="M157" s="22"/>
      <c r="N157" s="22"/>
      <c r="O157" s="22" t="s">
        <v>56</v>
      </c>
      <c r="P157" s="22" t="s">
        <v>593</v>
      </c>
      <c r="Q157" s="22" t="s">
        <v>678</v>
      </c>
      <c r="R157" s="22"/>
      <c r="S157" s="22"/>
      <c r="T157" s="22"/>
      <c r="U157" s="22"/>
      <c r="V157" s="22"/>
      <c r="W157" s="22"/>
      <c r="X157" s="22"/>
      <c r="Y157" s="22"/>
      <c r="Z157" s="22"/>
      <c r="AA157" s="22" t="s">
        <v>679</v>
      </c>
      <c r="AB157" s="22"/>
      <c r="AC157" s="22"/>
      <c r="AD157" s="22" t="str" cm="1">
        <f t="array" ref="AD157">_xlfn.LET(_xlpm.r,_xlfn.XLOOKUP(1,( [1]Sheet1!$A:$A = MappingGuide[[#This Row],[TableName]] ) * ( [1]Sheet1!$B:$B =RIGHT( MappingGuide[[#This Row],[ColumnName]],4) ),[1]Sheet1!$L:$L,""),IF(_xlpm.r=0,"",_xlpm.r))</f>
        <v/>
      </c>
      <c r="AE157" s="22" t="str" cm="1">
        <f t="array" ref="AE157">_xlfn.LET(_xlpm.r,_xlfn.XLOOKUP(1,( [1]Sheet1!$A:$A = MappingGuide[[#This Row],[TableName]] ) * ( [1]Sheet1!$B:$B =RIGHT( MappingGuide[[#This Row],[ColumnName]],4) ),[1]Sheet1!$M:$M,""),IF(_xlpm.r=0,"",_xlpm.r))</f>
        <v/>
      </c>
      <c r="AF157" s="22"/>
      <c r="AG157" s="22"/>
      <c r="AH157" s="22"/>
      <c r="AI157" s="22" t="s">
        <v>91</v>
      </c>
      <c r="AJ157" s="22"/>
      <c r="AK157" s="22"/>
    </row>
    <row r="158" spans="1:37" ht="17">
      <c r="A158" s="22">
        <v>424</v>
      </c>
      <c r="B158" s="22" t="s">
        <v>589</v>
      </c>
      <c r="C158" s="22" t="s">
        <v>680</v>
      </c>
      <c r="D158" s="22" t="s">
        <v>681</v>
      </c>
      <c r="E158" s="22" t="s">
        <v>43</v>
      </c>
      <c r="F158" s="22" t="s">
        <v>175</v>
      </c>
      <c r="G158" s="22" t="s">
        <v>192</v>
      </c>
      <c r="H158" s="22"/>
      <c r="I158" s="22"/>
      <c r="J158" s="22" t="s">
        <v>592</v>
      </c>
      <c r="K158" s="22" t="s">
        <v>55</v>
      </c>
      <c r="L158" s="22"/>
      <c r="M158" s="22"/>
      <c r="N158" s="22"/>
      <c r="O158" s="22" t="s">
        <v>56</v>
      </c>
      <c r="P158" s="22" t="s">
        <v>593</v>
      </c>
      <c r="Q158" s="22" t="s">
        <v>682</v>
      </c>
      <c r="R158" s="22"/>
      <c r="S158" s="22"/>
      <c r="T158" s="22"/>
      <c r="U158" s="22"/>
      <c r="V158" s="22"/>
      <c r="W158" s="22"/>
      <c r="X158" s="22"/>
      <c r="Y158" s="22"/>
      <c r="Z158" s="22"/>
      <c r="AA158" s="22" t="s">
        <v>683</v>
      </c>
      <c r="AB158" s="22"/>
      <c r="AC158" s="22"/>
      <c r="AD158" s="22" t="str" cm="1">
        <f t="array" ref="AD158">_xlfn.LET(_xlpm.r,_xlfn.XLOOKUP(1,( [1]Sheet1!$A:$A = MappingGuide[[#This Row],[TableName]] ) * ( [1]Sheet1!$B:$B =RIGHT( MappingGuide[[#This Row],[ColumnName]],4) ),[1]Sheet1!$L:$L,""),IF(_xlpm.r=0,"",_xlpm.r))</f>
        <v/>
      </c>
      <c r="AE158" s="22" t="str" cm="1">
        <f t="array" ref="AE158">_xlfn.LET(_xlpm.r,_xlfn.XLOOKUP(1,( [1]Sheet1!$A:$A = MappingGuide[[#This Row],[TableName]] ) * ( [1]Sheet1!$B:$B =RIGHT( MappingGuide[[#This Row],[ColumnName]],4) ),[1]Sheet1!$M:$M,""),IF(_xlpm.r=0,"",_xlpm.r))</f>
        <v/>
      </c>
      <c r="AF158" s="22"/>
      <c r="AG158" s="22"/>
      <c r="AH158" s="22"/>
      <c r="AI158" s="22" t="s">
        <v>91</v>
      </c>
      <c r="AJ158" s="22"/>
      <c r="AK158" s="22"/>
    </row>
    <row r="159" spans="1:37" ht="17">
      <c r="A159" s="22">
        <v>425</v>
      </c>
      <c r="B159" s="22" t="s">
        <v>589</v>
      </c>
      <c r="C159" s="22" t="s">
        <v>684</v>
      </c>
      <c r="D159" s="22" t="s">
        <v>685</v>
      </c>
      <c r="E159" s="22" t="s">
        <v>43</v>
      </c>
      <c r="F159" s="22" t="s">
        <v>175</v>
      </c>
      <c r="G159" s="22" t="s">
        <v>192</v>
      </c>
      <c r="H159" s="22"/>
      <c r="I159" s="22"/>
      <c r="J159" s="22" t="s">
        <v>592</v>
      </c>
      <c r="K159" s="22" t="s">
        <v>55</v>
      </c>
      <c r="L159" s="22"/>
      <c r="M159" s="22"/>
      <c r="N159" s="22"/>
      <c r="O159" s="22" t="s">
        <v>56</v>
      </c>
      <c r="P159" s="22" t="s">
        <v>593</v>
      </c>
      <c r="Q159" s="22" t="s">
        <v>686</v>
      </c>
      <c r="R159" s="22"/>
      <c r="S159" s="22"/>
      <c r="T159" s="22"/>
      <c r="U159" s="22"/>
      <c r="V159" s="22"/>
      <c r="W159" s="22"/>
      <c r="X159" s="22"/>
      <c r="Y159" s="22"/>
      <c r="Z159" s="22"/>
      <c r="AA159" s="22"/>
      <c r="AB159" s="22"/>
      <c r="AC159" s="22"/>
      <c r="AD159" s="22" t="str" cm="1">
        <f t="array" ref="AD159">_xlfn.LET(_xlpm.r,_xlfn.XLOOKUP(1,( [1]Sheet1!$A:$A = MappingGuide[[#This Row],[TableName]] ) * ( [1]Sheet1!$B:$B =RIGHT( MappingGuide[[#This Row],[ColumnName]],4) ),[1]Sheet1!$L:$L,""),IF(_xlpm.r=0,"",_xlpm.r))</f>
        <v/>
      </c>
      <c r="AE159" s="22" t="str" cm="1">
        <f t="array" ref="AE159">_xlfn.LET(_xlpm.r,_xlfn.XLOOKUP(1,( [1]Sheet1!$A:$A = MappingGuide[[#This Row],[TableName]] ) * ( [1]Sheet1!$B:$B =RIGHT( MappingGuide[[#This Row],[ColumnName]],4) ),[1]Sheet1!$M:$M,""),IF(_xlpm.r=0,"",_xlpm.r))</f>
        <v/>
      </c>
      <c r="AF159" s="22"/>
      <c r="AG159" s="22"/>
      <c r="AH159" s="22"/>
      <c r="AI159" s="22" t="s">
        <v>91</v>
      </c>
      <c r="AJ159" s="22"/>
      <c r="AK159" s="22"/>
    </row>
    <row r="160" spans="1:37" ht="17">
      <c r="A160" s="22">
        <v>426</v>
      </c>
      <c r="B160" s="22" t="s">
        <v>589</v>
      </c>
      <c r="C160" s="22" t="s">
        <v>687</v>
      </c>
      <c r="D160" s="22" t="s">
        <v>688</v>
      </c>
      <c r="E160" s="22" t="s">
        <v>52</v>
      </c>
      <c r="F160" s="22" t="s">
        <v>689</v>
      </c>
      <c r="G160" s="22"/>
      <c r="H160" s="22"/>
      <c r="I160" s="22"/>
      <c r="J160" s="22"/>
      <c r="K160" s="22"/>
      <c r="L160" s="22"/>
      <c r="M160" s="22"/>
      <c r="N160" s="22"/>
      <c r="O160" s="22" t="s">
        <v>56</v>
      </c>
      <c r="P160" s="22" t="s">
        <v>593</v>
      </c>
      <c r="Q160" s="22" t="s">
        <v>690</v>
      </c>
      <c r="R160" s="22"/>
      <c r="S160" s="22"/>
      <c r="T160" s="22"/>
      <c r="U160" s="22"/>
      <c r="V160" s="22"/>
      <c r="W160" s="22"/>
      <c r="X160" s="22"/>
      <c r="Y160" s="22"/>
      <c r="Z160" s="22"/>
      <c r="AA160" s="22" t="s">
        <v>691</v>
      </c>
      <c r="AB160" s="22"/>
      <c r="AC160" s="22" t="s">
        <v>692</v>
      </c>
      <c r="AD160" s="22" t="str" cm="1">
        <f t="array" ref="AD160">_xlfn.LET(_xlpm.r,_xlfn.XLOOKUP(1,( [1]Sheet1!$A:$A = MappingGuide[[#This Row],[TableName]] ) * ( [1]Sheet1!$B:$B =RIGHT( MappingGuide[[#This Row],[ColumnName]],4) ),[1]Sheet1!$L:$L,""),IF(_xlpm.r=0,"",_xlpm.r))</f>
        <v/>
      </c>
      <c r="AE160" s="22" t="str" cm="1">
        <f t="array" ref="AE160">_xlfn.LET(_xlpm.r,_xlfn.XLOOKUP(1,( [1]Sheet1!$A:$A = MappingGuide[[#This Row],[TableName]] ) * ( [1]Sheet1!$B:$B =RIGHT( MappingGuide[[#This Row],[ColumnName]],4) ),[1]Sheet1!$M:$M,""),IF(_xlpm.r=0,"",_xlpm.r))</f>
        <v/>
      </c>
      <c r="AF160" s="22"/>
      <c r="AG160" s="22"/>
      <c r="AH160" s="22"/>
      <c r="AI160" s="22" t="s">
        <v>91</v>
      </c>
      <c r="AJ160" s="22"/>
      <c r="AK160" s="22"/>
    </row>
    <row r="161" spans="1:37" ht="17">
      <c r="A161" s="22">
        <v>427</v>
      </c>
      <c r="B161" s="22" t="s">
        <v>589</v>
      </c>
      <c r="C161" s="22" t="s">
        <v>693</v>
      </c>
      <c r="D161" s="22" t="s">
        <v>694</v>
      </c>
      <c r="E161" s="22" t="s">
        <v>52</v>
      </c>
      <c r="F161" s="22" t="s">
        <v>53</v>
      </c>
      <c r="G161" s="22"/>
      <c r="H161" s="22"/>
      <c r="I161" s="22"/>
      <c r="J161" s="22"/>
      <c r="K161" s="22"/>
      <c r="L161" s="22"/>
      <c r="M161" s="22"/>
      <c r="N161" s="22"/>
      <c r="O161" s="22" t="s">
        <v>56</v>
      </c>
      <c r="P161" s="22" t="s">
        <v>593</v>
      </c>
      <c r="Q161" s="22" t="s">
        <v>695</v>
      </c>
      <c r="R161" s="22"/>
      <c r="S161" s="22"/>
      <c r="T161" s="22"/>
      <c r="U161" s="22"/>
      <c r="V161" s="22"/>
      <c r="W161" s="22"/>
      <c r="X161" s="22"/>
      <c r="Y161" s="22"/>
      <c r="Z161" s="22"/>
      <c r="AA161" s="22" t="s">
        <v>696</v>
      </c>
      <c r="AB161" s="22"/>
      <c r="AC161" s="22"/>
      <c r="AD161" s="22" t="str" cm="1">
        <f t="array" ref="AD161">_xlfn.LET(_xlpm.r,_xlfn.XLOOKUP(1,( [1]Sheet1!$A:$A = MappingGuide[[#This Row],[TableName]] ) * ( [1]Sheet1!$B:$B =RIGHT( MappingGuide[[#This Row],[ColumnName]],4) ),[1]Sheet1!$L:$L,""),IF(_xlpm.r=0,"",_xlpm.r))</f>
        <v/>
      </c>
      <c r="AE161" s="22" t="str" cm="1">
        <f t="array" ref="AE161">_xlfn.LET(_xlpm.r,_xlfn.XLOOKUP(1,( [1]Sheet1!$A:$A = MappingGuide[[#This Row],[TableName]] ) * ( [1]Sheet1!$B:$B =RIGHT( MappingGuide[[#This Row],[ColumnName]],4) ),[1]Sheet1!$M:$M,""),IF(_xlpm.r=0,"",_xlpm.r))</f>
        <v/>
      </c>
      <c r="AF161" s="22"/>
      <c r="AG161" s="22"/>
      <c r="AH161" s="22"/>
      <c r="AI161" s="22" t="s">
        <v>91</v>
      </c>
      <c r="AJ161" s="22"/>
      <c r="AK161" s="22"/>
    </row>
    <row r="162" spans="1:37" ht="17">
      <c r="A162" s="22">
        <v>428</v>
      </c>
      <c r="B162" s="22" t="s">
        <v>589</v>
      </c>
      <c r="C162" s="22" t="s">
        <v>697</v>
      </c>
      <c r="D162" s="22" t="s">
        <v>244</v>
      </c>
      <c r="E162" s="22" t="s">
        <v>52</v>
      </c>
      <c r="F162" s="22" t="s">
        <v>53</v>
      </c>
      <c r="G162" s="22"/>
      <c r="H162" s="22"/>
      <c r="I162" s="22"/>
      <c r="J162" s="22"/>
      <c r="K162" s="22"/>
      <c r="L162" s="22"/>
      <c r="M162" s="22"/>
      <c r="N162" s="22"/>
      <c r="O162" s="22" t="s">
        <v>56</v>
      </c>
      <c r="P162" s="22" t="s">
        <v>593</v>
      </c>
      <c r="Q162" s="22" t="s">
        <v>245</v>
      </c>
      <c r="R162" s="22"/>
      <c r="S162" s="22"/>
      <c r="T162" s="22"/>
      <c r="U162" s="22"/>
      <c r="V162" s="22"/>
      <c r="W162" s="22"/>
      <c r="X162" s="22"/>
      <c r="Y162" s="22"/>
      <c r="Z162" s="22"/>
      <c r="AA162" s="22" t="s">
        <v>246</v>
      </c>
      <c r="AB162" s="22"/>
      <c r="AC162" s="22" t="s">
        <v>247</v>
      </c>
      <c r="AD162" s="22" t="str" cm="1">
        <f t="array" ref="AD162">_xlfn.LET(_xlpm.r,_xlfn.XLOOKUP(1,( [1]Sheet1!$A:$A = MappingGuide[[#This Row],[TableName]] ) * ( [1]Sheet1!$B:$B =RIGHT( MappingGuide[[#This Row],[ColumnName]],4) ),[1]Sheet1!$L:$L,""),IF(_xlpm.r=0,"",_xlpm.r))</f>
        <v/>
      </c>
      <c r="AE162" s="22" t="str" cm="1">
        <f t="array" ref="AE162">_xlfn.LET(_xlpm.r,_xlfn.XLOOKUP(1,( [1]Sheet1!$A:$A = MappingGuide[[#This Row],[TableName]] ) * ( [1]Sheet1!$B:$B =RIGHT( MappingGuide[[#This Row],[ColumnName]],4) ),[1]Sheet1!$M:$M,""),IF(_xlpm.r=0,"",_xlpm.r))</f>
        <v/>
      </c>
      <c r="AF162" s="22"/>
      <c r="AG162" s="22"/>
      <c r="AH162" s="22"/>
      <c r="AI162" s="22" t="s">
        <v>91</v>
      </c>
      <c r="AJ162" s="22"/>
      <c r="AK162" s="22"/>
    </row>
    <row r="163" spans="1:37" ht="17">
      <c r="A163" s="22">
        <v>429</v>
      </c>
      <c r="B163" s="22" t="s">
        <v>589</v>
      </c>
      <c r="C163" s="22" t="s">
        <v>698</v>
      </c>
      <c r="D163" s="22" t="s">
        <v>699</v>
      </c>
      <c r="E163" s="22" t="s">
        <v>52</v>
      </c>
      <c r="F163" s="22" t="s">
        <v>175</v>
      </c>
      <c r="G163" s="22"/>
      <c r="H163" s="22"/>
      <c r="I163" s="22"/>
      <c r="J163" s="22"/>
      <c r="K163" s="22"/>
      <c r="L163" s="22"/>
      <c r="M163" s="22"/>
      <c r="N163" s="22"/>
      <c r="O163" s="22" t="s">
        <v>56</v>
      </c>
      <c r="P163" s="22" t="s">
        <v>593</v>
      </c>
      <c r="Q163" s="22" t="s">
        <v>700</v>
      </c>
      <c r="R163" s="22"/>
      <c r="S163" s="22"/>
      <c r="T163" s="22"/>
      <c r="U163" s="22"/>
      <c r="V163" s="22"/>
      <c r="W163" s="22"/>
      <c r="X163" s="22"/>
      <c r="Y163" s="22"/>
      <c r="Z163" s="22"/>
      <c r="AA163" s="22" t="s">
        <v>701</v>
      </c>
      <c r="AB163" s="22"/>
      <c r="AC163" s="22"/>
      <c r="AD163" s="22" t="str" cm="1">
        <f t="array" ref="AD163">_xlfn.LET(_xlpm.r,_xlfn.XLOOKUP(1,( [1]Sheet1!$A:$A = MappingGuide[[#This Row],[TableName]] ) * ( [1]Sheet1!$B:$B =RIGHT( MappingGuide[[#This Row],[ColumnName]],4) ),[1]Sheet1!$L:$L,""),IF(_xlpm.r=0,"",_xlpm.r))</f>
        <v/>
      </c>
      <c r="AE163" s="22" t="str" cm="1">
        <f t="array" ref="AE163">_xlfn.LET(_xlpm.r,_xlfn.XLOOKUP(1,( [1]Sheet1!$A:$A = MappingGuide[[#This Row],[TableName]] ) * ( [1]Sheet1!$B:$B =RIGHT( MappingGuide[[#This Row],[ColumnName]],4) ),[1]Sheet1!$M:$M,""),IF(_xlpm.r=0,"",_xlpm.r))</f>
        <v/>
      </c>
      <c r="AF163" s="22"/>
      <c r="AG163" s="22"/>
      <c r="AH163" s="22"/>
      <c r="AI163" s="22" t="s">
        <v>91</v>
      </c>
      <c r="AJ163" s="22"/>
      <c r="AK163" s="22"/>
    </row>
    <row r="164" spans="1:37" ht="17">
      <c r="A164" s="22">
        <v>430</v>
      </c>
      <c r="B164" s="22" t="s">
        <v>589</v>
      </c>
      <c r="C164" s="22" t="s">
        <v>702</v>
      </c>
      <c r="D164" s="22" t="s">
        <v>553</v>
      </c>
      <c r="E164" s="22" t="s">
        <v>43</v>
      </c>
      <c r="F164" s="22" t="s">
        <v>211</v>
      </c>
      <c r="G164" s="22"/>
      <c r="H164" s="22"/>
      <c r="I164" s="22"/>
      <c r="J164" s="22"/>
      <c r="K164" s="22"/>
      <c r="L164" s="22"/>
      <c r="M164" s="22"/>
      <c r="N164" s="22"/>
      <c r="O164" s="22"/>
      <c r="P164" s="22"/>
      <c r="Q164" s="22"/>
      <c r="R164" s="22"/>
      <c r="S164" s="22"/>
      <c r="T164" s="22"/>
      <c r="U164" s="22"/>
      <c r="V164" s="22"/>
      <c r="W164" s="22"/>
      <c r="X164" s="22"/>
      <c r="Y164" s="22"/>
      <c r="Z164" s="22"/>
      <c r="AA164" s="22" t="s">
        <v>554</v>
      </c>
      <c r="AB164" s="22"/>
      <c r="AC164" s="22"/>
      <c r="AD164" s="22" t="str" cm="1">
        <f t="array" ref="AD164">_xlfn.LET(_xlpm.r,_xlfn.XLOOKUP(1,( [1]Sheet1!$A:$A = MappingGuide[[#This Row],[TableName]] ) * ( [1]Sheet1!$B:$B =RIGHT( MappingGuide[[#This Row],[ColumnName]],4) ),[1]Sheet1!$L:$L,""),IF(_xlpm.r=0,"",_xlpm.r))</f>
        <v/>
      </c>
      <c r="AE164" s="22" t="str" cm="1">
        <f t="array" ref="AE164">_xlfn.LET(_xlpm.r,_xlfn.XLOOKUP(1,( [1]Sheet1!$A:$A = MappingGuide[[#This Row],[TableName]] ) * ( [1]Sheet1!$B:$B =RIGHT( MappingGuide[[#This Row],[ColumnName]],4) ),[1]Sheet1!$M:$M,""),IF(_xlpm.r=0,"",_xlpm.r))</f>
        <v/>
      </c>
      <c r="AF164" s="22"/>
      <c r="AG164" s="22"/>
      <c r="AH164" s="22"/>
      <c r="AI164" s="22" t="s">
        <v>91</v>
      </c>
      <c r="AJ164" s="22"/>
      <c r="AK164" s="22"/>
    </row>
    <row r="165" spans="1:37" ht="17">
      <c r="A165" s="22">
        <v>19476</v>
      </c>
      <c r="B165" s="22" t="s">
        <v>703</v>
      </c>
      <c r="C165" s="22" t="s">
        <v>704</v>
      </c>
      <c r="D165" s="22" t="s">
        <v>42</v>
      </c>
      <c r="E165" s="22" t="s">
        <v>43</v>
      </c>
      <c r="F165" s="22" t="s">
        <v>44</v>
      </c>
      <c r="G165" s="22"/>
      <c r="H165" s="22" t="s">
        <v>45</v>
      </c>
      <c r="I165" s="22"/>
      <c r="J165" s="22"/>
      <c r="K165" s="22"/>
      <c r="L165" s="22"/>
      <c r="M165" s="22"/>
      <c r="N165" s="22"/>
      <c r="O165" s="22"/>
      <c r="P165" s="22"/>
      <c r="Q165" s="22"/>
      <c r="R165" s="22"/>
      <c r="S165" s="22"/>
      <c r="T165" s="22"/>
      <c r="U165" s="22"/>
      <c r="V165" s="22"/>
      <c r="W165" s="22"/>
      <c r="X165" s="22"/>
      <c r="Y165" s="22"/>
      <c r="Z165" s="22"/>
      <c r="AA165" s="22" t="s">
        <v>46</v>
      </c>
      <c r="AB165" s="22"/>
      <c r="AC165" s="22" t="s">
        <v>47</v>
      </c>
      <c r="AD165" s="22" t="str" cm="1">
        <f t="array" ref="AD165">_xlfn.LET(_xlpm.r,_xlfn.XLOOKUP(1,( [1]Sheet1!$A:$A = MappingGuide[[#This Row],[TableName]] ) * ( [1]Sheet1!$B:$B =RIGHT( MappingGuide[[#This Row],[ColumnName]],4) ),[1]Sheet1!$L:$L,""),IF(_xlpm.r=0,"",_xlpm.r))</f>
        <v/>
      </c>
      <c r="AE165" s="22" t="str" cm="1">
        <f t="array" ref="AE165">_xlfn.LET(_xlpm.r,_xlfn.XLOOKUP(1,( [1]Sheet1!$A:$A = MappingGuide[[#This Row],[TableName]] ) * ( [1]Sheet1!$B:$B =RIGHT( MappingGuide[[#This Row],[ColumnName]],4) ),[1]Sheet1!$M:$M,""),IF(_xlpm.r=0,"",_xlpm.r))</f>
        <v/>
      </c>
      <c r="AF165" s="22"/>
      <c r="AG165" s="22"/>
      <c r="AH165" s="22"/>
      <c r="AI165" s="22" t="s">
        <v>91</v>
      </c>
      <c r="AJ165" s="22"/>
      <c r="AK165" s="22"/>
    </row>
    <row r="166" spans="1:37" ht="17">
      <c r="A166" s="22">
        <v>19477</v>
      </c>
      <c r="B166" s="22" t="s">
        <v>703</v>
      </c>
      <c r="C166" s="22" t="s">
        <v>705</v>
      </c>
      <c r="D166" s="22" t="s">
        <v>51</v>
      </c>
      <c r="E166" s="22" t="s">
        <v>52</v>
      </c>
      <c r="F166" s="22" t="s">
        <v>53</v>
      </c>
      <c r="G166" s="22"/>
      <c r="H166" s="22" t="s">
        <v>45</v>
      </c>
      <c r="I166" s="22"/>
      <c r="J166" s="22" t="s">
        <v>706</v>
      </c>
      <c r="K166" s="22" t="s">
        <v>55</v>
      </c>
      <c r="L166" s="22"/>
      <c r="M166" s="22" t="s">
        <v>48</v>
      </c>
      <c r="N166" s="22"/>
      <c r="O166" s="22" t="s">
        <v>56</v>
      </c>
      <c r="P166" s="22" t="s">
        <v>707</v>
      </c>
      <c r="Q166" s="22" t="s">
        <v>58</v>
      </c>
      <c r="R166" s="22" t="s">
        <v>48</v>
      </c>
      <c r="S166" s="22"/>
      <c r="T166" s="22"/>
      <c r="U166" s="22"/>
      <c r="V166" s="22" t="s">
        <v>708</v>
      </c>
      <c r="W166" s="22"/>
      <c r="X166" s="22" t="s">
        <v>48</v>
      </c>
      <c r="Y166" s="22"/>
      <c r="Z166" s="22"/>
      <c r="AA166" s="22" t="s">
        <v>60</v>
      </c>
      <c r="AB166" s="22"/>
      <c r="AC166" s="22" t="s">
        <v>54</v>
      </c>
      <c r="AD166" s="22" t="str" cm="1">
        <f t="array" ref="AD166">_xlfn.LET(_xlpm.r,_xlfn.XLOOKUP(1,( [1]Sheet1!$A:$A = MappingGuide[[#This Row],[TableName]] ) * ( [1]Sheet1!$B:$B =RIGHT( MappingGuide[[#This Row],[ColumnName]],4) ),[1]Sheet1!$L:$L,""),IF(_xlpm.r=0,"",_xlpm.r))</f>
        <v/>
      </c>
      <c r="AE166" s="22" t="str" cm="1">
        <f t="array" ref="AE166">_xlfn.LET(_xlpm.r,_xlfn.XLOOKUP(1,( [1]Sheet1!$A:$A = MappingGuide[[#This Row],[TableName]] ) * ( [1]Sheet1!$B:$B =RIGHT( MappingGuide[[#This Row],[ColumnName]],4) ),[1]Sheet1!$M:$M,""),IF(_xlpm.r=0,"",_xlpm.r))</f>
        <v/>
      </c>
      <c r="AF166" s="22"/>
      <c r="AG166" s="22"/>
      <c r="AH166" s="22"/>
      <c r="AI166" s="22" t="s">
        <v>48</v>
      </c>
      <c r="AJ166" s="22"/>
      <c r="AK166" s="22"/>
    </row>
    <row r="167" spans="1:37" ht="17">
      <c r="A167" s="22">
        <v>19478</v>
      </c>
      <c r="B167" s="22" t="s">
        <v>703</v>
      </c>
      <c r="C167" s="22" t="s">
        <v>709</v>
      </c>
      <c r="D167" s="22" t="s">
        <v>710</v>
      </c>
      <c r="E167" s="22" t="s">
        <v>52</v>
      </c>
      <c r="F167" s="22" t="s">
        <v>82</v>
      </c>
      <c r="G167" s="22"/>
      <c r="H167" s="22" t="s">
        <v>45</v>
      </c>
      <c r="I167" s="22"/>
      <c r="J167" s="22" t="s">
        <v>706</v>
      </c>
      <c r="K167" s="22" t="s">
        <v>55</v>
      </c>
      <c r="L167" s="22"/>
      <c r="M167" s="22" t="s">
        <v>48</v>
      </c>
      <c r="N167" s="22"/>
      <c r="O167" s="22" t="s">
        <v>56</v>
      </c>
      <c r="P167" s="22" t="s">
        <v>707</v>
      </c>
      <c r="Q167" s="22" t="s">
        <v>711</v>
      </c>
      <c r="R167" s="22" t="s">
        <v>48</v>
      </c>
      <c r="S167" s="22"/>
      <c r="T167" s="22"/>
      <c r="U167" s="22"/>
      <c r="V167" s="22" t="s">
        <v>710</v>
      </c>
      <c r="W167" s="22"/>
      <c r="X167" s="22" t="s">
        <v>48</v>
      </c>
      <c r="Y167" s="22"/>
      <c r="Z167" s="22"/>
      <c r="AA167" s="22" t="s">
        <v>712</v>
      </c>
      <c r="AB167" s="22" t="s">
        <v>713</v>
      </c>
      <c r="AC167" s="22"/>
      <c r="AD167" s="22" t="str" cm="1">
        <f t="array" ref="AD167">_xlfn.LET(_xlpm.r,_xlfn.XLOOKUP(1,( [1]Sheet1!$A:$A = MappingGuide[[#This Row],[TableName]] ) * ( [1]Sheet1!$B:$B =RIGHT( MappingGuide[[#This Row],[ColumnName]],4) ),[1]Sheet1!$L:$L,""),IF(_xlpm.r=0,"",_xlpm.r))</f>
        <v/>
      </c>
      <c r="AE167" s="22" t="str" cm="1">
        <f t="array" ref="AE167">_xlfn.LET(_xlpm.r,_xlfn.XLOOKUP(1,( [1]Sheet1!$A:$A = MappingGuide[[#This Row],[TableName]] ) * ( [1]Sheet1!$B:$B =RIGHT( MappingGuide[[#This Row],[ColumnName]],4) ),[1]Sheet1!$M:$M,""),IF(_xlpm.r=0,"",_xlpm.r))</f>
        <v xml:space="preserve">M3 will select the correct contact by his role, based on the 'contact type'. Important contact types are: '10' (purchase) Used for purchase order correspondence. The system pulls this contact for order confirmations and general PO communication. '20' (delivery):  Used for shipping and logistics coordination. The system references this contact for delivery schedules, transport booking…optional. '30' (finance): Used for invoicing matters. The contact details appear on invoice-related documentation and are used for follow-up on payment issues.type: for invoicing and payment issues; '25' claim: for quality control, returns process, and complaints, in case the vendor has a different person in charge for processing claims and returns. '35' for Agreements: contact for Vendor agreements correspondance </v>
      </c>
      <c r="AF167" s="22"/>
      <c r="AG167" s="22"/>
      <c r="AH167" s="22"/>
      <c r="AI167" s="22" t="s">
        <v>48</v>
      </c>
      <c r="AJ167" s="22"/>
      <c r="AK167" s="22"/>
    </row>
    <row r="168" spans="1:37" ht="17">
      <c r="A168" s="22">
        <v>19479</v>
      </c>
      <c r="B168" s="22" t="s">
        <v>703</v>
      </c>
      <c r="C168" s="22" t="s">
        <v>714</v>
      </c>
      <c r="D168" s="22" t="s">
        <v>715</v>
      </c>
      <c r="E168" s="22" t="s">
        <v>52</v>
      </c>
      <c r="F168" s="22" t="s">
        <v>53</v>
      </c>
      <c r="G168" s="22"/>
      <c r="H168" s="22" t="s">
        <v>45</v>
      </c>
      <c r="I168" s="22"/>
      <c r="J168" s="22" t="s">
        <v>706</v>
      </c>
      <c r="K168" s="22" t="s">
        <v>55</v>
      </c>
      <c r="L168" s="22"/>
      <c r="M168" s="22"/>
      <c r="N168" s="22"/>
      <c r="O168" s="22" t="s">
        <v>56</v>
      </c>
      <c r="P168" s="22" t="s">
        <v>707</v>
      </c>
      <c r="Q168" s="22" t="s">
        <v>716</v>
      </c>
      <c r="R168" s="22" t="s">
        <v>48</v>
      </c>
      <c r="S168" s="22"/>
      <c r="T168" s="22"/>
      <c r="U168" s="22"/>
      <c r="V168" s="22" t="s">
        <v>715</v>
      </c>
      <c r="W168" s="22"/>
      <c r="X168" s="22" t="s">
        <v>48</v>
      </c>
      <c r="Y168" s="22"/>
      <c r="Z168" s="22"/>
      <c r="AA168" s="22" t="s">
        <v>717</v>
      </c>
      <c r="AB168" s="22" t="s">
        <v>718</v>
      </c>
      <c r="AC168" s="22" t="s">
        <v>706</v>
      </c>
      <c r="AD168" s="22" t="str" cm="1">
        <f t="array" ref="AD168">_xlfn.LET(_xlpm.r,_xlfn.XLOOKUP(1,( [1]Sheet1!$A:$A = MappingGuide[[#This Row],[TableName]] ) * ( [1]Sheet1!$B:$B =RIGHT( MappingGuide[[#This Row],[ColumnName]],4) ),[1]Sheet1!$L:$L,""),IF(_xlpm.r=0,"",_xlpm.r))</f>
        <v/>
      </c>
      <c r="AE168" s="22" t="str" cm="1">
        <f t="array" ref="AE168">_xlfn.LET(_xlpm.r,_xlfn.XLOOKUP(1,( [1]Sheet1!$A:$A = MappingGuide[[#This Row],[TableName]] ) * ( [1]Sheet1!$B:$B =RIGHT( MappingGuide[[#This Row],[ColumnName]],4) ),[1]Sheet1!$M:$M,""),IF(_xlpm.r=0,"",_xlpm.r))</f>
        <v>A reference ID, you can use anything, the contact name or a number. It depends how many contacts are created for a vendor</v>
      </c>
      <c r="AF168" s="22"/>
      <c r="AG168" s="22"/>
      <c r="AH168" s="22"/>
      <c r="AI168" s="22" t="s">
        <v>48</v>
      </c>
      <c r="AJ168" s="22"/>
      <c r="AK168" s="22"/>
    </row>
    <row r="169" spans="1:37" ht="17">
      <c r="A169" s="22">
        <v>19480</v>
      </c>
      <c r="B169" s="22" t="s">
        <v>703</v>
      </c>
      <c r="C169" s="22" t="s">
        <v>719</v>
      </c>
      <c r="D169" s="22" t="s">
        <v>720</v>
      </c>
      <c r="E169" s="22" t="s">
        <v>52</v>
      </c>
      <c r="F169" s="22" t="s">
        <v>70</v>
      </c>
      <c r="G169" s="22"/>
      <c r="H169" s="22"/>
      <c r="I169" s="22"/>
      <c r="J169" s="22" t="s">
        <v>706</v>
      </c>
      <c r="K169" s="22" t="s">
        <v>55</v>
      </c>
      <c r="L169" s="22"/>
      <c r="M169" s="22" t="s">
        <v>48</v>
      </c>
      <c r="N169" s="22"/>
      <c r="O169" s="22" t="s">
        <v>56</v>
      </c>
      <c r="P169" s="22" t="s">
        <v>707</v>
      </c>
      <c r="Q169" s="22" t="s">
        <v>721</v>
      </c>
      <c r="R169" s="22" t="s">
        <v>48</v>
      </c>
      <c r="S169" s="22"/>
      <c r="T169" s="22"/>
      <c r="U169" s="22"/>
      <c r="V169" s="22" t="s">
        <v>720</v>
      </c>
      <c r="W169" s="22"/>
      <c r="X169" s="22" t="s">
        <v>48</v>
      </c>
      <c r="Y169" s="22"/>
      <c r="Z169" s="22"/>
      <c r="AA169" s="22" t="s">
        <v>722</v>
      </c>
      <c r="AB169" s="22" t="s">
        <v>723</v>
      </c>
      <c r="AC169" s="22"/>
      <c r="AD169" s="22" t="str" cm="1">
        <f t="array" ref="AD169">_xlfn.LET(_xlpm.r,_xlfn.XLOOKUP(1,( [1]Sheet1!$A:$A = MappingGuide[[#This Row],[TableName]] ) * ( [1]Sheet1!$B:$B =RIGHT( MappingGuide[[#This Row],[ColumnName]],4) ),[1]Sheet1!$L:$L,""),IF(_xlpm.r=0,"",_xlpm.r))</f>
        <v/>
      </c>
      <c r="AE169" s="22" t="str" cm="1">
        <f t="array" ref="AE169">_xlfn.LET(_xlpm.r,_xlfn.XLOOKUP(1,( [1]Sheet1!$A:$A = MappingGuide[[#This Row],[TableName]] ) * ( [1]Sheet1!$B:$B =RIGHT( MappingGuide[[#This Row],[ColumnName]],4) ),[1]Sheet1!$M:$M,""),IF(_xlpm.r=0,"",_xlpm.r))</f>
        <v>Enter full name of the contact</v>
      </c>
      <c r="AF169" s="22"/>
      <c r="AG169" s="22"/>
      <c r="AH169" s="22"/>
      <c r="AI169" s="22" t="s">
        <v>48</v>
      </c>
      <c r="AJ169" s="22"/>
      <c r="AK169" s="22"/>
    </row>
    <row r="170" spans="1:37" ht="17">
      <c r="A170" s="22">
        <v>19481</v>
      </c>
      <c r="B170" s="22" t="s">
        <v>703</v>
      </c>
      <c r="C170" s="22" t="s">
        <v>724</v>
      </c>
      <c r="D170" s="22" t="s">
        <v>103</v>
      </c>
      <c r="E170" s="22" t="s">
        <v>52</v>
      </c>
      <c r="F170" s="22" t="s">
        <v>104</v>
      </c>
      <c r="G170" s="22"/>
      <c r="H170" s="22"/>
      <c r="I170" s="22"/>
      <c r="J170" s="22" t="s">
        <v>706</v>
      </c>
      <c r="K170" s="22" t="s">
        <v>55</v>
      </c>
      <c r="L170" s="22" t="s">
        <v>48</v>
      </c>
      <c r="M170" s="22" t="s">
        <v>48</v>
      </c>
      <c r="N170" s="22"/>
      <c r="O170" s="22" t="s">
        <v>56</v>
      </c>
      <c r="P170" s="22" t="s">
        <v>707</v>
      </c>
      <c r="Q170" s="22" t="s">
        <v>105</v>
      </c>
      <c r="R170" s="22"/>
      <c r="S170" s="22"/>
      <c r="T170" s="22"/>
      <c r="U170" s="22"/>
      <c r="V170" s="22" t="s">
        <v>103</v>
      </c>
      <c r="W170" s="22"/>
      <c r="X170" s="22" t="s">
        <v>91</v>
      </c>
      <c r="Y170" s="22"/>
      <c r="Z170" s="22"/>
      <c r="AA170" s="22" t="s">
        <v>106</v>
      </c>
      <c r="AB170" s="22"/>
      <c r="AC170" s="22"/>
      <c r="AD170" s="22" t="str" cm="1">
        <f t="array" ref="AD170">_xlfn.LET(_xlpm.r,_xlfn.XLOOKUP(1,( [1]Sheet1!$A:$A = MappingGuide[[#This Row],[TableName]] ) * ( [1]Sheet1!$B:$B =RIGHT( MappingGuide[[#This Row],[ColumnName]],4) ),[1]Sheet1!$L:$L,""),IF(_xlpm.r=0,"",_xlpm.r))</f>
        <v/>
      </c>
      <c r="AE170" s="22" t="str" cm="1">
        <f t="array" ref="AE170">_xlfn.LET(_xlpm.r,_xlfn.XLOOKUP(1,( [1]Sheet1!$A:$A = MappingGuide[[#This Row],[TableName]] ) * ( [1]Sheet1!$B:$B =RIGHT( MappingGuide[[#This Row],[ColumnName]],4) ),[1]Sheet1!$M:$M,""),IF(_xlpm.r=0,"",_xlpm.r))</f>
        <v/>
      </c>
      <c r="AF170" s="22"/>
      <c r="AG170" s="22"/>
      <c r="AH170" s="22"/>
      <c r="AI170" s="22" t="s">
        <v>48</v>
      </c>
      <c r="AJ170" s="22"/>
      <c r="AK170" s="22"/>
    </row>
    <row r="171" spans="1:37" ht="17">
      <c r="A171" s="22">
        <v>19482</v>
      </c>
      <c r="B171" s="22" t="s">
        <v>703</v>
      </c>
      <c r="C171" s="22" t="s">
        <v>725</v>
      </c>
      <c r="D171" s="22" t="s">
        <v>115</v>
      </c>
      <c r="E171" s="22" t="s">
        <v>52</v>
      </c>
      <c r="F171" s="22" t="s">
        <v>104</v>
      </c>
      <c r="G171" s="22"/>
      <c r="H171" s="22"/>
      <c r="I171" s="22"/>
      <c r="J171" s="22" t="s">
        <v>706</v>
      </c>
      <c r="K171" s="22" t="s">
        <v>55</v>
      </c>
      <c r="L171" s="22" t="s">
        <v>48</v>
      </c>
      <c r="M171" s="22"/>
      <c r="N171" s="22"/>
      <c r="O171" s="22" t="s">
        <v>56</v>
      </c>
      <c r="P171" s="22" t="s">
        <v>707</v>
      </c>
      <c r="Q171" s="22" t="s">
        <v>116</v>
      </c>
      <c r="R171" s="22"/>
      <c r="S171" s="22"/>
      <c r="T171" s="22"/>
      <c r="U171" s="22"/>
      <c r="V171" s="22" t="s">
        <v>115</v>
      </c>
      <c r="W171" s="22"/>
      <c r="X171" s="22" t="s">
        <v>91</v>
      </c>
      <c r="Y171" s="22"/>
      <c r="Z171" s="22"/>
      <c r="AA171" s="22" t="s">
        <v>117</v>
      </c>
      <c r="AB171" s="22"/>
      <c r="AC171" s="22"/>
      <c r="AD171" s="22" t="str" cm="1">
        <f t="array" ref="AD171">_xlfn.LET(_xlpm.r,_xlfn.XLOOKUP(1,( [1]Sheet1!$A:$A = MappingGuide[[#This Row],[TableName]] ) * ( [1]Sheet1!$B:$B =RIGHT( MappingGuide[[#This Row],[ColumnName]],4) ),[1]Sheet1!$L:$L,""),IF(_xlpm.r=0,"",_xlpm.r))</f>
        <v/>
      </c>
      <c r="AE171" s="22" t="str" cm="1">
        <f t="array" ref="AE171">_xlfn.LET(_xlpm.r,_xlfn.XLOOKUP(1,( [1]Sheet1!$A:$A = MappingGuide[[#This Row],[TableName]] ) * ( [1]Sheet1!$B:$B =RIGHT( MappingGuide[[#This Row],[ColumnName]],4) ),[1]Sheet1!$M:$M,""),IF(_xlpm.r=0,"",_xlpm.r))</f>
        <v/>
      </c>
      <c r="AF171" s="22"/>
      <c r="AG171" s="22"/>
      <c r="AH171" s="22"/>
      <c r="AI171" s="22" t="s">
        <v>48</v>
      </c>
      <c r="AJ171" s="22"/>
      <c r="AK171" s="22"/>
    </row>
    <row r="172" spans="1:37" ht="17">
      <c r="A172" s="22">
        <v>19483</v>
      </c>
      <c r="B172" s="22" t="s">
        <v>703</v>
      </c>
      <c r="C172" s="22" t="s">
        <v>726</v>
      </c>
      <c r="D172" s="22" t="s">
        <v>154</v>
      </c>
      <c r="E172" s="22" t="s">
        <v>52</v>
      </c>
      <c r="F172" s="22" t="s">
        <v>155</v>
      </c>
      <c r="G172" s="22"/>
      <c r="H172" s="22"/>
      <c r="I172" s="22"/>
      <c r="J172" s="22" t="s">
        <v>706</v>
      </c>
      <c r="K172" s="22" t="s">
        <v>55</v>
      </c>
      <c r="L172" s="22"/>
      <c r="M172" s="22"/>
      <c r="N172" s="22"/>
      <c r="O172" s="22" t="s">
        <v>56</v>
      </c>
      <c r="P172" s="22" t="s">
        <v>707</v>
      </c>
      <c r="Q172" s="22" t="s">
        <v>156</v>
      </c>
      <c r="R172" s="22"/>
      <c r="S172" s="22"/>
      <c r="T172" s="22"/>
      <c r="U172" s="22"/>
      <c r="V172" s="22" t="s">
        <v>154</v>
      </c>
      <c r="W172" s="22"/>
      <c r="X172" s="22" t="s">
        <v>91</v>
      </c>
      <c r="Y172" s="22"/>
      <c r="Z172" s="22"/>
      <c r="AA172" s="22" t="s">
        <v>157</v>
      </c>
      <c r="AB172" s="22"/>
      <c r="AC172" s="22"/>
      <c r="AD172" s="22" t="str" cm="1">
        <f t="array" ref="AD172">_xlfn.LET(_xlpm.r,_xlfn.XLOOKUP(1,( [1]Sheet1!$A:$A = MappingGuide[[#This Row],[TableName]] ) * ( [1]Sheet1!$B:$B =RIGHT( MappingGuide[[#This Row],[ColumnName]],4) ),[1]Sheet1!$L:$L,""),IF(_xlpm.r=0,"",_xlpm.r))</f>
        <v/>
      </c>
      <c r="AE172" s="22" t="str" cm="1">
        <f t="array" ref="AE172">_xlfn.LET(_xlpm.r,_xlfn.XLOOKUP(1,( [1]Sheet1!$A:$A = MappingGuide[[#This Row],[TableName]] ) * ( [1]Sheet1!$B:$B =RIGHT( MappingGuide[[#This Row],[ColumnName]],4) ),[1]Sheet1!$M:$M,""),IF(_xlpm.r=0,"",_xlpm.r))</f>
        <v>This field indicates the supplier's identity during computer communication</v>
      </c>
      <c r="AF172" s="22"/>
      <c r="AG172" s="22"/>
      <c r="AH172" s="22"/>
      <c r="AI172" s="22" t="s">
        <v>48</v>
      </c>
      <c r="AJ172" s="22"/>
      <c r="AK172" s="22"/>
    </row>
    <row r="173" spans="1:37" ht="17">
      <c r="A173" s="22">
        <v>19484</v>
      </c>
      <c r="B173" s="22" t="s">
        <v>703</v>
      </c>
      <c r="C173" s="22" t="s">
        <v>727</v>
      </c>
      <c r="D173" s="22" t="s">
        <v>728</v>
      </c>
      <c r="E173" s="22" t="s">
        <v>52</v>
      </c>
      <c r="F173" s="22" t="s">
        <v>729</v>
      </c>
      <c r="G173" s="22"/>
      <c r="H173" s="22"/>
      <c r="I173" s="22"/>
      <c r="J173" s="22" t="s">
        <v>706</v>
      </c>
      <c r="K173" s="22" t="s">
        <v>55</v>
      </c>
      <c r="L173" s="22"/>
      <c r="M173" s="22"/>
      <c r="N173" s="22"/>
      <c r="O173" s="22" t="s">
        <v>56</v>
      </c>
      <c r="P173" s="22" t="s">
        <v>707</v>
      </c>
      <c r="Q173" s="22" t="s">
        <v>730</v>
      </c>
      <c r="R173" s="22"/>
      <c r="S173" s="22"/>
      <c r="T173" s="22"/>
      <c r="U173" s="22"/>
      <c r="V173" s="22" t="s">
        <v>728</v>
      </c>
      <c r="W173" s="22"/>
      <c r="X173" s="22" t="s">
        <v>91</v>
      </c>
      <c r="Y173" s="22"/>
      <c r="Z173" s="22"/>
      <c r="AA173" s="22" t="s">
        <v>731</v>
      </c>
      <c r="AB173" s="22"/>
      <c r="AC173" s="22"/>
      <c r="AD173" s="22" t="str" cm="1">
        <f t="array" ref="AD173">_xlfn.LET(_xlpm.r,_xlfn.XLOOKUP(1,( [1]Sheet1!$A:$A = MappingGuide[[#This Row],[TableName]] ) * ( [1]Sheet1!$B:$B =RIGHT( MappingGuide[[#This Row],[ColumnName]],4) ),[1]Sheet1!$L:$L,""),IF(_xlpm.r=0,"",_xlpm.r))</f>
        <v/>
      </c>
      <c r="AE173" s="22" t="str" cm="1">
        <f t="array" ref="AE173">_xlfn.LET(_xlpm.r,_xlfn.XLOOKUP(1,( [1]Sheet1!$A:$A = MappingGuide[[#This Row],[TableName]] ) * ( [1]Sheet1!$B:$B =RIGHT( MappingGuide[[#This Row],[ColumnName]],4) ),[1]Sheet1!$M:$M,""),IF(_xlpm.r=0,"",_xlpm.r))</f>
        <v>The field indicates any comments or additional information that has been provided by the user</v>
      </c>
      <c r="AF173" s="22"/>
      <c r="AG173" s="22"/>
      <c r="AH173" s="22"/>
      <c r="AI173" s="22" t="s">
        <v>48</v>
      </c>
      <c r="AJ173" s="22"/>
      <c r="AK173" s="22"/>
    </row>
    <row r="174" spans="1:37" ht="17">
      <c r="A174" s="22">
        <v>19485</v>
      </c>
      <c r="B174" s="22" t="s">
        <v>703</v>
      </c>
      <c r="C174" s="22" t="s">
        <v>732</v>
      </c>
      <c r="D174" s="22" t="s">
        <v>733</v>
      </c>
      <c r="E174" s="22" t="s">
        <v>52</v>
      </c>
      <c r="F174" s="22" t="s">
        <v>734</v>
      </c>
      <c r="G174" s="22"/>
      <c r="H174" s="22"/>
      <c r="I174" s="22"/>
      <c r="J174" s="22" t="s">
        <v>706</v>
      </c>
      <c r="K174" s="22" t="s">
        <v>55</v>
      </c>
      <c r="L174" s="22"/>
      <c r="M174" s="22" t="s">
        <v>48</v>
      </c>
      <c r="N174" s="22"/>
      <c r="O174" s="22" t="s">
        <v>56</v>
      </c>
      <c r="P174" s="22" t="s">
        <v>707</v>
      </c>
      <c r="Q174" s="22" t="s">
        <v>735</v>
      </c>
      <c r="R174" s="22"/>
      <c r="S174" s="22"/>
      <c r="T174" s="22"/>
      <c r="U174" s="22"/>
      <c r="V174" s="22" t="s">
        <v>736</v>
      </c>
      <c r="W174" s="22"/>
      <c r="X174" s="22" t="s">
        <v>91</v>
      </c>
      <c r="Y174" s="22"/>
      <c r="Z174" s="22"/>
      <c r="AA174" s="22" t="s">
        <v>737</v>
      </c>
      <c r="AB174" s="22"/>
      <c r="AC174" s="22"/>
      <c r="AD174" s="22" t="str" cm="1">
        <f t="array" ref="AD174">_xlfn.LET(_xlpm.r,_xlfn.XLOOKUP(1,( [1]Sheet1!$A:$A = MappingGuide[[#This Row],[TableName]] ) * ( [1]Sheet1!$B:$B =RIGHT( MappingGuide[[#This Row],[ColumnName]],4) ),[1]Sheet1!$L:$L,""),IF(_xlpm.r=0,"",_xlpm.r))</f>
        <v/>
      </c>
      <c r="AE174" s="22" t="str" cm="1">
        <f t="array" ref="AE174">_xlfn.LET(_xlpm.r,_xlfn.XLOOKUP(1,( [1]Sheet1!$A:$A = MappingGuide[[#This Row],[TableName]] ) * ( [1]Sheet1!$B:$B =RIGHT( MappingGuide[[#This Row],[ColumnName]],4) ),[1]Sheet1!$M:$M,""),IF(_xlpm.r=0,"",_xlpm.r))</f>
        <v/>
      </c>
      <c r="AF174" s="22"/>
      <c r="AG174" s="22"/>
      <c r="AH174" s="22"/>
      <c r="AI174" s="22" t="s">
        <v>48</v>
      </c>
      <c r="AJ174" s="22"/>
      <c r="AK174" s="22"/>
    </row>
    <row r="175" spans="1:37" ht="17">
      <c r="A175" s="22">
        <v>19486</v>
      </c>
      <c r="B175" s="22" t="s">
        <v>703</v>
      </c>
      <c r="C175" s="22" t="s">
        <v>738</v>
      </c>
      <c r="D175" s="22" t="s">
        <v>214</v>
      </c>
      <c r="E175" s="22" t="s">
        <v>43</v>
      </c>
      <c r="F175" s="22" t="s">
        <v>215</v>
      </c>
      <c r="G175" s="22"/>
      <c r="H175" s="22"/>
      <c r="I175" s="22"/>
      <c r="J175" s="22"/>
      <c r="K175" s="22"/>
      <c r="L175" s="22"/>
      <c r="M175" s="22"/>
      <c r="N175" s="22"/>
      <c r="O175" s="22"/>
      <c r="P175" s="22"/>
      <c r="Q175" s="22"/>
      <c r="R175" s="22"/>
      <c r="S175" s="22"/>
      <c r="T175" s="22"/>
      <c r="U175" s="22"/>
      <c r="V175" s="22"/>
      <c r="W175" s="22"/>
      <c r="X175" s="22"/>
      <c r="Y175" s="22"/>
      <c r="Z175" s="22"/>
      <c r="AA175" s="22" t="s">
        <v>216</v>
      </c>
      <c r="AB175" s="22"/>
      <c r="AC175" s="22"/>
      <c r="AD175" s="22" t="str" cm="1">
        <f t="array" ref="AD175">_xlfn.LET(_xlpm.r,_xlfn.XLOOKUP(1,( [1]Sheet1!$A:$A = MappingGuide[[#This Row],[TableName]] ) * ( [1]Sheet1!$B:$B =RIGHT( MappingGuide[[#This Row],[ColumnName]],4) ),[1]Sheet1!$L:$L,""),IF(_xlpm.r=0,"",_xlpm.r))</f>
        <v/>
      </c>
      <c r="AE175" s="22" t="str" cm="1">
        <f t="array" ref="AE175">_xlfn.LET(_xlpm.r,_xlfn.XLOOKUP(1,( [1]Sheet1!$A:$A = MappingGuide[[#This Row],[TableName]] ) * ( [1]Sheet1!$B:$B =RIGHT( MappingGuide[[#This Row],[ColumnName]],4) ),[1]Sheet1!$M:$M,""),IF(_xlpm.r=0,"",_xlpm.r))</f>
        <v/>
      </c>
      <c r="AF175" s="22"/>
      <c r="AG175" s="22"/>
      <c r="AH175" s="22"/>
      <c r="AI175" s="22" t="s">
        <v>91</v>
      </c>
      <c r="AJ175" s="22"/>
      <c r="AK175" s="22"/>
    </row>
    <row r="176" spans="1:37" ht="17">
      <c r="A176" s="22">
        <v>19487</v>
      </c>
      <c r="B176" s="22" t="s">
        <v>703</v>
      </c>
      <c r="C176" s="22" t="s">
        <v>739</v>
      </c>
      <c r="D176" s="22" t="s">
        <v>218</v>
      </c>
      <c r="E176" s="22" t="s">
        <v>43</v>
      </c>
      <c r="F176" s="22" t="s">
        <v>192</v>
      </c>
      <c r="G176" s="22"/>
      <c r="H176" s="22"/>
      <c r="I176" s="22"/>
      <c r="J176" s="22"/>
      <c r="K176" s="22"/>
      <c r="L176" s="22"/>
      <c r="M176" s="22"/>
      <c r="N176" s="22"/>
      <c r="O176" s="22"/>
      <c r="P176" s="22"/>
      <c r="Q176" s="22"/>
      <c r="R176" s="22"/>
      <c r="S176" s="22"/>
      <c r="T176" s="22"/>
      <c r="U176" s="22"/>
      <c r="V176" s="22"/>
      <c r="W176" s="22"/>
      <c r="X176" s="22"/>
      <c r="Y176" s="22"/>
      <c r="Z176" s="22"/>
      <c r="AA176" s="22" t="s">
        <v>219</v>
      </c>
      <c r="AB176" s="22"/>
      <c r="AC176" s="22"/>
      <c r="AD176" s="22" t="str" cm="1">
        <f t="array" ref="AD176">_xlfn.LET(_xlpm.r,_xlfn.XLOOKUP(1,( [1]Sheet1!$A:$A = MappingGuide[[#This Row],[TableName]] ) * ( [1]Sheet1!$B:$B =RIGHT( MappingGuide[[#This Row],[ColumnName]],4) ),[1]Sheet1!$L:$L,""),IF(_xlpm.r=0,"",_xlpm.r))</f>
        <v/>
      </c>
      <c r="AE176" s="22" t="str" cm="1">
        <f t="array" ref="AE176">_xlfn.LET(_xlpm.r,_xlfn.XLOOKUP(1,( [1]Sheet1!$A:$A = MappingGuide[[#This Row],[TableName]] ) * ( [1]Sheet1!$B:$B =RIGHT( MappingGuide[[#This Row],[ColumnName]],4) ),[1]Sheet1!$M:$M,""),IF(_xlpm.r=0,"",_xlpm.r))</f>
        <v/>
      </c>
      <c r="AF176" s="22"/>
      <c r="AG176" s="22"/>
      <c r="AH176" s="22"/>
      <c r="AI176" s="22" t="s">
        <v>91</v>
      </c>
      <c r="AJ176" s="22"/>
      <c r="AK176" s="22"/>
    </row>
    <row r="177" spans="1:37" ht="17">
      <c r="A177" s="22">
        <v>19488</v>
      </c>
      <c r="B177" s="22" t="s">
        <v>703</v>
      </c>
      <c r="C177" s="22" t="s">
        <v>740</v>
      </c>
      <c r="D177" s="22" t="s">
        <v>221</v>
      </c>
      <c r="E177" s="22" t="s">
        <v>43</v>
      </c>
      <c r="F177" s="22" t="s">
        <v>215</v>
      </c>
      <c r="G177" s="22"/>
      <c r="H177" s="22"/>
      <c r="I177" s="22"/>
      <c r="J177" s="22"/>
      <c r="K177" s="22"/>
      <c r="L177" s="22"/>
      <c r="M177" s="22"/>
      <c r="N177" s="22"/>
      <c r="O177" s="22"/>
      <c r="P177" s="22"/>
      <c r="Q177" s="22"/>
      <c r="R177" s="22"/>
      <c r="S177" s="22"/>
      <c r="T177" s="22"/>
      <c r="U177" s="22"/>
      <c r="V177" s="22"/>
      <c r="W177" s="22"/>
      <c r="X177" s="22"/>
      <c r="Y177" s="22"/>
      <c r="Z177" s="22"/>
      <c r="AA177" s="22" t="s">
        <v>222</v>
      </c>
      <c r="AB177" s="22"/>
      <c r="AC177" s="22"/>
      <c r="AD177" s="22" t="str" cm="1">
        <f t="array" ref="AD177">_xlfn.LET(_xlpm.r,_xlfn.XLOOKUP(1,( [1]Sheet1!$A:$A = MappingGuide[[#This Row],[TableName]] ) * ( [1]Sheet1!$B:$B =RIGHT( MappingGuide[[#This Row],[ColumnName]],4) ),[1]Sheet1!$L:$L,""),IF(_xlpm.r=0,"",_xlpm.r))</f>
        <v/>
      </c>
      <c r="AE177" s="22" t="str" cm="1">
        <f t="array" ref="AE177">_xlfn.LET(_xlpm.r,_xlfn.XLOOKUP(1,( [1]Sheet1!$A:$A = MappingGuide[[#This Row],[TableName]] ) * ( [1]Sheet1!$B:$B =RIGHT( MappingGuide[[#This Row],[ColumnName]],4) ),[1]Sheet1!$M:$M,""),IF(_xlpm.r=0,"",_xlpm.r))</f>
        <v/>
      </c>
      <c r="AF177" s="22"/>
      <c r="AG177" s="22"/>
      <c r="AH177" s="22"/>
      <c r="AI177" s="22" t="s">
        <v>91</v>
      </c>
      <c r="AJ177" s="22"/>
      <c r="AK177" s="22"/>
    </row>
    <row r="178" spans="1:37" ht="17">
      <c r="A178" s="22">
        <v>19489</v>
      </c>
      <c r="B178" s="22" t="s">
        <v>703</v>
      </c>
      <c r="C178" s="22" t="s">
        <v>741</v>
      </c>
      <c r="D178" s="22" t="s">
        <v>224</v>
      </c>
      <c r="E178" s="22" t="s">
        <v>43</v>
      </c>
      <c r="F178" s="22" t="s">
        <v>44</v>
      </c>
      <c r="G178" s="22"/>
      <c r="H178" s="22"/>
      <c r="I178" s="22"/>
      <c r="J178" s="22"/>
      <c r="K178" s="22"/>
      <c r="L178" s="22"/>
      <c r="M178" s="22"/>
      <c r="N178" s="22"/>
      <c r="O178" s="22"/>
      <c r="P178" s="22"/>
      <c r="Q178" s="22"/>
      <c r="R178" s="22"/>
      <c r="S178" s="22"/>
      <c r="T178" s="22"/>
      <c r="U178" s="22"/>
      <c r="V178" s="22"/>
      <c r="W178" s="22"/>
      <c r="X178" s="22"/>
      <c r="Y178" s="22"/>
      <c r="Z178" s="22"/>
      <c r="AA178" s="22" t="s">
        <v>225</v>
      </c>
      <c r="AB178" s="22"/>
      <c r="AC178" s="22"/>
      <c r="AD178" s="22" t="str" cm="1">
        <f t="array" ref="AD178">_xlfn.LET(_xlpm.r,_xlfn.XLOOKUP(1,( [1]Sheet1!$A:$A = MappingGuide[[#This Row],[TableName]] ) * ( [1]Sheet1!$B:$B =RIGHT( MappingGuide[[#This Row],[ColumnName]],4) ),[1]Sheet1!$L:$L,""),IF(_xlpm.r=0,"",_xlpm.r))</f>
        <v/>
      </c>
      <c r="AE178" s="22" t="str" cm="1">
        <f t="array" ref="AE178">_xlfn.LET(_xlpm.r,_xlfn.XLOOKUP(1,( [1]Sheet1!$A:$A = MappingGuide[[#This Row],[TableName]] ) * ( [1]Sheet1!$B:$B =RIGHT( MappingGuide[[#This Row],[ColumnName]],4) ),[1]Sheet1!$M:$M,""),IF(_xlpm.r=0,"",_xlpm.r))</f>
        <v/>
      </c>
      <c r="AF178" s="22"/>
      <c r="AG178" s="22"/>
      <c r="AH178" s="22"/>
      <c r="AI178" s="22" t="s">
        <v>91</v>
      </c>
      <c r="AJ178" s="22"/>
      <c r="AK178" s="22"/>
    </row>
    <row r="179" spans="1:37" ht="17">
      <c r="A179" s="22">
        <v>19490</v>
      </c>
      <c r="B179" s="22" t="s">
        <v>703</v>
      </c>
      <c r="C179" s="22" t="s">
        <v>742</v>
      </c>
      <c r="D179" s="22" t="s">
        <v>227</v>
      </c>
      <c r="E179" s="22" t="s">
        <v>52</v>
      </c>
      <c r="F179" s="22" t="s">
        <v>53</v>
      </c>
      <c r="G179" s="22"/>
      <c r="H179" s="22"/>
      <c r="I179" s="22"/>
      <c r="J179" s="22"/>
      <c r="K179" s="22"/>
      <c r="L179" s="22"/>
      <c r="M179" s="22"/>
      <c r="N179" s="22"/>
      <c r="O179" s="22"/>
      <c r="P179" s="22"/>
      <c r="Q179" s="22"/>
      <c r="R179" s="22"/>
      <c r="S179" s="22"/>
      <c r="T179" s="22"/>
      <c r="U179" s="22"/>
      <c r="V179" s="22"/>
      <c r="W179" s="22"/>
      <c r="X179" s="22"/>
      <c r="Y179" s="22"/>
      <c r="Z179" s="22"/>
      <c r="AA179" s="22" t="s">
        <v>228</v>
      </c>
      <c r="AB179" s="22"/>
      <c r="AC179" s="22"/>
      <c r="AD179" s="22" t="str" cm="1">
        <f t="array" ref="AD179">_xlfn.LET(_xlpm.r,_xlfn.XLOOKUP(1,( [1]Sheet1!$A:$A = MappingGuide[[#This Row],[TableName]] ) * ( [1]Sheet1!$B:$B =RIGHT( MappingGuide[[#This Row],[ColumnName]],4) ),[1]Sheet1!$L:$L,""),IF(_xlpm.r=0,"",_xlpm.r))</f>
        <v/>
      </c>
      <c r="AE179" s="22" t="str" cm="1">
        <f t="array" ref="AE179">_xlfn.LET(_xlpm.r,_xlfn.XLOOKUP(1,( [1]Sheet1!$A:$A = MappingGuide[[#This Row],[TableName]] ) * ( [1]Sheet1!$B:$B =RIGHT( MappingGuide[[#This Row],[ColumnName]],4) ),[1]Sheet1!$M:$M,""),IF(_xlpm.r=0,"",_xlpm.r))</f>
        <v/>
      </c>
      <c r="AF179" s="22"/>
      <c r="AG179" s="22"/>
      <c r="AH179" s="22"/>
      <c r="AI179" s="22" t="s">
        <v>91</v>
      </c>
      <c r="AJ179" s="22"/>
      <c r="AK179" s="22"/>
    </row>
    <row r="180" spans="1:37" ht="17">
      <c r="A180" s="22">
        <v>19491</v>
      </c>
      <c r="B180" s="22" t="s">
        <v>703</v>
      </c>
      <c r="C180" s="22" t="s">
        <v>743</v>
      </c>
      <c r="D180" s="22" t="s">
        <v>235</v>
      </c>
      <c r="E180" s="22" t="s">
        <v>43</v>
      </c>
      <c r="F180" s="22" t="s">
        <v>236</v>
      </c>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t="str" cm="1">
        <f t="array" ref="AD180">_xlfn.LET(_xlpm.r,_xlfn.XLOOKUP(1,( [1]Sheet1!$A:$A = MappingGuide[[#This Row],[TableName]] ) * ( [1]Sheet1!$B:$B =RIGHT( MappingGuide[[#This Row],[ColumnName]],4) ),[1]Sheet1!$L:$L,""),IF(_xlpm.r=0,"",_xlpm.r))</f>
        <v/>
      </c>
      <c r="AE180" s="22" t="str" cm="1">
        <f t="array" ref="AE180">_xlfn.LET(_xlpm.r,_xlfn.XLOOKUP(1,( [1]Sheet1!$A:$A = MappingGuide[[#This Row],[TableName]] ) * ( [1]Sheet1!$B:$B =RIGHT( MappingGuide[[#This Row],[ColumnName]],4) ),[1]Sheet1!$M:$M,""),IF(_xlpm.r=0,"",_xlpm.r))</f>
        <v/>
      </c>
      <c r="AF180" s="22"/>
      <c r="AG180" s="22"/>
      <c r="AH180" s="22"/>
      <c r="AI180" s="22" t="s">
        <v>91</v>
      </c>
      <c r="AJ180" s="22"/>
      <c r="AK180" s="22"/>
    </row>
  </sheetData>
  <mergeCells count="1">
    <mergeCell ref="AA1:AF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2026-01-20T22:18:28Z</dcterms:created>
  <dcterms:modified xsi:type="dcterms:W3CDTF">2026-02-02T19:53:10Z</dcterms:modified>
</cp:coreProperties>
</file>