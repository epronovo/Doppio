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codeName="ThisWorkbook"/>
  <mc:AlternateContent xmlns:mc="http://schemas.openxmlformats.org/markup-compatibility/2006">
    <mc:Choice Requires="x15">
      <x15ac:absPath xmlns:x15ac="http://schemas.microsoft.com/office/spreadsheetml/2010/11/ac" url="/Users/ericpronovost/Doppio/MappingGuides/mapping/processed/"/>
    </mc:Choice>
  </mc:AlternateContent>
  <xr:revisionPtr revIDLastSave="0" documentId="13_ncr:1_{BC814011-AB58-7D4B-8EB6-E9CDFE4D6F74}" xr6:coauthVersionLast="47" xr6:coauthVersionMax="47" xr10:uidLastSave="{00000000-0000-0000-0000-000000000000}"/>
  <bookViews>
    <workbookView xWindow="34580" yWindow="-740" windowWidth="40960" windowHeight="22440" xr2:uid="{00000000-000D-0000-FFFF-FFFF00000000}"/>
  </bookViews>
  <sheets>
    <sheet name="Mapping Guide" sheetId="1"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3" i="1" l="1" a="1"/>
  <c r="AI3" i="1" s="1"/>
  <c r="AI4" i="1" a="1"/>
  <c r="AI4" i="1" s="1"/>
  <c r="AI5" i="1" a="1"/>
  <c r="AI5" i="1" s="1"/>
  <c r="AI6" i="1" a="1"/>
  <c r="AI6" i="1" s="1"/>
  <c r="AI7" i="1" a="1"/>
  <c r="AI7" i="1" s="1"/>
  <c r="AI8" i="1" a="1"/>
  <c r="AI8" i="1" s="1"/>
  <c r="AI9" i="1" a="1"/>
  <c r="AI9" i="1" s="1"/>
  <c r="AI10" i="1" a="1"/>
  <c r="AI10" i="1" s="1"/>
  <c r="AI11" i="1" a="1"/>
  <c r="AI11" i="1" s="1"/>
  <c r="AI12" i="1" a="1"/>
  <c r="AI12" i="1" s="1"/>
  <c r="AI13" i="1" a="1"/>
  <c r="AI13" i="1" s="1"/>
  <c r="AI14" i="1" a="1"/>
  <c r="AI14" i="1" s="1"/>
  <c r="AI15" i="1" a="1"/>
  <c r="AI15" i="1" s="1"/>
  <c r="AI16" i="1" a="1"/>
  <c r="AI16" i="1" s="1"/>
  <c r="AI17" i="1" a="1"/>
  <c r="AI17" i="1" s="1"/>
  <c r="AI18" i="1" a="1"/>
  <c r="AI18" i="1" s="1"/>
  <c r="AI19" i="1" a="1"/>
  <c r="AI19" i="1" s="1"/>
  <c r="AI20" i="1" a="1"/>
  <c r="AI20" i="1" s="1"/>
  <c r="AI21" i="1" a="1"/>
  <c r="AI21" i="1" s="1"/>
  <c r="AI22" i="1" a="1"/>
  <c r="AI22" i="1" s="1"/>
  <c r="AI23" i="1" a="1"/>
  <c r="AI23" i="1" s="1"/>
  <c r="AI24" i="1" a="1"/>
  <c r="AI24" i="1" s="1"/>
  <c r="AI25" i="1" a="1"/>
  <c r="AI25" i="1" s="1"/>
  <c r="AI26" i="1" a="1"/>
  <c r="AI26" i="1" s="1"/>
  <c r="AI27" i="1" a="1"/>
  <c r="AI27" i="1" s="1"/>
  <c r="AI28" i="1" a="1"/>
  <c r="AI28" i="1" s="1"/>
  <c r="AI29" i="1" a="1"/>
  <c r="AI29" i="1" s="1"/>
  <c r="AI30" i="1" a="1"/>
  <c r="AI30" i="1" s="1"/>
  <c r="AI31" i="1" a="1"/>
  <c r="AI31" i="1" s="1"/>
  <c r="AI32" i="1" a="1"/>
  <c r="AI32" i="1" s="1"/>
  <c r="AI33" i="1" a="1"/>
  <c r="AI33" i="1" s="1"/>
  <c r="AI34" i="1" a="1"/>
  <c r="AI34" i="1" s="1"/>
  <c r="AI35" i="1" a="1"/>
  <c r="AI35" i="1" s="1"/>
  <c r="AI36" i="1" a="1"/>
  <c r="AI36" i="1" s="1"/>
  <c r="AI37" i="1" a="1"/>
  <c r="AI37" i="1" s="1"/>
  <c r="AI38" i="1" a="1"/>
  <c r="AI38" i="1" s="1"/>
  <c r="AI39" i="1" a="1"/>
  <c r="AI39" i="1" s="1"/>
  <c r="AI40" i="1" a="1"/>
  <c r="AI40" i="1" s="1"/>
  <c r="AI41" i="1" a="1"/>
  <c r="AI41" i="1" s="1"/>
  <c r="AI42" i="1" a="1"/>
  <c r="AI42" i="1" s="1"/>
  <c r="AI43" i="1" a="1"/>
  <c r="AI43" i="1" s="1"/>
  <c r="AI44" i="1" a="1"/>
  <c r="AI44" i="1" s="1"/>
  <c r="AI45" i="1" a="1"/>
  <c r="AI45" i="1" s="1"/>
  <c r="AI46" i="1" a="1"/>
  <c r="AI46" i="1" s="1"/>
  <c r="AI47" i="1" a="1"/>
  <c r="AI47" i="1" s="1"/>
  <c r="AI48" i="1" a="1"/>
  <c r="AI48" i="1" s="1"/>
  <c r="AI49" i="1" a="1"/>
  <c r="AI49" i="1" s="1"/>
  <c r="AI50" i="1" a="1"/>
  <c r="AI50" i="1" s="1"/>
  <c r="AI51" i="1" a="1"/>
  <c r="AI51" i="1" s="1"/>
  <c r="AI52" i="1" a="1"/>
  <c r="AI52" i="1" s="1"/>
  <c r="AI53" i="1" a="1"/>
  <c r="AI53" i="1" s="1"/>
  <c r="AI54" i="1" a="1"/>
  <c r="AI54" i="1" s="1"/>
  <c r="AI55" i="1" a="1"/>
  <c r="AI55" i="1" s="1"/>
  <c r="AI56" i="1" a="1"/>
  <c r="AI56" i="1" s="1"/>
  <c r="AI57" i="1" a="1"/>
  <c r="AI57" i="1" s="1"/>
  <c r="AI58" i="1" a="1"/>
  <c r="AI58" i="1" s="1"/>
  <c r="AI59" i="1" a="1"/>
  <c r="AI59" i="1" s="1"/>
  <c r="AI60" i="1" a="1"/>
  <c r="AI60" i="1" s="1"/>
  <c r="AI61" i="1" a="1"/>
  <c r="AI61" i="1" s="1"/>
  <c r="AI62" i="1" a="1"/>
  <c r="AI62" i="1" s="1"/>
  <c r="AI63" i="1" a="1"/>
  <c r="AI63" i="1" s="1"/>
  <c r="AI64" i="1" a="1"/>
  <c r="AI64" i="1" s="1"/>
  <c r="AI65" i="1" a="1"/>
  <c r="AI65" i="1" s="1"/>
  <c r="AI66" i="1" a="1"/>
  <c r="AI66" i="1" s="1"/>
  <c r="AI67" i="1" a="1"/>
  <c r="AI67" i="1" s="1"/>
  <c r="AI68" i="1" a="1"/>
  <c r="AI68" i="1" s="1"/>
  <c r="AI69" i="1" a="1"/>
  <c r="AI69" i="1" s="1"/>
  <c r="AI70" i="1" a="1"/>
  <c r="AI70" i="1" s="1"/>
  <c r="AI71" i="1" a="1"/>
  <c r="AI71" i="1" s="1"/>
  <c r="AI72" i="1" a="1"/>
  <c r="AI72" i="1" s="1"/>
  <c r="AI73" i="1" a="1"/>
  <c r="AI73" i="1" s="1"/>
  <c r="AI74" i="1" a="1"/>
  <c r="AI74" i="1" s="1"/>
  <c r="AI75" i="1" a="1"/>
  <c r="AI75" i="1" s="1"/>
  <c r="AI76" i="1" a="1"/>
  <c r="AI76" i="1" s="1"/>
  <c r="AI77" i="1" a="1"/>
  <c r="AI77" i="1" s="1"/>
  <c r="AI78" i="1" a="1"/>
  <c r="AI78" i="1" s="1"/>
  <c r="AI79" i="1" a="1"/>
  <c r="AI79" i="1" s="1"/>
  <c r="AI80" i="1" a="1"/>
  <c r="AI80" i="1" s="1"/>
  <c r="AI81" i="1" a="1"/>
  <c r="AI81" i="1" s="1"/>
  <c r="AI82" i="1" a="1"/>
  <c r="AI82" i="1" s="1"/>
  <c r="AI83" i="1" a="1"/>
  <c r="AI83" i="1" s="1"/>
  <c r="AI84" i="1" a="1"/>
  <c r="AI84" i="1" s="1"/>
  <c r="AI85" i="1" a="1"/>
  <c r="AI85" i="1" s="1"/>
  <c r="AI86" i="1" a="1"/>
  <c r="AI86" i="1" s="1"/>
  <c r="AI87" i="1" a="1"/>
  <c r="AI87" i="1" s="1"/>
  <c r="AI88" i="1" a="1"/>
  <c r="AI88" i="1" s="1"/>
  <c r="AI89" i="1" a="1"/>
  <c r="AI89" i="1" s="1"/>
  <c r="AI90" i="1" a="1"/>
  <c r="AI90" i="1" s="1"/>
  <c r="AI91" i="1" a="1"/>
  <c r="AI91" i="1" s="1"/>
  <c r="AI92" i="1" a="1"/>
  <c r="AI92" i="1" s="1"/>
  <c r="AI93" i="1" a="1"/>
  <c r="AI93" i="1" s="1"/>
  <c r="AI94" i="1" a="1"/>
  <c r="AI94" i="1" s="1"/>
  <c r="AI95" i="1" a="1"/>
  <c r="AI95" i="1" s="1"/>
  <c r="AI96" i="1" a="1"/>
  <c r="AI96" i="1" s="1"/>
  <c r="AI97" i="1" a="1"/>
  <c r="AI97" i="1" s="1"/>
  <c r="AI98" i="1" a="1"/>
  <c r="AI98" i="1" s="1"/>
  <c r="AI99" i="1" a="1"/>
  <c r="AI99" i="1" s="1"/>
  <c r="AI100" i="1" a="1"/>
  <c r="AI100" i="1" s="1"/>
  <c r="AI101" i="1" a="1"/>
  <c r="AI101" i="1" s="1"/>
  <c r="AI102" i="1" a="1"/>
  <c r="AI102" i="1" s="1"/>
  <c r="AI103" i="1" a="1"/>
  <c r="AI103" i="1" s="1"/>
  <c r="AI104" i="1" a="1"/>
  <c r="AI104" i="1" s="1"/>
  <c r="AI105" i="1" a="1"/>
  <c r="AI105" i="1" s="1"/>
  <c r="AI106" i="1" a="1"/>
  <c r="AI106" i="1" s="1"/>
  <c r="AI107" i="1" a="1"/>
  <c r="AI107" i="1" s="1"/>
  <c r="AI108" i="1" a="1"/>
  <c r="AI108" i="1" s="1"/>
  <c r="AI109" i="1" a="1"/>
  <c r="AI109" i="1" s="1"/>
  <c r="AI110" i="1" a="1"/>
  <c r="AI110" i="1" s="1"/>
  <c r="AI111" i="1" a="1"/>
  <c r="AI111" i="1" s="1"/>
  <c r="AI112" i="1" a="1"/>
  <c r="AI112" i="1" s="1"/>
  <c r="AI113" i="1" a="1"/>
  <c r="AI113" i="1" s="1"/>
  <c r="AI114" i="1" a="1"/>
  <c r="AI114" i="1" s="1"/>
  <c r="AI115" i="1" a="1"/>
  <c r="AI115" i="1" s="1"/>
  <c r="AI116" i="1" a="1"/>
  <c r="AI116" i="1" s="1"/>
  <c r="AI117" i="1" a="1"/>
  <c r="AI117" i="1" s="1"/>
  <c r="AI118" i="1" a="1"/>
  <c r="AI118" i="1" s="1"/>
  <c r="AI119" i="1" a="1"/>
  <c r="AI119" i="1" s="1"/>
  <c r="AI120" i="1" a="1"/>
  <c r="AI120" i="1" s="1"/>
  <c r="AI121" i="1" a="1"/>
  <c r="AI121" i="1" s="1"/>
  <c r="AI122" i="1" a="1"/>
  <c r="AI122" i="1" s="1"/>
  <c r="AI123" i="1" a="1"/>
  <c r="AI123" i="1" s="1"/>
  <c r="AI124" i="1" a="1"/>
  <c r="AI124" i="1" s="1"/>
  <c r="AI125" i="1" a="1"/>
  <c r="AI125" i="1" s="1"/>
  <c r="AI126" i="1" a="1"/>
  <c r="AI126" i="1" s="1"/>
  <c r="AI127" i="1" a="1"/>
  <c r="AI127" i="1" s="1"/>
  <c r="AI128" i="1" a="1"/>
  <c r="AI128" i="1" s="1"/>
  <c r="AI129" i="1" a="1"/>
  <c r="AI129" i="1" s="1"/>
  <c r="AI130" i="1" a="1"/>
  <c r="AI130" i="1" s="1"/>
  <c r="AI131" i="1" a="1"/>
  <c r="AI131" i="1" s="1"/>
  <c r="AI132" i="1" a="1"/>
  <c r="AI132" i="1" s="1"/>
  <c r="AI133" i="1" a="1"/>
  <c r="AI133" i="1" s="1"/>
  <c r="AI134" i="1" a="1"/>
  <c r="AI134" i="1" s="1"/>
  <c r="AI135" i="1" a="1"/>
  <c r="AI135" i="1" s="1"/>
  <c r="AI136" i="1" a="1"/>
  <c r="AI136" i="1" s="1"/>
  <c r="AI137" i="1" a="1"/>
  <c r="AI137" i="1" s="1"/>
  <c r="AI138" i="1" a="1"/>
  <c r="AI138" i="1" s="1"/>
  <c r="AI139" i="1" a="1"/>
  <c r="AI139" i="1" s="1"/>
  <c r="AI140" i="1" a="1"/>
  <c r="AI140" i="1" s="1"/>
  <c r="AI141" i="1" a="1"/>
  <c r="AI141" i="1" s="1"/>
  <c r="AI142" i="1" a="1"/>
  <c r="AI142" i="1" s="1"/>
  <c r="AI143" i="1" a="1"/>
  <c r="AI143" i="1" s="1"/>
  <c r="AI144" i="1" a="1"/>
  <c r="AI144" i="1" s="1"/>
  <c r="AI145" i="1" a="1"/>
  <c r="AI145" i="1" s="1"/>
  <c r="AI146" i="1" a="1"/>
  <c r="AI146" i="1" s="1"/>
  <c r="AI147" i="1" a="1"/>
  <c r="AI147" i="1" s="1"/>
  <c r="AI148" i="1" a="1"/>
  <c r="AI148" i="1" s="1"/>
  <c r="AI149" i="1" a="1"/>
  <c r="AI149" i="1" s="1"/>
  <c r="AI150" i="1" a="1"/>
  <c r="AI150" i="1" s="1"/>
  <c r="AI151" i="1" a="1"/>
  <c r="AI151" i="1" s="1"/>
  <c r="AI152" i="1" a="1"/>
  <c r="AI152" i="1" s="1"/>
  <c r="AI153" i="1" a="1"/>
  <c r="AI153" i="1" s="1"/>
  <c r="AI154" i="1" a="1"/>
  <c r="AI154" i="1" s="1"/>
  <c r="AI155" i="1" a="1"/>
  <c r="AI155" i="1" s="1"/>
  <c r="AI156" i="1" a="1"/>
  <c r="AI156" i="1" s="1"/>
  <c r="AI157" i="1" a="1"/>
  <c r="AI157" i="1" s="1"/>
  <c r="AI158" i="1" a="1"/>
  <c r="AI158" i="1" s="1"/>
  <c r="AI159" i="1" a="1"/>
  <c r="AI159" i="1" s="1"/>
  <c r="AI160" i="1" a="1"/>
  <c r="AI160" i="1" s="1"/>
  <c r="AI161" i="1" a="1"/>
  <c r="AI161" i="1" s="1"/>
  <c r="AI162" i="1" a="1"/>
  <c r="AI162" i="1" s="1"/>
  <c r="AI163" i="1" a="1"/>
  <c r="AI163" i="1" s="1"/>
  <c r="AI164" i="1" a="1"/>
  <c r="AI164" i="1" s="1"/>
  <c r="AI165" i="1" a="1"/>
  <c r="AI165" i="1" s="1"/>
  <c r="AI166" i="1" a="1"/>
  <c r="AI166" i="1" s="1"/>
  <c r="AI167" i="1" a="1"/>
  <c r="AI167" i="1" s="1"/>
  <c r="AI168" i="1" a="1"/>
  <c r="AI168" i="1" s="1"/>
  <c r="AI169" i="1" a="1"/>
  <c r="AI169" i="1" s="1"/>
  <c r="AI170" i="1" a="1"/>
  <c r="AI170" i="1" s="1"/>
  <c r="AI171" i="1" a="1"/>
  <c r="AI171" i="1" s="1"/>
  <c r="AI172" i="1" a="1"/>
  <c r="AI172" i="1" s="1"/>
  <c r="AI173" i="1" a="1"/>
  <c r="AI173" i="1" s="1"/>
  <c r="AI174" i="1" a="1"/>
  <c r="AI174" i="1" s="1"/>
  <c r="AI175" i="1" a="1"/>
  <c r="AI175" i="1" s="1"/>
  <c r="AI176" i="1" a="1"/>
  <c r="AI176" i="1" s="1"/>
  <c r="AI177" i="1" a="1"/>
  <c r="AI177" i="1" s="1"/>
  <c r="AI178" i="1" a="1"/>
  <c r="AI178" i="1" s="1"/>
  <c r="AI179" i="1" a="1"/>
  <c r="AI179" i="1" s="1"/>
  <c r="AI180" i="1" a="1"/>
  <c r="AI180" i="1" s="1"/>
  <c r="AI181" i="1" a="1"/>
  <c r="AI181" i="1" s="1"/>
  <c r="AI182" i="1" a="1"/>
  <c r="AI182" i="1" s="1"/>
  <c r="AI183" i="1" a="1"/>
  <c r="AI183" i="1" s="1"/>
  <c r="AI184" i="1" a="1"/>
  <c r="AI184" i="1" s="1"/>
  <c r="AI185" i="1" a="1"/>
  <c r="AI185" i="1" s="1"/>
  <c r="AI186" i="1" a="1"/>
  <c r="AI186" i="1" s="1"/>
  <c r="AI187" i="1" a="1"/>
  <c r="AI187" i="1" s="1"/>
  <c r="AI188" i="1" a="1"/>
  <c r="AI188" i="1" s="1"/>
  <c r="AI189" i="1" a="1"/>
  <c r="AI189" i="1" s="1"/>
  <c r="AI190" i="1" a="1"/>
  <c r="AI190" i="1" s="1"/>
  <c r="AI191" i="1" a="1"/>
  <c r="AI191" i="1" s="1"/>
  <c r="AI192" i="1" a="1"/>
  <c r="AI192" i="1" s="1"/>
  <c r="AI193" i="1" a="1"/>
  <c r="AI193" i="1" s="1"/>
  <c r="AI194" i="1" a="1"/>
  <c r="AI194" i="1" s="1"/>
  <c r="AI195" i="1" a="1"/>
  <c r="AI195" i="1" s="1"/>
  <c r="AI196" i="1" a="1"/>
  <c r="AI196" i="1" s="1"/>
  <c r="AI197" i="1" a="1"/>
  <c r="AI197" i="1" s="1"/>
  <c r="AI198" i="1" a="1"/>
  <c r="AI198" i="1" s="1"/>
  <c r="AI199" i="1" a="1"/>
  <c r="AI199" i="1" s="1"/>
  <c r="AI200" i="1" a="1"/>
  <c r="AI200" i="1" s="1"/>
  <c r="AI201" i="1" a="1"/>
  <c r="AI201" i="1" s="1"/>
  <c r="AI202" i="1" a="1"/>
  <c r="AI202" i="1" s="1"/>
  <c r="AI203" i="1" a="1"/>
  <c r="AI203" i="1" s="1"/>
  <c r="AI204" i="1" a="1"/>
  <c r="AI204" i="1" s="1"/>
  <c r="AI205" i="1" a="1"/>
  <c r="AI205" i="1" s="1"/>
  <c r="AI206" i="1" a="1"/>
  <c r="AI206" i="1" s="1"/>
  <c r="AI207" i="1" a="1"/>
  <c r="AI207" i="1" s="1"/>
  <c r="AI208" i="1" a="1"/>
  <c r="AI208" i="1" s="1"/>
  <c r="AI209" i="1" a="1"/>
  <c r="AI209" i="1" s="1"/>
  <c r="AI210" i="1" a="1"/>
  <c r="AI210" i="1" s="1"/>
  <c r="AI211" i="1" a="1"/>
  <c r="AI211" i="1" s="1"/>
  <c r="AI212" i="1" a="1"/>
  <c r="AI212" i="1" s="1"/>
  <c r="AI213" i="1" a="1"/>
  <c r="AI213" i="1" s="1"/>
  <c r="AI214" i="1" a="1"/>
  <c r="AI214" i="1" s="1"/>
  <c r="AI215" i="1" a="1"/>
  <c r="AI215" i="1" s="1"/>
  <c r="AI216" i="1" a="1"/>
  <c r="AI216" i="1" s="1"/>
  <c r="AI217" i="1" a="1"/>
  <c r="AI217" i="1" s="1"/>
  <c r="AI218" i="1" a="1"/>
  <c r="AI218" i="1" s="1"/>
  <c r="AI219" i="1" a="1"/>
  <c r="AI219" i="1" s="1"/>
  <c r="AI220" i="1" a="1"/>
  <c r="AI220" i="1" s="1"/>
  <c r="AI221" i="1" a="1"/>
  <c r="AI221" i="1" s="1"/>
  <c r="AI222" i="1" a="1"/>
  <c r="AI222" i="1" s="1"/>
  <c r="AI223" i="1" a="1"/>
  <c r="AI223" i="1" s="1"/>
  <c r="AI224" i="1" a="1"/>
  <c r="AI224" i="1" s="1"/>
  <c r="AI225" i="1" a="1"/>
  <c r="AI225" i="1" s="1"/>
  <c r="AI226" i="1" a="1"/>
  <c r="AI226" i="1" s="1"/>
  <c r="AI227" i="1" a="1"/>
  <c r="AI227" i="1" s="1"/>
  <c r="AI228" i="1" a="1"/>
  <c r="AI228" i="1" s="1"/>
  <c r="AI229" i="1" a="1"/>
  <c r="AI229" i="1" s="1"/>
  <c r="AI230" i="1" a="1"/>
  <c r="AI230" i="1" s="1"/>
  <c r="AI231" i="1" a="1"/>
  <c r="AI231" i="1" s="1"/>
  <c r="AI232" i="1" a="1"/>
  <c r="AI232" i="1" s="1"/>
  <c r="AI233" i="1" a="1"/>
  <c r="AI233" i="1" s="1"/>
  <c r="AI234" i="1" a="1"/>
  <c r="AI234" i="1" s="1"/>
  <c r="AI235" i="1" a="1"/>
  <c r="AI235" i="1" s="1"/>
  <c r="AI236" i="1" a="1"/>
  <c r="AI236" i="1" s="1"/>
  <c r="AI237" i="1" a="1"/>
  <c r="AI237" i="1" s="1"/>
  <c r="AI238" i="1" a="1"/>
  <c r="AI238" i="1" s="1"/>
  <c r="AI239" i="1" a="1"/>
  <c r="AI239" i="1" s="1"/>
  <c r="AI240" i="1" a="1"/>
  <c r="AI240" i="1" s="1"/>
  <c r="AI241" i="1" a="1"/>
  <c r="AI241" i="1" s="1"/>
  <c r="AI242" i="1" a="1"/>
  <c r="AI242" i="1" s="1"/>
  <c r="AI243" i="1" a="1"/>
  <c r="AI243" i="1" s="1"/>
  <c r="AI244" i="1" a="1"/>
  <c r="AI244" i="1" s="1"/>
  <c r="AI245" i="1" a="1"/>
  <c r="AI245" i="1" s="1"/>
  <c r="AI246" i="1" a="1"/>
  <c r="AI246" i="1" s="1"/>
  <c r="AI247" i="1" a="1"/>
  <c r="AI247" i="1" s="1"/>
  <c r="AI248" i="1" a="1"/>
  <c r="AI248" i="1" s="1"/>
  <c r="AI249" i="1" a="1"/>
  <c r="AI249" i="1" s="1"/>
  <c r="AI250" i="1" a="1"/>
  <c r="AI250" i="1" s="1"/>
  <c r="AI251" i="1" a="1"/>
  <c r="AI251" i="1" s="1"/>
  <c r="AI252" i="1" a="1"/>
  <c r="AI252" i="1" s="1"/>
  <c r="AI253" i="1" a="1"/>
  <c r="AI253" i="1" s="1"/>
  <c r="AI254" i="1" a="1"/>
  <c r="AI254" i="1" s="1"/>
  <c r="AI255" i="1" a="1"/>
  <c r="AI255" i="1" s="1"/>
  <c r="AI256" i="1" a="1"/>
  <c r="AI256" i="1" s="1"/>
  <c r="AI257" i="1" a="1"/>
  <c r="AI257" i="1" s="1"/>
  <c r="AI258" i="1" a="1"/>
  <c r="AI258" i="1" s="1"/>
  <c r="AI259" i="1" a="1"/>
  <c r="AI259" i="1" s="1"/>
  <c r="AI260" i="1" a="1"/>
  <c r="AI260" i="1" s="1"/>
  <c r="AI261" i="1" a="1"/>
  <c r="AI261" i="1" s="1"/>
  <c r="AI262" i="1" a="1"/>
  <c r="AI262" i="1" s="1"/>
  <c r="AI263" i="1" a="1"/>
  <c r="AI263" i="1" s="1"/>
  <c r="AI264" i="1" a="1"/>
  <c r="AI264" i="1" s="1"/>
  <c r="AI265" i="1" a="1"/>
  <c r="AI265" i="1" s="1"/>
  <c r="AI266" i="1" a="1"/>
  <c r="AI266" i="1" s="1"/>
  <c r="AI267" i="1" a="1"/>
  <c r="AI267" i="1" s="1"/>
  <c r="AI268" i="1" a="1"/>
  <c r="AI268" i="1" s="1"/>
  <c r="AI269" i="1" a="1"/>
  <c r="AI269" i="1" s="1"/>
  <c r="AI270" i="1" a="1"/>
  <c r="AI270" i="1" s="1"/>
  <c r="AI271" i="1" a="1"/>
  <c r="AI271" i="1" s="1"/>
  <c r="AI272" i="1" a="1"/>
  <c r="AI272" i="1" s="1"/>
  <c r="AI273" i="1" a="1"/>
  <c r="AI273" i="1" s="1"/>
  <c r="AI274" i="1" a="1"/>
  <c r="AI274" i="1" s="1"/>
  <c r="AI275" i="1" a="1"/>
  <c r="AI275" i="1" s="1"/>
  <c r="AI276" i="1" a="1"/>
  <c r="AI276" i="1" s="1"/>
  <c r="AI277" i="1" a="1"/>
  <c r="AI277" i="1" s="1"/>
  <c r="AI278" i="1" a="1"/>
  <c r="AI278" i="1" s="1"/>
  <c r="AI279" i="1" a="1"/>
  <c r="AI279" i="1" s="1"/>
  <c r="AI280" i="1" a="1"/>
  <c r="AI280" i="1" s="1"/>
  <c r="AI281" i="1" a="1"/>
  <c r="AI281" i="1" s="1"/>
  <c r="AI282" i="1" a="1"/>
  <c r="AI282" i="1" s="1"/>
  <c r="AI283" i="1" a="1"/>
  <c r="AI283" i="1" s="1"/>
  <c r="AI284" i="1" a="1"/>
  <c r="AI284" i="1" s="1"/>
  <c r="AI285" i="1" a="1"/>
  <c r="AI285" i="1" s="1"/>
  <c r="AI286" i="1" a="1"/>
  <c r="AI286" i="1" s="1"/>
  <c r="AI287" i="1" a="1"/>
  <c r="AI287" i="1" s="1"/>
  <c r="AI288" i="1" a="1"/>
  <c r="AI288" i="1" s="1"/>
  <c r="AI289" i="1" a="1"/>
  <c r="AI289" i="1" s="1"/>
  <c r="AI290" i="1" a="1"/>
  <c r="AI290" i="1" s="1"/>
  <c r="AI291" i="1" a="1"/>
  <c r="AI291" i="1" s="1"/>
  <c r="AI292" i="1" a="1"/>
  <c r="AI292" i="1" s="1"/>
  <c r="AI293" i="1" a="1"/>
  <c r="AI293" i="1" s="1"/>
  <c r="AI294" i="1" a="1"/>
  <c r="AI294" i="1" s="1"/>
  <c r="AI295" i="1" a="1"/>
  <c r="AI295" i="1" s="1"/>
  <c r="AI296" i="1" a="1"/>
  <c r="AI296" i="1" s="1"/>
  <c r="AI297" i="1" a="1"/>
  <c r="AI297" i="1" s="1"/>
  <c r="AI298" i="1" a="1"/>
  <c r="AI298" i="1" s="1"/>
  <c r="AI299" i="1" a="1"/>
  <c r="AI299" i="1" s="1"/>
  <c r="AI300" i="1" a="1"/>
  <c r="AI300" i="1" s="1"/>
  <c r="AI301" i="1" a="1"/>
  <c r="AI301" i="1" s="1"/>
  <c r="AI302" i="1" a="1"/>
  <c r="AI302" i="1" s="1"/>
  <c r="AI303" i="1" a="1"/>
  <c r="AI303" i="1" s="1"/>
  <c r="AI304" i="1" a="1"/>
  <c r="AI304" i="1" s="1"/>
  <c r="AI305" i="1" a="1"/>
  <c r="AI305" i="1" s="1"/>
  <c r="AI306" i="1" a="1"/>
  <c r="AI306" i="1" s="1"/>
  <c r="AI307" i="1" a="1"/>
  <c r="AI307" i="1" s="1"/>
  <c r="AI308" i="1" a="1"/>
  <c r="AI308" i="1" s="1"/>
  <c r="AI309" i="1" a="1"/>
  <c r="AI309" i="1" s="1"/>
  <c r="AI310" i="1" a="1"/>
  <c r="AI310" i="1" s="1"/>
  <c r="AI311" i="1" a="1"/>
  <c r="AI311" i="1" s="1"/>
  <c r="AI312" i="1" a="1"/>
  <c r="AI312" i="1" s="1"/>
  <c r="AI313" i="1" a="1"/>
  <c r="AI313" i="1" s="1"/>
  <c r="AI314" i="1" a="1"/>
  <c r="AI314" i="1" s="1"/>
  <c r="AI315" i="1" a="1"/>
  <c r="AI315" i="1" s="1"/>
  <c r="AI316" i="1" a="1"/>
  <c r="AI316" i="1" s="1"/>
  <c r="AI317" i="1" a="1"/>
  <c r="AI317" i="1" s="1"/>
  <c r="AI318" i="1" a="1"/>
  <c r="AI318" i="1" s="1"/>
  <c r="AI319" i="1" a="1"/>
  <c r="AI319" i="1" s="1"/>
  <c r="AI320" i="1" a="1"/>
  <c r="AI320" i="1" s="1"/>
  <c r="AI321" i="1" a="1"/>
  <c r="AI321" i="1" s="1"/>
  <c r="AI322" i="1" a="1"/>
  <c r="AI322" i="1" s="1"/>
  <c r="AI323" i="1" a="1"/>
  <c r="AI323" i="1" s="1"/>
  <c r="AI324" i="1" a="1"/>
  <c r="AI324" i="1" s="1"/>
  <c r="AI325" i="1" a="1"/>
  <c r="AI325" i="1" s="1"/>
  <c r="AI326" i="1" a="1"/>
  <c r="AI326" i="1" s="1"/>
  <c r="AI327" i="1" a="1"/>
  <c r="AI327" i="1" s="1"/>
  <c r="AI328" i="1" a="1"/>
  <c r="AI328" i="1" s="1"/>
  <c r="AI329" i="1" a="1"/>
  <c r="AI329" i="1" s="1"/>
  <c r="AI330" i="1" a="1"/>
  <c r="AI330" i="1" s="1"/>
  <c r="AI331" i="1" a="1"/>
  <c r="AI331" i="1" s="1"/>
  <c r="AI332" i="1" a="1"/>
  <c r="AI332" i="1" s="1"/>
  <c r="AI333" i="1" a="1"/>
  <c r="AI333" i="1" s="1"/>
  <c r="AI334" i="1" a="1"/>
  <c r="AI334" i="1" s="1"/>
  <c r="AI335" i="1" a="1"/>
  <c r="AI335" i="1" s="1"/>
  <c r="S4" i="1" a="1"/>
  <c r="S4" i="1" s="1"/>
  <c r="S5" i="1" a="1"/>
  <c r="S5" i="1" s="1"/>
  <c r="S6" i="1" a="1"/>
  <c r="S6" i="1" s="1"/>
  <c r="S7" i="1" a="1"/>
  <c r="S7" i="1" s="1"/>
  <c r="S8" i="1" a="1"/>
  <c r="S8" i="1" s="1"/>
  <c r="S9" i="1" a="1"/>
  <c r="S9" i="1" s="1"/>
  <c r="S10" i="1" a="1"/>
  <c r="S10" i="1" s="1"/>
  <c r="S11" i="1" a="1"/>
  <c r="S11" i="1" s="1"/>
  <c r="S12" i="1" a="1"/>
  <c r="S12" i="1" s="1"/>
  <c r="S13" i="1" a="1"/>
  <c r="S13" i="1" s="1"/>
  <c r="S14" i="1" a="1"/>
  <c r="S14" i="1" s="1"/>
  <c r="S15" i="1" a="1"/>
  <c r="S15" i="1" s="1"/>
  <c r="S16" i="1" a="1"/>
  <c r="S16" i="1" s="1"/>
  <c r="S17" i="1" a="1"/>
  <c r="S17" i="1" s="1"/>
  <c r="S18" i="1" a="1"/>
  <c r="S18" i="1" s="1"/>
  <c r="S19" i="1" a="1"/>
  <c r="S19" i="1" s="1"/>
  <c r="S20" i="1" a="1"/>
  <c r="S20" i="1" s="1"/>
  <c r="S21" i="1" a="1"/>
  <c r="S21" i="1" s="1"/>
  <c r="S22" i="1" a="1"/>
  <c r="S22" i="1" s="1"/>
  <c r="S23" i="1" a="1"/>
  <c r="S23" i="1" s="1"/>
  <c r="S24" i="1" a="1"/>
  <c r="S24" i="1" s="1"/>
  <c r="S25" i="1" a="1"/>
  <c r="S25" i="1" s="1"/>
  <c r="S26" i="1" a="1"/>
  <c r="S26" i="1" s="1"/>
  <c r="S27" i="1" a="1"/>
  <c r="S27" i="1" s="1"/>
  <c r="S28" i="1" a="1"/>
  <c r="S28" i="1" s="1"/>
  <c r="S29" i="1" a="1"/>
  <c r="S29" i="1" s="1"/>
  <c r="S30" i="1" a="1"/>
  <c r="S30" i="1" s="1"/>
  <c r="S31" i="1" a="1"/>
  <c r="S31" i="1" s="1"/>
  <c r="S32" i="1" a="1"/>
  <c r="S32" i="1" s="1"/>
  <c r="S33" i="1" a="1"/>
  <c r="S33" i="1" s="1"/>
  <c r="S34" i="1" a="1"/>
  <c r="S34" i="1" s="1"/>
  <c r="S35" i="1" a="1"/>
  <c r="S35" i="1" s="1"/>
  <c r="S36" i="1" a="1"/>
  <c r="S36" i="1" s="1"/>
  <c r="S37" i="1" a="1"/>
  <c r="S37" i="1" s="1"/>
  <c r="S38" i="1" a="1"/>
  <c r="S38" i="1" s="1"/>
  <c r="S39" i="1" a="1"/>
  <c r="S39" i="1" s="1"/>
  <c r="S40" i="1" a="1"/>
  <c r="S40" i="1" s="1"/>
  <c r="S41" i="1" a="1"/>
  <c r="S41" i="1" s="1"/>
  <c r="S42" i="1" a="1"/>
  <c r="S42" i="1" s="1"/>
  <c r="S43" i="1" a="1"/>
  <c r="S43" i="1" s="1"/>
  <c r="S44" i="1" a="1"/>
  <c r="S44" i="1" s="1"/>
  <c r="S45" i="1" a="1"/>
  <c r="S45" i="1" s="1"/>
  <c r="S46" i="1" a="1"/>
  <c r="S46" i="1" s="1"/>
  <c r="S47" i="1" a="1"/>
  <c r="S47" i="1" s="1"/>
  <c r="S48" i="1" a="1"/>
  <c r="S48" i="1" s="1"/>
  <c r="S49" i="1" a="1"/>
  <c r="S49" i="1" s="1"/>
  <c r="S50" i="1" a="1"/>
  <c r="S50" i="1" s="1"/>
  <c r="S51" i="1" a="1"/>
  <c r="S51" i="1" s="1"/>
  <c r="S52" i="1" a="1"/>
  <c r="S52" i="1" s="1"/>
  <c r="S53" i="1" a="1"/>
  <c r="S53" i="1" s="1"/>
  <c r="S54" i="1" a="1"/>
  <c r="S54" i="1" s="1"/>
  <c r="S55" i="1" a="1"/>
  <c r="S55" i="1" s="1"/>
  <c r="S56" i="1" a="1"/>
  <c r="S56" i="1" s="1"/>
  <c r="S57" i="1" a="1"/>
  <c r="S57" i="1" s="1"/>
  <c r="S58" i="1" a="1"/>
  <c r="S58" i="1" s="1"/>
  <c r="S59" i="1" a="1"/>
  <c r="S59" i="1" s="1"/>
  <c r="S60" i="1" a="1"/>
  <c r="S60" i="1" s="1"/>
  <c r="S61" i="1" a="1"/>
  <c r="S61" i="1" s="1"/>
  <c r="S62" i="1" a="1"/>
  <c r="S62" i="1" s="1"/>
  <c r="S63" i="1" a="1"/>
  <c r="S63" i="1" s="1"/>
  <c r="S64" i="1" a="1"/>
  <c r="S64" i="1" s="1"/>
  <c r="S65" i="1" a="1"/>
  <c r="S65" i="1" s="1"/>
  <c r="S66" i="1" a="1"/>
  <c r="S66" i="1" s="1"/>
  <c r="S67" i="1" a="1"/>
  <c r="S67" i="1" s="1"/>
  <c r="S68" i="1" a="1"/>
  <c r="S68" i="1" s="1"/>
  <c r="S69" i="1" a="1"/>
  <c r="S69" i="1" s="1"/>
  <c r="S70" i="1" a="1"/>
  <c r="S70" i="1" s="1"/>
  <c r="S71" i="1" a="1"/>
  <c r="S71" i="1" s="1"/>
  <c r="S72" i="1" a="1"/>
  <c r="S72" i="1" s="1"/>
  <c r="S73" i="1" a="1"/>
  <c r="S73" i="1" s="1"/>
  <c r="S74" i="1" a="1"/>
  <c r="S74" i="1" s="1"/>
  <c r="S75" i="1" a="1"/>
  <c r="S75" i="1" s="1"/>
  <c r="S76" i="1" a="1"/>
  <c r="S76" i="1" s="1"/>
  <c r="S77" i="1" a="1"/>
  <c r="S77" i="1" s="1"/>
  <c r="S78" i="1" a="1"/>
  <c r="S78" i="1" s="1"/>
  <c r="S79" i="1" a="1"/>
  <c r="S79" i="1" s="1"/>
  <c r="S80" i="1" a="1"/>
  <c r="S80" i="1" s="1"/>
  <c r="S81" i="1" a="1"/>
  <c r="S81" i="1" s="1"/>
  <c r="S82" i="1" a="1"/>
  <c r="S82" i="1" s="1"/>
  <c r="S83" i="1" a="1"/>
  <c r="S83" i="1" s="1"/>
  <c r="S84" i="1" a="1"/>
  <c r="S84" i="1" s="1"/>
  <c r="S85" i="1" a="1"/>
  <c r="S85" i="1" s="1"/>
  <c r="S86" i="1" a="1"/>
  <c r="S86" i="1" s="1"/>
  <c r="S87" i="1" a="1"/>
  <c r="S87" i="1" s="1"/>
  <c r="S88" i="1" a="1"/>
  <c r="S88" i="1" s="1"/>
  <c r="S89" i="1" a="1"/>
  <c r="S89" i="1" s="1"/>
  <c r="S90" i="1" a="1"/>
  <c r="S90" i="1" s="1"/>
  <c r="S91" i="1" a="1"/>
  <c r="S91" i="1" s="1"/>
  <c r="S92" i="1" a="1"/>
  <c r="S92" i="1" s="1"/>
  <c r="S93" i="1" a="1"/>
  <c r="S93" i="1" s="1"/>
  <c r="S94" i="1" a="1"/>
  <c r="S94" i="1" s="1"/>
  <c r="S95" i="1" a="1"/>
  <c r="S95" i="1" s="1"/>
  <c r="S96" i="1" a="1"/>
  <c r="S96" i="1" s="1"/>
  <c r="S97" i="1" a="1"/>
  <c r="S97" i="1" s="1"/>
  <c r="S98" i="1" a="1"/>
  <c r="S98" i="1" s="1"/>
  <c r="S99" i="1" a="1"/>
  <c r="S99" i="1" s="1"/>
  <c r="S100" i="1" a="1"/>
  <c r="S100" i="1" s="1"/>
  <c r="S101" i="1" a="1"/>
  <c r="S101" i="1" s="1"/>
  <c r="S102" i="1" a="1"/>
  <c r="S102" i="1" s="1"/>
  <c r="S103" i="1" a="1"/>
  <c r="S103" i="1" s="1"/>
  <c r="S104" i="1" a="1"/>
  <c r="S104" i="1" s="1"/>
  <c r="S105" i="1" a="1"/>
  <c r="S105" i="1" s="1"/>
  <c r="S106" i="1" a="1"/>
  <c r="S106" i="1" s="1"/>
  <c r="S107" i="1" a="1"/>
  <c r="S107" i="1" s="1"/>
  <c r="S108" i="1" a="1"/>
  <c r="S108" i="1" s="1"/>
  <c r="S109" i="1" a="1"/>
  <c r="S109" i="1" s="1"/>
  <c r="S110" i="1" a="1"/>
  <c r="S110" i="1" s="1"/>
  <c r="S111" i="1" a="1"/>
  <c r="S111" i="1" s="1"/>
  <c r="S112" i="1" a="1"/>
  <c r="S112" i="1" s="1"/>
  <c r="S113" i="1" a="1"/>
  <c r="S113" i="1" s="1"/>
  <c r="S114" i="1" a="1"/>
  <c r="S114" i="1" s="1"/>
  <c r="S115" i="1" a="1"/>
  <c r="S115" i="1" s="1"/>
  <c r="S116" i="1" a="1"/>
  <c r="S116" i="1" s="1"/>
  <c r="S117" i="1" a="1"/>
  <c r="S117" i="1" s="1"/>
  <c r="S118" i="1" a="1"/>
  <c r="S118" i="1" s="1"/>
  <c r="S119" i="1" a="1"/>
  <c r="S119" i="1" s="1"/>
  <c r="S120" i="1" a="1"/>
  <c r="S120" i="1" s="1"/>
  <c r="S121" i="1" a="1"/>
  <c r="S121" i="1" s="1"/>
  <c r="S122" i="1" a="1"/>
  <c r="S122" i="1" s="1"/>
  <c r="S123" i="1" a="1"/>
  <c r="S123" i="1" s="1"/>
  <c r="S124" i="1" a="1"/>
  <c r="S124" i="1" s="1"/>
  <c r="S125" i="1" a="1"/>
  <c r="S125" i="1" s="1"/>
  <c r="S126" i="1" a="1"/>
  <c r="S126" i="1" s="1"/>
  <c r="S127" i="1" a="1"/>
  <c r="S127" i="1" s="1"/>
  <c r="S128" i="1" a="1"/>
  <c r="S128" i="1" s="1"/>
  <c r="S129" i="1" a="1"/>
  <c r="S129" i="1" s="1"/>
  <c r="S130" i="1" a="1"/>
  <c r="S130" i="1" s="1"/>
  <c r="S131" i="1" a="1"/>
  <c r="S131" i="1" s="1"/>
  <c r="S132" i="1" a="1"/>
  <c r="S132" i="1" s="1"/>
  <c r="S133" i="1" a="1"/>
  <c r="S133" i="1" s="1"/>
  <c r="S134" i="1" a="1"/>
  <c r="S134" i="1" s="1"/>
  <c r="S135" i="1" a="1"/>
  <c r="S135" i="1" s="1"/>
  <c r="S136" i="1" a="1"/>
  <c r="S136" i="1" s="1"/>
  <c r="S137" i="1" a="1"/>
  <c r="S137" i="1" s="1"/>
  <c r="S138" i="1" a="1"/>
  <c r="S138" i="1" s="1"/>
  <c r="S139" i="1" a="1"/>
  <c r="S139" i="1" s="1"/>
  <c r="S140" i="1" a="1"/>
  <c r="S140" i="1" s="1"/>
  <c r="S141" i="1" a="1"/>
  <c r="S141" i="1" s="1"/>
  <c r="S142" i="1" a="1"/>
  <c r="S142" i="1" s="1"/>
  <c r="S143" i="1" a="1"/>
  <c r="S143" i="1" s="1"/>
  <c r="S144" i="1" a="1"/>
  <c r="S144" i="1" s="1"/>
  <c r="S145" i="1" a="1"/>
  <c r="S145" i="1" s="1"/>
  <c r="S146" i="1" a="1"/>
  <c r="S146" i="1" s="1"/>
  <c r="S147" i="1" a="1"/>
  <c r="S147" i="1" s="1"/>
  <c r="S148" i="1" a="1"/>
  <c r="S148" i="1" s="1"/>
  <c r="S149" i="1" a="1"/>
  <c r="S149" i="1" s="1"/>
  <c r="S150" i="1" a="1"/>
  <c r="S150" i="1" s="1"/>
  <c r="S151" i="1" a="1"/>
  <c r="S151" i="1" s="1"/>
  <c r="S152" i="1" a="1"/>
  <c r="S152" i="1" s="1"/>
  <c r="S153" i="1" a="1"/>
  <c r="S153" i="1" s="1"/>
  <c r="S154" i="1" a="1"/>
  <c r="S154" i="1" s="1"/>
  <c r="S155" i="1" a="1"/>
  <c r="S155" i="1" s="1"/>
  <c r="S156" i="1" a="1"/>
  <c r="S156" i="1" s="1"/>
  <c r="S157" i="1" a="1"/>
  <c r="S157" i="1" s="1"/>
  <c r="S158" i="1" a="1"/>
  <c r="S158" i="1" s="1"/>
  <c r="S159" i="1" a="1"/>
  <c r="S159" i="1" s="1"/>
  <c r="S160" i="1" a="1"/>
  <c r="S160" i="1" s="1"/>
  <c r="S161" i="1" a="1"/>
  <c r="S161" i="1" s="1"/>
  <c r="S162" i="1" a="1"/>
  <c r="S162" i="1" s="1"/>
  <c r="S163" i="1" a="1"/>
  <c r="S163" i="1" s="1"/>
  <c r="S164" i="1" a="1"/>
  <c r="S164" i="1" s="1"/>
  <c r="S165" i="1" a="1"/>
  <c r="S165" i="1" s="1"/>
  <c r="S166" i="1" a="1"/>
  <c r="S166" i="1" s="1"/>
  <c r="S167" i="1" a="1"/>
  <c r="S167" i="1" s="1"/>
  <c r="S168" i="1" a="1"/>
  <c r="S168" i="1" s="1"/>
  <c r="S169" i="1" a="1"/>
  <c r="S169" i="1" s="1"/>
  <c r="S170" i="1" a="1"/>
  <c r="S170" i="1" s="1"/>
  <c r="S171" i="1" a="1"/>
  <c r="S171" i="1" s="1"/>
  <c r="S172" i="1" a="1"/>
  <c r="S172" i="1" s="1"/>
  <c r="S173" i="1" a="1"/>
  <c r="S173" i="1" s="1"/>
  <c r="S174" i="1" a="1"/>
  <c r="S174" i="1" s="1"/>
  <c r="S175" i="1" a="1"/>
  <c r="S175" i="1" s="1"/>
  <c r="S176" i="1" a="1"/>
  <c r="S176" i="1" s="1"/>
  <c r="S177" i="1" a="1"/>
  <c r="S177" i="1" s="1"/>
  <c r="S178" i="1" a="1"/>
  <c r="S178" i="1" s="1"/>
  <c r="S179" i="1" a="1"/>
  <c r="S179" i="1" s="1"/>
  <c r="S180" i="1" a="1"/>
  <c r="S180" i="1" s="1"/>
  <c r="S181" i="1" a="1"/>
  <c r="S181" i="1" s="1"/>
  <c r="S182" i="1" a="1"/>
  <c r="S182" i="1" s="1"/>
  <c r="S183" i="1" a="1"/>
  <c r="S183" i="1" s="1"/>
  <c r="S184" i="1" a="1"/>
  <c r="S184" i="1" s="1"/>
  <c r="S185" i="1" a="1"/>
  <c r="S185" i="1" s="1"/>
  <c r="S186" i="1" a="1"/>
  <c r="S186" i="1" s="1"/>
  <c r="S187" i="1" a="1"/>
  <c r="S187" i="1" s="1"/>
  <c r="S188" i="1" a="1"/>
  <c r="S188" i="1" s="1"/>
  <c r="S189" i="1" a="1"/>
  <c r="S189" i="1" s="1"/>
  <c r="S190" i="1" a="1"/>
  <c r="S190" i="1" s="1"/>
  <c r="S191" i="1" a="1"/>
  <c r="S191" i="1" s="1"/>
  <c r="S192" i="1" a="1"/>
  <c r="S192" i="1" s="1"/>
  <c r="S193" i="1" a="1"/>
  <c r="S193" i="1" s="1"/>
  <c r="S194" i="1" a="1"/>
  <c r="S194" i="1" s="1"/>
  <c r="S195" i="1" a="1"/>
  <c r="S195" i="1" s="1"/>
  <c r="S196" i="1" a="1"/>
  <c r="S196" i="1" s="1"/>
  <c r="S197" i="1" a="1"/>
  <c r="S197" i="1" s="1"/>
  <c r="S198" i="1" a="1"/>
  <c r="S198" i="1" s="1"/>
  <c r="S199" i="1" a="1"/>
  <c r="S199" i="1" s="1"/>
  <c r="S200" i="1" a="1"/>
  <c r="S200" i="1" s="1"/>
  <c r="S201" i="1" a="1"/>
  <c r="S201" i="1" s="1"/>
  <c r="S202" i="1" a="1"/>
  <c r="S202" i="1" s="1"/>
  <c r="S203" i="1" a="1"/>
  <c r="S203" i="1" s="1"/>
  <c r="S204" i="1" a="1"/>
  <c r="S204" i="1" s="1"/>
  <c r="S205" i="1" a="1"/>
  <c r="S205" i="1" s="1"/>
  <c r="S206" i="1" a="1"/>
  <c r="S206" i="1" s="1"/>
  <c r="S207" i="1" a="1"/>
  <c r="S207" i="1" s="1"/>
  <c r="S208" i="1" a="1"/>
  <c r="S208" i="1" s="1"/>
  <c r="S209" i="1" a="1"/>
  <c r="S209" i="1" s="1"/>
  <c r="S210" i="1" a="1"/>
  <c r="S210" i="1" s="1"/>
  <c r="S211" i="1" a="1"/>
  <c r="S211" i="1" s="1"/>
  <c r="S212" i="1" a="1"/>
  <c r="S212" i="1" s="1"/>
  <c r="S213" i="1" a="1"/>
  <c r="S213" i="1" s="1"/>
  <c r="S214" i="1" a="1"/>
  <c r="S214" i="1" s="1"/>
  <c r="S215" i="1" a="1"/>
  <c r="S215" i="1" s="1"/>
  <c r="S216" i="1" a="1"/>
  <c r="S216" i="1" s="1"/>
  <c r="S217" i="1" a="1"/>
  <c r="S217" i="1" s="1"/>
  <c r="S218" i="1" a="1"/>
  <c r="S218" i="1" s="1"/>
  <c r="S219" i="1" a="1"/>
  <c r="S219" i="1" s="1"/>
  <c r="S220" i="1" a="1"/>
  <c r="S220" i="1" s="1"/>
  <c r="S221" i="1" a="1"/>
  <c r="S221" i="1" s="1"/>
  <c r="S222" i="1" a="1"/>
  <c r="S222" i="1" s="1"/>
  <c r="S223" i="1" a="1"/>
  <c r="S223" i="1" s="1"/>
  <c r="S224" i="1" a="1"/>
  <c r="S224" i="1" s="1"/>
  <c r="S225" i="1" a="1"/>
  <c r="S225" i="1" s="1"/>
  <c r="S226" i="1" a="1"/>
  <c r="S226" i="1" s="1"/>
  <c r="S227" i="1" a="1"/>
  <c r="S227" i="1" s="1"/>
  <c r="S228" i="1" a="1"/>
  <c r="S228" i="1" s="1"/>
  <c r="S229" i="1" a="1"/>
  <c r="S229" i="1" s="1"/>
  <c r="S230" i="1" a="1"/>
  <c r="S230" i="1" s="1"/>
  <c r="S231" i="1" a="1"/>
  <c r="S231" i="1" s="1"/>
  <c r="S232" i="1" a="1"/>
  <c r="S232" i="1" s="1"/>
  <c r="S233" i="1" a="1"/>
  <c r="S233" i="1" s="1"/>
  <c r="S234" i="1" a="1"/>
  <c r="S234" i="1" s="1"/>
  <c r="S235" i="1" a="1"/>
  <c r="S235" i="1" s="1"/>
  <c r="S236" i="1" a="1"/>
  <c r="S236" i="1" s="1"/>
  <c r="S237" i="1" a="1"/>
  <c r="S237" i="1" s="1"/>
  <c r="S238" i="1" a="1"/>
  <c r="S238" i="1" s="1"/>
  <c r="S239" i="1" a="1"/>
  <c r="S239" i="1" s="1"/>
  <c r="S240" i="1" a="1"/>
  <c r="S240" i="1" s="1"/>
  <c r="S241" i="1" a="1"/>
  <c r="S241" i="1" s="1"/>
  <c r="S242" i="1" a="1"/>
  <c r="S242" i="1" s="1"/>
  <c r="S243" i="1" a="1"/>
  <c r="S243" i="1" s="1"/>
  <c r="S244" i="1" a="1"/>
  <c r="S244" i="1" s="1"/>
  <c r="S245" i="1" a="1"/>
  <c r="S245" i="1" s="1"/>
  <c r="S246" i="1" a="1"/>
  <c r="S246" i="1" s="1"/>
  <c r="S247" i="1" a="1"/>
  <c r="S247" i="1" s="1"/>
  <c r="S248" i="1" a="1"/>
  <c r="S248" i="1" s="1"/>
  <c r="S249" i="1" a="1"/>
  <c r="S249" i="1" s="1"/>
  <c r="S250" i="1" a="1"/>
  <c r="S250" i="1" s="1"/>
  <c r="S251" i="1" a="1"/>
  <c r="S251" i="1" s="1"/>
  <c r="S252" i="1" a="1"/>
  <c r="S252" i="1" s="1"/>
  <c r="S253" i="1" a="1"/>
  <c r="S253" i="1" s="1"/>
  <c r="S254" i="1" a="1"/>
  <c r="S254" i="1" s="1"/>
  <c r="S255" i="1" a="1"/>
  <c r="S255" i="1" s="1"/>
  <c r="S256" i="1" a="1"/>
  <c r="S256" i="1" s="1"/>
  <c r="S257" i="1" a="1"/>
  <c r="S257" i="1" s="1"/>
  <c r="S258" i="1" a="1"/>
  <c r="S258" i="1" s="1"/>
  <c r="S259" i="1" a="1"/>
  <c r="S259" i="1" s="1"/>
  <c r="S260" i="1" a="1"/>
  <c r="S260" i="1" s="1"/>
  <c r="S261" i="1" a="1"/>
  <c r="S261" i="1" s="1"/>
  <c r="S262" i="1" a="1"/>
  <c r="S262" i="1" s="1"/>
  <c r="S263" i="1" a="1"/>
  <c r="S263" i="1" s="1"/>
  <c r="S264" i="1" a="1"/>
  <c r="S264" i="1" s="1"/>
  <c r="S265" i="1" a="1"/>
  <c r="S265" i="1" s="1"/>
  <c r="S266" i="1" a="1"/>
  <c r="S266" i="1" s="1"/>
  <c r="S267" i="1" a="1"/>
  <c r="S267" i="1" s="1"/>
  <c r="S268" i="1" a="1"/>
  <c r="S268" i="1" s="1"/>
  <c r="S269" i="1" a="1"/>
  <c r="S269" i="1" s="1"/>
  <c r="S270" i="1" a="1"/>
  <c r="S270" i="1" s="1"/>
  <c r="S271" i="1" a="1"/>
  <c r="S271" i="1" s="1"/>
  <c r="S272" i="1" a="1"/>
  <c r="S272" i="1" s="1"/>
  <c r="S273" i="1" a="1"/>
  <c r="S273" i="1" s="1"/>
  <c r="S274" i="1" a="1"/>
  <c r="S274" i="1" s="1"/>
  <c r="S275" i="1" a="1"/>
  <c r="S275" i="1" s="1"/>
  <c r="S276" i="1" a="1"/>
  <c r="S276" i="1" s="1"/>
  <c r="S277" i="1" a="1"/>
  <c r="S277" i="1" s="1"/>
  <c r="S278" i="1" a="1"/>
  <c r="S278" i="1" s="1"/>
  <c r="S279" i="1" a="1"/>
  <c r="S279" i="1" s="1"/>
  <c r="S280" i="1" a="1"/>
  <c r="S280" i="1" s="1"/>
  <c r="S281" i="1" a="1"/>
  <c r="S281" i="1" s="1"/>
  <c r="S282" i="1" a="1"/>
  <c r="S282" i="1" s="1"/>
  <c r="S283" i="1" a="1"/>
  <c r="S283" i="1" s="1"/>
  <c r="S284" i="1" a="1"/>
  <c r="S284" i="1" s="1"/>
  <c r="S285" i="1" a="1"/>
  <c r="S285" i="1" s="1"/>
  <c r="S286" i="1" a="1"/>
  <c r="S286" i="1" s="1"/>
  <c r="S287" i="1" a="1"/>
  <c r="S287" i="1" s="1"/>
  <c r="S288" i="1" a="1"/>
  <c r="S288" i="1" s="1"/>
  <c r="S289" i="1" a="1"/>
  <c r="S289" i="1" s="1"/>
  <c r="S290" i="1" a="1"/>
  <c r="S290" i="1" s="1"/>
  <c r="S291" i="1" a="1"/>
  <c r="S291" i="1" s="1"/>
  <c r="S292" i="1" a="1"/>
  <c r="S292" i="1" s="1"/>
  <c r="S293" i="1" a="1"/>
  <c r="S293" i="1" s="1"/>
  <c r="S294" i="1" a="1"/>
  <c r="S294" i="1" s="1"/>
  <c r="S295" i="1" a="1"/>
  <c r="S295" i="1" s="1"/>
  <c r="S296" i="1" a="1"/>
  <c r="S296" i="1" s="1"/>
  <c r="S297" i="1" a="1"/>
  <c r="S297" i="1" s="1"/>
  <c r="S298" i="1" a="1"/>
  <c r="S298" i="1" s="1"/>
  <c r="S299" i="1" a="1"/>
  <c r="S299" i="1" s="1"/>
  <c r="S300" i="1" a="1"/>
  <c r="S300" i="1" s="1"/>
  <c r="S301" i="1" a="1"/>
  <c r="S301" i="1" s="1"/>
  <c r="S302" i="1" a="1"/>
  <c r="S302" i="1" s="1"/>
  <c r="S303" i="1" a="1"/>
  <c r="S303" i="1" s="1"/>
  <c r="S304" i="1" a="1"/>
  <c r="S304" i="1" s="1"/>
  <c r="S305" i="1" a="1"/>
  <c r="S305" i="1" s="1"/>
  <c r="S306" i="1" a="1"/>
  <c r="S306" i="1" s="1"/>
  <c r="S307" i="1" a="1"/>
  <c r="S307" i="1" s="1"/>
  <c r="S308" i="1" a="1"/>
  <c r="S308" i="1" s="1"/>
  <c r="S309" i="1" a="1"/>
  <c r="S309" i="1" s="1"/>
  <c r="S310" i="1" a="1"/>
  <c r="S310" i="1" s="1"/>
  <c r="S311" i="1" a="1"/>
  <c r="S311" i="1" s="1"/>
  <c r="S312" i="1" a="1"/>
  <c r="S312" i="1" s="1"/>
  <c r="S313" i="1" a="1"/>
  <c r="S313" i="1" s="1"/>
  <c r="S314" i="1" a="1"/>
  <c r="S314" i="1" s="1"/>
  <c r="S315" i="1" a="1"/>
  <c r="S315" i="1" s="1"/>
  <c r="S316" i="1" a="1"/>
  <c r="S316" i="1" s="1"/>
  <c r="S317" i="1" a="1"/>
  <c r="S317" i="1" s="1"/>
  <c r="S318" i="1" a="1"/>
  <c r="S318" i="1" s="1"/>
  <c r="S319" i="1" a="1"/>
  <c r="S319" i="1" s="1"/>
  <c r="S320" i="1" a="1"/>
  <c r="S320" i="1" s="1"/>
  <c r="S321" i="1" a="1"/>
  <c r="S321" i="1" s="1"/>
  <c r="S322" i="1" a="1"/>
  <c r="S322" i="1" s="1"/>
  <c r="S323" i="1" a="1"/>
  <c r="S323" i="1" s="1"/>
  <c r="S324" i="1" a="1"/>
  <c r="S324" i="1" s="1"/>
  <c r="S325" i="1" a="1"/>
  <c r="S325" i="1" s="1"/>
  <c r="S326" i="1" a="1"/>
  <c r="S326" i="1" s="1"/>
  <c r="S327" i="1" a="1"/>
  <c r="S327" i="1" s="1"/>
  <c r="S328" i="1" a="1"/>
  <c r="S328" i="1" s="1"/>
  <c r="S329" i="1" a="1"/>
  <c r="S329" i="1" s="1"/>
  <c r="S330" i="1" a="1"/>
  <c r="S330" i="1" s="1"/>
  <c r="S331" i="1" a="1"/>
  <c r="S331" i="1" s="1"/>
  <c r="S332" i="1" a="1"/>
  <c r="S332" i="1" s="1"/>
  <c r="S333" i="1" a="1"/>
  <c r="S333" i="1" s="1"/>
  <c r="S334" i="1" a="1"/>
  <c r="S334" i="1" s="1"/>
  <c r="S335" i="1" a="1"/>
  <c r="S335" i="1" s="1"/>
  <c r="S3" i="1" a="1"/>
  <c r="S3" i="1" s="1"/>
  <c r="AH3" i="1" a="1"/>
  <c r="AH3" i="1" s="1"/>
  <c r="AH4" i="1" a="1"/>
  <c r="AH4" i="1" s="1"/>
  <c r="AH5" i="1" a="1"/>
  <c r="AH5" i="1" s="1"/>
  <c r="AH6" i="1" a="1"/>
  <c r="AH6" i="1" s="1"/>
  <c r="AH7" i="1" a="1"/>
  <c r="AH7" i="1" s="1"/>
  <c r="AH8" i="1" a="1"/>
  <c r="AH8" i="1" s="1"/>
  <c r="AH9" i="1" a="1"/>
  <c r="AH9" i="1" s="1"/>
  <c r="AH10" i="1" a="1"/>
  <c r="AH10" i="1" s="1"/>
  <c r="AH11" i="1" a="1"/>
  <c r="AH11" i="1" s="1"/>
  <c r="AH12" i="1" a="1"/>
  <c r="AH12" i="1" s="1"/>
  <c r="AH13" i="1" a="1"/>
  <c r="AH13" i="1" s="1"/>
  <c r="AH14" i="1" a="1"/>
  <c r="AH14" i="1" s="1"/>
  <c r="AH15" i="1" a="1"/>
  <c r="AH15" i="1" s="1"/>
  <c r="AH16" i="1" a="1"/>
  <c r="AH16" i="1" s="1"/>
  <c r="AH17" i="1" a="1"/>
  <c r="AH17" i="1" s="1"/>
  <c r="AH18" i="1" a="1"/>
  <c r="AH18" i="1" s="1"/>
  <c r="AH19" i="1" a="1"/>
  <c r="AH19" i="1" s="1"/>
  <c r="AH20" i="1" a="1"/>
  <c r="AH20" i="1" s="1"/>
  <c r="AH21" i="1" a="1"/>
  <c r="AH21" i="1" s="1"/>
  <c r="AH22" i="1" a="1"/>
  <c r="AH22" i="1" s="1"/>
  <c r="AH23" i="1" a="1"/>
  <c r="AH23" i="1" s="1"/>
  <c r="AH24" i="1" a="1"/>
  <c r="AH24" i="1" s="1"/>
  <c r="AH25" i="1" a="1"/>
  <c r="AH25" i="1" s="1"/>
  <c r="AH26" i="1" a="1"/>
  <c r="AH26" i="1" s="1"/>
  <c r="AH27" i="1" a="1"/>
  <c r="AH27" i="1" s="1"/>
  <c r="AH28" i="1" a="1"/>
  <c r="AH28" i="1" s="1"/>
  <c r="AH29" i="1" a="1"/>
  <c r="AH29" i="1" s="1"/>
  <c r="AH30" i="1" a="1"/>
  <c r="AH30" i="1" s="1"/>
  <c r="AH31" i="1" a="1"/>
  <c r="AH31" i="1" s="1"/>
  <c r="AH32" i="1" a="1"/>
  <c r="AH32" i="1" s="1"/>
  <c r="AH33" i="1" a="1"/>
  <c r="AH33" i="1" s="1"/>
  <c r="AH34" i="1" a="1"/>
  <c r="AH34" i="1" s="1"/>
  <c r="AH35" i="1" a="1"/>
  <c r="AH35" i="1" s="1"/>
  <c r="AH36" i="1" a="1"/>
  <c r="AH36" i="1" s="1"/>
  <c r="AH37" i="1" a="1"/>
  <c r="AH37" i="1" s="1"/>
  <c r="AH38" i="1" a="1"/>
  <c r="AH38" i="1" s="1"/>
  <c r="AH39" i="1" a="1"/>
  <c r="AH39" i="1" s="1"/>
  <c r="AH40" i="1" a="1"/>
  <c r="AH40" i="1" s="1"/>
  <c r="AH41" i="1" a="1"/>
  <c r="AH41" i="1" s="1"/>
  <c r="AH42" i="1" a="1"/>
  <c r="AH42" i="1" s="1"/>
  <c r="AH43" i="1" a="1"/>
  <c r="AH43" i="1" s="1"/>
  <c r="AH44" i="1" a="1"/>
  <c r="AH44" i="1" s="1"/>
  <c r="AH45" i="1" a="1"/>
  <c r="AH45" i="1" s="1"/>
  <c r="AH46" i="1" a="1"/>
  <c r="AH46" i="1" s="1"/>
  <c r="AH47" i="1" a="1"/>
  <c r="AH47" i="1" s="1"/>
  <c r="AH48" i="1" a="1"/>
  <c r="AH48" i="1" s="1"/>
  <c r="AH49" i="1" a="1"/>
  <c r="AH49" i="1" s="1"/>
  <c r="AH50" i="1" a="1"/>
  <c r="AH50" i="1" s="1"/>
  <c r="AH51" i="1" a="1"/>
  <c r="AH51" i="1" s="1"/>
  <c r="AH52" i="1" a="1"/>
  <c r="AH52" i="1" s="1"/>
  <c r="AH53" i="1" a="1"/>
  <c r="AH53" i="1" s="1"/>
  <c r="AH54" i="1" a="1"/>
  <c r="AH54" i="1" s="1"/>
  <c r="AH55" i="1" a="1"/>
  <c r="AH55" i="1" s="1"/>
  <c r="AH56" i="1" a="1"/>
  <c r="AH56" i="1" s="1"/>
  <c r="AH57" i="1" a="1"/>
  <c r="AH57" i="1" s="1"/>
  <c r="AH58" i="1" a="1"/>
  <c r="AH58" i="1" s="1"/>
  <c r="AH59" i="1" a="1"/>
  <c r="AH59" i="1" s="1"/>
  <c r="AH60" i="1" a="1"/>
  <c r="AH60" i="1" s="1"/>
  <c r="AH61" i="1" a="1"/>
  <c r="AH61" i="1" s="1"/>
  <c r="AH62" i="1" a="1"/>
  <c r="AH62" i="1" s="1"/>
  <c r="AH63" i="1" a="1"/>
  <c r="AH63" i="1" s="1"/>
  <c r="AH64" i="1" a="1"/>
  <c r="AH64" i="1" s="1"/>
  <c r="AH65" i="1" a="1"/>
  <c r="AH65" i="1" s="1"/>
  <c r="AH66" i="1" a="1"/>
  <c r="AH66" i="1" s="1"/>
  <c r="AH67" i="1" a="1"/>
  <c r="AH67" i="1" s="1"/>
  <c r="AH68" i="1" a="1"/>
  <c r="AH68" i="1" s="1"/>
  <c r="AH69" i="1" a="1"/>
  <c r="AH69" i="1" s="1"/>
  <c r="AH70" i="1" a="1"/>
  <c r="AH70" i="1" s="1"/>
  <c r="AH71" i="1" a="1"/>
  <c r="AH71" i="1" s="1"/>
  <c r="AH72" i="1" a="1"/>
  <c r="AH72" i="1" s="1"/>
  <c r="AH73" i="1" a="1"/>
  <c r="AH73" i="1" s="1"/>
  <c r="AH74" i="1" a="1"/>
  <c r="AH74" i="1" s="1"/>
  <c r="AH75" i="1" a="1"/>
  <c r="AH75" i="1" s="1"/>
  <c r="AH76" i="1" a="1"/>
  <c r="AH76" i="1" s="1"/>
  <c r="AH77" i="1" a="1"/>
  <c r="AH77" i="1" s="1"/>
  <c r="AH78" i="1" a="1"/>
  <c r="AH78" i="1" s="1"/>
  <c r="AH79" i="1" a="1"/>
  <c r="AH79" i="1" s="1"/>
  <c r="AH80" i="1" a="1"/>
  <c r="AH80" i="1" s="1"/>
  <c r="AH81" i="1" a="1"/>
  <c r="AH81" i="1" s="1"/>
  <c r="AH82" i="1" a="1"/>
  <c r="AH82" i="1" s="1"/>
  <c r="AH83" i="1" a="1"/>
  <c r="AH83" i="1" s="1"/>
  <c r="AH84" i="1" a="1"/>
  <c r="AH84" i="1" s="1"/>
  <c r="AH85" i="1" a="1"/>
  <c r="AH85" i="1" s="1"/>
  <c r="AH86" i="1" a="1"/>
  <c r="AH86" i="1" s="1"/>
  <c r="AH87" i="1" a="1"/>
  <c r="AH87" i="1" s="1"/>
  <c r="AH88" i="1" a="1"/>
  <c r="AH88" i="1" s="1"/>
  <c r="AH89" i="1" a="1"/>
  <c r="AH89" i="1" s="1"/>
  <c r="AH90" i="1" a="1"/>
  <c r="AH90" i="1" s="1"/>
  <c r="AH91" i="1" a="1"/>
  <c r="AH91" i="1" s="1"/>
  <c r="AH92" i="1" a="1"/>
  <c r="AH92" i="1" s="1"/>
  <c r="AH93" i="1" a="1"/>
  <c r="AH93" i="1" s="1"/>
  <c r="AH94" i="1" a="1"/>
  <c r="AH94" i="1" s="1"/>
  <c r="AH95" i="1" a="1"/>
  <c r="AH95" i="1" s="1"/>
  <c r="AH96" i="1" a="1"/>
  <c r="AH96" i="1" s="1"/>
  <c r="AH97" i="1" a="1"/>
  <c r="AH97" i="1" s="1"/>
  <c r="AH98" i="1" a="1"/>
  <c r="AH98" i="1" s="1"/>
  <c r="AH99" i="1" a="1"/>
  <c r="AH99" i="1" s="1"/>
  <c r="AH100" i="1" a="1"/>
  <c r="AH100" i="1" s="1"/>
  <c r="AH101" i="1" a="1"/>
  <c r="AH101" i="1" s="1"/>
  <c r="AH102" i="1" a="1"/>
  <c r="AH102" i="1" s="1"/>
  <c r="AH103" i="1" a="1"/>
  <c r="AH103" i="1" s="1"/>
  <c r="AH104" i="1" a="1"/>
  <c r="AH104" i="1" s="1"/>
  <c r="AH105" i="1" a="1"/>
  <c r="AH105" i="1" s="1"/>
  <c r="AH106" i="1" a="1"/>
  <c r="AH106" i="1" s="1"/>
  <c r="AH107" i="1" a="1"/>
  <c r="AH107" i="1" s="1"/>
  <c r="AH108" i="1" a="1"/>
  <c r="AH108" i="1" s="1"/>
  <c r="AH109" i="1" a="1"/>
  <c r="AH109" i="1" s="1"/>
  <c r="AH110" i="1" a="1"/>
  <c r="AH110" i="1" s="1"/>
  <c r="AH111" i="1" a="1"/>
  <c r="AH111" i="1" s="1"/>
  <c r="AH112" i="1" a="1"/>
  <c r="AH112" i="1" s="1"/>
  <c r="AH113" i="1" a="1"/>
  <c r="AH113" i="1" s="1"/>
  <c r="AH114" i="1" a="1"/>
  <c r="AH114" i="1" s="1"/>
  <c r="AH115" i="1" a="1"/>
  <c r="AH115" i="1" s="1"/>
  <c r="AH116" i="1" a="1"/>
  <c r="AH116" i="1" s="1"/>
  <c r="AH117" i="1" a="1"/>
  <c r="AH117" i="1" s="1"/>
  <c r="AH118" i="1" a="1"/>
  <c r="AH118" i="1" s="1"/>
  <c r="AH119" i="1" a="1"/>
  <c r="AH119" i="1" s="1"/>
  <c r="AH120" i="1" a="1"/>
  <c r="AH120" i="1" s="1"/>
  <c r="AH121" i="1" a="1"/>
  <c r="AH121" i="1" s="1"/>
  <c r="AH122" i="1" a="1"/>
  <c r="AH122" i="1" s="1"/>
  <c r="AH123" i="1" a="1"/>
  <c r="AH123" i="1" s="1"/>
  <c r="AH124" i="1" a="1"/>
  <c r="AH124" i="1" s="1"/>
  <c r="AH125" i="1" a="1"/>
  <c r="AH125" i="1" s="1"/>
  <c r="AH126" i="1" a="1"/>
  <c r="AH126" i="1" s="1"/>
  <c r="AH127" i="1" a="1"/>
  <c r="AH127" i="1" s="1"/>
  <c r="AH128" i="1" a="1"/>
  <c r="AH128" i="1" s="1"/>
  <c r="AH129" i="1" a="1"/>
  <c r="AH129" i="1" s="1"/>
  <c r="AH130" i="1" a="1"/>
  <c r="AH130" i="1" s="1"/>
  <c r="AH131" i="1" a="1"/>
  <c r="AH131" i="1" s="1"/>
  <c r="AH132" i="1" a="1"/>
  <c r="AH132" i="1" s="1"/>
  <c r="AH133" i="1" a="1"/>
  <c r="AH133" i="1" s="1"/>
  <c r="AH134" i="1" a="1"/>
  <c r="AH134" i="1" s="1"/>
  <c r="AH135" i="1" a="1"/>
  <c r="AH135" i="1" s="1"/>
  <c r="AH136" i="1" a="1"/>
  <c r="AH136" i="1" s="1"/>
  <c r="AH137" i="1" a="1"/>
  <c r="AH137" i="1" s="1"/>
  <c r="AH138" i="1" a="1"/>
  <c r="AH138" i="1" s="1"/>
  <c r="AH139" i="1" a="1"/>
  <c r="AH139" i="1" s="1"/>
  <c r="AH140" i="1" a="1"/>
  <c r="AH140" i="1" s="1"/>
  <c r="AH141" i="1" a="1"/>
  <c r="AH141" i="1" s="1"/>
  <c r="AH142" i="1" a="1"/>
  <c r="AH142" i="1" s="1"/>
  <c r="AH143" i="1" a="1"/>
  <c r="AH143" i="1" s="1"/>
  <c r="AH144" i="1" a="1"/>
  <c r="AH144" i="1" s="1"/>
  <c r="AH145" i="1" a="1"/>
  <c r="AH145" i="1" s="1"/>
  <c r="AH146" i="1" a="1"/>
  <c r="AH146" i="1" s="1"/>
  <c r="AH147" i="1" a="1"/>
  <c r="AH147" i="1" s="1"/>
  <c r="AH148" i="1" a="1"/>
  <c r="AH148" i="1" s="1"/>
  <c r="AH149" i="1" a="1"/>
  <c r="AH149" i="1" s="1"/>
  <c r="AH150" i="1" a="1"/>
  <c r="AH150" i="1" s="1"/>
  <c r="AH151" i="1" a="1"/>
  <c r="AH151" i="1" s="1"/>
  <c r="AH152" i="1" a="1"/>
  <c r="AH152" i="1" s="1"/>
  <c r="AH153" i="1" a="1"/>
  <c r="AH153" i="1" s="1"/>
  <c r="AH154" i="1" a="1"/>
  <c r="AH154" i="1" s="1"/>
  <c r="AH155" i="1" a="1"/>
  <c r="AH155" i="1" s="1"/>
  <c r="AH156" i="1" a="1"/>
  <c r="AH156" i="1" s="1"/>
  <c r="AH157" i="1" a="1"/>
  <c r="AH157" i="1" s="1"/>
  <c r="AH158" i="1" a="1"/>
  <c r="AH158" i="1" s="1"/>
  <c r="AH159" i="1" a="1"/>
  <c r="AH159" i="1" s="1"/>
  <c r="AH160" i="1" a="1"/>
  <c r="AH160" i="1" s="1"/>
  <c r="AH161" i="1" a="1"/>
  <c r="AH161" i="1" s="1"/>
  <c r="AH162" i="1" a="1"/>
  <c r="AH162" i="1" s="1"/>
  <c r="AH163" i="1" a="1"/>
  <c r="AH163" i="1" s="1"/>
  <c r="AH164" i="1" a="1"/>
  <c r="AH164" i="1" s="1"/>
  <c r="AH165" i="1" a="1"/>
  <c r="AH165" i="1" s="1"/>
  <c r="AH166" i="1" a="1"/>
  <c r="AH166" i="1" s="1"/>
  <c r="AH167" i="1" a="1"/>
  <c r="AH167" i="1" s="1"/>
  <c r="AH168" i="1" a="1"/>
  <c r="AH168" i="1" s="1"/>
  <c r="AH169" i="1" a="1"/>
  <c r="AH169" i="1" s="1"/>
  <c r="AH170" i="1" a="1"/>
  <c r="AH170" i="1" s="1"/>
  <c r="AH171" i="1" a="1"/>
  <c r="AH171" i="1" s="1"/>
  <c r="AH172" i="1" a="1"/>
  <c r="AH172" i="1" s="1"/>
  <c r="AH173" i="1" a="1"/>
  <c r="AH173" i="1" s="1"/>
  <c r="AH174" i="1" a="1"/>
  <c r="AH174" i="1" s="1"/>
  <c r="AH175" i="1" a="1"/>
  <c r="AH175" i="1" s="1"/>
  <c r="AH176" i="1" a="1"/>
  <c r="AH176" i="1" s="1"/>
  <c r="AH177" i="1" a="1"/>
  <c r="AH177" i="1" s="1"/>
  <c r="AH178" i="1" a="1"/>
  <c r="AH178" i="1" s="1"/>
  <c r="AH179" i="1" a="1"/>
  <c r="AH179" i="1" s="1"/>
  <c r="AH180" i="1" a="1"/>
  <c r="AH180" i="1" s="1"/>
  <c r="AH181" i="1" a="1"/>
  <c r="AH181" i="1" s="1"/>
  <c r="AH182" i="1" a="1"/>
  <c r="AH182" i="1" s="1"/>
  <c r="AH183" i="1" a="1"/>
  <c r="AH183" i="1" s="1"/>
  <c r="AH184" i="1" a="1"/>
  <c r="AH184" i="1" s="1"/>
  <c r="AH185" i="1" a="1"/>
  <c r="AH185" i="1" s="1"/>
  <c r="AH186" i="1" a="1"/>
  <c r="AH186" i="1" s="1"/>
  <c r="AH187" i="1" a="1"/>
  <c r="AH187" i="1" s="1"/>
  <c r="AH188" i="1" a="1"/>
  <c r="AH188" i="1" s="1"/>
  <c r="AH189" i="1" a="1"/>
  <c r="AH189" i="1" s="1"/>
  <c r="AH190" i="1" a="1"/>
  <c r="AH190" i="1" s="1"/>
  <c r="AH191" i="1" a="1"/>
  <c r="AH191" i="1" s="1"/>
  <c r="AH192" i="1" a="1"/>
  <c r="AH192" i="1" s="1"/>
  <c r="AH193" i="1" a="1"/>
  <c r="AH193" i="1" s="1"/>
  <c r="AH194" i="1" a="1"/>
  <c r="AH194" i="1" s="1"/>
  <c r="AH195" i="1" a="1"/>
  <c r="AH195" i="1" s="1"/>
  <c r="AH196" i="1" a="1"/>
  <c r="AH196" i="1" s="1"/>
  <c r="AH197" i="1" a="1"/>
  <c r="AH197" i="1" s="1"/>
  <c r="AH198" i="1" a="1"/>
  <c r="AH198" i="1" s="1"/>
  <c r="AH199" i="1" a="1"/>
  <c r="AH199" i="1" s="1"/>
  <c r="AH200" i="1" a="1"/>
  <c r="AH200" i="1" s="1"/>
  <c r="AH201" i="1" a="1"/>
  <c r="AH201" i="1" s="1"/>
  <c r="AH202" i="1" a="1"/>
  <c r="AH202" i="1" s="1"/>
  <c r="AH203" i="1" a="1"/>
  <c r="AH203" i="1" s="1"/>
  <c r="AH204" i="1" a="1"/>
  <c r="AH204" i="1" s="1"/>
  <c r="AH205" i="1" a="1"/>
  <c r="AH205" i="1" s="1"/>
  <c r="AH206" i="1" a="1"/>
  <c r="AH206" i="1" s="1"/>
  <c r="AH207" i="1" a="1"/>
  <c r="AH207" i="1" s="1"/>
  <c r="AH208" i="1" a="1"/>
  <c r="AH208" i="1" s="1"/>
  <c r="AH209" i="1" a="1"/>
  <c r="AH209" i="1" s="1"/>
  <c r="AH210" i="1" a="1"/>
  <c r="AH210" i="1" s="1"/>
  <c r="AH211" i="1" a="1"/>
  <c r="AH211" i="1" s="1"/>
  <c r="AH212" i="1" a="1"/>
  <c r="AH212" i="1" s="1"/>
  <c r="AH213" i="1" a="1"/>
  <c r="AH213" i="1" s="1"/>
  <c r="AH214" i="1" a="1"/>
  <c r="AH214" i="1" s="1"/>
  <c r="AH215" i="1" a="1"/>
  <c r="AH215" i="1" s="1"/>
  <c r="AH216" i="1" a="1"/>
  <c r="AH216" i="1" s="1"/>
  <c r="AH217" i="1" a="1"/>
  <c r="AH217" i="1" s="1"/>
  <c r="AH218" i="1" a="1"/>
  <c r="AH218" i="1" s="1"/>
  <c r="AH219" i="1" a="1"/>
  <c r="AH219" i="1" s="1"/>
  <c r="AH220" i="1" a="1"/>
  <c r="AH220" i="1" s="1"/>
  <c r="AH221" i="1" a="1"/>
  <c r="AH221" i="1" s="1"/>
  <c r="AH222" i="1" a="1"/>
  <c r="AH222" i="1" s="1"/>
  <c r="AH223" i="1" a="1"/>
  <c r="AH223" i="1" s="1"/>
  <c r="AH224" i="1" a="1"/>
  <c r="AH224" i="1" s="1"/>
  <c r="AH225" i="1" a="1"/>
  <c r="AH225" i="1" s="1"/>
  <c r="AH226" i="1" a="1"/>
  <c r="AH226" i="1" s="1"/>
  <c r="AH227" i="1" a="1"/>
  <c r="AH227" i="1" s="1"/>
  <c r="AH228" i="1" a="1"/>
  <c r="AH228" i="1" s="1"/>
  <c r="AH229" i="1" a="1"/>
  <c r="AH229" i="1" s="1"/>
  <c r="AH230" i="1" a="1"/>
  <c r="AH230" i="1" s="1"/>
  <c r="AH231" i="1" a="1"/>
  <c r="AH231" i="1" s="1"/>
  <c r="AH232" i="1" a="1"/>
  <c r="AH232" i="1" s="1"/>
  <c r="AH233" i="1" a="1"/>
  <c r="AH233" i="1" s="1"/>
  <c r="AH234" i="1" a="1"/>
  <c r="AH234" i="1" s="1"/>
  <c r="AH235" i="1" a="1"/>
  <c r="AH235" i="1" s="1"/>
  <c r="AH236" i="1" a="1"/>
  <c r="AH236" i="1" s="1"/>
  <c r="AH237" i="1" a="1"/>
  <c r="AH237" i="1" s="1"/>
  <c r="AH238" i="1" a="1"/>
  <c r="AH238" i="1" s="1"/>
  <c r="AH239" i="1" a="1"/>
  <c r="AH239" i="1" s="1"/>
  <c r="AH240" i="1" a="1"/>
  <c r="AH240" i="1" s="1"/>
  <c r="AH241" i="1" a="1"/>
  <c r="AH241" i="1" s="1"/>
  <c r="AH242" i="1" a="1"/>
  <c r="AH242" i="1" s="1"/>
  <c r="AH243" i="1" a="1"/>
  <c r="AH243" i="1" s="1"/>
  <c r="AH244" i="1" a="1"/>
  <c r="AH244" i="1" s="1"/>
  <c r="AH245" i="1" a="1"/>
  <c r="AH245" i="1" s="1"/>
  <c r="AH246" i="1" a="1"/>
  <c r="AH246" i="1" s="1"/>
  <c r="AH247" i="1" a="1"/>
  <c r="AH247" i="1" s="1"/>
  <c r="AH248" i="1" a="1"/>
  <c r="AH248" i="1" s="1"/>
  <c r="AH249" i="1" a="1"/>
  <c r="AH249" i="1" s="1"/>
  <c r="AH250" i="1" a="1"/>
  <c r="AH250" i="1" s="1"/>
  <c r="AH251" i="1" a="1"/>
  <c r="AH251" i="1" s="1"/>
  <c r="AH252" i="1" a="1"/>
  <c r="AH252" i="1" s="1"/>
  <c r="AH253" i="1" a="1"/>
  <c r="AH253" i="1" s="1"/>
  <c r="AH254" i="1" a="1"/>
  <c r="AH254" i="1" s="1"/>
  <c r="AH255" i="1" a="1"/>
  <c r="AH255" i="1" s="1"/>
  <c r="AH256" i="1" a="1"/>
  <c r="AH256" i="1" s="1"/>
  <c r="AH257" i="1" a="1"/>
  <c r="AH257" i="1" s="1"/>
  <c r="AH258" i="1" a="1"/>
  <c r="AH258" i="1" s="1"/>
  <c r="AH259" i="1" a="1"/>
  <c r="AH259" i="1" s="1"/>
  <c r="AH260" i="1" a="1"/>
  <c r="AH260" i="1" s="1"/>
  <c r="AH261" i="1" a="1"/>
  <c r="AH261" i="1" s="1"/>
  <c r="AH262" i="1" a="1"/>
  <c r="AH262" i="1" s="1"/>
  <c r="AH263" i="1" a="1"/>
  <c r="AH263" i="1" s="1"/>
  <c r="AH264" i="1" a="1"/>
  <c r="AH264" i="1" s="1"/>
  <c r="AH265" i="1" a="1"/>
  <c r="AH265" i="1" s="1"/>
  <c r="AH266" i="1" a="1"/>
  <c r="AH266" i="1" s="1"/>
  <c r="AH267" i="1" a="1"/>
  <c r="AH267" i="1" s="1"/>
  <c r="AH268" i="1" a="1"/>
  <c r="AH268" i="1" s="1"/>
  <c r="AH269" i="1" a="1"/>
  <c r="AH269" i="1" s="1"/>
  <c r="AH270" i="1" a="1"/>
  <c r="AH270" i="1" s="1"/>
  <c r="AH271" i="1" a="1"/>
  <c r="AH271" i="1" s="1"/>
  <c r="AH272" i="1" a="1"/>
  <c r="AH272" i="1" s="1"/>
  <c r="AH273" i="1" a="1"/>
  <c r="AH273" i="1" s="1"/>
  <c r="AH274" i="1" a="1"/>
  <c r="AH274" i="1" s="1"/>
  <c r="AH275" i="1" a="1"/>
  <c r="AH275" i="1" s="1"/>
  <c r="AH276" i="1" a="1"/>
  <c r="AH276" i="1" s="1"/>
  <c r="AH277" i="1" a="1"/>
  <c r="AH277" i="1" s="1"/>
  <c r="AH278" i="1" a="1"/>
  <c r="AH278" i="1" s="1"/>
  <c r="AH279" i="1" a="1"/>
  <c r="AH279" i="1" s="1"/>
  <c r="AH280" i="1" a="1"/>
  <c r="AH280" i="1" s="1"/>
  <c r="AH281" i="1" a="1"/>
  <c r="AH281" i="1" s="1"/>
  <c r="AH282" i="1" a="1"/>
  <c r="AH282" i="1" s="1"/>
  <c r="AH283" i="1" a="1"/>
  <c r="AH283" i="1" s="1"/>
  <c r="AH284" i="1" a="1"/>
  <c r="AH284" i="1" s="1"/>
  <c r="AH285" i="1" a="1"/>
  <c r="AH285" i="1" s="1"/>
  <c r="AH286" i="1" a="1"/>
  <c r="AH286" i="1" s="1"/>
  <c r="AH287" i="1" a="1"/>
  <c r="AH287" i="1" s="1"/>
  <c r="AH288" i="1" a="1"/>
  <c r="AH288" i="1" s="1"/>
  <c r="AH289" i="1" a="1"/>
  <c r="AH289" i="1" s="1"/>
  <c r="AH290" i="1" a="1"/>
  <c r="AH290" i="1" s="1"/>
  <c r="AH291" i="1" a="1"/>
  <c r="AH291" i="1" s="1"/>
  <c r="AH292" i="1" a="1"/>
  <c r="AH292" i="1" s="1"/>
  <c r="AH293" i="1" a="1"/>
  <c r="AH293" i="1" s="1"/>
  <c r="AH294" i="1" a="1"/>
  <c r="AH294" i="1" s="1"/>
  <c r="AH295" i="1" a="1"/>
  <c r="AH295" i="1" s="1"/>
  <c r="AH296" i="1" a="1"/>
  <c r="AH296" i="1" s="1"/>
  <c r="AH297" i="1" a="1"/>
  <c r="AH297" i="1" s="1"/>
  <c r="AH298" i="1" a="1"/>
  <c r="AH298" i="1" s="1"/>
  <c r="AH299" i="1" a="1"/>
  <c r="AH299" i="1" s="1"/>
  <c r="AH300" i="1" a="1"/>
  <c r="AH300" i="1" s="1"/>
  <c r="AH301" i="1" a="1"/>
  <c r="AH301" i="1" s="1"/>
  <c r="AH302" i="1" a="1"/>
  <c r="AH302" i="1" s="1"/>
  <c r="AH303" i="1" a="1"/>
  <c r="AH303" i="1" s="1"/>
  <c r="AH304" i="1" a="1"/>
  <c r="AH304" i="1" s="1"/>
  <c r="AH305" i="1" a="1"/>
  <c r="AH305" i="1" s="1"/>
  <c r="AH306" i="1" a="1"/>
  <c r="AH306" i="1" s="1"/>
  <c r="AH307" i="1" a="1"/>
  <c r="AH307" i="1" s="1"/>
  <c r="AH308" i="1" a="1"/>
  <c r="AH308" i="1" s="1"/>
  <c r="AH309" i="1" a="1"/>
  <c r="AH309" i="1" s="1"/>
  <c r="AH310" i="1" a="1"/>
  <c r="AH310" i="1" s="1"/>
  <c r="AH311" i="1" a="1"/>
  <c r="AH311" i="1" s="1"/>
  <c r="AH312" i="1" a="1"/>
  <c r="AH312" i="1" s="1"/>
  <c r="AH313" i="1" a="1"/>
  <c r="AH313" i="1" s="1"/>
  <c r="AH314" i="1" a="1"/>
  <c r="AH314" i="1" s="1"/>
  <c r="AH315" i="1" a="1"/>
  <c r="AH315" i="1" s="1"/>
  <c r="AH316" i="1" a="1"/>
  <c r="AH316" i="1" s="1"/>
  <c r="AH317" i="1" a="1"/>
  <c r="AH317" i="1" s="1"/>
  <c r="AH318" i="1" a="1"/>
  <c r="AH318" i="1" s="1"/>
  <c r="AH319" i="1" a="1"/>
  <c r="AH319" i="1" s="1"/>
  <c r="AH320" i="1" a="1"/>
  <c r="AH320" i="1" s="1"/>
  <c r="AH321" i="1" a="1"/>
  <c r="AH321" i="1" s="1"/>
  <c r="AH322" i="1" a="1"/>
  <c r="AH322" i="1" s="1"/>
  <c r="AH323" i="1" a="1"/>
  <c r="AH323" i="1" s="1"/>
  <c r="AH324" i="1" a="1"/>
  <c r="AH324" i="1" s="1"/>
  <c r="AH325" i="1" a="1"/>
  <c r="AH325" i="1" s="1"/>
  <c r="AH326" i="1" a="1"/>
  <c r="AH326" i="1" s="1"/>
  <c r="AH327" i="1" a="1"/>
  <c r="AH327" i="1" s="1"/>
  <c r="AH328" i="1" a="1"/>
  <c r="AH328" i="1" s="1"/>
  <c r="AH329" i="1" a="1"/>
  <c r="AH329" i="1" s="1"/>
  <c r="AH330" i="1" a="1"/>
  <c r="AH330" i="1" s="1"/>
  <c r="AH331" i="1" a="1"/>
  <c r="AH331" i="1" s="1"/>
  <c r="AH332" i="1" a="1"/>
  <c r="AH332" i="1" s="1"/>
  <c r="AH333" i="1" a="1"/>
  <c r="AH333" i="1" s="1"/>
  <c r="AH334" i="1" a="1"/>
  <c r="AH334" i="1" s="1"/>
  <c r="AH335" i="1" a="1"/>
  <c r="AH335" i="1" s="1"/>
  <c r="W3" i="1" a="1"/>
  <c r="W3" i="1" s="1"/>
  <c r="W4" i="1" a="1"/>
  <c r="W4" i="1" s="1"/>
  <c r="W5" i="1" a="1"/>
  <c r="W5" i="1" s="1"/>
  <c r="W6" i="1" a="1"/>
  <c r="W6" i="1" s="1"/>
  <c r="W7" i="1" a="1"/>
  <c r="W7" i="1" s="1"/>
  <c r="W8" i="1" a="1"/>
  <c r="W8" i="1" s="1"/>
  <c r="W9" i="1" a="1"/>
  <c r="W9" i="1" s="1"/>
  <c r="W10" i="1" a="1"/>
  <c r="W10" i="1" s="1"/>
  <c r="W11" i="1" a="1"/>
  <c r="W11" i="1" s="1"/>
  <c r="W12" i="1" a="1"/>
  <c r="W12" i="1" s="1"/>
  <c r="W13" i="1" a="1"/>
  <c r="W13" i="1" s="1"/>
  <c r="W14" i="1" a="1"/>
  <c r="W14" i="1" s="1"/>
  <c r="W15" i="1" a="1"/>
  <c r="W15" i="1" s="1"/>
  <c r="W16" i="1" a="1"/>
  <c r="W16" i="1" s="1"/>
  <c r="W17" i="1" a="1"/>
  <c r="W17" i="1" s="1"/>
  <c r="W18" i="1" a="1"/>
  <c r="W18" i="1" s="1"/>
  <c r="W19" i="1" a="1"/>
  <c r="W19" i="1" s="1"/>
  <c r="W20" i="1" a="1"/>
  <c r="W20" i="1" s="1"/>
  <c r="W21" i="1" a="1"/>
  <c r="W21" i="1" s="1"/>
  <c r="W22" i="1" a="1"/>
  <c r="W22" i="1" s="1"/>
  <c r="W23" i="1" a="1"/>
  <c r="W23" i="1" s="1"/>
  <c r="W24" i="1" a="1"/>
  <c r="W24" i="1" s="1"/>
  <c r="W25" i="1" a="1"/>
  <c r="W25" i="1" s="1"/>
  <c r="W26" i="1" a="1"/>
  <c r="W26" i="1" s="1"/>
  <c r="W27" i="1" a="1"/>
  <c r="W27" i="1" s="1"/>
  <c r="W28" i="1" a="1"/>
  <c r="W28" i="1" s="1"/>
  <c r="W29" i="1" a="1"/>
  <c r="W29" i="1" s="1"/>
  <c r="W30" i="1" a="1"/>
  <c r="W30" i="1" s="1"/>
  <c r="W31" i="1" a="1"/>
  <c r="W31" i="1" s="1"/>
  <c r="W32" i="1" a="1"/>
  <c r="W32" i="1" s="1"/>
  <c r="W33" i="1" a="1"/>
  <c r="W33" i="1" s="1"/>
  <c r="W34" i="1" a="1"/>
  <c r="W34" i="1" s="1"/>
  <c r="W35" i="1" a="1"/>
  <c r="W35" i="1" s="1"/>
  <c r="W36" i="1" a="1"/>
  <c r="W36" i="1" s="1"/>
  <c r="W37" i="1" a="1"/>
  <c r="W37" i="1" s="1"/>
  <c r="W38" i="1" a="1"/>
  <c r="W38" i="1" s="1"/>
  <c r="W39" i="1" a="1"/>
  <c r="W39" i="1" s="1"/>
  <c r="W40" i="1" a="1"/>
  <c r="W40" i="1" s="1"/>
  <c r="W41" i="1" a="1"/>
  <c r="W41" i="1" s="1"/>
  <c r="W42" i="1" a="1"/>
  <c r="W42" i="1" s="1"/>
  <c r="W43" i="1" a="1"/>
  <c r="W43" i="1" s="1"/>
  <c r="W44" i="1" a="1"/>
  <c r="W44" i="1" s="1"/>
  <c r="W45" i="1" a="1"/>
  <c r="W45" i="1" s="1"/>
  <c r="W46" i="1" a="1"/>
  <c r="W46" i="1" s="1"/>
  <c r="W47" i="1" a="1"/>
  <c r="W47" i="1" s="1"/>
  <c r="W48" i="1" a="1"/>
  <c r="W48" i="1" s="1"/>
  <c r="W49" i="1" a="1"/>
  <c r="W49" i="1" s="1"/>
  <c r="W50" i="1" a="1"/>
  <c r="W50" i="1" s="1"/>
  <c r="W51" i="1" a="1"/>
  <c r="W51" i="1" s="1"/>
  <c r="W52" i="1" a="1"/>
  <c r="W52" i="1" s="1"/>
  <c r="W53" i="1" a="1"/>
  <c r="W53" i="1" s="1"/>
  <c r="W54" i="1" a="1"/>
  <c r="W54" i="1" s="1"/>
  <c r="W55" i="1" a="1"/>
  <c r="W55" i="1" s="1"/>
  <c r="W56" i="1" a="1"/>
  <c r="W56" i="1" s="1"/>
  <c r="W57" i="1" a="1"/>
  <c r="W57" i="1" s="1"/>
  <c r="W58" i="1" a="1"/>
  <c r="W58" i="1" s="1"/>
  <c r="W59" i="1" a="1"/>
  <c r="W59" i="1" s="1"/>
  <c r="W60" i="1" a="1"/>
  <c r="W60" i="1" s="1"/>
  <c r="W61" i="1" a="1"/>
  <c r="W61" i="1" s="1"/>
  <c r="W62" i="1" a="1"/>
  <c r="W62" i="1" s="1"/>
  <c r="W63" i="1" a="1"/>
  <c r="W63" i="1" s="1"/>
  <c r="W64" i="1" a="1"/>
  <c r="W64" i="1" s="1"/>
  <c r="W65" i="1" a="1"/>
  <c r="W65" i="1" s="1"/>
  <c r="W66" i="1" a="1"/>
  <c r="W66" i="1" s="1"/>
  <c r="W67" i="1" a="1"/>
  <c r="W67" i="1" s="1"/>
  <c r="W68" i="1" a="1"/>
  <c r="W68" i="1" s="1"/>
  <c r="W69" i="1" a="1"/>
  <c r="W69" i="1" s="1"/>
  <c r="W70" i="1" a="1"/>
  <c r="W70" i="1" s="1"/>
  <c r="W71" i="1" a="1"/>
  <c r="W71" i="1" s="1"/>
  <c r="W72" i="1" a="1"/>
  <c r="W72" i="1" s="1"/>
  <c r="W73" i="1" a="1"/>
  <c r="W73" i="1" s="1"/>
  <c r="W74" i="1" a="1"/>
  <c r="W74" i="1" s="1"/>
  <c r="W75" i="1" a="1"/>
  <c r="W75" i="1" s="1"/>
  <c r="W76" i="1" a="1"/>
  <c r="W76" i="1" s="1"/>
  <c r="W77" i="1" a="1"/>
  <c r="W77" i="1" s="1"/>
  <c r="W78" i="1" a="1"/>
  <c r="W78" i="1" s="1"/>
  <c r="W79" i="1" a="1"/>
  <c r="W79" i="1" s="1"/>
  <c r="W80" i="1" a="1"/>
  <c r="W80" i="1" s="1"/>
  <c r="W81" i="1" a="1"/>
  <c r="W81" i="1" s="1"/>
  <c r="W82" i="1" a="1"/>
  <c r="W82" i="1" s="1"/>
  <c r="W83" i="1" a="1"/>
  <c r="W83" i="1" s="1"/>
  <c r="W84" i="1" a="1"/>
  <c r="W84" i="1" s="1"/>
  <c r="W85" i="1" a="1"/>
  <c r="W85" i="1" s="1"/>
  <c r="W86" i="1" a="1"/>
  <c r="W86" i="1" s="1"/>
  <c r="W87" i="1" a="1"/>
  <c r="W87" i="1" s="1"/>
  <c r="W88" i="1" a="1"/>
  <c r="W88" i="1" s="1"/>
  <c r="W89" i="1" a="1"/>
  <c r="W89" i="1" s="1"/>
  <c r="W90" i="1" a="1"/>
  <c r="W90" i="1" s="1"/>
  <c r="W91" i="1" a="1"/>
  <c r="W91" i="1" s="1"/>
  <c r="W92" i="1" a="1"/>
  <c r="W92" i="1" s="1"/>
  <c r="W93" i="1" a="1"/>
  <c r="W93" i="1" s="1"/>
  <c r="W94" i="1" a="1"/>
  <c r="W94" i="1" s="1"/>
  <c r="W95" i="1" a="1"/>
  <c r="W95" i="1" s="1"/>
  <c r="W96" i="1" a="1"/>
  <c r="W96" i="1" s="1"/>
  <c r="W97" i="1" a="1"/>
  <c r="W97" i="1" s="1"/>
  <c r="W98" i="1" a="1"/>
  <c r="W98" i="1" s="1"/>
  <c r="W99" i="1" a="1"/>
  <c r="W99" i="1" s="1"/>
  <c r="W100" i="1" a="1"/>
  <c r="W100" i="1" s="1"/>
  <c r="W101" i="1" a="1"/>
  <c r="W101" i="1" s="1"/>
  <c r="W102" i="1" a="1"/>
  <c r="W102" i="1" s="1"/>
  <c r="W103" i="1" a="1"/>
  <c r="W103" i="1" s="1"/>
  <c r="W104" i="1" a="1"/>
  <c r="W104" i="1" s="1"/>
  <c r="W105" i="1" a="1"/>
  <c r="W105" i="1" s="1"/>
  <c r="W106" i="1" a="1"/>
  <c r="W106" i="1" s="1"/>
  <c r="W107" i="1" a="1"/>
  <c r="W107" i="1" s="1"/>
  <c r="W108" i="1" a="1"/>
  <c r="W108" i="1" s="1"/>
  <c r="W109" i="1" a="1"/>
  <c r="W109" i="1" s="1"/>
  <c r="W110" i="1" a="1"/>
  <c r="W110" i="1" s="1"/>
  <c r="W111" i="1" a="1"/>
  <c r="W111" i="1" s="1"/>
  <c r="W112" i="1" a="1"/>
  <c r="W112" i="1" s="1"/>
  <c r="W113" i="1" a="1"/>
  <c r="W113" i="1" s="1"/>
  <c r="W114" i="1" a="1"/>
  <c r="W114" i="1" s="1"/>
  <c r="W115" i="1" a="1"/>
  <c r="W115" i="1" s="1"/>
  <c r="W116" i="1" a="1"/>
  <c r="W116" i="1" s="1"/>
  <c r="W117" i="1" a="1"/>
  <c r="W117" i="1" s="1"/>
  <c r="W118" i="1" a="1"/>
  <c r="W118" i="1" s="1"/>
  <c r="W119" i="1" a="1"/>
  <c r="W119" i="1" s="1"/>
  <c r="W120" i="1" a="1"/>
  <c r="W120" i="1" s="1"/>
  <c r="W121" i="1" a="1"/>
  <c r="W121" i="1" s="1"/>
  <c r="W122" i="1" a="1"/>
  <c r="W122" i="1" s="1"/>
  <c r="W123" i="1" a="1"/>
  <c r="W123" i="1" s="1"/>
  <c r="W124" i="1" a="1"/>
  <c r="W124" i="1" s="1"/>
  <c r="W125" i="1" a="1"/>
  <c r="W125" i="1" s="1"/>
  <c r="W126" i="1" a="1"/>
  <c r="W126" i="1" s="1"/>
  <c r="W127" i="1" a="1"/>
  <c r="W127" i="1" s="1"/>
  <c r="W128" i="1" a="1"/>
  <c r="W128" i="1" s="1"/>
  <c r="W129" i="1" a="1"/>
  <c r="W129" i="1" s="1"/>
  <c r="W130" i="1" a="1"/>
  <c r="W130" i="1" s="1"/>
  <c r="W131" i="1" a="1"/>
  <c r="W131" i="1" s="1"/>
  <c r="W132" i="1" a="1"/>
  <c r="W132" i="1" s="1"/>
  <c r="W133" i="1" a="1"/>
  <c r="W133" i="1" s="1"/>
  <c r="W134" i="1" a="1"/>
  <c r="W134" i="1" s="1"/>
  <c r="W135" i="1" a="1"/>
  <c r="W135" i="1" s="1"/>
  <c r="W136" i="1" a="1"/>
  <c r="W136" i="1" s="1"/>
  <c r="W137" i="1" a="1"/>
  <c r="W137" i="1" s="1"/>
  <c r="W138" i="1" a="1"/>
  <c r="W138" i="1" s="1"/>
  <c r="W139" i="1" a="1"/>
  <c r="W139" i="1" s="1"/>
  <c r="W140" i="1" a="1"/>
  <c r="W140" i="1" s="1"/>
  <c r="W141" i="1" a="1"/>
  <c r="W141" i="1" s="1"/>
  <c r="W142" i="1" a="1"/>
  <c r="W142" i="1" s="1"/>
  <c r="W143" i="1" a="1"/>
  <c r="W143" i="1" s="1"/>
  <c r="W144" i="1" a="1"/>
  <c r="W144" i="1" s="1"/>
  <c r="W145" i="1" a="1"/>
  <c r="W145" i="1" s="1"/>
  <c r="W146" i="1" a="1"/>
  <c r="W146" i="1" s="1"/>
  <c r="W147" i="1" a="1"/>
  <c r="W147" i="1" s="1"/>
  <c r="W148" i="1" a="1"/>
  <c r="W148" i="1" s="1"/>
  <c r="W149" i="1" a="1"/>
  <c r="W149" i="1" s="1"/>
  <c r="W150" i="1" a="1"/>
  <c r="W150" i="1" s="1"/>
  <c r="W151" i="1" a="1"/>
  <c r="W151" i="1" s="1"/>
  <c r="W152" i="1" a="1"/>
  <c r="W152" i="1" s="1"/>
  <c r="W153" i="1" a="1"/>
  <c r="W153" i="1" s="1"/>
  <c r="W154" i="1" a="1"/>
  <c r="W154" i="1" s="1"/>
  <c r="W155" i="1" a="1"/>
  <c r="W155" i="1" s="1"/>
  <c r="W156" i="1" a="1"/>
  <c r="W156" i="1" s="1"/>
  <c r="W157" i="1" a="1"/>
  <c r="W157" i="1" s="1"/>
  <c r="W158" i="1" a="1"/>
  <c r="W158" i="1" s="1"/>
  <c r="W159" i="1" a="1"/>
  <c r="W159" i="1" s="1"/>
  <c r="W160" i="1" a="1"/>
  <c r="W160" i="1" s="1"/>
  <c r="W161" i="1" a="1"/>
  <c r="W161" i="1" s="1"/>
  <c r="W162" i="1" a="1"/>
  <c r="W162" i="1" s="1"/>
  <c r="W163" i="1" a="1"/>
  <c r="W163" i="1" s="1"/>
  <c r="W164" i="1" a="1"/>
  <c r="W164" i="1" s="1"/>
  <c r="W165" i="1" a="1"/>
  <c r="W165" i="1" s="1"/>
  <c r="W166" i="1" a="1"/>
  <c r="W166" i="1" s="1"/>
  <c r="W167" i="1" a="1"/>
  <c r="W167" i="1" s="1"/>
  <c r="W168" i="1" a="1"/>
  <c r="W168" i="1" s="1"/>
  <c r="W169" i="1" a="1"/>
  <c r="W169" i="1" s="1"/>
  <c r="W170" i="1" a="1"/>
  <c r="W170" i="1" s="1"/>
  <c r="W171" i="1" a="1"/>
  <c r="W171" i="1" s="1"/>
  <c r="W172" i="1" a="1"/>
  <c r="W172" i="1" s="1"/>
  <c r="W173" i="1" a="1"/>
  <c r="W173" i="1" s="1"/>
  <c r="W174" i="1" a="1"/>
  <c r="W174" i="1" s="1"/>
  <c r="W175" i="1" a="1"/>
  <c r="W175" i="1" s="1"/>
  <c r="W176" i="1" a="1"/>
  <c r="W176" i="1" s="1"/>
  <c r="W177" i="1" a="1"/>
  <c r="W177" i="1" s="1"/>
  <c r="W178" i="1" a="1"/>
  <c r="W178" i="1" s="1"/>
  <c r="W179" i="1" a="1"/>
  <c r="W179" i="1" s="1"/>
  <c r="W180" i="1" a="1"/>
  <c r="W180" i="1" s="1"/>
  <c r="W181" i="1" a="1"/>
  <c r="W181" i="1" s="1"/>
  <c r="W182" i="1" a="1"/>
  <c r="W182" i="1" s="1"/>
  <c r="W183" i="1" a="1"/>
  <c r="W183" i="1" s="1"/>
  <c r="W184" i="1" a="1"/>
  <c r="W184" i="1" s="1"/>
  <c r="W185" i="1" a="1"/>
  <c r="W185" i="1" s="1"/>
  <c r="W186" i="1" a="1"/>
  <c r="W186" i="1" s="1"/>
  <c r="W187" i="1" a="1"/>
  <c r="W187" i="1" s="1"/>
  <c r="W188" i="1" a="1"/>
  <c r="W188" i="1" s="1"/>
  <c r="W189" i="1" a="1"/>
  <c r="W189" i="1" s="1"/>
  <c r="W190" i="1" a="1"/>
  <c r="W190" i="1" s="1"/>
  <c r="W191" i="1" a="1"/>
  <c r="W191" i="1" s="1"/>
  <c r="W192" i="1" a="1"/>
  <c r="W192" i="1" s="1"/>
  <c r="W193" i="1" a="1"/>
  <c r="W193" i="1" s="1"/>
  <c r="W194" i="1" a="1"/>
  <c r="W194" i="1" s="1"/>
  <c r="W195" i="1" a="1"/>
  <c r="W195" i="1" s="1"/>
  <c r="W196" i="1" a="1"/>
  <c r="W196" i="1" s="1"/>
  <c r="W197" i="1" a="1"/>
  <c r="W197" i="1" s="1"/>
  <c r="W198" i="1" a="1"/>
  <c r="W198" i="1" s="1"/>
  <c r="W199" i="1" a="1"/>
  <c r="W199" i="1" s="1"/>
  <c r="W200" i="1" a="1"/>
  <c r="W200" i="1" s="1"/>
  <c r="W201" i="1" a="1"/>
  <c r="W201" i="1" s="1"/>
  <c r="W202" i="1" a="1"/>
  <c r="W202" i="1" s="1"/>
  <c r="W203" i="1" a="1"/>
  <c r="W203" i="1" s="1"/>
  <c r="W204" i="1" a="1"/>
  <c r="W204" i="1" s="1"/>
  <c r="W205" i="1" a="1"/>
  <c r="W205" i="1" s="1"/>
  <c r="W206" i="1" a="1"/>
  <c r="W206" i="1" s="1"/>
  <c r="W207" i="1" a="1"/>
  <c r="W207" i="1" s="1"/>
  <c r="W208" i="1" a="1"/>
  <c r="W208" i="1" s="1"/>
  <c r="W209" i="1" a="1"/>
  <c r="W209" i="1" s="1"/>
  <c r="W210" i="1" a="1"/>
  <c r="W210" i="1" s="1"/>
  <c r="W211" i="1" a="1"/>
  <c r="W211" i="1" s="1"/>
  <c r="W212" i="1" a="1"/>
  <c r="W212" i="1" s="1"/>
  <c r="W213" i="1" a="1"/>
  <c r="W213" i="1" s="1"/>
  <c r="W214" i="1" a="1"/>
  <c r="W214" i="1" s="1"/>
  <c r="W215" i="1" a="1"/>
  <c r="W215" i="1" s="1"/>
  <c r="W216" i="1" a="1"/>
  <c r="W216" i="1" s="1"/>
  <c r="W217" i="1" a="1"/>
  <c r="W217" i="1" s="1"/>
  <c r="W218" i="1" a="1"/>
  <c r="W218" i="1" s="1"/>
  <c r="W219" i="1" a="1"/>
  <c r="W219" i="1" s="1"/>
  <c r="W220" i="1" a="1"/>
  <c r="W220" i="1" s="1"/>
  <c r="W221" i="1" a="1"/>
  <c r="W221" i="1" s="1"/>
  <c r="W222" i="1" a="1"/>
  <c r="W222" i="1" s="1"/>
  <c r="W223" i="1" a="1"/>
  <c r="W223" i="1" s="1"/>
  <c r="W224" i="1" a="1"/>
  <c r="W224" i="1" s="1"/>
  <c r="W225" i="1" a="1"/>
  <c r="W225" i="1" s="1"/>
  <c r="W226" i="1" a="1"/>
  <c r="W226" i="1" s="1"/>
  <c r="W227" i="1" a="1"/>
  <c r="W227" i="1" s="1"/>
  <c r="W228" i="1" a="1"/>
  <c r="W228" i="1" s="1"/>
  <c r="W229" i="1" a="1"/>
  <c r="W229" i="1" s="1"/>
  <c r="W230" i="1" a="1"/>
  <c r="W230" i="1" s="1"/>
  <c r="W231" i="1" a="1"/>
  <c r="W231" i="1" s="1"/>
  <c r="W232" i="1" a="1"/>
  <c r="W232" i="1" s="1"/>
  <c r="W233" i="1" a="1"/>
  <c r="W233" i="1" s="1"/>
  <c r="W234" i="1" a="1"/>
  <c r="W234" i="1" s="1"/>
  <c r="W235" i="1" a="1"/>
  <c r="W235" i="1" s="1"/>
  <c r="W236" i="1" a="1"/>
  <c r="W236" i="1" s="1"/>
  <c r="W237" i="1" a="1"/>
  <c r="W237" i="1" s="1"/>
  <c r="W238" i="1" a="1"/>
  <c r="W238" i="1" s="1"/>
  <c r="W239" i="1" a="1"/>
  <c r="W239" i="1" s="1"/>
  <c r="W240" i="1" a="1"/>
  <c r="W240" i="1" s="1"/>
  <c r="W241" i="1" a="1"/>
  <c r="W241" i="1" s="1"/>
  <c r="W242" i="1" a="1"/>
  <c r="W242" i="1" s="1"/>
  <c r="W243" i="1" a="1"/>
  <c r="W243" i="1" s="1"/>
  <c r="W244" i="1" a="1"/>
  <c r="W244" i="1" s="1"/>
  <c r="W245" i="1" a="1"/>
  <c r="W245" i="1" s="1"/>
  <c r="W246" i="1" a="1"/>
  <c r="W246" i="1" s="1"/>
  <c r="W247" i="1" a="1"/>
  <c r="W247" i="1" s="1"/>
  <c r="W248" i="1" a="1"/>
  <c r="W248" i="1" s="1"/>
  <c r="W249" i="1" a="1"/>
  <c r="W249" i="1" s="1"/>
  <c r="W250" i="1" a="1"/>
  <c r="W250" i="1" s="1"/>
  <c r="W251" i="1" a="1"/>
  <c r="W251" i="1" s="1"/>
  <c r="W252" i="1" a="1"/>
  <c r="W252" i="1" s="1"/>
  <c r="W253" i="1" a="1"/>
  <c r="W253" i="1" s="1"/>
  <c r="W254" i="1" a="1"/>
  <c r="W254" i="1" s="1"/>
  <c r="W255" i="1" a="1"/>
  <c r="W255" i="1" s="1"/>
  <c r="W256" i="1" a="1"/>
  <c r="W256" i="1" s="1"/>
  <c r="W257" i="1" a="1"/>
  <c r="W257" i="1" s="1"/>
  <c r="W258" i="1" a="1"/>
  <c r="W258" i="1" s="1"/>
  <c r="W259" i="1" a="1"/>
  <c r="W259" i="1" s="1"/>
  <c r="W260" i="1" a="1"/>
  <c r="W260" i="1" s="1"/>
  <c r="W261" i="1" a="1"/>
  <c r="W261" i="1" s="1"/>
  <c r="W262" i="1" a="1"/>
  <c r="W262" i="1" s="1"/>
  <c r="W263" i="1" a="1"/>
  <c r="W263" i="1" s="1"/>
  <c r="W264" i="1" a="1"/>
  <c r="W264" i="1" s="1"/>
  <c r="W265" i="1" a="1"/>
  <c r="W265" i="1" s="1"/>
  <c r="W266" i="1" a="1"/>
  <c r="W266" i="1" s="1"/>
  <c r="W267" i="1" a="1"/>
  <c r="W267" i="1" s="1"/>
  <c r="W268" i="1" a="1"/>
  <c r="W268" i="1" s="1"/>
  <c r="W269" i="1" a="1"/>
  <c r="W269" i="1" s="1"/>
  <c r="W270" i="1" a="1"/>
  <c r="W270" i="1" s="1"/>
  <c r="W271" i="1" a="1"/>
  <c r="W271" i="1" s="1"/>
  <c r="W272" i="1" a="1"/>
  <c r="W272" i="1" s="1"/>
  <c r="W273" i="1" a="1"/>
  <c r="W273" i="1" s="1"/>
  <c r="W274" i="1" a="1"/>
  <c r="W274" i="1" s="1"/>
  <c r="W275" i="1" a="1"/>
  <c r="W275" i="1" s="1"/>
  <c r="W276" i="1" a="1"/>
  <c r="W276" i="1" s="1"/>
  <c r="W277" i="1" a="1"/>
  <c r="W277" i="1" s="1"/>
  <c r="W278" i="1" a="1"/>
  <c r="W278" i="1" s="1"/>
  <c r="W279" i="1" a="1"/>
  <c r="W279" i="1" s="1"/>
  <c r="W280" i="1" a="1"/>
  <c r="W280" i="1" s="1"/>
  <c r="W281" i="1" a="1"/>
  <c r="W281" i="1" s="1"/>
  <c r="W282" i="1" a="1"/>
  <c r="W282" i="1" s="1"/>
  <c r="W283" i="1" a="1"/>
  <c r="W283" i="1" s="1"/>
  <c r="W284" i="1" a="1"/>
  <c r="W284" i="1" s="1"/>
  <c r="W285" i="1" a="1"/>
  <c r="W285" i="1" s="1"/>
  <c r="W286" i="1" a="1"/>
  <c r="W286" i="1" s="1"/>
  <c r="W287" i="1" a="1"/>
  <c r="W287" i="1" s="1"/>
  <c r="W288" i="1" a="1"/>
  <c r="W288" i="1" s="1"/>
  <c r="W289" i="1" a="1"/>
  <c r="W289" i="1" s="1"/>
  <c r="W290" i="1" a="1"/>
  <c r="W290" i="1" s="1"/>
  <c r="W291" i="1" a="1"/>
  <c r="W291" i="1" s="1"/>
  <c r="W292" i="1" a="1"/>
  <c r="W292" i="1" s="1"/>
  <c r="W293" i="1" a="1"/>
  <c r="W293" i="1" s="1"/>
  <c r="W294" i="1" a="1"/>
  <c r="W294" i="1" s="1"/>
  <c r="W295" i="1" a="1"/>
  <c r="W295" i="1" s="1"/>
  <c r="W296" i="1" a="1"/>
  <c r="W296" i="1" s="1"/>
  <c r="W297" i="1" a="1"/>
  <c r="W297" i="1" s="1"/>
  <c r="W298" i="1" a="1"/>
  <c r="W298" i="1" s="1"/>
  <c r="W299" i="1" a="1"/>
  <c r="W299" i="1" s="1"/>
  <c r="W300" i="1" a="1"/>
  <c r="W300" i="1" s="1"/>
  <c r="W301" i="1" a="1"/>
  <c r="W301" i="1" s="1"/>
  <c r="W302" i="1" a="1"/>
  <c r="W302" i="1" s="1"/>
  <c r="W303" i="1" a="1"/>
  <c r="W303" i="1" s="1"/>
  <c r="W304" i="1" a="1"/>
  <c r="W304" i="1" s="1"/>
  <c r="W305" i="1" a="1"/>
  <c r="W305" i="1" s="1"/>
  <c r="W306" i="1" a="1"/>
  <c r="W306" i="1" s="1"/>
  <c r="W307" i="1" a="1"/>
  <c r="W307" i="1" s="1"/>
  <c r="W308" i="1" a="1"/>
  <c r="W308" i="1" s="1"/>
  <c r="W309" i="1" a="1"/>
  <c r="W309" i="1" s="1"/>
  <c r="W310" i="1" a="1"/>
  <c r="W310" i="1" s="1"/>
  <c r="W311" i="1" a="1"/>
  <c r="W311" i="1" s="1"/>
  <c r="W312" i="1" a="1"/>
  <c r="W312" i="1" s="1"/>
  <c r="W313" i="1" a="1"/>
  <c r="W313" i="1" s="1"/>
  <c r="W314" i="1" a="1"/>
  <c r="W314" i="1" s="1"/>
  <c r="W315" i="1" a="1"/>
  <c r="W315" i="1" s="1"/>
  <c r="W316" i="1" a="1"/>
  <c r="W316" i="1" s="1"/>
  <c r="W317" i="1" a="1"/>
  <c r="W317" i="1" s="1"/>
  <c r="W318" i="1" a="1"/>
  <c r="W318" i="1" s="1"/>
  <c r="W319" i="1" a="1"/>
  <c r="W319" i="1" s="1"/>
  <c r="W320" i="1" a="1"/>
  <c r="W320" i="1" s="1"/>
  <c r="W321" i="1" a="1"/>
  <c r="W321" i="1" s="1"/>
  <c r="W322" i="1" a="1"/>
  <c r="W322" i="1" s="1"/>
  <c r="W323" i="1" a="1"/>
  <c r="W323" i="1" s="1"/>
  <c r="W324" i="1" a="1"/>
  <c r="W324" i="1" s="1"/>
  <c r="W325" i="1" a="1"/>
  <c r="W325" i="1" s="1"/>
  <c r="W326" i="1" a="1"/>
  <c r="W326" i="1" s="1"/>
  <c r="W327" i="1" a="1"/>
  <c r="W327" i="1" s="1"/>
  <c r="W328" i="1" a="1"/>
  <c r="W328" i="1" s="1"/>
  <c r="W329" i="1" a="1"/>
  <c r="W329" i="1" s="1"/>
  <c r="W330" i="1" a="1"/>
  <c r="W330" i="1" s="1"/>
  <c r="W331" i="1" a="1"/>
  <c r="W331" i="1" s="1"/>
  <c r="W332" i="1" a="1"/>
  <c r="W332" i="1" s="1"/>
  <c r="W333" i="1" a="1"/>
  <c r="W333" i="1" s="1"/>
  <c r="W334" i="1" a="1"/>
  <c r="W334" i="1" s="1"/>
  <c r="W335" i="1" a="1"/>
  <c r="W335" i="1" s="1"/>
  <c r="V3" i="1" a="1"/>
  <c r="V3" i="1" s="1"/>
  <c r="V4" i="1" a="1"/>
  <c r="V4" i="1" s="1"/>
  <c r="V5" i="1" a="1"/>
  <c r="V5" i="1" s="1"/>
  <c r="V6" i="1" a="1"/>
  <c r="V6" i="1" s="1"/>
  <c r="V7" i="1" a="1"/>
  <c r="V7" i="1" s="1"/>
  <c r="V8" i="1" a="1"/>
  <c r="V8" i="1" s="1"/>
  <c r="V9" i="1" a="1"/>
  <c r="V9" i="1" s="1"/>
  <c r="V10" i="1" a="1"/>
  <c r="V10" i="1" s="1"/>
  <c r="V11" i="1" a="1"/>
  <c r="V11" i="1" s="1"/>
  <c r="V12" i="1" a="1"/>
  <c r="V12" i="1" s="1"/>
  <c r="V13" i="1" a="1"/>
  <c r="V13" i="1" s="1"/>
  <c r="V14" i="1" a="1"/>
  <c r="V14" i="1" s="1"/>
  <c r="V15" i="1" a="1"/>
  <c r="V15" i="1" s="1"/>
  <c r="V16" i="1" a="1"/>
  <c r="V16" i="1" s="1"/>
  <c r="V17" i="1" a="1"/>
  <c r="V17" i="1" s="1"/>
  <c r="V18" i="1" a="1"/>
  <c r="V18" i="1" s="1"/>
  <c r="V19" i="1" a="1"/>
  <c r="V19" i="1" s="1"/>
  <c r="V20" i="1" a="1"/>
  <c r="V20" i="1" s="1"/>
  <c r="V21" i="1" a="1"/>
  <c r="V21" i="1" s="1"/>
  <c r="V22" i="1" a="1"/>
  <c r="V22" i="1" s="1"/>
  <c r="V23" i="1" a="1"/>
  <c r="V23" i="1" s="1"/>
  <c r="V24" i="1" a="1"/>
  <c r="V24" i="1" s="1"/>
  <c r="V25" i="1" a="1"/>
  <c r="V25" i="1" s="1"/>
  <c r="V26" i="1" a="1"/>
  <c r="V26" i="1" s="1"/>
  <c r="V27" i="1" a="1"/>
  <c r="V27" i="1" s="1"/>
  <c r="V28" i="1" a="1"/>
  <c r="V28" i="1" s="1"/>
  <c r="V29" i="1" a="1"/>
  <c r="V29" i="1" s="1"/>
  <c r="V30" i="1" a="1"/>
  <c r="V30" i="1" s="1"/>
  <c r="V31" i="1" a="1"/>
  <c r="V31" i="1" s="1"/>
  <c r="V32" i="1" a="1"/>
  <c r="V32" i="1" s="1"/>
  <c r="V33" i="1" a="1"/>
  <c r="V33" i="1" s="1"/>
  <c r="V34" i="1" a="1"/>
  <c r="V34" i="1" s="1"/>
  <c r="V35" i="1" a="1"/>
  <c r="V35" i="1" s="1"/>
  <c r="V36" i="1" a="1"/>
  <c r="V36" i="1" s="1"/>
  <c r="V37" i="1" a="1"/>
  <c r="V37" i="1" s="1"/>
  <c r="V38" i="1" a="1"/>
  <c r="V38" i="1" s="1"/>
  <c r="V39" i="1" a="1"/>
  <c r="V39" i="1" s="1"/>
  <c r="V40" i="1" a="1"/>
  <c r="V40" i="1" s="1"/>
  <c r="V41" i="1" a="1"/>
  <c r="V41" i="1" s="1"/>
  <c r="V42" i="1" a="1"/>
  <c r="V42" i="1" s="1"/>
  <c r="V43" i="1" a="1"/>
  <c r="V43" i="1" s="1"/>
  <c r="V44" i="1" a="1"/>
  <c r="V44" i="1" s="1"/>
  <c r="V45" i="1" a="1"/>
  <c r="V45" i="1" s="1"/>
  <c r="V46" i="1" a="1"/>
  <c r="V46" i="1" s="1"/>
  <c r="V47" i="1" a="1"/>
  <c r="V47" i="1" s="1"/>
  <c r="V48" i="1" a="1"/>
  <c r="V48" i="1" s="1"/>
  <c r="V49" i="1" a="1"/>
  <c r="V49" i="1" s="1"/>
  <c r="V50" i="1" a="1"/>
  <c r="V50" i="1" s="1"/>
  <c r="V51" i="1" a="1"/>
  <c r="V51" i="1" s="1"/>
  <c r="V52" i="1" a="1"/>
  <c r="V52" i="1" s="1"/>
  <c r="V53" i="1" a="1"/>
  <c r="V53" i="1" s="1"/>
  <c r="V54" i="1" a="1"/>
  <c r="V54" i="1" s="1"/>
  <c r="V55" i="1" a="1"/>
  <c r="V55" i="1" s="1"/>
  <c r="V56" i="1" a="1"/>
  <c r="V56" i="1" s="1"/>
  <c r="V57" i="1" a="1"/>
  <c r="V57" i="1" s="1"/>
  <c r="V58" i="1" a="1"/>
  <c r="V58" i="1" s="1"/>
  <c r="V59" i="1" a="1"/>
  <c r="V59" i="1" s="1"/>
  <c r="V60" i="1" a="1"/>
  <c r="V60" i="1" s="1"/>
  <c r="V61" i="1" a="1"/>
  <c r="V61" i="1" s="1"/>
  <c r="V62" i="1" a="1"/>
  <c r="V62" i="1" s="1"/>
  <c r="V63" i="1" a="1"/>
  <c r="V63" i="1" s="1"/>
  <c r="V64" i="1" a="1"/>
  <c r="V64" i="1" s="1"/>
  <c r="V65" i="1" a="1"/>
  <c r="V65" i="1" s="1"/>
  <c r="V66" i="1" a="1"/>
  <c r="V66" i="1" s="1"/>
  <c r="V67" i="1" a="1"/>
  <c r="V67" i="1" s="1"/>
  <c r="V68" i="1" a="1"/>
  <c r="V68" i="1" s="1"/>
  <c r="V69" i="1" a="1"/>
  <c r="V69" i="1" s="1"/>
  <c r="V70" i="1" a="1"/>
  <c r="V70" i="1" s="1"/>
  <c r="V71" i="1" a="1"/>
  <c r="V71" i="1" s="1"/>
  <c r="V72" i="1" a="1"/>
  <c r="V72" i="1" s="1"/>
  <c r="V73" i="1" a="1"/>
  <c r="V73" i="1" s="1"/>
  <c r="V74" i="1" a="1"/>
  <c r="V74" i="1" s="1"/>
  <c r="V75" i="1" a="1"/>
  <c r="V75" i="1" s="1"/>
  <c r="V76" i="1" a="1"/>
  <c r="V76" i="1" s="1"/>
  <c r="V77" i="1" a="1"/>
  <c r="V77" i="1" s="1"/>
  <c r="V78" i="1" a="1"/>
  <c r="V78" i="1" s="1"/>
  <c r="V79" i="1" a="1"/>
  <c r="V79" i="1" s="1"/>
  <c r="V80" i="1" a="1"/>
  <c r="V80" i="1" s="1"/>
  <c r="V81" i="1" a="1"/>
  <c r="V81" i="1" s="1"/>
  <c r="V82" i="1" a="1"/>
  <c r="V82" i="1" s="1"/>
  <c r="V83" i="1" a="1"/>
  <c r="V83" i="1" s="1"/>
  <c r="V84" i="1" a="1"/>
  <c r="V84" i="1" s="1"/>
  <c r="V85" i="1" a="1"/>
  <c r="V85" i="1" s="1"/>
  <c r="V86" i="1" a="1"/>
  <c r="V86" i="1" s="1"/>
  <c r="V87" i="1" a="1"/>
  <c r="V87" i="1" s="1"/>
  <c r="V88" i="1" a="1"/>
  <c r="V88" i="1" s="1"/>
  <c r="V89" i="1" a="1"/>
  <c r="V89" i="1" s="1"/>
  <c r="V90" i="1" a="1"/>
  <c r="V90" i="1" s="1"/>
  <c r="V91" i="1" a="1"/>
  <c r="V91" i="1" s="1"/>
  <c r="V92" i="1" a="1"/>
  <c r="V92" i="1" s="1"/>
  <c r="V93" i="1" a="1"/>
  <c r="V93" i="1" s="1"/>
  <c r="V94" i="1" a="1"/>
  <c r="V94" i="1" s="1"/>
  <c r="V95" i="1" a="1"/>
  <c r="V95" i="1" s="1"/>
  <c r="V96" i="1" a="1"/>
  <c r="V96" i="1" s="1"/>
  <c r="V97" i="1" a="1"/>
  <c r="V97" i="1" s="1"/>
  <c r="V98" i="1" a="1"/>
  <c r="V98" i="1" s="1"/>
  <c r="V99" i="1" a="1"/>
  <c r="V99" i="1" s="1"/>
  <c r="V100" i="1" a="1"/>
  <c r="V100" i="1" s="1"/>
  <c r="V101" i="1" a="1"/>
  <c r="V101" i="1" s="1"/>
  <c r="V102" i="1" a="1"/>
  <c r="V102" i="1" s="1"/>
  <c r="V103" i="1" a="1"/>
  <c r="V103" i="1" s="1"/>
  <c r="V104" i="1" a="1"/>
  <c r="V104" i="1" s="1"/>
  <c r="V105" i="1" a="1"/>
  <c r="V105" i="1" s="1"/>
  <c r="V106" i="1" a="1"/>
  <c r="V106" i="1" s="1"/>
  <c r="V107" i="1" a="1"/>
  <c r="V107" i="1" s="1"/>
  <c r="V108" i="1" a="1"/>
  <c r="V108" i="1" s="1"/>
  <c r="V109" i="1" a="1"/>
  <c r="V109" i="1" s="1"/>
  <c r="V110" i="1" a="1"/>
  <c r="V110" i="1" s="1"/>
  <c r="V111" i="1" a="1"/>
  <c r="V111" i="1" s="1"/>
  <c r="V112" i="1" a="1"/>
  <c r="V112" i="1" s="1"/>
  <c r="V113" i="1" a="1"/>
  <c r="V113" i="1" s="1"/>
  <c r="V114" i="1" a="1"/>
  <c r="V114" i="1" s="1"/>
  <c r="V115" i="1" a="1"/>
  <c r="V115" i="1" s="1"/>
  <c r="V116" i="1" a="1"/>
  <c r="V116" i="1" s="1"/>
  <c r="V117" i="1" a="1"/>
  <c r="V117" i="1" s="1"/>
  <c r="V118" i="1" a="1"/>
  <c r="V118" i="1" s="1"/>
  <c r="V119" i="1" a="1"/>
  <c r="V119" i="1" s="1"/>
  <c r="V120" i="1" a="1"/>
  <c r="V120" i="1" s="1"/>
  <c r="V121" i="1" a="1"/>
  <c r="V121" i="1" s="1"/>
  <c r="V122" i="1" a="1"/>
  <c r="V122" i="1" s="1"/>
  <c r="V123" i="1" a="1"/>
  <c r="V123" i="1" s="1"/>
  <c r="V124" i="1" a="1"/>
  <c r="V124" i="1" s="1"/>
  <c r="V125" i="1" a="1"/>
  <c r="V125" i="1" s="1"/>
  <c r="V126" i="1" a="1"/>
  <c r="V126" i="1" s="1"/>
  <c r="V127" i="1" a="1"/>
  <c r="V127" i="1" s="1"/>
  <c r="V128" i="1" a="1"/>
  <c r="V128" i="1" s="1"/>
  <c r="V129" i="1" a="1"/>
  <c r="V129" i="1" s="1"/>
  <c r="V130" i="1" a="1"/>
  <c r="V130" i="1" s="1"/>
  <c r="V131" i="1" a="1"/>
  <c r="V131" i="1" s="1"/>
  <c r="V132" i="1" a="1"/>
  <c r="V132" i="1" s="1"/>
  <c r="V133" i="1" a="1"/>
  <c r="V133" i="1" s="1"/>
  <c r="V134" i="1" a="1"/>
  <c r="V134" i="1" s="1"/>
  <c r="V135" i="1" a="1"/>
  <c r="V135" i="1" s="1"/>
  <c r="V136" i="1" a="1"/>
  <c r="V136" i="1" s="1"/>
  <c r="V137" i="1" a="1"/>
  <c r="V137" i="1" s="1"/>
  <c r="V138" i="1" a="1"/>
  <c r="V138" i="1" s="1"/>
  <c r="V139" i="1" a="1"/>
  <c r="V139" i="1" s="1"/>
  <c r="V140" i="1" a="1"/>
  <c r="V140" i="1" s="1"/>
  <c r="V141" i="1" a="1"/>
  <c r="V141" i="1" s="1"/>
  <c r="V142" i="1" a="1"/>
  <c r="V142" i="1" s="1"/>
  <c r="V143" i="1" a="1"/>
  <c r="V143" i="1" s="1"/>
  <c r="V144" i="1" a="1"/>
  <c r="V144" i="1" s="1"/>
  <c r="V145" i="1" a="1"/>
  <c r="V145" i="1" s="1"/>
  <c r="V146" i="1" a="1"/>
  <c r="V146" i="1" s="1"/>
  <c r="V147" i="1" a="1"/>
  <c r="V147" i="1" s="1"/>
  <c r="V148" i="1" a="1"/>
  <c r="V148" i="1" s="1"/>
  <c r="V149" i="1" a="1"/>
  <c r="V149" i="1" s="1"/>
  <c r="V150" i="1" a="1"/>
  <c r="V150" i="1" s="1"/>
  <c r="V151" i="1" a="1"/>
  <c r="V151" i="1" s="1"/>
  <c r="V152" i="1" a="1"/>
  <c r="V152" i="1" s="1"/>
  <c r="V153" i="1" a="1"/>
  <c r="V153" i="1" s="1"/>
  <c r="V154" i="1" a="1"/>
  <c r="V154" i="1" s="1"/>
  <c r="V155" i="1" a="1"/>
  <c r="V155" i="1" s="1"/>
  <c r="V156" i="1" a="1"/>
  <c r="V156" i="1" s="1"/>
  <c r="V157" i="1" a="1"/>
  <c r="V157" i="1" s="1"/>
  <c r="V158" i="1" a="1"/>
  <c r="V158" i="1" s="1"/>
  <c r="V159" i="1" a="1"/>
  <c r="V159" i="1" s="1"/>
  <c r="V160" i="1" a="1"/>
  <c r="V160" i="1" s="1"/>
  <c r="V161" i="1" a="1"/>
  <c r="V161" i="1" s="1"/>
  <c r="V162" i="1" a="1"/>
  <c r="V162" i="1" s="1"/>
  <c r="V163" i="1" a="1"/>
  <c r="V163" i="1" s="1"/>
  <c r="V164" i="1" a="1"/>
  <c r="V164" i="1" s="1"/>
  <c r="V165" i="1" a="1"/>
  <c r="V165" i="1" s="1"/>
  <c r="V166" i="1" a="1"/>
  <c r="V166" i="1" s="1"/>
  <c r="V167" i="1" a="1"/>
  <c r="V167" i="1" s="1"/>
  <c r="V168" i="1" a="1"/>
  <c r="V168" i="1" s="1"/>
  <c r="V169" i="1" a="1"/>
  <c r="V169" i="1" s="1"/>
  <c r="V170" i="1" a="1"/>
  <c r="V170" i="1" s="1"/>
  <c r="V171" i="1" a="1"/>
  <c r="V171" i="1" s="1"/>
  <c r="V172" i="1" a="1"/>
  <c r="V172" i="1" s="1"/>
  <c r="V173" i="1" a="1"/>
  <c r="V173" i="1" s="1"/>
  <c r="V174" i="1" a="1"/>
  <c r="V174" i="1" s="1"/>
  <c r="V175" i="1" a="1"/>
  <c r="V175" i="1" s="1"/>
  <c r="V176" i="1" a="1"/>
  <c r="V176" i="1" s="1"/>
  <c r="V177" i="1" a="1"/>
  <c r="V177" i="1" s="1"/>
  <c r="V178" i="1" a="1"/>
  <c r="V178" i="1" s="1"/>
  <c r="V179" i="1" a="1"/>
  <c r="V179" i="1" s="1"/>
  <c r="V180" i="1" a="1"/>
  <c r="V180" i="1" s="1"/>
  <c r="V181" i="1" a="1"/>
  <c r="V181" i="1" s="1"/>
  <c r="V182" i="1" a="1"/>
  <c r="V182" i="1" s="1"/>
  <c r="V183" i="1" a="1"/>
  <c r="V183" i="1" s="1"/>
  <c r="V184" i="1" a="1"/>
  <c r="V184" i="1" s="1"/>
  <c r="V185" i="1" a="1"/>
  <c r="V185" i="1" s="1"/>
  <c r="V186" i="1" a="1"/>
  <c r="V186" i="1" s="1"/>
  <c r="V187" i="1" a="1"/>
  <c r="V187" i="1" s="1"/>
  <c r="V188" i="1" a="1"/>
  <c r="V188" i="1" s="1"/>
  <c r="V189" i="1" a="1"/>
  <c r="V189" i="1" s="1"/>
  <c r="V190" i="1" a="1"/>
  <c r="V190" i="1" s="1"/>
  <c r="V191" i="1" a="1"/>
  <c r="V191" i="1" s="1"/>
  <c r="V192" i="1" a="1"/>
  <c r="V192" i="1" s="1"/>
  <c r="V193" i="1" a="1"/>
  <c r="V193" i="1" s="1"/>
  <c r="V194" i="1" a="1"/>
  <c r="V194" i="1" s="1"/>
  <c r="V195" i="1" a="1"/>
  <c r="V195" i="1" s="1"/>
  <c r="V196" i="1" a="1"/>
  <c r="V196" i="1" s="1"/>
  <c r="V197" i="1" a="1"/>
  <c r="V197" i="1" s="1"/>
  <c r="V198" i="1" a="1"/>
  <c r="V198" i="1" s="1"/>
  <c r="V199" i="1" a="1"/>
  <c r="V199" i="1" s="1"/>
  <c r="V200" i="1" a="1"/>
  <c r="V200" i="1" s="1"/>
  <c r="V201" i="1" a="1"/>
  <c r="V201" i="1" s="1"/>
  <c r="V202" i="1" a="1"/>
  <c r="V202" i="1" s="1"/>
  <c r="V203" i="1" a="1"/>
  <c r="V203" i="1" s="1"/>
  <c r="V204" i="1" a="1"/>
  <c r="V204" i="1" s="1"/>
  <c r="V205" i="1" a="1"/>
  <c r="V205" i="1" s="1"/>
  <c r="V206" i="1" a="1"/>
  <c r="V206" i="1" s="1"/>
  <c r="V207" i="1" a="1"/>
  <c r="V207" i="1" s="1"/>
  <c r="V208" i="1" a="1"/>
  <c r="V208" i="1" s="1"/>
  <c r="V209" i="1" a="1"/>
  <c r="V209" i="1" s="1"/>
  <c r="V210" i="1" a="1"/>
  <c r="V210" i="1" s="1"/>
  <c r="V211" i="1" a="1"/>
  <c r="V211" i="1" s="1"/>
  <c r="V212" i="1" a="1"/>
  <c r="V212" i="1" s="1"/>
  <c r="V213" i="1" a="1"/>
  <c r="V213" i="1" s="1"/>
  <c r="V214" i="1" a="1"/>
  <c r="V214" i="1" s="1"/>
  <c r="V215" i="1" a="1"/>
  <c r="V215" i="1" s="1"/>
  <c r="V216" i="1" a="1"/>
  <c r="V216" i="1" s="1"/>
  <c r="V217" i="1" a="1"/>
  <c r="V217" i="1" s="1"/>
  <c r="V218" i="1" a="1"/>
  <c r="V218" i="1" s="1"/>
  <c r="V219" i="1" a="1"/>
  <c r="V219" i="1" s="1"/>
  <c r="V220" i="1" a="1"/>
  <c r="V220" i="1" s="1"/>
  <c r="V221" i="1" a="1"/>
  <c r="V221" i="1" s="1"/>
  <c r="V222" i="1" a="1"/>
  <c r="V222" i="1" s="1"/>
  <c r="V223" i="1" a="1"/>
  <c r="V223" i="1" s="1"/>
  <c r="V224" i="1" a="1"/>
  <c r="V224" i="1" s="1"/>
  <c r="V225" i="1" a="1"/>
  <c r="V225" i="1" s="1"/>
  <c r="V226" i="1" a="1"/>
  <c r="V226" i="1" s="1"/>
  <c r="V227" i="1" a="1"/>
  <c r="V227" i="1" s="1"/>
  <c r="V228" i="1" a="1"/>
  <c r="V228" i="1" s="1"/>
  <c r="V229" i="1" a="1"/>
  <c r="V229" i="1" s="1"/>
  <c r="V230" i="1" a="1"/>
  <c r="V230" i="1" s="1"/>
  <c r="V231" i="1" a="1"/>
  <c r="V231" i="1" s="1"/>
  <c r="V232" i="1" a="1"/>
  <c r="V232" i="1" s="1"/>
  <c r="V233" i="1" a="1"/>
  <c r="V233" i="1" s="1"/>
  <c r="V234" i="1" a="1"/>
  <c r="V234" i="1" s="1"/>
  <c r="V235" i="1" a="1"/>
  <c r="V235" i="1" s="1"/>
  <c r="V236" i="1" a="1"/>
  <c r="V236" i="1" s="1"/>
  <c r="V237" i="1" a="1"/>
  <c r="V237" i="1" s="1"/>
  <c r="V238" i="1" a="1"/>
  <c r="V238" i="1" s="1"/>
  <c r="V239" i="1" a="1"/>
  <c r="V239" i="1" s="1"/>
  <c r="V240" i="1" a="1"/>
  <c r="V240" i="1" s="1"/>
  <c r="V241" i="1" a="1"/>
  <c r="V241" i="1" s="1"/>
  <c r="V242" i="1" a="1"/>
  <c r="V242" i="1" s="1"/>
  <c r="V243" i="1" a="1"/>
  <c r="V243" i="1" s="1"/>
  <c r="V244" i="1" a="1"/>
  <c r="V244" i="1" s="1"/>
  <c r="V245" i="1" a="1"/>
  <c r="V245" i="1" s="1"/>
  <c r="V246" i="1" a="1"/>
  <c r="V246" i="1" s="1"/>
  <c r="V247" i="1" a="1"/>
  <c r="V247" i="1" s="1"/>
  <c r="V248" i="1" a="1"/>
  <c r="V248" i="1" s="1"/>
  <c r="V249" i="1" a="1"/>
  <c r="V249" i="1" s="1"/>
  <c r="V250" i="1" a="1"/>
  <c r="V250" i="1" s="1"/>
  <c r="V251" i="1" a="1"/>
  <c r="V251" i="1" s="1"/>
  <c r="V252" i="1" a="1"/>
  <c r="V252" i="1" s="1"/>
  <c r="V253" i="1" a="1"/>
  <c r="V253" i="1" s="1"/>
  <c r="V254" i="1" a="1"/>
  <c r="V254" i="1" s="1"/>
  <c r="V255" i="1" a="1"/>
  <c r="V255" i="1" s="1"/>
  <c r="V256" i="1" a="1"/>
  <c r="V256" i="1" s="1"/>
  <c r="V257" i="1" a="1"/>
  <c r="V257" i="1" s="1"/>
  <c r="V258" i="1" a="1"/>
  <c r="V258" i="1" s="1"/>
  <c r="V259" i="1" a="1"/>
  <c r="V259" i="1" s="1"/>
  <c r="V260" i="1" a="1"/>
  <c r="V260" i="1" s="1"/>
  <c r="V261" i="1" a="1"/>
  <c r="V261" i="1" s="1"/>
  <c r="V262" i="1" a="1"/>
  <c r="V262" i="1" s="1"/>
  <c r="V263" i="1" a="1"/>
  <c r="V263" i="1" s="1"/>
  <c r="V264" i="1" a="1"/>
  <c r="V264" i="1" s="1"/>
  <c r="V265" i="1" a="1"/>
  <c r="V265" i="1" s="1"/>
  <c r="V266" i="1" a="1"/>
  <c r="V266" i="1" s="1"/>
  <c r="V267" i="1" a="1"/>
  <c r="V267" i="1" s="1"/>
  <c r="V268" i="1" a="1"/>
  <c r="V268" i="1" s="1"/>
  <c r="V269" i="1" a="1"/>
  <c r="V269" i="1" s="1"/>
  <c r="V270" i="1" a="1"/>
  <c r="V270" i="1" s="1"/>
  <c r="V271" i="1" a="1"/>
  <c r="V271" i="1" s="1"/>
  <c r="V272" i="1" a="1"/>
  <c r="V272" i="1" s="1"/>
  <c r="V273" i="1" a="1"/>
  <c r="V273" i="1" s="1"/>
  <c r="V274" i="1" a="1"/>
  <c r="V274" i="1" s="1"/>
  <c r="V275" i="1" a="1"/>
  <c r="V275" i="1" s="1"/>
  <c r="V276" i="1" a="1"/>
  <c r="V276" i="1" s="1"/>
  <c r="V277" i="1" a="1"/>
  <c r="V277" i="1" s="1"/>
  <c r="V278" i="1" a="1"/>
  <c r="V278" i="1" s="1"/>
  <c r="V279" i="1" a="1"/>
  <c r="V279" i="1" s="1"/>
  <c r="V280" i="1" a="1"/>
  <c r="V280" i="1" s="1"/>
  <c r="V281" i="1" a="1"/>
  <c r="V281" i="1" s="1"/>
  <c r="V282" i="1" a="1"/>
  <c r="V282" i="1" s="1"/>
  <c r="V283" i="1" a="1"/>
  <c r="V283" i="1" s="1"/>
  <c r="V284" i="1" a="1"/>
  <c r="V284" i="1" s="1"/>
  <c r="V285" i="1" a="1"/>
  <c r="V285" i="1" s="1"/>
  <c r="V286" i="1" a="1"/>
  <c r="V286" i="1" s="1"/>
  <c r="V287" i="1" a="1"/>
  <c r="V287" i="1" s="1"/>
  <c r="V288" i="1" a="1"/>
  <c r="V288" i="1" s="1"/>
  <c r="V289" i="1" a="1"/>
  <c r="V289" i="1" s="1"/>
  <c r="V290" i="1" a="1"/>
  <c r="V290" i="1" s="1"/>
  <c r="V291" i="1" a="1"/>
  <c r="V291" i="1" s="1"/>
  <c r="V292" i="1" a="1"/>
  <c r="V292" i="1" s="1"/>
  <c r="V293" i="1" a="1"/>
  <c r="V293" i="1" s="1"/>
  <c r="V294" i="1" a="1"/>
  <c r="V294" i="1" s="1"/>
  <c r="V295" i="1" a="1"/>
  <c r="V295" i="1" s="1"/>
  <c r="V296" i="1" a="1"/>
  <c r="V296" i="1" s="1"/>
  <c r="V297" i="1" a="1"/>
  <c r="V297" i="1" s="1"/>
  <c r="V298" i="1" a="1"/>
  <c r="V298" i="1" s="1"/>
  <c r="V299" i="1" a="1"/>
  <c r="V299" i="1" s="1"/>
  <c r="V300" i="1" a="1"/>
  <c r="V300" i="1" s="1"/>
  <c r="V301" i="1" a="1"/>
  <c r="V301" i="1" s="1"/>
  <c r="V302" i="1" a="1"/>
  <c r="V302" i="1" s="1"/>
  <c r="V303" i="1" a="1"/>
  <c r="V303" i="1" s="1"/>
  <c r="V304" i="1" a="1"/>
  <c r="V304" i="1" s="1"/>
  <c r="V305" i="1" a="1"/>
  <c r="V305" i="1" s="1"/>
  <c r="V306" i="1" a="1"/>
  <c r="V306" i="1" s="1"/>
  <c r="V307" i="1" a="1"/>
  <c r="V307" i="1" s="1"/>
  <c r="V308" i="1" a="1"/>
  <c r="V308" i="1" s="1"/>
  <c r="V309" i="1" a="1"/>
  <c r="V309" i="1" s="1"/>
  <c r="V310" i="1" a="1"/>
  <c r="V310" i="1" s="1"/>
  <c r="V311" i="1" a="1"/>
  <c r="V311" i="1" s="1"/>
  <c r="V312" i="1" a="1"/>
  <c r="V312" i="1" s="1"/>
  <c r="V313" i="1" a="1"/>
  <c r="V313" i="1" s="1"/>
  <c r="V314" i="1" a="1"/>
  <c r="V314" i="1" s="1"/>
  <c r="V315" i="1" a="1"/>
  <c r="V315" i="1" s="1"/>
  <c r="V316" i="1" a="1"/>
  <c r="V316" i="1" s="1"/>
  <c r="V317" i="1" a="1"/>
  <c r="V317" i="1" s="1"/>
  <c r="V318" i="1" a="1"/>
  <c r="V318" i="1" s="1"/>
  <c r="V319" i="1" a="1"/>
  <c r="V319" i="1" s="1"/>
  <c r="V320" i="1" a="1"/>
  <c r="V320" i="1" s="1"/>
  <c r="V321" i="1" a="1"/>
  <c r="V321" i="1" s="1"/>
  <c r="V322" i="1" a="1"/>
  <c r="V322" i="1" s="1"/>
  <c r="V323" i="1" a="1"/>
  <c r="V323" i="1" s="1"/>
  <c r="V324" i="1" a="1"/>
  <c r="V324" i="1" s="1"/>
  <c r="V325" i="1" a="1"/>
  <c r="V325" i="1" s="1"/>
  <c r="V326" i="1" a="1"/>
  <c r="V326" i="1" s="1"/>
  <c r="V327" i="1" a="1"/>
  <c r="V327" i="1" s="1"/>
  <c r="V328" i="1" a="1"/>
  <c r="V328" i="1" s="1"/>
  <c r="V329" i="1" a="1"/>
  <c r="V329" i="1" s="1"/>
  <c r="V330" i="1" a="1"/>
  <c r="V330" i="1" s="1"/>
  <c r="V331" i="1" a="1"/>
  <c r="V331" i="1" s="1"/>
  <c r="V332" i="1" a="1"/>
  <c r="V332" i="1" s="1"/>
  <c r="V333" i="1" a="1"/>
  <c r="V333" i="1" s="1"/>
  <c r="V334" i="1" a="1"/>
  <c r="V334" i="1" s="1"/>
  <c r="V335" i="1" a="1"/>
  <c r="V335" i="1" s="1"/>
  <c r="X3" i="1" a="1"/>
  <c r="X3" i="1" s="1"/>
  <c r="X4" i="1" a="1"/>
  <c r="X4" i="1" s="1"/>
  <c r="X5" i="1" a="1"/>
  <c r="X5" i="1" s="1"/>
  <c r="X6" i="1" a="1"/>
  <c r="X6" i="1" s="1"/>
  <c r="X7" i="1" a="1"/>
  <c r="X7" i="1" s="1"/>
  <c r="X8" i="1" a="1"/>
  <c r="X8" i="1" s="1"/>
  <c r="X9" i="1" a="1"/>
  <c r="X9" i="1" s="1"/>
  <c r="X10" i="1" a="1"/>
  <c r="X10" i="1" s="1"/>
  <c r="X11" i="1" a="1"/>
  <c r="X11" i="1" s="1"/>
  <c r="X12" i="1" a="1"/>
  <c r="X12" i="1" s="1"/>
  <c r="X13" i="1" a="1"/>
  <c r="X13" i="1" s="1"/>
  <c r="X14" i="1" a="1"/>
  <c r="X14" i="1" s="1"/>
  <c r="X15" i="1" a="1"/>
  <c r="X15" i="1" s="1"/>
  <c r="X16" i="1" a="1"/>
  <c r="X16" i="1" s="1"/>
  <c r="X17" i="1" a="1"/>
  <c r="X17" i="1" s="1"/>
  <c r="X18" i="1" a="1"/>
  <c r="X18" i="1" s="1"/>
  <c r="X19" i="1" a="1"/>
  <c r="X19" i="1" s="1"/>
  <c r="X20" i="1" a="1"/>
  <c r="X20" i="1" s="1"/>
  <c r="X21" i="1" a="1"/>
  <c r="X21" i="1" s="1"/>
  <c r="X22" i="1" a="1"/>
  <c r="X22" i="1" s="1"/>
  <c r="X23" i="1" a="1"/>
  <c r="X23" i="1" s="1"/>
  <c r="X24" i="1" a="1"/>
  <c r="X24" i="1" s="1"/>
  <c r="X25" i="1" a="1"/>
  <c r="X25" i="1" s="1"/>
  <c r="X26" i="1" a="1"/>
  <c r="X26" i="1" s="1"/>
  <c r="X27" i="1" a="1"/>
  <c r="X27" i="1" s="1"/>
  <c r="X28" i="1" a="1"/>
  <c r="X28" i="1" s="1"/>
  <c r="X29" i="1" a="1"/>
  <c r="X29" i="1" s="1"/>
  <c r="X30" i="1" a="1"/>
  <c r="X30" i="1" s="1"/>
  <c r="X31" i="1" a="1"/>
  <c r="X31" i="1" s="1"/>
  <c r="X32" i="1" a="1"/>
  <c r="X32" i="1" s="1"/>
  <c r="X33" i="1" a="1"/>
  <c r="X33" i="1" s="1"/>
  <c r="X34" i="1" a="1"/>
  <c r="X34" i="1" s="1"/>
  <c r="X35" i="1" a="1"/>
  <c r="X35" i="1" s="1"/>
  <c r="X36" i="1" a="1"/>
  <c r="X36" i="1" s="1"/>
  <c r="X37" i="1" a="1"/>
  <c r="X37" i="1" s="1"/>
  <c r="X38" i="1" a="1"/>
  <c r="X38" i="1" s="1"/>
  <c r="X39" i="1" a="1"/>
  <c r="X39" i="1" s="1"/>
  <c r="X40" i="1" a="1"/>
  <c r="X40" i="1" s="1"/>
  <c r="X41" i="1" a="1"/>
  <c r="X41" i="1" s="1"/>
  <c r="X42" i="1" a="1"/>
  <c r="X42" i="1" s="1"/>
  <c r="X43" i="1" a="1"/>
  <c r="X43" i="1" s="1"/>
  <c r="X44" i="1" a="1"/>
  <c r="X44" i="1" s="1"/>
  <c r="X45" i="1" a="1"/>
  <c r="X45" i="1" s="1"/>
  <c r="X46" i="1" a="1"/>
  <c r="X46" i="1" s="1"/>
  <c r="X47" i="1" a="1"/>
  <c r="X47" i="1" s="1"/>
  <c r="X48" i="1" a="1"/>
  <c r="X48" i="1" s="1"/>
  <c r="X49" i="1" a="1"/>
  <c r="X49" i="1" s="1"/>
  <c r="X50" i="1" a="1"/>
  <c r="X50" i="1" s="1"/>
  <c r="X51" i="1" a="1"/>
  <c r="X51" i="1" s="1"/>
  <c r="X52" i="1" a="1"/>
  <c r="X52" i="1" s="1"/>
  <c r="X53" i="1" a="1"/>
  <c r="X53" i="1" s="1"/>
  <c r="X54" i="1" a="1"/>
  <c r="X54" i="1" s="1"/>
  <c r="X55" i="1" a="1"/>
  <c r="X55" i="1" s="1"/>
  <c r="X56" i="1" a="1"/>
  <c r="X56" i="1" s="1"/>
  <c r="X57" i="1" a="1"/>
  <c r="X57" i="1" s="1"/>
  <c r="X58" i="1" a="1"/>
  <c r="X58" i="1" s="1"/>
  <c r="X59" i="1" a="1"/>
  <c r="X59" i="1" s="1"/>
  <c r="X60" i="1" a="1"/>
  <c r="X60" i="1" s="1"/>
  <c r="X61" i="1" a="1"/>
  <c r="X61" i="1" s="1"/>
  <c r="X62" i="1" a="1"/>
  <c r="X62" i="1" s="1"/>
  <c r="X63" i="1" a="1"/>
  <c r="X63" i="1" s="1"/>
  <c r="X64" i="1" a="1"/>
  <c r="X64" i="1" s="1"/>
  <c r="X65" i="1" a="1"/>
  <c r="X65" i="1" s="1"/>
  <c r="X66" i="1" a="1"/>
  <c r="X66" i="1" s="1"/>
  <c r="X67" i="1" a="1"/>
  <c r="X67" i="1" s="1"/>
  <c r="X68" i="1" a="1"/>
  <c r="X68" i="1" s="1"/>
  <c r="X69" i="1" a="1"/>
  <c r="X69" i="1" s="1"/>
  <c r="X70" i="1" a="1"/>
  <c r="X70" i="1" s="1"/>
  <c r="X71" i="1" a="1"/>
  <c r="X71" i="1" s="1"/>
  <c r="X72" i="1" a="1"/>
  <c r="X72" i="1" s="1"/>
  <c r="X73" i="1" a="1"/>
  <c r="X73" i="1" s="1"/>
  <c r="X74" i="1" a="1"/>
  <c r="X74" i="1" s="1"/>
  <c r="X75" i="1" a="1"/>
  <c r="X75" i="1" s="1"/>
  <c r="X76" i="1" a="1"/>
  <c r="X76" i="1" s="1"/>
  <c r="X77" i="1" a="1"/>
  <c r="X77" i="1" s="1"/>
  <c r="X78" i="1" a="1"/>
  <c r="X78" i="1" s="1"/>
  <c r="X79" i="1" a="1"/>
  <c r="X79" i="1" s="1"/>
  <c r="X80" i="1" a="1"/>
  <c r="X80" i="1" s="1"/>
  <c r="X81" i="1" a="1"/>
  <c r="X81" i="1" s="1"/>
  <c r="X82" i="1" a="1"/>
  <c r="X82" i="1" s="1"/>
  <c r="X83" i="1" a="1"/>
  <c r="X83" i="1" s="1"/>
  <c r="X84" i="1" a="1"/>
  <c r="X84" i="1" s="1"/>
  <c r="X85" i="1" a="1"/>
  <c r="X85" i="1" s="1"/>
  <c r="X86" i="1" a="1"/>
  <c r="X86" i="1" s="1"/>
  <c r="X87" i="1" a="1"/>
  <c r="X87" i="1" s="1"/>
  <c r="X88" i="1" a="1"/>
  <c r="X88" i="1" s="1"/>
  <c r="X89" i="1" a="1"/>
  <c r="X89" i="1" s="1"/>
  <c r="X90" i="1" a="1"/>
  <c r="X90" i="1" s="1"/>
  <c r="X91" i="1" a="1"/>
  <c r="X91" i="1" s="1"/>
  <c r="X92" i="1" a="1"/>
  <c r="X92" i="1" s="1"/>
  <c r="X93" i="1" a="1"/>
  <c r="X93" i="1" s="1"/>
  <c r="X94" i="1" a="1"/>
  <c r="X94" i="1" s="1"/>
  <c r="X95" i="1" a="1"/>
  <c r="X95" i="1" s="1"/>
  <c r="X96" i="1" a="1"/>
  <c r="X96" i="1" s="1"/>
  <c r="X97" i="1" a="1"/>
  <c r="X97" i="1" s="1"/>
  <c r="X98" i="1" a="1"/>
  <c r="X98" i="1" s="1"/>
  <c r="X99" i="1" a="1"/>
  <c r="X99" i="1" s="1"/>
  <c r="X100" i="1" a="1"/>
  <c r="X100" i="1" s="1"/>
  <c r="X101" i="1" a="1"/>
  <c r="X101" i="1" s="1"/>
  <c r="X102" i="1" a="1"/>
  <c r="X102" i="1" s="1"/>
  <c r="X103" i="1" a="1"/>
  <c r="X103" i="1" s="1"/>
  <c r="X104" i="1" a="1"/>
  <c r="X104" i="1" s="1"/>
  <c r="X105" i="1" a="1"/>
  <c r="X105" i="1" s="1"/>
  <c r="X106" i="1" a="1"/>
  <c r="X106" i="1" s="1"/>
  <c r="X107" i="1" a="1"/>
  <c r="X107" i="1" s="1"/>
  <c r="X108" i="1" a="1"/>
  <c r="X108" i="1" s="1"/>
  <c r="X109" i="1" a="1"/>
  <c r="X109" i="1" s="1"/>
  <c r="X110" i="1" a="1"/>
  <c r="X110" i="1" s="1"/>
  <c r="X111" i="1" a="1"/>
  <c r="X111" i="1" s="1"/>
  <c r="X112" i="1" a="1"/>
  <c r="X112" i="1" s="1"/>
  <c r="X113" i="1" a="1"/>
  <c r="X113" i="1" s="1"/>
  <c r="X114" i="1" a="1"/>
  <c r="X114" i="1" s="1"/>
  <c r="X115" i="1" a="1"/>
  <c r="X115" i="1" s="1"/>
  <c r="X116" i="1" a="1"/>
  <c r="X116" i="1" s="1"/>
  <c r="X117" i="1" a="1"/>
  <c r="X117" i="1" s="1"/>
  <c r="X118" i="1" a="1"/>
  <c r="X118" i="1" s="1"/>
  <c r="X119" i="1" a="1"/>
  <c r="X119" i="1" s="1"/>
  <c r="X120" i="1" a="1"/>
  <c r="X120" i="1" s="1"/>
  <c r="X121" i="1" a="1"/>
  <c r="X121" i="1" s="1"/>
  <c r="X122" i="1" a="1"/>
  <c r="X122" i="1" s="1"/>
  <c r="X123" i="1" a="1"/>
  <c r="X123" i="1" s="1"/>
  <c r="X124" i="1" a="1"/>
  <c r="X124" i="1" s="1"/>
  <c r="X125" i="1" a="1"/>
  <c r="X125" i="1" s="1"/>
  <c r="X126" i="1" a="1"/>
  <c r="X126" i="1" s="1"/>
  <c r="X127" i="1" a="1"/>
  <c r="X127" i="1" s="1"/>
  <c r="X128" i="1" a="1"/>
  <c r="X128" i="1" s="1"/>
  <c r="X129" i="1" a="1"/>
  <c r="X129" i="1" s="1"/>
  <c r="X130" i="1" a="1"/>
  <c r="X130" i="1" s="1"/>
  <c r="X131" i="1" a="1"/>
  <c r="X131" i="1" s="1"/>
  <c r="X132" i="1" a="1"/>
  <c r="X132" i="1" s="1"/>
  <c r="X133" i="1" a="1"/>
  <c r="X133" i="1" s="1"/>
  <c r="X134" i="1" a="1"/>
  <c r="X134" i="1" s="1"/>
  <c r="X135" i="1" a="1"/>
  <c r="X135" i="1" s="1"/>
  <c r="X136" i="1" a="1"/>
  <c r="X136" i="1" s="1"/>
  <c r="X137" i="1" a="1"/>
  <c r="X137" i="1" s="1"/>
  <c r="X138" i="1" a="1"/>
  <c r="X138" i="1" s="1"/>
  <c r="X139" i="1" a="1"/>
  <c r="X139" i="1" s="1"/>
  <c r="X140" i="1" a="1"/>
  <c r="X140" i="1" s="1"/>
  <c r="X141" i="1" a="1"/>
  <c r="X141" i="1" s="1"/>
  <c r="X142" i="1" a="1"/>
  <c r="X142" i="1" s="1"/>
  <c r="X143" i="1" a="1"/>
  <c r="X143" i="1" s="1"/>
  <c r="X144" i="1" a="1"/>
  <c r="X144" i="1" s="1"/>
  <c r="X145" i="1" a="1"/>
  <c r="X145" i="1" s="1"/>
  <c r="X146" i="1" a="1"/>
  <c r="X146" i="1" s="1"/>
  <c r="X147" i="1" a="1"/>
  <c r="X147" i="1" s="1"/>
  <c r="X148" i="1" a="1"/>
  <c r="X148" i="1" s="1"/>
  <c r="X149" i="1" a="1"/>
  <c r="X149" i="1" s="1"/>
  <c r="X150" i="1" a="1"/>
  <c r="X150" i="1" s="1"/>
  <c r="X151" i="1" a="1"/>
  <c r="X151" i="1" s="1"/>
  <c r="X152" i="1" a="1"/>
  <c r="X152" i="1" s="1"/>
  <c r="X153" i="1" a="1"/>
  <c r="X153" i="1" s="1"/>
  <c r="X154" i="1" a="1"/>
  <c r="X154" i="1" s="1"/>
  <c r="X155" i="1" a="1"/>
  <c r="X155" i="1" s="1"/>
  <c r="X156" i="1" a="1"/>
  <c r="X156" i="1" s="1"/>
  <c r="X157" i="1" a="1"/>
  <c r="X157" i="1" s="1"/>
  <c r="X158" i="1" a="1"/>
  <c r="X158" i="1" s="1"/>
  <c r="X159" i="1" a="1"/>
  <c r="X159" i="1" s="1"/>
  <c r="X160" i="1" a="1"/>
  <c r="X160" i="1" s="1"/>
  <c r="X161" i="1" a="1"/>
  <c r="X161" i="1" s="1"/>
  <c r="X162" i="1" a="1"/>
  <c r="X162" i="1" s="1"/>
  <c r="X163" i="1" a="1"/>
  <c r="X163" i="1" s="1"/>
  <c r="X164" i="1" a="1"/>
  <c r="X164" i="1" s="1"/>
  <c r="X165" i="1" a="1"/>
  <c r="X165" i="1" s="1"/>
  <c r="X166" i="1" a="1"/>
  <c r="X166" i="1" s="1"/>
  <c r="X167" i="1" a="1"/>
  <c r="X167" i="1" s="1"/>
  <c r="X168" i="1" a="1"/>
  <c r="X168" i="1" s="1"/>
  <c r="X169" i="1" a="1"/>
  <c r="X169" i="1" s="1"/>
  <c r="X170" i="1" a="1"/>
  <c r="X170" i="1" s="1"/>
  <c r="X171" i="1" a="1"/>
  <c r="X171" i="1" s="1"/>
  <c r="X172" i="1" a="1"/>
  <c r="X172" i="1" s="1"/>
  <c r="X173" i="1" a="1"/>
  <c r="X173" i="1" s="1"/>
  <c r="X174" i="1" a="1"/>
  <c r="X174" i="1" s="1"/>
  <c r="X175" i="1" a="1"/>
  <c r="X175" i="1" s="1"/>
  <c r="X176" i="1" a="1"/>
  <c r="X176" i="1" s="1"/>
  <c r="X177" i="1" a="1"/>
  <c r="X177" i="1" s="1"/>
  <c r="X178" i="1" a="1"/>
  <c r="X178" i="1" s="1"/>
  <c r="X179" i="1" a="1"/>
  <c r="X179" i="1" s="1"/>
  <c r="X180" i="1" a="1"/>
  <c r="X180" i="1" s="1"/>
  <c r="X181" i="1" a="1"/>
  <c r="X181" i="1" s="1"/>
  <c r="X182" i="1" a="1"/>
  <c r="X182" i="1" s="1"/>
  <c r="X183" i="1" a="1"/>
  <c r="X183" i="1" s="1"/>
  <c r="X184" i="1" a="1"/>
  <c r="X184" i="1" s="1"/>
  <c r="X185" i="1" a="1"/>
  <c r="X185" i="1" s="1"/>
  <c r="X186" i="1" a="1"/>
  <c r="X186" i="1" s="1"/>
  <c r="X187" i="1" a="1"/>
  <c r="X187" i="1" s="1"/>
  <c r="X188" i="1" a="1"/>
  <c r="X188" i="1" s="1"/>
  <c r="X189" i="1" a="1"/>
  <c r="X189" i="1" s="1"/>
  <c r="X190" i="1" a="1"/>
  <c r="X190" i="1" s="1"/>
  <c r="X191" i="1" a="1"/>
  <c r="X191" i="1" s="1"/>
  <c r="X192" i="1" a="1"/>
  <c r="X192" i="1" s="1"/>
  <c r="X193" i="1" a="1"/>
  <c r="X193" i="1" s="1"/>
  <c r="X194" i="1" a="1"/>
  <c r="X194" i="1" s="1"/>
  <c r="X195" i="1" a="1"/>
  <c r="X195" i="1" s="1"/>
  <c r="X196" i="1" a="1"/>
  <c r="X196" i="1" s="1"/>
  <c r="X197" i="1" a="1"/>
  <c r="X197" i="1" s="1"/>
  <c r="X198" i="1" a="1"/>
  <c r="X198" i="1" s="1"/>
  <c r="X199" i="1" a="1"/>
  <c r="X199" i="1" s="1"/>
  <c r="X200" i="1" a="1"/>
  <c r="X200" i="1" s="1"/>
  <c r="X201" i="1" a="1"/>
  <c r="X201" i="1" s="1"/>
  <c r="X202" i="1" a="1"/>
  <c r="X202" i="1" s="1"/>
  <c r="X203" i="1" a="1"/>
  <c r="X203" i="1" s="1"/>
  <c r="X204" i="1" a="1"/>
  <c r="X204" i="1" s="1"/>
  <c r="X205" i="1" a="1"/>
  <c r="X205" i="1" s="1"/>
  <c r="X206" i="1" a="1"/>
  <c r="X206" i="1" s="1"/>
  <c r="X207" i="1" a="1"/>
  <c r="X207" i="1" s="1"/>
  <c r="X208" i="1" a="1"/>
  <c r="X208" i="1" s="1"/>
  <c r="X209" i="1" a="1"/>
  <c r="X209" i="1" s="1"/>
  <c r="X210" i="1" a="1"/>
  <c r="X210" i="1" s="1"/>
  <c r="X211" i="1" a="1"/>
  <c r="X211" i="1" s="1"/>
  <c r="X212" i="1" a="1"/>
  <c r="X212" i="1" s="1"/>
  <c r="X213" i="1" a="1"/>
  <c r="X213" i="1" s="1"/>
  <c r="X214" i="1" a="1"/>
  <c r="X214" i="1" s="1"/>
  <c r="X215" i="1" a="1"/>
  <c r="X215" i="1" s="1"/>
  <c r="X216" i="1" a="1"/>
  <c r="X216" i="1" s="1"/>
  <c r="X217" i="1" a="1"/>
  <c r="X217" i="1" s="1"/>
  <c r="X218" i="1" a="1"/>
  <c r="X218" i="1" s="1"/>
  <c r="X219" i="1" a="1"/>
  <c r="X219" i="1" s="1"/>
  <c r="X220" i="1" a="1"/>
  <c r="X220" i="1" s="1"/>
  <c r="X221" i="1" a="1"/>
  <c r="X221" i="1" s="1"/>
  <c r="X222" i="1" a="1"/>
  <c r="X222" i="1" s="1"/>
  <c r="X223" i="1" a="1"/>
  <c r="X223" i="1" s="1"/>
  <c r="X224" i="1" a="1"/>
  <c r="X224" i="1" s="1"/>
  <c r="X225" i="1" a="1"/>
  <c r="X225" i="1" s="1"/>
  <c r="X226" i="1" a="1"/>
  <c r="X226" i="1" s="1"/>
  <c r="X227" i="1" a="1"/>
  <c r="X227" i="1" s="1"/>
  <c r="X228" i="1" a="1"/>
  <c r="X228" i="1" s="1"/>
  <c r="X229" i="1" a="1"/>
  <c r="X229" i="1" s="1"/>
  <c r="X230" i="1" a="1"/>
  <c r="X230" i="1" s="1"/>
  <c r="X231" i="1" a="1"/>
  <c r="X231" i="1" s="1"/>
  <c r="X232" i="1" a="1"/>
  <c r="X232" i="1" s="1"/>
  <c r="X233" i="1" a="1"/>
  <c r="X233" i="1" s="1"/>
  <c r="X234" i="1" a="1"/>
  <c r="X234" i="1" s="1"/>
  <c r="X235" i="1" a="1"/>
  <c r="X235" i="1" s="1"/>
  <c r="X236" i="1" a="1"/>
  <c r="X236" i="1" s="1"/>
  <c r="X237" i="1" a="1"/>
  <c r="X237" i="1" s="1"/>
  <c r="X238" i="1" a="1"/>
  <c r="X238" i="1" s="1"/>
  <c r="X239" i="1" a="1"/>
  <c r="X239" i="1" s="1"/>
  <c r="X240" i="1" a="1"/>
  <c r="X240" i="1" s="1"/>
  <c r="X241" i="1" a="1"/>
  <c r="X241" i="1" s="1"/>
  <c r="X242" i="1" a="1"/>
  <c r="X242" i="1" s="1"/>
  <c r="X243" i="1" a="1"/>
  <c r="X243" i="1" s="1"/>
  <c r="X244" i="1" a="1"/>
  <c r="X244" i="1" s="1"/>
  <c r="X245" i="1" a="1"/>
  <c r="X245" i="1" s="1"/>
  <c r="X246" i="1" a="1"/>
  <c r="X246" i="1" s="1"/>
  <c r="X247" i="1" a="1"/>
  <c r="X247" i="1" s="1"/>
  <c r="X248" i="1" a="1"/>
  <c r="X248" i="1" s="1"/>
  <c r="X249" i="1" a="1"/>
  <c r="X249" i="1" s="1"/>
  <c r="X250" i="1" a="1"/>
  <c r="X250" i="1" s="1"/>
  <c r="X251" i="1" a="1"/>
  <c r="X251" i="1" s="1"/>
  <c r="X252" i="1" a="1"/>
  <c r="X252" i="1" s="1"/>
  <c r="X253" i="1" a="1"/>
  <c r="X253" i="1" s="1"/>
  <c r="X254" i="1" a="1"/>
  <c r="X254" i="1" s="1"/>
  <c r="X255" i="1" a="1"/>
  <c r="X255" i="1" s="1"/>
  <c r="X256" i="1" a="1"/>
  <c r="X256" i="1" s="1"/>
  <c r="X257" i="1" a="1"/>
  <c r="X257" i="1" s="1"/>
  <c r="X258" i="1" a="1"/>
  <c r="X258" i="1" s="1"/>
  <c r="X259" i="1" a="1"/>
  <c r="X259" i="1" s="1"/>
  <c r="X260" i="1" a="1"/>
  <c r="X260" i="1" s="1"/>
  <c r="X261" i="1" a="1"/>
  <c r="X261" i="1" s="1"/>
  <c r="X262" i="1" a="1"/>
  <c r="X262" i="1" s="1"/>
  <c r="X263" i="1" a="1"/>
  <c r="X263" i="1" s="1"/>
  <c r="X264" i="1" a="1"/>
  <c r="X264" i="1" s="1"/>
  <c r="X265" i="1" a="1"/>
  <c r="X265" i="1" s="1"/>
  <c r="X266" i="1" a="1"/>
  <c r="X266" i="1" s="1"/>
  <c r="X267" i="1" a="1"/>
  <c r="X267" i="1" s="1"/>
  <c r="X268" i="1" a="1"/>
  <c r="X268" i="1" s="1"/>
  <c r="X269" i="1" a="1"/>
  <c r="X269" i="1" s="1"/>
  <c r="X270" i="1" a="1"/>
  <c r="X270" i="1" s="1"/>
  <c r="X271" i="1" a="1"/>
  <c r="X271" i="1" s="1"/>
  <c r="X272" i="1" a="1"/>
  <c r="X272" i="1" s="1"/>
  <c r="X273" i="1" a="1"/>
  <c r="X273" i="1" s="1"/>
  <c r="X274" i="1" a="1"/>
  <c r="X274" i="1" s="1"/>
  <c r="X275" i="1" a="1"/>
  <c r="X275" i="1" s="1"/>
  <c r="X276" i="1" a="1"/>
  <c r="X276" i="1" s="1"/>
  <c r="X277" i="1" a="1"/>
  <c r="X277" i="1" s="1"/>
  <c r="X278" i="1" a="1"/>
  <c r="X278" i="1" s="1"/>
  <c r="X279" i="1" a="1"/>
  <c r="X279" i="1" s="1"/>
  <c r="X280" i="1" a="1"/>
  <c r="X280" i="1" s="1"/>
  <c r="X281" i="1" a="1"/>
  <c r="X281" i="1" s="1"/>
  <c r="X282" i="1" a="1"/>
  <c r="X282" i="1" s="1"/>
  <c r="X283" i="1" a="1"/>
  <c r="X283" i="1" s="1"/>
  <c r="X284" i="1" a="1"/>
  <c r="X284" i="1" s="1"/>
  <c r="X285" i="1" a="1"/>
  <c r="X285" i="1" s="1"/>
  <c r="X286" i="1" a="1"/>
  <c r="X286" i="1" s="1"/>
  <c r="X287" i="1" a="1"/>
  <c r="X287" i="1" s="1"/>
  <c r="X288" i="1" a="1"/>
  <c r="X288" i="1" s="1"/>
  <c r="X289" i="1" a="1"/>
  <c r="X289" i="1" s="1"/>
  <c r="X290" i="1" a="1"/>
  <c r="X290" i="1" s="1"/>
  <c r="X291" i="1" a="1"/>
  <c r="X291" i="1" s="1"/>
  <c r="X292" i="1" a="1"/>
  <c r="X292" i="1" s="1"/>
  <c r="X293" i="1" a="1"/>
  <c r="X293" i="1" s="1"/>
  <c r="X294" i="1" a="1"/>
  <c r="X294" i="1" s="1"/>
  <c r="X295" i="1" a="1"/>
  <c r="X295" i="1" s="1"/>
  <c r="X296" i="1" a="1"/>
  <c r="X296" i="1" s="1"/>
  <c r="X297" i="1" a="1"/>
  <c r="X297" i="1" s="1"/>
  <c r="X298" i="1" a="1"/>
  <c r="X298" i="1" s="1"/>
  <c r="X299" i="1" a="1"/>
  <c r="X299" i="1" s="1"/>
  <c r="X300" i="1" a="1"/>
  <c r="X300" i="1" s="1"/>
  <c r="X301" i="1" a="1"/>
  <c r="X301" i="1" s="1"/>
  <c r="X302" i="1" a="1"/>
  <c r="X302" i="1" s="1"/>
  <c r="X303" i="1" a="1"/>
  <c r="X303" i="1" s="1"/>
  <c r="X304" i="1" a="1"/>
  <c r="X304" i="1" s="1"/>
  <c r="X305" i="1" a="1"/>
  <c r="X305" i="1" s="1"/>
  <c r="X306" i="1" a="1"/>
  <c r="X306" i="1" s="1"/>
  <c r="X307" i="1" a="1"/>
  <c r="X307" i="1" s="1"/>
  <c r="X308" i="1" a="1"/>
  <c r="X308" i="1" s="1"/>
  <c r="X309" i="1" a="1"/>
  <c r="X309" i="1" s="1"/>
  <c r="X310" i="1" a="1"/>
  <c r="X310" i="1" s="1"/>
  <c r="X311" i="1" a="1"/>
  <c r="X311" i="1" s="1"/>
  <c r="X312" i="1" a="1"/>
  <c r="X312" i="1" s="1"/>
  <c r="X313" i="1" a="1"/>
  <c r="X313" i="1" s="1"/>
  <c r="X314" i="1" a="1"/>
  <c r="X314" i="1" s="1"/>
  <c r="X315" i="1" a="1"/>
  <c r="X315" i="1" s="1"/>
  <c r="X316" i="1" a="1"/>
  <c r="X316" i="1" s="1"/>
  <c r="X317" i="1" a="1"/>
  <c r="X317" i="1" s="1"/>
  <c r="X318" i="1" a="1"/>
  <c r="X318" i="1" s="1"/>
  <c r="X319" i="1" a="1"/>
  <c r="X319" i="1" s="1"/>
  <c r="X320" i="1" a="1"/>
  <c r="X320" i="1" s="1"/>
  <c r="X321" i="1" a="1"/>
  <c r="X321" i="1" s="1"/>
  <c r="X322" i="1" a="1"/>
  <c r="X322" i="1" s="1"/>
  <c r="X323" i="1" a="1"/>
  <c r="X323" i="1" s="1"/>
  <c r="X324" i="1" a="1"/>
  <c r="X324" i="1" s="1"/>
  <c r="X325" i="1" a="1"/>
  <c r="X325" i="1" s="1"/>
  <c r="X326" i="1" a="1"/>
  <c r="X326" i="1" s="1"/>
  <c r="X327" i="1" a="1"/>
  <c r="X327" i="1" s="1"/>
  <c r="X328" i="1" a="1"/>
  <c r="X328" i="1" s="1"/>
  <c r="X329" i="1" a="1"/>
  <c r="X329" i="1" s="1"/>
  <c r="X330" i="1" a="1"/>
  <c r="X330" i="1" s="1"/>
  <c r="X331" i="1" a="1"/>
  <c r="X331" i="1" s="1"/>
  <c r="X332" i="1" a="1"/>
  <c r="X332" i="1" s="1"/>
  <c r="X333" i="1" a="1"/>
  <c r="X333" i="1" s="1"/>
  <c r="X334" i="1" a="1"/>
  <c r="X334" i="1" s="1"/>
  <c r="X335" i="1" a="1"/>
  <c r="X335" i="1" s="1"/>
  <c r="AC3" i="1" l="1" a="1"/>
  <c r="AC3" i="1" s="1"/>
  <c r="AC4" i="1" a="1"/>
  <c r="AC4" i="1" s="1"/>
  <c r="AC5" i="1" a="1"/>
  <c r="AC5" i="1" s="1"/>
  <c r="AC6" i="1" a="1"/>
  <c r="AC6" i="1" s="1"/>
  <c r="AC7" i="1" a="1"/>
  <c r="AC7" i="1" s="1"/>
  <c r="AC8" i="1" a="1"/>
  <c r="AC8" i="1" s="1"/>
  <c r="AC9" i="1" a="1"/>
  <c r="AC9" i="1" s="1"/>
  <c r="AC10" i="1" a="1"/>
  <c r="AC10" i="1" s="1"/>
  <c r="AC11" i="1" a="1"/>
  <c r="AC11" i="1" s="1"/>
  <c r="AC12" i="1" a="1"/>
  <c r="AC12" i="1" s="1"/>
  <c r="AC13" i="1" a="1"/>
  <c r="AC13" i="1" s="1"/>
  <c r="AC14" i="1" a="1"/>
  <c r="AC14" i="1" s="1"/>
  <c r="AC15" i="1" a="1"/>
  <c r="AC15" i="1" s="1"/>
  <c r="AC16" i="1" a="1"/>
  <c r="AC16" i="1" s="1"/>
  <c r="AC17" i="1" a="1"/>
  <c r="AC17" i="1" s="1"/>
  <c r="AC18" i="1" a="1"/>
  <c r="AC18" i="1" s="1"/>
  <c r="AC19" i="1" a="1"/>
  <c r="AC19" i="1" s="1"/>
  <c r="AC20" i="1" a="1"/>
  <c r="AC20" i="1" s="1"/>
  <c r="AC21" i="1" a="1"/>
  <c r="AC21" i="1" s="1"/>
  <c r="AC22" i="1" a="1"/>
  <c r="AC22" i="1" s="1"/>
  <c r="AC23" i="1" a="1"/>
  <c r="AC23" i="1" s="1"/>
  <c r="AC24" i="1" a="1"/>
  <c r="AC24" i="1" s="1"/>
  <c r="AC25" i="1" a="1"/>
  <c r="AC25" i="1" s="1"/>
  <c r="AC26" i="1" a="1"/>
  <c r="AC26" i="1" s="1"/>
  <c r="AC27" i="1" a="1"/>
  <c r="AC27" i="1" s="1"/>
  <c r="AC28" i="1" a="1"/>
  <c r="AC28" i="1" s="1"/>
  <c r="AC29" i="1" a="1"/>
  <c r="AC29" i="1" s="1"/>
  <c r="AC30" i="1" a="1"/>
  <c r="AC30" i="1" s="1"/>
  <c r="AC31" i="1" a="1"/>
  <c r="AC31" i="1" s="1"/>
  <c r="AC32" i="1" a="1"/>
  <c r="AC32" i="1" s="1"/>
  <c r="AC33" i="1" a="1"/>
  <c r="AC33" i="1" s="1"/>
  <c r="AC34" i="1" a="1"/>
  <c r="AC34" i="1" s="1"/>
  <c r="AC35" i="1" a="1"/>
  <c r="AC35" i="1" s="1"/>
  <c r="AC36" i="1" a="1"/>
  <c r="AC36" i="1" s="1"/>
  <c r="AC37" i="1" a="1"/>
  <c r="AC37" i="1" s="1"/>
  <c r="AC38" i="1" a="1"/>
  <c r="AC38" i="1" s="1"/>
  <c r="AC39" i="1" a="1"/>
  <c r="AC39" i="1" s="1"/>
  <c r="AC40" i="1" a="1"/>
  <c r="AC40" i="1" s="1"/>
  <c r="AC41" i="1" a="1"/>
  <c r="AC41" i="1" s="1"/>
  <c r="AC42" i="1" a="1"/>
  <c r="AC42" i="1" s="1"/>
  <c r="AC43" i="1" a="1"/>
  <c r="AC43" i="1" s="1"/>
  <c r="AC44" i="1" a="1"/>
  <c r="AC44" i="1" s="1"/>
  <c r="AC45" i="1" a="1"/>
  <c r="AC45" i="1" s="1"/>
  <c r="AC46" i="1" a="1"/>
  <c r="AC46" i="1" s="1"/>
  <c r="AC47" i="1" a="1"/>
  <c r="AC47" i="1" s="1"/>
  <c r="AC48" i="1" a="1"/>
  <c r="AC48" i="1" s="1"/>
  <c r="AC49" i="1" a="1"/>
  <c r="AC49" i="1" s="1"/>
  <c r="AC50" i="1" a="1"/>
  <c r="AC50" i="1" s="1"/>
  <c r="AC51" i="1" a="1"/>
  <c r="AC51" i="1" s="1"/>
  <c r="AC52" i="1" a="1"/>
  <c r="AC52" i="1" s="1"/>
  <c r="AC53" i="1" a="1"/>
  <c r="AC53" i="1" s="1"/>
  <c r="AC54" i="1" a="1"/>
  <c r="AC54" i="1" s="1"/>
  <c r="AC55" i="1" a="1"/>
  <c r="AC55" i="1" s="1"/>
  <c r="AC56" i="1" a="1"/>
  <c r="AC56" i="1" s="1"/>
  <c r="AC57" i="1" a="1"/>
  <c r="AC57" i="1" s="1"/>
  <c r="AC58" i="1" a="1"/>
  <c r="AC58" i="1" s="1"/>
  <c r="AC59" i="1" a="1"/>
  <c r="AC59" i="1" s="1"/>
  <c r="AC60" i="1" a="1"/>
  <c r="AC60" i="1" s="1"/>
  <c r="AC61" i="1" a="1"/>
  <c r="AC61" i="1" s="1"/>
  <c r="AC62" i="1" a="1"/>
  <c r="AC62" i="1" s="1"/>
  <c r="AC63" i="1" a="1"/>
  <c r="AC63" i="1" s="1"/>
  <c r="AC64" i="1" a="1"/>
  <c r="AC64" i="1" s="1"/>
  <c r="AC65" i="1" a="1"/>
  <c r="AC65" i="1" s="1"/>
  <c r="AC66" i="1" a="1"/>
  <c r="AC66" i="1" s="1"/>
  <c r="AC67" i="1" a="1"/>
  <c r="AC67" i="1" s="1"/>
  <c r="AC68" i="1" a="1"/>
  <c r="AC68" i="1" s="1"/>
  <c r="AC69" i="1" a="1"/>
  <c r="AC69" i="1" s="1"/>
  <c r="AC70" i="1" a="1"/>
  <c r="AC70" i="1" s="1"/>
  <c r="AC71" i="1" a="1"/>
  <c r="AC71" i="1" s="1"/>
  <c r="AC72" i="1" a="1"/>
  <c r="AC72" i="1" s="1"/>
  <c r="AC73" i="1" a="1"/>
  <c r="AC73" i="1" s="1"/>
  <c r="AC74" i="1" a="1"/>
  <c r="AC74" i="1" s="1"/>
  <c r="AC75" i="1" a="1"/>
  <c r="AC75" i="1" s="1"/>
  <c r="AC76" i="1" a="1"/>
  <c r="AC76" i="1" s="1"/>
  <c r="AC77" i="1" a="1"/>
  <c r="AC77" i="1" s="1"/>
  <c r="AC78" i="1" a="1"/>
  <c r="AC78" i="1" s="1"/>
  <c r="AC79" i="1" a="1"/>
  <c r="AC79" i="1" s="1"/>
  <c r="AC80" i="1" a="1"/>
  <c r="AC80" i="1" s="1"/>
  <c r="AC81" i="1" a="1"/>
  <c r="AC81" i="1" s="1"/>
  <c r="AC82" i="1" a="1"/>
  <c r="AC82" i="1" s="1"/>
  <c r="AC83" i="1" a="1"/>
  <c r="AC83" i="1" s="1"/>
  <c r="AC84" i="1" a="1"/>
  <c r="AC84" i="1" s="1"/>
  <c r="AC85" i="1" a="1"/>
  <c r="AC85" i="1" s="1"/>
  <c r="AC86" i="1" a="1"/>
  <c r="AC86" i="1" s="1"/>
  <c r="AC87" i="1" a="1"/>
  <c r="AC87" i="1" s="1"/>
  <c r="AC88" i="1" a="1"/>
  <c r="AC88" i="1" s="1"/>
  <c r="AC89" i="1" a="1"/>
  <c r="AC89" i="1" s="1"/>
  <c r="AC90" i="1" a="1"/>
  <c r="AC90" i="1" s="1"/>
  <c r="AC91" i="1" a="1"/>
  <c r="AC91" i="1" s="1"/>
  <c r="AC92" i="1" a="1"/>
  <c r="AC92" i="1" s="1"/>
  <c r="AC93" i="1" a="1"/>
  <c r="AC93" i="1" s="1"/>
  <c r="AC94" i="1" a="1"/>
  <c r="AC94" i="1" s="1"/>
  <c r="AC95" i="1" a="1"/>
  <c r="AC95" i="1" s="1"/>
  <c r="AC96" i="1" a="1"/>
  <c r="AC96" i="1" s="1"/>
  <c r="AC97" i="1" a="1"/>
  <c r="AC97" i="1" s="1"/>
  <c r="AC98" i="1" a="1"/>
  <c r="AC98" i="1" s="1"/>
  <c r="AC99" i="1" a="1"/>
  <c r="AC99" i="1" s="1"/>
  <c r="AC100" i="1" a="1"/>
  <c r="AC100" i="1" s="1"/>
  <c r="AC101" i="1" a="1"/>
  <c r="AC101" i="1" s="1"/>
  <c r="AC102" i="1" a="1"/>
  <c r="AC102" i="1" s="1"/>
  <c r="AC103" i="1" a="1"/>
  <c r="AC103" i="1" s="1"/>
  <c r="AC104" i="1" a="1"/>
  <c r="AC104" i="1" s="1"/>
  <c r="AC105" i="1" a="1"/>
  <c r="AC105" i="1" s="1"/>
  <c r="AC106" i="1" a="1"/>
  <c r="AC106" i="1" s="1"/>
  <c r="AC107" i="1" a="1"/>
  <c r="AC107" i="1" s="1"/>
  <c r="AC108" i="1" a="1"/>
  <c r="AC108" i="1" s="1"/>
  <c r="AC109" i="1" a="1"/>
  <c r="AC109" i="1" s="1"/>
  <c r="AC110" i="1" a="1"/>
  <c r="AC110" i="1" s="1"/>
  <c r="AC111" i="1" a="1"/>
  <c r="AC111" i="1" s="1"/>
  <c r="AC112" i="1" a="1"/>
  <c r="AC112" i="1" s="1"/>
  <c r="AC113" i="1" a="1"/>
  <c r="AC113" i="1" s="1"/>
  <c r="AC114" i="1" a="1"/>
  <c r="AC114" i="1" s="1"/>
  <c r="AC115" i="1" a="1"/>
  <c r="AC115" i="1" s="1"/>
  <c r="AC116" i="1" a="1"/>
  <c r="AC116" i="1" s="1"/>
  <c r="AC117" i="1" a="1"/>
  <c r="AC117" i="1" s="1"/>
  <c r="AC118" i="1" a="1"/>
  <c r="AC118" i="1" s="1"/>
  <c r="AC119" i="1" a="1"/>
  <c r="AC119" i="1" s="1"/>
  <c r="AC120" i="1" a="1"/>
  <c r="AC120" i="1" s="1"/>
  <c r="AC121" i="1" a="1"/>
  <c r="AC121" i="1" s="1"/>
  <c r="AC122" i="1" a="1"/>
  <c r="AC122" i="1" s="1"/>
  <c r="AC123" i="1" a="1"/>
  <c r="AC123" i="1" s="1"/>
  <c r="AC124" i="1" a="1"/>
  <c r="AC124" i="1" s="1"/>
  <c r="AC125" i="1" a="1"/>
  <c r="AC125" i="1" s="1"/>
  <c r="AC126" i="1" a="1"/>
  <c r="AC126" i="1" s="1"/>
  <c r="AC127" i="1" a="1"/>
  <c r="AC127" i="1" s="1"/>
  <c r="AC128" i="1" a="1"/>
  <c r="AC128" i="1" s="1"/>
  <c r="AC129" i="1" a="1"/>
  <c r="AC129" i="1" s="1"/>
  <c r="AC130" i="1" a="1"/>
  <c r="AC130" i="1" s="1"/>
  <c r="AC131" i="1" a="1"/>
  <c r="AC131" i="1" s="1"/>
  <c r="AC132" i="1" a="1"/>
  <c r="AC132" i="1" s="1"/>
  <c r="AC133" i="1" a="1"/>
  <c r="AC133" i="1" s="1"/>
  <c r="AC134" i="1" a="1"/>
  <c r="AC134" i="1" s="1"/>
  <c r="AC135" i="1" a="1"/>
  <c r="AC135" i="1" s="1"/>
  <c r="AC136" i="1" a="1"/>
  <c r="AC136" i="1" s="1"/>
  <c r="AC137" i="1" a="1"/>
  <c r="AC137" i="1" s="1"/>
  <c r="AC138" i="1" a="1"/>
  <c r="AC138" i="1" s="1"/>
  <c r="AC139" i="1" a="1"/>
  <c r="AC139" i="1" s="1"/>
  <c r="AC140" i="1" a="1"/>
  <c r="AC140" i="1" s="1"/>
  <c r="AC141" i="1" a="1"/>
  <c r="AC141" i="1" s="1"/>
  <c r="AC142" i="1" a="1"/>
  <c r="AC142" i="1" s="1"/>
  <c r="AC143" i="1" a="1"/>
  <c r="AC143" i="1" s="1"/>
  <c r="AC144" i="1" a="1"/>
  <c r="AC144" i="1" s="1"/>
  <c r="AC145" i="1" a="1"/>
  <c r="AC145" i="1" s="1"/>
  <c r="AC146" i="1" a="1"/>
  <c r="AC146" i="1" s="1"/>
  <c r="AC147" i="1" a="1"/>
  <c r="AC147" i="1" s="1"/>
  <c r="AC148" i="1" a="1"/>
  <c r="AC148" i="1" s="1"/>
  <c r="AC149" i="1" a="1"/>
  <c r="AC149" i="1" s="1"/>
  <c r="AC150" i="1" a="1"/>
  <c r="AC150" i="1" s="1"/>
  <c r="AC151" i="1" a="1"/>
  <c r="AC151" i="1" s="1"/>
  <c r="AC152" i="1" a="1"/>
  <c r="AC152" i="1" s="1"/>
  <c r="AC153" i="1" a="1"/>
  <c r="AC153" i="1" s="1"/>
  <c r="AC154" i="1" a="1"/>
  <c r="AC154" i="1" s="1"/>
  <c r="AC155" i="1" a="1"/>
  <c r="AC155" i="1" s="1"/>
  <c r="AC156" i="1" a="1"/>
  <c r="AC156" i="1" s="1"/>
  <c r="AC157" i="1" a="1"/>
  <c r="AC157" i="1" s="1"/>
  <c r="AC158" i="1" a="1"/>
  <c r="AC158" i="1" s="1"/>
  <c r="AC159" i="1" a="1"/>
  <c r="AC159" i="1" s="1"/>
  <c r="AC160" i="1" a="1"/>
  <c r="AC160" i="1" s="1"/>
  <c r="AC161" i="1" a="1"/>
  <c r="AC161" i="1" s="1"/>
  <c r="AC162" i="1" a="1"/>
  <c r="AC162" i="1" s="1"/>
  <c r="AC163" i="1" a="1"/>
  <c r="AC163" i="1" s="1"/>
  <c r="AC164" i="1" a="1"/>
  <c r="AC164" i="1" s="1"/>
  <c r="AC165" i="1" a="1"/>
  <c r="AC165" i="1" s="1"/>
  <c r="AC166" i="1" a="1"/>
  <c r="AC166" i="1" s="1"/>
  <c r="AC167" i="1" a="1"/>
  <c r="AC167" i="1" s="1"/>
  <c r="AC168" i="1" a="1"/>
  <c r="AC168" i="1" s="1"/>
  <c r="AC169" i="1" a="1"/>
  <c r="AC169" i="1" s="1"/>
  <c r="AC170" i="1" a="1"/>
  <c r="AC170" i="1" s="1"/>
  <c r="AC171" i="1" a="1"/>
  <c r="AC171" i="1" s="1"/>
  <c r="AC172" i="1" a="1"/>
  <c r="AC172" i="1" s="1"/>
  <c r="AC173" i="1" a="1"/>
  <c r="AC173" i="1" s="1"/>
  <c r="AC174" i="1" a="1"/>
  <c r="AC174" i="1" s="1"/>
  <c r="AC175" i="1" a="1"/>
  <c r="AC175" i="1" s="1"/>
  <c r="AC176" i="1" a="1"/>
  <c r="AC176" i="1" s="1"/>
  <c r="AC177" i="1" a="1"/>
  <c r="AC177" i="1" s="1"/>
  <c r="AC178" i="1" a="1"/>
  <c r="AC178" i="1" s="1"/>
  <c r="AC179" i="1" a="1"/>
  <c r="AC179" i="1" s="1"/>
  <c r="AC180" i="1" a="1"/>
  <c r="AC180" i="1" s="1"/>
  <c r="AC181" i="1" a="1"/>
  <c r="AC181" i="1" s="1"/>
  <c r="AC182" i="1" a="1"/>
  <c r="AC182" i="1" s="1"/>
  <c r="AC183" i="1" a="1"/>
  <c r="AC183" i="1" s="1"/>
  <c r="AC184" i="1" a="1"/>
  <c r="AC184" i="1" s="1"/>
  <c r="AC185" i="1" a="1"/>
  <c r="AC185" i="1" s="1"/>
  <c r="AC186" i="1" a="1"/>
  <c r="AC186" i="1" s="1"/>
  <c r="AC187" i="1" a="1"/>
  <c r="AC187" i="1" s="1"/>
  <c r="AC188" i="1" a="1"/>
  <c r="AC188" i="1" s="1"/>
  <c r="AC189" i="1" a="1"/>
  <c r="AC189" i="1" s="1"/>
  <c r="AC190" i="1" a="1"/>
  <c r="AC190" i="1" s="1"/>
  <c r="AC191" i="1" a="1"/>
  <c r="AC191" i="1" s="1"/>
  <c r="AC192" i="1" a="1"/>
  <c r="AC192" i="1" s="1"/>
  <c r="AC193" i="1" a="1"/>
  <c r="AC193" i="1" s="1"/>
  <c r="AC194" i="1" a="1"/>
  <c r="AC194" i="1" s="1"/>
  <c r="AC195" i="1" a="1"/>
  <c r="AC195" i="1" s="1"/>
  <c r="AC196" i="1" a="1"/>
  <c r="AC196" i="1" s="1"/>
  <c r="AC197" i="1" a="1"/>
  <c r="AC197" i="1" s="1"/>
  <c r="AC198" i="1" a="1"/>
  <c r="AC198" i="1" s="1"/>
  <c r="AC199" i="1" a="1"/>
  <c r="AC199" i="1" s="1"/>
  <c r="AC200" i="1" a="1"/>
  <c r="AC200" i="1" s="1"/>
  <c r="AC201" i="1" a="1"/>
  <c r="AC201" i="1" s="1"/>
  <c r="AC202" i="1" a="1"/>
  <c r="AC202" i="1" s="1"/>
  <c r="AC203" i="1" a="1"/>
  <c r="AC203" i="1" s="1"/>
  <c r="AC204" i="1" a="1"/>
  <c r="AC204" i="1" s="1"/>
  <c r="AC205" i="1" a="1"/>
  <c r="AC205" i="1" s="1"/>
  <c r="AC206" i="1" a="1"/>
  <c r="AC206" i="1" s="1"/>
  <c r="AC207" i="1" a="1"/>
  <c r="AC207" i="1" s="1"/>
  <c r="AC208" i="1" a="1"/>
  <c r="AC208" i="1" s="1"/>
  <c r="AC209" i="1" a="1"/>
  <c r="AC209" i="1" s="1"/>
  <c r="AC210" i="1" a="1"/>
  <c r="AC210" i="1" s="1"/>
  <c r="AC211" i="1" a="1"/>
  <c r="AC211" i="1" s="1"/>
  <c r="AC212" i="1" a="1"/>
  <c r="AC212" i="1" s="1"/>
  <c r="AC213" i="1" a="1"/>
  <c r="AC213" i="1" s="1"/>
  <c r="AC214" i="1" a="1"/>
  <c r="AC214" i="1" s="1"/>
  <c r="AC215" i="1" a="1"/>
  <c r="AC215" i="1" s="1"/>
  <c r="AC216" i="1" a="1"/>
  <c r="AC216" i="1" s="1"/>
  <c r="AC217" i="1" a="1"/>
  <c r="AC217" i="1" s="1"/>
  <c r="AC218" i="1" a="1"/>
  <c r="AC218" i="1" s="1"/>
  <c r="AC219" i="1" a="1"/>
  <c r="AC219" i="1" s="1"/>
  <c r="AC220" i="1" a="1"/>
  <c r="AC220" i="1" s="1"/>
  <c r="AC221" i="1" a="1"/>
  <c r="AC221" i="1" s="1"/>
  <c r="AC222" i="1" a="1"/>
  <c r="AC222" i="1" s="1"/>
  <c r="AC223" i="1" a="1"/>
  <c r="AC223" i="1" s="1"/>
  <c r="AC224" i="1" a="1"/>
  <c r="AC224" i="1" s="1"/>
  <c r="AC225" i="1" a="1"/>
  <c r="AC225" i="1" s="1"/>
  <c r="AC226" i="1" a="1"/>
  <c r="AC226" i="1" s="1"/>
  <c r="AC227" i="1" a="1"/>
  <c r="AC227" i="1" s="1"/>
  <c r="AC228" i="1" a="1"/>
  <c r="AC228" i="1" s="1"/>
  <c r="AC229" i="1" a="1"/>
  <c r="AC229" i="1" s="1"/>
  <c r="AC230" i="1" a="1"/>
  <c r="AC230" i="1" s="1"/>
  <c r="AC231" i="1" a="1"/>
  <c r="AC231" i="1" s="1"/>
  <c r="AC232" i="1" a="1"/>
  <c r="AC232" i="1" s="1"/>
  <c r="AC233" i="1" a="1"/>
  <c r="AC233" i="1" s="1"/>
  <c r="AC234" i="1" a="1"/>
  <c r="AC234" i="1" s="1"/>
  <c r="AC235" i="1" a="1"/>
  <c r="AC235" i="1" s="1"/>
  <c r="AC236" i="1" a="1"/>
  <c r="AC236" i="1" s="1"/>
  <c r="AC237" i="1" a="1"/>
  <c r="AC237" i="1" s="1"/>
  <c r="AC238" i="1" a="1"/>
  <c r="AC238" i="1" s="1"/>
  <c r="AC239" i="1" a="1"/>
  <c r="AC239" i="1" s="1"/>
  <c r="AC240" i="1" a="1"/>
  <c r="AC240" i="1" s="1"/>
  <c r="AC241" i="1" a="1"/>
  <c r="AC241" i="1" s="1"/>
  <c r="AC242" i="1" a="1"/>
  <c r="AC242" i="1" s="1"/>
  <c r="AC243" i="1" a="1"/>
  <c r="AC243" i="1" s="1"/>
  <c r="AC244" i="1" a="1"/>
  <c r="AC244" i="1" s="1"/>
  <c r="AC245" i="1" a="1"/>
  <c r="AC245" i="1" s="1"/>
  <c r="AC246" i="1" a="1"/>
  <c r="AC246" i="1" s="1"/>
  <c r="AC247" i="1" a="1"/>
  <c r="AC247" i="1" s="1"/>
  <c r="AC248" i="1" a="1"/>
  <c r="AC248" i="1" s="1"/>
  <c r="AC249" i="1" a="1"/>
  <c r="AC249" i="1" s="1"/>
  <c r="AC250" i="1" a="1"/>
  <c r="AC250" i="1" s="1"/>
  <c r="AC251" i="1" a="1"/>
  <c r="AC251" i="1" s="1"/>
  <c r="AC252" i="1" a="1"/>
  <c r="AC252" i="1" s="1"/>
  <c r="AC253" i="1" a="1"/>
  <c r="AC253" i="1" s="1"/>
  <c r="AC254" i="1" a="1"/>
  <c r="AC254" i="1" s="1"/>
  <c r="AC255" i="1" a="1"/>
  <c r="AC255" i="1" s="1"/>
  <c r="AC256" i="1" a="1"/>
  <c r="AC256" i="1" s="1"/>
  <c r="AC257" i="1" a="1"/>
  <c r="AC257" i="1" s="1"/>
  <c r="AC258" i="1" a="1"/>
  <c r="AC258" i="1" s="1"/>
  <c r="AC259" i="1" a="1"/>
  <c r="AC259" i="1" s="1"/>
  <c r="AC260" i="1" a="1"/>
  <c r="AC260" i="1" s="1"/>
  <c r="AC261" i="1" a="1"/>
  <c r="AC261" i="1" s="1"/>
  <c r="AC262" i="1" a="1"/>
  <c r="AC262" i="1" s="1"/>
  <c r="AC263" i="1" a="1"/>
  <c r="AC263" i="1" s="1"/>
  <c r="AC264" i="1" a="1"/>
  <c r="AC264" i="1" s="1"/>
  <c r="AC265" i="1" a="1"/>
  <c r="AC265" i="1" s="1"/>
  <c r="AC266" i="1" a="1"/>
  <c r="AC266" i="1" s="1"/>
  <c r="AC267" i="1" a="1"/>
  <c r="AC267" i="1" s="1"/>
  <c r="AC268" i="1" a="1"/>
  <c r="AC268" i="1" s="1"/>
  <c r="AC269" i="1" a="1"/>
  <c r="AC269" i="1" s="1"/>
  <c r="AC270" i="1" a="1"/>
  <c r="AC270" i="1" s="1"/>
  <c r="AC271" i="1" a="1"/>
  <c r="AC271" i="1" s="1"/>
  <c r="AC272" i="1" a="1"/>
  <c r="AC272" i="1" s="1"/>
  <c r="AC273" i="1" a="1"/>
  <c r="AC273" i="1" s="1"/>
  <c r="AC274" i="1" a="1"/>
  <c r="AC274" i="1" s="1"/>
  <c r="AC275" i="1" a="1"/>
  <c r="AC275" i="1" s="1"/>
  <c r="AC276" i="1" a="1"/>
  <c r="AC276" i="1" s="1"/>
  <c r="AC277" i="1" a="1"/>
  <c r="AC277" i="1" s="1"/>
  <c r="AC278" i="1" a="1"/>
  <c r="AC278" i="1" s="1"/>
  <c r="AC279" i="1" a="1"/>
  <c r="AC279" i="1" s="1"/>
  <c r="AC280" i="1" a="1"/>
  <c r="AC280" i="1" s="1"/>
  <c r="AC281" i="1" a="1"/>
  <c r="AC281" i="1" s="1"/>
  <c r="AC282" i="1" a="1"/>
  <c r="AC282" i="1" s="1"/>
  <c r="AC283" i="1" a="1"/>
  <c r="AC283" i="1" s="1"/>
  <c r="AC284" i="1" a="1"/>
  <c r="AC284" i="1" s="1"/>
  <c r="AC285" i="1" a="1"/>
  <c r="AC285" i="1" s="1"/>
  <c r="AC286" i="1" a="1"/>
  <c r="AC286" i="1" s="1"/>
  <c r="AC287" i="1" a="1"/>
  <c r="AC287" i="1" s="1"/>
  <c r="AC288" i="1" a="1"/>
  <c r="AC288" i="1" s="1"/>
  <c r="AC289" i="1" a="1"/>
  <c r="AC289" i="1" s="1"/>
  <c r="AC290" i="1" a="1"/>
  <c r="AC290" i="1" s="1"/>
  <c r="AC291" i="1" a="1"/>
  <c r="AC291" i="1" s="1"/>
  <c r="AC292" i="1" a="1"/>
  <c r="AC292" i="1" s="1"/>
  <c r="AC293" i="1" a="1"/>
  <c r="AC293" i="1" s="1"/>
  <c r="AC294" i="1" a="1"/>
  <c r="AC294" i="1" s="1"/>
  <c r="AC295" i="1" a="1"/>
  <c r="AC295" i="1" s="1"/>
  <c r="AC296" i="1" a="1"/>
  <c r="AC296" i="1" s="1"/>
  <c r="AC297" i="1" a="1"/>
  <c r="AC297" i="1" s="1"/>
  <c r="AC298" i="1" a="1"/>
  <c r="AC298" i="1" s="1"/>
  <c r="AC299" i="1" a="1"/>
  <c r="AC299" i="1" s="1"/>
  <c r="AC300" i="1" a="1"/>
  <c r="AC300" i="1" s="1"/>
  <c r="AC301" i="1" a="1"/>
  <c r="AC301" i="1" s="1"/>
  <c r="AC302" i="1" a="1"/>
  <c r="AC302" i="1" s="1"/>
  <c r="AC303" i="1" a="1"/>
  <c r="AC303" i="1" s="1"/>
  <c r="AC304" i="1" a="1"/>
  <c r="AC304" i="1" s="1"/>
  <c r="AC305" i="1" a="1"/>
  <c r="AC305" i="1" s="1"/>
  <c r="AC306" i="1" a="1"/>
  <c r="AC306" i="1" s="1"/>
  <c r="AC307" i="1" a="1"/>
  <c r="AC307" i="1" s="1"/>
  <c r="AC308" i="1" a="1"/>
  <c r="AC308" i="1" s="1"/>
  <c r="AC309" i="1" a="1"/>
  <c r="AC309" i="1" s="1"/>
  <c r="AC310" i="1" a="1"/>
  <c r="AC310" i="1" s="1"/>
  <c r="AC311" i="1" a="1"/>
  <c r="AC311" i="1" s="1"/>
  <c r="AC312" i="1" a="1"/>
  <c r="AC312" i="1" s="1"/>
  <c r="AC313" i="1" a="1"/>
  <c r="AC313" i="1" s="1"/>
  <c r="AC314" i="1" a="1"/>
  <c r="AC314" i="1" s="1"/>
  <c r="AC315" i="1" a="1"/>
  <c r="AC315" i="1" s="1"/>
  <c r="AC316" i="1" a="1"/>
  <c r="AC316" i="1" s="1"/>
  <c r="AC317" i="1" a="1"/>
  <c r="AC317" i="1" s="1"/>
  <c r="AC318" i="1" a="1"/>
  <c r="AC318" i="1" s="1"/>
  <c r="AC319" i="1" a="1"/>
  <c r="AC319" i="1" s="1"/>
  <c r="AC320" i="1" a="1"/>
  <c r="AC320" i="1" s="1"/>
  <c r="AC321" i="1" a="1"/>
  <c r="AC321" i="1" s="1"/>
  <c r="AC322" i="1" a="1"/>
  <c r="AC322" i="1" s="1"/>
  <c r="AC323" i="1" a="1"/>
  <c r="AC323" i="1" s="1"/>
  <c r="AC324" i="1" a="1"/>
  <c r="AC324" i="1" s="1"/>
  <c r="AC325" i="1" a="1"/>
  <c r="AC325" i="1" s="1"/>
  <c r="AC326" i="1" a="1"/>
  <c r="AC326" i="1" s="1"/>
  <c r="AC327" i="1" a="1"/>
  <c r="AC327" i="1" s="1"/>
  <c r="AC328" i="1" a="1"/>
  <c r="AC328" i="1" s="1"/>
  <c r="AC329" i="1" a="1"/>
  <c r="AC329" i="1" s="1"/>
  <c r="AC330" i="1" a="1"/>
  <c r="AC330" i="1" s="1"/>
  <c r="AC331" i="1" a="1"/>
  <c r="AC331" i="1" s="1"/>
  <c r="AC332" i="1" a="1"/>
  <c r="AC332" i="1" s="1"/>
  <c r="AC333" i="1" a="1"/>
  <c r="AC333" i="1" s="1"/>
  <c r="AC334" i="1" a="1"/>
  <c r="AC334" i="1" s="1"/>
  <c r="AC335" i="1" a="1"/>
  <c r="AC335" i="1" s="1"/>
  <c r="AE3" i="1" a="1"/>
  <c r="AE3" i="1" s="1"/>
  <c r="AE4" i="1" a="1"/>
  <c r="AE4" i="1" s="1"/>
  <c r="AE5" i="1" a="1"/>
  <c r="AE5" i="1" s="1"/>
  <c r="AE6" i="1" a="1"/>
  <c r="AE6" i="1" s="1"/>
  <c r="AE7" i="1" a="1"/>
  <c r="AE7" i="1" s="1"/>
  <c r="AE8" i="1" a="1"/>
  <c r="AE8" i="1" s="1"/>
  <c r="AE9" i="1" a="1"/>
  <c r="AE9" i="1" s="1"/>
  <c r="AE10" i="1" a="1"/>
  <c r="AE10" i="1" s="1"/>
  <c r="AE11" i="1" a="1"/>
  <c r="AE11" i="1" s="1"/>
  <c r="AE12" i="1" a="1"/>
  <c r="AE12" i="1" s="1"/>
  <c r="AE13" i="1" a="1"/>
  <c r="AE13" i="1" s="1"/>
  <c r="AE14" i="1" a="1"/>
  <c r="AE14" i="1" s="1"/>
  <c r="AE15" i="1" a="1"/>
  <c r="AE15" i="1" s="1"/>
  <c r="AE16" i="1" a="1"/>
  <c r="AE16" i="1" s="1"/>
  <c r="AE17" i="1" a="1"/>
  <c r="AE17" i="1" s="1"/>
  <c r="AE18" i="1" a="1"/>
  <c r="AE18" i="1" s="1"/>
  <c r="AE19" i="1" a="1"/>
  <c r="AE19" i="1" s="1"/>
  <c r="AE20" i="1" a="1"/>
  <c r="AE20" i="1" s="1"/>
  <c r="AE21" i="1" a="1"/>
  <c r="AE21" i="1" s="1"/>
  <c r="AE22" i="1" a="1"/>
  <c r="AE22" i="1" s="1"/>
  <c r="AE23" i="1" a="1"/>
  <c r="AE23" i="1" s="1"/>
  <c r="AE24" i="1" a="1"/>
  <c r="AE24" i="1" s="1"/>
  <c r="AE25" i="1" a="1"/>
  <c r="AE25" i="1" s="1"/>
  <c r="AE26" i="1" a="1"/>
  <c r="AE26" i="1" s="1"/>
  <c r="AE27" i="1" a="1"/>
  <c r="AE27" i="1" s="1"/>
  <c r="AE28" i="1" a="1"/>
  <c r="AE28" i="1" s="1"/>
  <c r="AE29" i="1" a="1"/>
  <c r="AE29" i="1" s="1"/>
  <c r="AE30" i="1" a="1"/>
  <c r="AE30" i="1" s="1"/>
  <c r="AE31" i="1" a="1"/>
  <c r="AE31" i="1" s="1"/>
  <c r="AE32" i="1" a="1"/>
  <c r="AE32" i="1" s="1"/>
  <c r="AE33" i="1" a="1"/>
  <c r="AE33" i="1" s="1"/>
  <c r="AE34" i="1" a="1"/>
  <c r="AE34" i="1" s="1"/>
  <c r="AE35" i="1" a="1"/>
  <c r="AE35" i="1" s="1"/>
  <c r="AE36" i="1" a="1"/>
  <c r="AE36" i="1" s="1"/>
  <c r="AE37" i="1" a="1"/>
  <c r="AE37" i="1" s="1"/>
  <c r="AE38" i="1" a="1"/>
  <c r="AE38" i="1" s="1"/>
  <c r="AE39" i="1" a="1"/>
  <c r="AE39" i="1" s="1"/>
  <c r="AE40" i="1" a="1"/>
  <c r="AE40" i="1" s="1"/>
  <c r="AE41" i="1" a="1"/>
  <c r="AE41" i="1" s="1"/>
  <c r="AE42" i="1" a="1"/>
  <c r="AE42" i="1" s="1"/>
  <c r="AE43" i="1" a="1"/>
  <c r="AE43" i="1" s="1"/>
  <c r="AE44" i="1" a="1"/>
  <c r="AE44" i="1" s="1"/>
  <c r="AE45" i="1" a="1"/>
  <c r="AE45" i="1" s="1"/>
  <c r="AE46" i="1" a="1"/>
  <c r="AE46" i="1" s="1"/>
  <c r="AE47" i="1" a="1"/>
  <c r="AE47" i="1" s="1"/>
  <c r="AE48" i="1" a="1"/>
  <c r="AE48" i="1" s="1"/>
  <c r="AE49" i="1" a="1"/>
  <c r="AE49" i="1" s="1"/>
  <c r="AE50" i="1" a="1"/>
  <c r="AE50" i="1" s="1"/>
  <c r="AE51" i="1" a="1"/>
  <c r="AE51" i="1" s="1"/>
  <c r="AE52" i="1" a="1"/>
  <c r="AE52" i="1" s="1"/>
  <c r="AE53" i="1" a="1"/>
  <c r="AE53" i="1" s="1"/>
  <c r="AE54" i="1" a="1"/>
  <c r="AE54" i="1" s="1"/>
  <c r="AE55" i="1" a="1"/>
  <c r="AE55" i="1" s="1"/>
  <c r="AE56" i="1" a="1"/>
  <c r="AE56" i="1" s="1"/>
  <c r="AE57" i="1" a="1"/>
  <c r="AE57" i="1" s="1"/>
  <c r="AE58" i="1" a="1"/>
  <c r="AE58" i="1" s="1"/>
  <c r="AE59" i="1" a="1"/>
  <c r="AE59" i="1" s="1"/>
  <c r="AE60" i="1" a="1"/>
  <c r="AE60" i="1" s="1"/>
  <c r="AE61" i="1" a="1"/>
  <c r="AE61" i="1" s="1"/>
  <c r="AE62" i="1" a="1"/>
  <c r="AE62" i="1" s="1"/>
  <c r="AE63" i="1" a="1"/>
  <c r="AE63" i="1" s="1"/>
  <c r="AE64" i="1" a="1"/>
  <c r="AE64" i="1" s="1"/>
  <c r="AE65" i="1" a="1"/>
  <c r="AE65" i="1" s="1"/>
  <c r="AE66" i="1" a="1"/>
  <c r="AE66" i="1" s="1"/>
  <c r="AE67" i="1" a="1"/>
  <c r="AE67" i="1" s="1"/>
  <c r="AE68" i="1" a="1"/>
  <c r="AE68" i="1" s="1"/>
  <c r="AE69" i="1" a="1"/>
  <c r="AE69" i="1" s="1"/>
  <c r="AE70" i="1" a="1"/>
  <c r="AE70" i="1" s="1"/>
  <c r="AE71" i="1" a="1"/>
  <c r="AE71" i="1" s="1"/>
  <c r="AE72" i="1" a="1"/>
  <c r="AE72" i="1" s="1"/>
  <c r="AE73" i="1" a="1"/>
  <c r="AE73" i="1" s="1"/>
  <c r="AE74" i="1" a="1"/>
  <c r="AE74" i="1" s="1"/>
  <c r="AE75" i="1" a="1"/>
  <c r="AE75" i="1" s="1"/>
  <c r="AE76" i="1" a="1"/>
  <c r="AE76" i="1" s="1"/>
  <c r="AE77" i="1" a="1"/>
  <c r="AE77" i="1" s="1"/>
  <c r="AE78" i="1" a="1"/>
  <c r="AE78" i="1" s="1"/>
  <c r="AE79" i="1" a="1"/>
  <c r="AE79" i="1" s="1"/>
  <c r="AE80" i="1" a="1"/>
  <c r="AE80" i="1" s="1"/>
  <c r="AE81" i="1" a="1"/>
  <c r="AE81" i="1" s="1"/>
  <c r="AE82" i="1" a="1"/>
  <c r="AE82" i="1" s="1"/>
  <c r="AE83" i="1" a="1"/>
  <c r="AE83" i="1" s="1"/>
  <c r="AE84" i="1" a="1"/>
  <c r="AE84" i="1" s="1"/>
  <c r="AE85" i="1" a="1"/>
  <c r="AE85" i="1" s="1"/>
  <c r="AE86" i="1" a="1"/>
  <c r="AE86" i="1" s="1"/>
  <c r="AE87" i="1" a="1"/>
  <c r="AE87" i="1" s="1"/>
  <c r="AE88" i="1" a="1"/>
  <c r="AE88" i="1" s="1"/>
  <c r="AE89" i="1" a="1"/>
  <c r="AE89" i="1" s="1"/>
  <c r="AE90" i="1" a="1"/>
  <c r="AE90" i="1" s="1"/>
  <c r="AE91" i="1" a="1"/>
  <c r="AE91" i="1" s="1"/>
  <c r="AE92" i="1" a="1"/>
  <c r="AE92" i="1" s="1"/>
  <c r="AE93" i="1" a="1"/>
  <c r="AE93" i="1" s="1"/>
  <c r="AE94" i="1" a="1"/>
  <c r="AE94" i="1" s="1"/>
  <c r="AE95" i="1" a="1"/>
  <c r="AE95" i="1" s="1"/>
  <c r="AE96" i="1" a="1"/>
  <c r="AE96" i="1" s="1"/>
  <c r="AE97" i="1" a="1"/>
  <c r="AE97" i="1" s="1"/>
  <c r="AE98" i="1" a="1"/>
  <c r="AE98" i="1" s="1"/>
  <c r="AE99" i="1" a="1"/>
  <c r="AE99" i="1" s="1"/>
  <c r="AE100" i="1" a="1"/>
  <c r="AE100" i="1" s="1"/>
  <c r="AE101" i="1" a="1"/>
  <c r="AE101" i="1" s="1"/>
  <c r="AE102" i="1" a="1"/>
  <c r="AE102" i="1" s="1"/>
  <c r="AE103" i="1" a="1"/>
  <c r="AE103" i="1" s="1"/>
  <c r="AE104" i="1" a="1"/>
  <c r="AE104" i="1" s="1"/>
  <c r="AE105" i="1" a="1"/>
  <c r="AE105" i="1" s="1"/>
  <c r="AE106" i="1" a="1"/>
  <c r="AE106" i="1" s="1"/>
  <c r="AE107" i="1" a="1"/>
  <c r="AE107" i="1" s="1"/>
  <c r="AE108" i="1" a="1"/>
  <c r="AE108" i="1" s="1"/>
  <c r="AE109" i="1" a="1"/>
  <c r="AE109" i="1" s="1"/>
  <c r="AE110" i="1" a="1"/>
  <c r="AE110" i="1" s="1"/>
  <c r="AE111" i="1" a="1"/>
  <c r="AE111" i="1" s="1"/>
  <c r="AE112" i="1" a="1"/>
  <c r="AE112" i="1" s="1"/>
  <c r="AE113" i="1" a="1"/>
  <c r="AE113" i="1" s="1"/>
  <c r="AE114" i="1" a="1"/>
  <c r="AE114" i="1" s="1"/>
  <c r="AE115" i="1" a="1"/>
  <c r="AE115" i="1" s="1"/>
  <c r="AE116" i="1" a="1"/>
  <c r="AE116" i="1" s="1"/>
  <c r="AE117" i="1" a="1"/>
  <c r="AE117" i="1" s="1"/>
  <c r="AE118" i="1" a="1"/>
  <c r="AE118" i="1" s="1"/>
  <c r="AE119" i="1" a="1"/>
  <c r="AE119" i="1" s="1"/>
  <c r="AE120" i="1" a="1"/>
  <c r="AE120" i="1" s="1"/>
  <c r="AE121" i="1" a="1"/>
  <c r="AE121" i="1" s="1"/>
  <c r="AE122" i="1" a="1"/>
  <c r="AE122" i="1" s="1"/>
  <c r="AE123" i="1" a="1"/>
  <c r="AE123" i="1" s="1"/>
  <c r="AE124" i="1" a="1"/>
  <c r="AE124" i="1" s="1"/>
  <c r="AE125" i="1" a="1"/>
  <c r="AE125" i="1" s="1"/>
  <c r="AE126" i="1" a="1"/>
  <c r="AE126" i="1" s="1"/>
  <c r="AE127" i="1" a="1"/>
  <c r="AE127" i="1" s="1"/>
  <c r="AE128" i="1" a="1"/>
  <c r="AE128" i="1" s="1"/>
  <c r="AE129" i="1" a="1"/>
  <c r="AE129" i="1" s="1"/>
  <c r="AE130" i="1" a="1"/>
  <c r="AE130" i="1" s="1"/>
  <c r="AE131" i="1" a="1"/>
  <c r="AE131" i="1" s="1"/>
  <c r="AE132" i="1" a="1"/>
  <c r="AE132" i="1" s="1"/>
  <c r="AE133" i="1" a="1"/>
  <c r="AE133" i="1" s="1"/>
  <c r="AE134" i="1" a="1"/>
  <c r="AE134" i="1" s="1"/>
  <c r="AE135" i="1" a="1"/>
  <c r="AE135" i="1" s="1"/>
  <c r="AE136" i="1" a="1"/>
  <c r="AE136" i="1" s="1"/>
  <c r="AE137" i="1" a="1"/>
  <c r="AE137" i="1" s="1"/>
  <c r="AE138" i="1" a="1"/>
  <c r="AE138" i="1" s="1"/>
  <c r="AE139" i="1" a="1"/>
  <c r="AE139" i="1" s="1"/>
  <c r="AE140" i="1" a="1"/>
  <c r="AE140" i="1" s="1"/>
  <c r="AE141" i="1" a="1"/>
  <c r="AE141" i="1" s="1"/>
  <c r="AE142" i="1" a="1"/>
  <c r="AE142" i="1" s="1"/>
  <c r="AE143" i="1" a="1"/>
  <c r="AE143" i="1" s="1"/>
  <c r="AE144" i="1" a="1"/>
  <c r="AE144" i="1" s="1"/>
  <c r="AE145" i="1" a="1"/>
  <c r="AE145" i="1" s="1"/>
  <c r="AE146" i="1" a="1"/>
  <c r="AE146" i="1" s="1"/>
  <c r="AE147" i="1" a="1"/>
  <c r="AE147" i="1" s="1"/>
  <c r="AE148" i="1" a="1"/>
  <c r="AE148" i="1" s="1"/>
  <c r="AE149" i="1" a="1"/>
  <c r="AE149" i="1" s="1"/>
  <c r="AE150" i="1" a="1"/>
  <c r="AE150" i="1" s="1"/>
  <c r="AE151" i="1" a="1"/>
  <c r="AE151" i="1" s="1"/>
  <c r="AE152" i="1" a="1"/>
  <c r="AE152" i="1" s="1"/>
  <c r="AE153" i="1" a="1"/>
  <c r="AE153" i="1" s="1"/>
  <c r="AE154" i="1" a="1"/>
  <c r="AE154" i="1" s="1"/>
  <c r="AE155" i="1" a="1"/>
  <c r="AE155" i="1" s="1"/>
  <c r="AE156" i="1" a="1"/>
  <c r="AE156" i="1" s="1"/>
  <c r="AE157" i="1" a="1"/>
  <c r="AE157" i="1" s="1"/>
  <c r="AE158" i="1" a="1"/>
  <c r="AE158" i="1" s="1"/>
  <c r="AE159" i="1" a="1"/>
  <c r="AE159" i="1" s="1"/>
  <c r="AE160" i="1" a="1"/>
  <c r="AE160" i="1" s="1"/>
  <c r="AE161" i="1" a="1"/>
  <c r="AE161" i="1" s="1"/>
  <c r="AE162" i="1" a="1"/>
  <c r="AE162" i="1" s="1"/>
  <c r="AE163" i="1" a="1"/>
  <c r="AE163" i="1" s="1"/>
  <c r="AE164" i="1" a="1"/>
  <c r="AE164" i="1" s="1"/>
  <c r="AE165" i="1" a="1"/>
  <c r="AE165" i="1" s="1"/>
  <c r="AE166" i="1" a="1"/>
  <c r="AE166" i="1" s="1"/>
  <c r="AE167" i="1" a="1"/>
  <c r="AE167" i="1" s="1"/>
  <c r="AE168" i="1" a="1"/>
  <c r="AE168" i="1" s="1"/>
  <c r="AE169" i="1" a="1"/>
  <c r="AE169" i="1" s="1"/>
  <c r="AE170" i="1" a="1"/>
  <c r="AE170" i="1" s="1"/>
  <c r="AE171" i="1" a="1"/>
  <c r="AE171" i="1" s="1"/>
  <c r="AE172" i="1" a="1"/>
  <c r="AE172" i="1" s="1"/>
  <c r="AE173" i="1" a="1"/>
  <c r="AE173" i="1" s="1"/>
  <c r="AE174" i="1" a="1"/>
  <c r="AE174" i="1" s="1"/>
  <c r="AE175" i="1" a="1"/>
  <c r="AE175" i="1" s="1"/>
  <c r="AE176" i="1" a="1"/>
  <c r="AE176" i="1" s="1"/>
  <c r="AE177" i="1" a="1"/>
  <c r="AE177" i="1" s="1"/>
  <c r="AE178" i="1" a="1"/>
  <c r="AE178" i="1" s="1"/>
  <c r="AE179" i="1" a="1"/>
  <c r="AE179" i="1" s="1"/>
  <c r="AE180" i="1" a="1"/>
  <c r="AE180" i="1" s="1"/>
  <c r="AE181" i="1" a="1"/>
  <c r="AE181" i="1" s="1"/>
  <c r="AE182" i="1" a="1"/>
  <c r="AE182" i="1" s="1"/>
  <c r="AE183" i="1" a="1"/>
  <c r="AE183" i="1" s="1"/>
  <c r="AE184" i="1" a="1"/>
  <c r="AE184" i="1" s="1"/>
  <c r="AE185" i="1" a="1"/>
  <c r="AE185" i="1" s="1"/>
  <c r="AE186" i="1" a="1"/>
  <c r="AE186" i="1" s="1"/>
  <c r="AE187" i="1" a="1"/>
  <c r="AE187" i="1" s="1"/>
  <c r="AE188" i="1" a="1"/>
  <c r="AE188" i="1" s="1"/>
  <c r="AE189" i="1" a="1"/>
  <c r="AE189" i="1" s="1"/>
  <c r="AE190" i="1" a="1"/>
  <c r="AE190" i="1" s="1"/>
  <c r="AE191" i="1" a="1"/>
  <c r="AE191" i="1" s="1"/>
  <c r="AE192" i="1" a="1"/>
  <c r="AE192" i="1" s="1"/>
  <c r="AE193" i="1" a="1"/>
  <c r="AE193" i="1" s="1"/>
  <c r="AE194" i="1" a="1"/>
  <c r="AE194" i="1" s="1"/>
  <c r="AE195" i="1" a="1"/>
  <c r="AE195" i="1" s="1"/>
  <c r="AE196" i="1" a="1"/>
  <c r="AE196" i="1" s="1"/>
  <c r="AE197" i="1" a="1"/>
  <c r="AE197" i="1" s="1"/>
  <c r="AE198" i="1" a="1"/>
  <c r="AE198" i="1" s="1"/>
  <c r="AE199" i="1" a="1"/>
  <c r="AE199" i="1" s="1"/>
  <c r="AE200" i="1" a="1"/>
  <c r="AE200" i="1" s="1"/>
  <c r="AE201" i="1" a="1"/>
  <c r="AE201" i="1" s="1"/>
  <c r="AE202" i="1" a="1"/>
  <c r="AE202" i="1" s="1"/>
  <c r="AE203" i="1" a="1"/>
  <c r="AE203" i="1" s="1"/>
  <c r="AE204" i="1" a="1"/>
  <c r="AE204" i="1" s="1"/>
  <c r="AE205" i="1" a="1"/>
  <c r="AE205" i="1" s="1"/>
  <c r="AE206" i="1" a="1"/>
  <c r="AE206" i="1" s="1"/>
  <c r="AE207" i="1" a="1"/>
  <c r="AE207" i="1" s="1"/>
  <c r="AE208" i="1" a="1"/>
  <c r="AE208" i="1" s="1"/>
  <c r="AE209" i="1" a="1"/>
  <c r="AE209" i="1" s="1"/>
  <c r="AE210" i="1" a="1"/>
  <c r="AE210" i="1" s="1"/>
  <c r="AE211" i="1" a="1"/>
  <c r="AE211" i="1" s="1"/>
  <c r="AE212" i="1" a="1"/>
  <c r="AE212" i="1" s="1"/>
  <c r="AE213" i="1" a="1"/>
  <c r="AE213" i="1" s="1"/>
  <c r="AE214" i="1" a="1"/>
  <c r="AE214" i="1" s="1"/>
  <c r="AE215" i="1" a="1"/>
  <c r="AE215" i="1" s="1"/>
  <c r="AE216" i="1" a="1"/>
  <c r="AE216" i="1" s="1"/>
  <c r="AE217" i="1" a="1"/>
  <c r="AE217" i="1" s="1"/>
  <c r="AE218" i="1" a="1"/>
  <c r="AE218" i="1" s="1"/>
  <c r="AE219" i="1" a="1"/>
  <c r="AE219" i="1" s="1"/>
  <c r="AE220" i="1" a="1"/>
  <c r="AE220" i="1" s="1"/>
  <c r="AE221" i="1" a="1"/>
  <c r="AE221" i="1" s="1"/>
  <c r="AE222" i="1" a="1"/>
  <c r="AE222" i="1" s="1"/>
  <c r="AE223" i="1" a="1"/>
  <c r="AE223" i="1" s="1"/>
  <c r="AE224" i="1" a="1"/>
  <c r="AE224" i="1" s="1"/>
  <c r="AE225" i="1" a="1"/>
  <c r="AE225" i="1" s="1"/>
  <c r="AE226" i="1" a="1"/>
  <c r="AE226" i="1" s="1"/>
  <c r="AE227" i="1" a="1"/>
  <c r="AE227" i="1" s="1"/>
  <c r="AE228" i="1" a="1"/>
  <c r="AE228" i="1" s="1"/>
  <c r="AE229" i="1" a="1"/>
  <c r="AE229" i="1" s="1"/>
  <c r="AE230" i="1" a="1"/>
  <c r="AE230" i="1" s="1"/>
  <c r="AE231" i="1" a="1"/>
  <c r="AE231" i="1" s="1"/>
  <c r="AE232" i="1" a="1"/>
  <c r="AE232" i="1" s="1"/>
  <c r="AE233" i="1" a="1"/>
  <c r="AE233" i="1" s="1"/>
  <c r="AE234" i="1" a="1"/>
  <c r="AE234" i="1" s="1"/>
  <c r="AE235" i="1" a="1"/>
  <c r="AE235" i="1" s="1"/>
  <c r="AE236" i="1" a="1"/>
  <c r="AE236" i="1" s="1"/>
  <c r="AE237" i="1" a="1"/>
  <c r="AE237" i="1" s="1"/>
  <c r="AE238" i="1" a="1"/>
  <c r="AE238" i="1" s="1"/>
  <c r="AE239" i="1" a="1"/>
  <c r="AE239" i="1" s="1"/>
  <c r="AE240" i="1" a="1"/>
  <c r="AE240" i="1" s="1"/>
  <c r="AE241" i="1" a="1"/>
  <c r="AE241" i="1" s="1"/>
  <c r="AE242" i="1" a="1"/>
  <c r="AE242" i="1" s="1"/>
  <c r="AE243" i="1" a="1"/>
  <c r="AE243" i="1" s="1"/>
  <c r="AE244" i="1" a="1"/>
  <c r="AE244" i="1" s="1"/>
  <c r="AE245" i="1" a="1"/>
  <c r="AE245" i="1" s="1"/>
  <c r="AE246" i="1" a="1"/>
  <c r="AE246" i="1" s="1"/>
  <c r="AE247" i="1" a="1"/>
  <c r="AE247" i="1" s="1"/>
  <c r="AE248" i="1" a="1"/>
  <c r="AE248" i="1" s="1"/>
  <c r="AE249" i="1" a="1"/>
  <c r="AE249" i="1" s="1"/>
  <c r="AE250" i="1" a="1"/>
  <c r="AE250" i="1" s="1"/>
  <c r="AE251" i="1" a="1"/>
  <c r="AE251" i="1" s="1"/>
  <c r="AE252" i="1" a="1"/>
  <c r="AE252" i="1" s="1"/>
  <c r="AE253" i="1" a="1"/>
  <c r="AE253" i="1" s="1"/>
  <c r="AE254" i="1" a="1"/>
  <c r="AE254" i="1" s="1"/>
  <c r="AE255" i="1" a="1"/>
  <c r="AE255" i="1" s="1"/>
  <c r="AE256" i="1" a="1"/>
  <c r="AE256" i="1" s="1"/>
  <c r="AE257" i="1" a="1"/>
  <c r="AE257" i="1" s="1"/>
  <c r="AE258" i="1" a="1"/>
  <c r="AE258" i="1" s="1"/>
  <c r="AE259" i="1" a="1"/>
  <c r="AE259" i="1" s="1"/>
  <c r="AE260" i="1" a="1"/>
  <c r="AE260" i="1" s="1"/>
  <c r="AE261" i="1" a="1"/>
  <c r="AE261" i="1" s="1"/>
  <c r="AE262" i="1" a="1"/>
  <c r="AE262" i="1" s="1"/>
  <c r="AE263" i="1" a="1"/>
  <c r="AE263" i="1" s="1"/>
  <c r="AE264" i="1" a="1"/>
  <c r="AE264" i="1" s="1"/>
  <c r="AE265" i="1" a="1"/>
  <c r="AE265" i="1" s="1"/>
  <c r="AE266" i="1" a="1"/>
  <c r="AE266" i="1" s="1"/>
  <c r="AE267" i="1" a="1"/>
  <c r="AE267" i="1" s="1"/>
  <c r="AE268" i="1" a="1"/>
  <c r="AE268" i="1" s="1"/>
  <c r="AE269" i="1" a="1"/>
  <c r="AE269" i="1" s="1"/>
  <c r="AE270" i="1" a="1"/>
  <c r="AE270" i="1" s="1"/>
  <c r="AE271" i="1" a="1"/>
  <c r="AE271" i="1" s="1"/>
  <c r="AE272" i="1" a="1"/>
  <c r="AE272" i="1" s="1"/>
  <c r="AE273" i="1" a="1"/>
  <c r="AE273" i="1" s="1"/>
  <c r="AE274" i="1" a="1"/>
  <c r="AE274" i="1" s="1"/>
  <c r="AE275" i="1" a="1"/>
  <c r="AE275" i="1" s="1"/>
  <c r="AE276" i="1" a="1"/>
  <c r="AE276" i="1" s="1"/>
  <c r="AE277" i="1" a="1"/>
  <c r="AE277" i="1" s="1"/>
  <c r="AE278" i="1" a="1"/>
  <c r="AE278" i="1" s="1"/>
  <c r="AE279" i="1" a="1"/>
  <c r="AE279" i="1" s="1"/>
  <c r="AE280" i="1" a="1"/>
  <c r="AE280" i="1" s="1"/>
  <c r="AE281" i="1" a="1"/>
  <c r="AE281" i="1" s="1"/>
  <c r="AE282" i="1" a="1"/>
  <c r="AE282" i="1" s="1"/>
  <c r="AE283" i="1" a="1"/>
  <c r="AE283" i="1" s="1"/>
  <c r="AE284" i="1" a="1"/>
  <c r="AE284" i="1" s="1"/>
  <c r="AE285" i="1" a="1"/>
  <c r="AE285" i="1" s="1"/>
  <c r="AE286" i="1" a="1"/>
  <c r="AE286" i="1" s="1"/>
  <c r="AE287" i="1" a="1"/>
  <c r="AE287" i="1" s="1"/>
  <c r="AE288" i="1" a="1"/>
  <c r="AE288" i="1" s="1"/>
  <c r="AE289" i="1" a="1"/>
  <c r="AE289" i="1" s="1"/>
  <c r="AE290" i="1" a="1"/>
  <c r="AE290" i="1" s="1"/>
  <c r="AE291" i="1" a="1"/>
  <c r="AE291" i="1" s="1"/>
  <c r="AE292" i="1" a="1"/>
  <c r="AE292" i="1" s="1"/>
  <c r="AE293" i="1" a="1"/>
  <c r="AE293" i="1" s="1"/>
  <c r="AE294" i="1" a="1"/>
  <c r="AE294" i="1" s="1"/>
  <c r="AE295" i="1" a="1"/>
  <c r="AE295" i="1" s="1"/>
  <c r="AE296" i="1" a="1"/>
  <c r="AE296" i="1" s="1"/>
  <c r="AE297" i="1" a="1"/>
  <c r="AE297" i="1" s="1"/>
  <c r="AE298" i="1" a="1"/>
  <c r="AE298" i="1" s="1"/>
  <c r="AE299" i="1" a="1"/>
  <c r="AE299" i="1" s="1"/>
  <c r="AE300" i="1" a="1"/>
  <c r="AE300" i="1" s="1"/>
  <c r="AE301" i="1" a="1"/>
  <c r="AE301" i="1" s="1"/>
  <c r="AE302" i="1" a="1"/>
  <c r="AE302" i="1" s="1"/>
  <c r="AE303" i="1" a="1"/>
  <c r="AE303" i="1" s="1"/>
  <c r="AE304" i="1" a="1"/>
  <c r="AE304" i="1" s="1"/>
  <c r="AE305" i="1" a="1"/>
  <c r="AE305" i="1" s="1"/>
  <c r="AE306" i="1" a="1"/>
  <c r="AE306" i="1" s="1"/>
  <c r="AE307" i="1" a="1"/>
  <c r="AE307" i="1" s="1"/>
  <c r="AE308" i="1" a="1"/>
  <c r="AE308" i="1" s="1"/>
  <c r="AE309" i="1" a="1"/>
  <c r="AE309" i="1" s="1"/>
  <c r="AE310" i="1" a="1"/>
  <c r="AE310" i="1" s="1"/>
  <c r="AE311" i="1" a="1"/>
  <c r="AE311" i="1" s="1"/>
  <c r="AE312" i="1" a="1"/>
  <c r="AE312" i="1" s="1"/>
  <c r="AE313" i="1" a="1"/>
  <c r="AE313" i="1" s="1"/>
  <c r="AE314" i="1" a="1"/>
  <c r="AE314" i="1" s="1"/>
  <c r="AE315" i="1" a="1"/>
  <c r="AE315" i="1" s="1"/>
  <c r="AE316" i="1" a="1"/>
  <c r="AE316" i="1" s="1"/>
  <c r="AE317" i="1" a="1"/>
  <c r="AE317" i="1" s="1"/>
  <c r="AE318" i="1" a="1"/>
  <c r="AE318" i="1" s="1"/>
  <c r="AE319" i="1" a="1"/>
  <c r="AE319" i="1" s="1"/>
  <c r="AE320" i="1" a="1"/>
  <c r="AE320" i="1" s="1"/>
  <c r="AE321" i="1" a="1"/>
  <c r="AE321" i="1" s="1"/>
  <c r="AE322" i="1" a="1"/>
  <c r="AE322" i="1" s="1"/>
  <c r="AE323" i="1" a="1"/>
  <c r="AE323" i="1" s="1"/>
  <c r="AE324" i="1" a="1"/>
  <c r="AE324" i="1" s="1"/>
  <c r="AE325" i="1" a="1"/>
  <c r="AE325" i="1" s="1"/>
  <c r="AE326" i="1" a="1"/>
  <c r="AE326" i="1" s="1"/>
  <c r="AE327" i="1" a="1"/>
  <c r="AE327" i="1" s="1"/>
  <c r="AE328" i="1" a="1"/>
  <c r="AE328" i="1" s="1"/>
  <c r="AE329" i="1" a="1"/>
  <c r="AE329" i="1" s="1"/>
  <c r="AE330" i="1" a="1"/>
  <c r="AE330" i="1" s="1"/>
  <c r="AE331" i="1" a="1"/>
  <c r="AE331" i="1" s="1"/>
  <c r="AE332" i="1" a="1"/>
  <c r="AE332" i="1" s="1"/>
  <c r="AE333" i="1" a="1"/>
  <c r="AE333" i="1" s="1"/>
  <c r="AE334" i="1" a="1"/>
  <c r="AE334" i="1" s="1"/>
  <c r="AE335" i="1" a="1"/>
  <c r="AE335"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<sst xmlns="http://schemas.openxmlformats.org/spreadsheetml/2006/main" count="3696" uniqueCount="1320">
  <si>
    <t>Table</t>
  </si>
  <si>
    <t>Pgm</t>
  </si>
  <si>
    <t>API</t>
  </si>
  <si>
    <t>BOD</t>
  </si>
  <si>
    <t>Herff Jones</t>
  </si>
  <si>
    <t>Help</t>
  </si>
  <si>
    <t>Doppio</t>
  </si>
  <si>
    <t>Sequence</t>
  </si>
  <si>
    <t>TableName</t>
  </si>
  <si>
    <t>ColumnName</t>
  </si>
  <si>
    <t>Description</t>
  </si>
  <si>
    <t>DataType</t>
  </si>
  <si>
    <t>Length</t>
  </si>
  <si>
    <t>Decimals</t>
  </si>
  <si>
    <t>Table_7</t>
  </si>
  <si>
    <t>Program</t>
  </si>
  <si>
    <t>Panel</t>
  </si>
  <si>
    <t>Pgm_2</t>
  </si>
  <si>
    <t>API_3</t>
  </si>
  <si>
    <t>XPath</t>
  </si>
  <si>
    <t>BOD_1</t>
  </si>
  <si>
    <t>MappingNotes</t>
  </si>
  <si>
    <t>Responsible</t>
  </si>
  <si>
    <t>Required</t>
  </si>
  <si>
    <t>DefaultValue</t>
  </si>
  <si>
    <t>Definition</t>
  </si>
  <si>
    <t>Alternatives</t>
  </si>
  <si>
    <t>Help_2</t>
  </si>
  <si>
    <t>DG_Notes</t>
  </si>
  <si>
    <t>DG_Responsible</t>
  </si>
  <si>
    <t>DG_Required</t>
  </si>
  <si>
    <t>DG_Example</t>
  </si>
  <si>
    <t>Customer template</t>
  </si>
  <si>
    <t>String</t>
  </si>
  <si>
    <t>10</t>
  </si>
  <si>
    <t>CRS610MI</t>
  </si>
  <si>
    <t>Add</t>
  </si>
  <si>
    <t>CUTM</t>
  </si>
  <si>
    <t>this should be a customer we want to use as the template</t>
  </si>
  <si>
    <t>yes</t>
  </si>
  <si>
    <t>OCUSMA</t>
  </si>
  <si>
    <t>OKCONO</t>
  </si>
  <si>
    <t>Company</t>
  </si>
  <si>
    <t>Decimal</t>
  </si>
  <si>
    <t>3</t>
  </si>
  <si>
    <t>CONO</t>
  </si>
  <si>
    <t>retrieved from user</t>
  </si>
  <si>
    <t>The field indicates company number, which is the primary identity in all files in the M3 system. The purpose of this is to be able to handle, in the same database, several companies completely or partially separated.</t>
  </si>
  <si>
    <t>300</t>
  </si>
  <si>
    <t>OKDIVI</t>
  </si>
  <si>
    <t>Division</t>
  </si>
  <si>
    <t>DIVI</t>
  </si>
  <si>
    <t>The field indicates a division. This is an identity for a legal unit within a company group.</t>
  </si>
  <si>
    <t>AAA</t>
  </si>
  <si>
    <t>OKSTAT</t>
  </si>
  <si>
    <t>Status</t>
  </si>
  <si>
    <t>2</t>
  </si>
  <si>
    <t>CRS610</t>
  </si>
  <si>
    <t>E</t>
  </si>
  <si>
    <t>STAT</t>
  </si>
  <si>
    <t>/ProcessCustomerPartyMaster/DataArea/CustomerPartyMaster/Status/Code</t>
  </si>
  <si>
    <t>The field indicates the status of the customer.</t>
  </si>
  <si>
    <t>10: Preliminary
20: Definite
90: Blocked/expired.
11: Temporary customer number, assigned when errors detected during automatic numbering. This status is raised to 12 when a new customer number is entered.
12: Incorrect values for customer number. This status is raised to 20 when the errors are corrected.</t>
  </si>
  <si>
    <t>20</t>
  </si>
  <si>
    <t>OKCUNO</t>
  </si>
  <si>
    <t>Customer</t>
  </si>
  <si>
    <t>CUNO</t>
  </si>
  <si>
    <t>/ProcessCustomerPartyMaster/DataArea/CustomerPartyMaster/PartyIDs/ID</t>
  </si>
  <si>
    <t>Generated value using format A000000000</t>
  </si>
  <si>
    <t>The field indicates the unique identification of a customer. It can contain up to ten positions, and is alphanumeric.</t>
  </si>
  <si>
    <t>OKCUCL</t>
  </si>
  <si>
    <t>Customer group</t>
  </si>
  <si>
    <t>F</t>
  </si>
  <si>
    <t>ChgOrderInfo</t>
  </si>
  <si>
    <t>CUCL</t>
  </si>
  <si>
    <t>/ProcessCustomerPartyMaster/DataArea/CustomerPartyMaster/Classification/Codes/Code[@listID]="Customer groups"</t>
  </si>
  <si>
    <t>The field indicates the customer group to which the customer belongs.</t>
  </si>
  <si>
    <t>ZZZ</t>
  </si>
  <si>
    <t>OKCUTP</t>
  </si>
  <si>
    <t>Customer type</t>
  </si>
  <si>
    <t>1</t>
  </si>
  <si>
    <t>CUTP</t>
  </si>
  <si>
    <t>/ProcessCustomerPartyMaster/DataArea/CustomerPartyMaster/Classification/Codes/Code[@listID]="Customer Types"</t>
  </si>
  <si>
    <t>The field indicates the type of customer.</t>
  </si>
  <si>
    <t>0: Normal customer. Can also be payer or bonus/commission recipient.
1: Bonus/commission recipient only, not orderer.
2: Payer only, not orderer. Can also be bonus/ commission recipient.
4: Ship-via customer. Only used in combination with a ship-via address defined in (CRS300).
7: Internal customer. Accounts receivable is not updated during invoicing.
8: Temporary customer created during order entry of a temporary customer group (see customer type 9). This customer type cannot be specified when entering a new customer in the customer file.
9: Temporary customer group. For each customer order entered, a new record is automatically created in the customer file. The first positions of the record correspond to this group number.</t>
  </si>
  <si>
    <t>OKALCU</t>
  </si>
  <si>
    <t>Search key</t>
  </si>
  <si>
    <t>ALCU</t>
  </si>
  <si>
    <t>The field indicates a search key.</t>
  </si>
  <si>
    <t>OKCUNM</t>
  </si>
  <si>
    <t>Name</t>
  </si>
  <si>
    <t>36</t>
  </si>
  <si>
    <t>CUNM</t>
  </si>
  <si>
    <t>/ProcessCustomerPartyMaster/DataArea/CustomerPartyMaster/Name</t>
  </si>
  <si>
    <t>Syndigo - Legal Name</t>
  </si>
  <si>
    <t>The field indicates customer or company name. A maximum of 36 characters may be used.</t>
  </si>
  <si>
    <t>OKCUA1</t>
  </si>
  <si>
    <t>Address line 1</t>
  </si>
  <si>
    <t>CUA1</t>
  </si>
  <si>
    <t>/ProcessCustomerPartyMaster/DataArea/CustomerPartyMaster/Location/Address/AddressLine</t>
  </si>
  <si>
    <t>Syndigo - Mail To Street 1</t>
  </si>
  <si>
    <t>The field indicates an address line. A maximum of 36 characters may be used.</t>
  </si>
  <si>
    <t>OKCUA2</t>
  </si>
  <si>
    <t>Address line 2</t>
  </si>
  <si>
    <t>CUA2</t>
  </si>
  <si>
    <t>Syndigo - Mail To Street 2</t>
  </si>
  <si>
    <t>OKCUA3</t>
  </si>
  <si>
    <t>Address line 3</t>
  </si>
  <si>
    <t>CUA3</t>
  </si>
  <si>
    <t>Syndigo - Mail To Street 3</t>
  </si>
  <si>
    <t>The field indicates an address line. It can contain a maximum of 36 positions.</t>
  </si>
  <si>
    <t>OKCUA4</t>
  </si>
  <si>
    <t>Address line 4</t>
  </si>
  <si>
    <t>CUA4</t>
  </si>
  <si>
    <t>Syndigo - Mail To Street 4</t>
  </si>
  <si>
    <t>United States</t>
  </si>
  <si>
    <t>OKADID</t>
  </si>
  <si>
    <t>Address number</t>
  </si>
  <si>
    <t>6</t>
  </si>
  <si>
    <t>G</t>
  </si>
  <si>
    <t>ADID</t>
  </si>
  <si>
    <t>The field indicates the delivery address to be proposed by default when entering new customer orders.</t>
  </si>
  <si>
    <t>OKADBO</t>
  </si>
  <si>
    <t>Separate invoices</t>
  </si>
  <si>
    <t>H</t>
  </si>
  <si>
    <t>ADBO</t>
  </si>
  <si>
    <t>The field indicates whether or not separate invoices are to be created for the customer and, if so, how this is to be done. This parameter is only of interest if summary invoice is used on (OIS010/E), (CRS610/H), or (MFS610/J).</t>
  </si>
  <si>
    <t>0: No. A summary invoice is created even if the shipment is connected to different addresses or delivery numbers.
1: Yes. Separate invoices are created for shipments to different addresses.
2: Yes. Separate invoices are created for shipments connected to different delivery numbers.</t>
  </si>
  <si>
    <t>OKPHNO</t>
  </si>
  <si>
    <t>Telephone number 1</t>
  </si>
  <si>
    <t>16</t>
  </si>
  <si>
    <t>PHNO</t>
  </si>
  <si>
    <t>/ProcessCustomerPartyMaster/DataArea/CustomerPartyMaster/Communication/DialNumber [UseCode]="Phone"</t>
  </si>
  <si>
    <t>The field indicates the telephone number of the customer or supplier.</t>
  </si>
  <si>
    <t>OKPHN2</t>
  </si>
  <si>
    <t>Telephone number 2</t>
  </si>
  <si>
    <t>PHN2</t>
  </si>
  <si>
    <t>OKTFNO</t>
  </si>
  <si>
    <t>Facsimile transmission number</t>
  </si>
  <si>
    <t>TFNO</t>
  </si>
  <si>
    <t>/ProcessCustomerPartyMaster/DataArea/CustomerPartyMaster/Communication/DialNumber [UseCode]="Fax"</t>
  </si>
  <si>
    <t>The field indicates a fax (facsimile) number for a customer, supplier or address.</t>
  </si>
  <si>
    <t>OKCORG</t>
  </si>
  <si>
    <t>Organization number 1</t>
  </si>
  <si>
    <t>11</t>
  </si>
  <si>
    <t>J</t>
  </si>
  <si>
    <t>ChgFinancial</t>
  </si>
  <si>
    <t>CORG</t>
  </si>
  <si>
    <t>/ProcessCustomerPartyMaster/DataArea/CustomerPartyMaster/PartyIDs/TaxID[@schemeName]="CountryIdentificationNumber"</t>
  </si>
  <si>
    <t>The field indicates the customer's/supplier's/division's organization number.</t>
  </si>
  <si>
    <t>OKCOR2</t>
  </si>
  <si>
    <t>Organization number 2</t>
  </si>
  <si>
    <t>COR2</t>
  </si>
  <si>
    <t>/ProcessCustomerPartyMaster/DataArea/CustomerPartyMaster/PartyIDs/TaxID[@schemeName]="CountryIdentificationNumber2"</t>
  </si>
  <si>
    <t>The field indicates the customer's/supplier's or division's organization number.</t>
  </si>
  <si>
    <t>OKYREF</t>
  </si>
  <si>
    <t>Your reference 1</t>
  </si>
  <si>
    <t>30</t>
  </si>
  <si>
    <t>YREF</t>
  </si>
  <si>
    <t>/ProcessCustomerPartyMaster/DataArea/CustomerPartyMaster/Location/Address/AttentionOfName</t>
  </si>
  <si>
    <t>The field indicates the customer's contact person.</t>
  </si>
  <si>
    <t>OKYRE2</t>
  </si>
  <si>
    <t>Your reference 2</t>
  </si>
  <si>
    <t>YRE2</t>
  </si>
  <si>
    <t>OKOREF</t>
  </si>
  <si>
    <t>Our reference</t>
  </si>
  <si>
    <t>OREF</t>
  </si>
  <si>
    <t>The field indicates the person who the customer or supplier may contact regarding customer/purchase orders.</t>
  </si>
  <si>
    <t>OKCUSU</t>
  </si>
  <si>
    <t>Our supplier number at customer</t>
  </si>
  <si>
    <t>CUSU</t>
  </si>
  <si>
    <t>This field is used to specify the supplier number the customer uses to identify us. The field is only used as a search key in the customer file.</t>
  </si>
  <si>
    <t>OKEXCD</t>
  </si>
  <si>
    <t>Service charge</t>
  </si>
  <si>
    <t>EXCD</t>
  </si>
  <si>
    <t>The field indicates a service charge.</t>
  </si>
  <si>
    <t>OKTEPY</t>
  </si>
  <si>
    <t>Payment terms</t>
  </si>
  <si>
    <t>TEPY</t>
  </si>
  <si>
    <t>/ProcessCustomerPartyMaster/DataArea/CustomerPartyMaster/PaymentTermID</t>
  </si>
  <si>
    <t>The field indicates how the due date is to be calculated.</t>
  </si>
  <si>
    <t>N30</t>
  </si>
  <si>
    <t>OKOT75</t>
  </si>
  <si>
    <t>Self invoicing</t>
  </si>
  <si>
    <t>OT75</t>
  </si>
  <si>
    <t>The field is not yet activated in M3.</t>
  </si>
  <si>
    <t>OKTECD</t>
  </si>
  <si>
    <t>Cash discount term</t>
  </si>
  <si>
    <t>TECD</t>
  </si>
  <si>
    <t>The field indicates the terms for cash discount calculation.</t>
  </si>
  <si>
    <t>OKTEDL</t>
  </si>
  <si>
    <t>Delivery terms</t>
  </si>
  <si>
    <t>TEDL</t>
  </si>
  <si>
    <t>The field indicates delivery terms, which indicate when the responsibility for the transport is transferred from supplier to customer. Responsibility can, for example, refer to payment, insurance terms.</t>
  </si>
  <si>
    <t>CIF</t>
  </si>
  <si>
    <t>OKMODL</t>
  </si>
  <si>
    <t>Delivery method</t>
  </si>
  <si>
    <t>MODL</t>
  </si>
  <si>
    <t>The field indicates the delivery method that is normally used when deliveries are made to the customer.</t>
  </si>
  <si>
    <t>OKSMCD</t>
  </si>
  <si>
    <t>Salesperson</t>
  </si>
  <si>
    <t>SMCD</t>
  </si>
  <si>
    <t>Syndigo - Primary ID</t>
  </si>
  <si>
    <t>The field indicates the person responsible for sales to a customer.</t>
  </si>
  <si>
    <t>OKRESP</t>
  </si>
  <si>
    <t>RESP</t>
  </si>
  <si>
    <t>The field indicates who is responsible for the customer.</t>
  </si>
  <si>
    <t>OKRONO</t>
  </si>
  <si>
    <t>Run</t>
  </si>
  <si>
    <t>RONO</t>
  </si>
  <si>
    <t>The field indicates a unique identity for a run. A run is a recurring transport or delivery from inventory.</t>
  </si>
  <si>
    <t>OKDIPC</t>
  </si>
  <si>
    <t>Discount</t>
  </si>
  <si>
    <t>5</t>
  </si>
  <si>
    <t>DIPC</t>
  </si>
  <si>
    <t>The field indicates the discount as a percentage.</t>
  </si>
  <si>
    <t>OKDISY</t>
  </si>
  <si>
    <t>Discount model</t>
  </si>
  <si>
    <t>DISY</t>
  </si>
  <si>
    <t>The field indicates a discount model. A discount model can contain six discount numbers, which define how a discount is to be calculated for a customer order. The discount numbers have a discount matrix which contains the discount percentages.</t>
  </si>
  <si>
    <t>OKDIGC</t>
  </si>
  <si>
    <t>Discount group - customer</t>
  </si>
  <si>
    <t>DIGC</t>
  </si>
  <si>
    <t>The field indicates the customer discount group.</t>
  </si>
  <si>
    <t>OKVTCD</t>
  </si>
  <si>
    <t>VAT code</t>
  </si>
  <si>
    <t>VTCD</t>
  </si>
  <si>
    <t>/ProcessCustomerPartyMaster/DataArea/CustomerPartyMaster/PartyIDs/TaxID[@schemeName]="VatCode"</t>
  </si>
  <si>
    <t>The field indicates the VAT code to use for the customer.</t>
  </si>
  <si>
    <t>9</t>
  </si>
  <si>
    <t>OKTXAP</t>
  </si>
  <si>
    <t>Tax applicable</t>
  </si>
  <si>
    <t>TXAP</t>
  </si>
  <si>
    <t>/ProcessCustomerPartyMaster/DataArea/CustomerPartyMaster/Classification/Codes/Code[@listID]="Tax Applicable"</t>
  </si>
  <si>
    <t>The field indicates whether the customer or supplier is required to declare VAT or sales tax.</t>
  </si>
  <si>
    <t>0: No
1: Yes. The VAT code is retrieved from the combination of item and warehouse in (MMS002). If there is no VAT code there, M3 regards the item as a non-taxable good. If the item itself is not connected to a warehouse in (MMS002), M3 searches for a VAT code from the item in (MMS001) instead.
2: Yes. The VAT code is retrieved from the following tables in the following order: the combination of item and warehouse in (MMS002), the item in (MMS001) and the supplier in (CRS624/F) or (MFS620/E). If no VAT code is found in the first table, the search continues in the following tables.</t>
  </si>
  <si>
    <t>OKCUCD</t>
  </si>
  <si>
    <t>Currency</t>
  </si>
  <si>
    <t>CUCD</t>
  </si>
  <si>
    <t>The field indicates currency per customer order.</t>
  </si>
  <si>
    <t>USD</t>
  </si>
  <si>
    <t>OKCRTP</t>
  </si>
  <si>
    <t>Exchange rate type</t>
  </si>
  <si>
    <t>CRTP</t>
  </si>
  <si>
    <t>The field indicates the exchange rate type, such as variable rate, budget exchange rate, or rate used for group consolidation.</t>
  </si>
  <si>
    <t>01: Variable rate
02-99: User-defined.</t>
  </si>
  <si>
    <t>OKPLTB</t>
  </si>
  <si>
    <t>Price list table</t>
  </si>
  <si>
    <t>PLTB</t>
  </si>
  <si>
    <t>The field indicates a joint ID for the sales prices of several items. Using price list tables lets you process several sales price lists for customer orders for each item.</t>
  </si>
  <si>
    <t>OKPRVG</t>
  </si>
  <si>
    <t>Commission group</t>
  </si>
  <si>
    <t>PRVG</t>
  </si>
  <si>
    <t>The field is used to connect a customer to a bonus or commission group. This group is used as a selection key in the routines for bonus and provision, sales statistics, etc.</t>
  </si>
  <si>
    <t>OKBREC</t>
  </si>
  <si>
    <t>Recipient b/c agreement</t>
  </si>
  <si>
    <t>BREC</t>
  </si>
  <si>
    <t>The field indicates the customer's default value for the recipient of a bonus under a b/c agreement with agreement type 9 (Bonus). This value is used during customer order entry if the customer order type refers to the customer. See (OIS014).</t>
  </si>
  <si>
    <t>OKDTFM</t>
  </si>
  <si>
    <t>Date format</t>
  </si>
  <si>
    <t>DTFM</t>
  </si>
  <si>
    <t>The field indicates how the date should be printed on external documents to customers, such as order confirmations, delivery notes, and invoices when using stream files (interface STREAM).</t>
  </si>
  <si>
    <t>YMD: YYMMDD (Year, Month, Day)
DMY: DDMMYY (Day, Month, Year)
MDY: MMDDYY (Month, Day, Year)
YWD: YYWWD (Year, Week, Day).</t>
  </si>
  <si>
    <t>MDY</t>
  </si>
  <si>
    <t>OKEDIT</t>
  </si>
  <si>
    <t>Date editing</t>
  </si>
  <si>
    <t>EDIT</t>
  </si>
  <si>
    <t>The field indicates the character that separates the different parts of a date for documents using stream files (interface STREAM).</t>
  </si>
  <si>
    <t>-: - used as a separator
/: / used as a separator
.: . used as a separator
blank: No separation</t>
  </si>
  <si>
    <t>-</t>
  </si>
  <si>
    <t>OKORTP</t>
  </si>
  <si>
    <t>Customer order type</t>
  </si>
  <si>
    <t>ORTP</t>
  </si>
  <si>
    <t>The field indicates a default order type during customer order entry.</t>
  </si>
  <si>
    <t>D01</t>
  </si>
  <si>
    <t>OKWHLO</t>
  </si>
  <si>
    <t>Warehouse</t>
  </si>
  <si>
    <t>WHLO</t>
  </si>
  <si>
    <t>The field indicates the physical location from which delivery of customer orders may be made.</t>
  </si>
  <si>
    <t>OKPRIC</t>
  </si>
  <si>
    <t>Price printout</t>
  </si>
  <si>
    <t>PRIC</t>
  </si>
  <si>
    <t>The field indicates how prices and discounts are to be printed on confirmation and invoice documents.</t>
  </si>
  <si>
    <t>1: Complete line specification, quantity, price, line discount, line net and order total are printed.
2: Only quantities and order totals are printed. Price, line discount and line net are not printed for goods lines.
3: Order total and line specification with quantity and line net are printed.
4: Order total and line specification with only line net are printed.
5: Complete line specification, quantity, price, line discount or net price (see note), line net and order total are printed.</t>
  </si>
  <si>
    <t>OKSDST</t>
  </si>
  <si>
    <t>District</t>
  </si>
  <si>
    <t>SDST</t>
  </si>
  <si>
    <t>/ProcessCustomerPartyMaster/DataArea/CustomerPartyMaster/Classification/Codes/Code[@listID]="District"</t>
  </si>
  <si>
    <t>The field indicates the district the customer or payer belongs to.</t>
  </si>
  <si>
    <t>OKCSCD</t>
  </si>
  <si>
    <t>Country</t>
  </si>
  <si>
    <t>CSCD</t>
  </si>
  <si>
    <t>/ProcessCustomerPartyMaster/DataArea/CustomerPartyMaster/Location/Address/CountryCode</t>
  </si>
  <si>
    <t>Syndigo - Mail To Country</t>
  </si>
  <si>
    <t>The field indicates the country from which goods were sent. Depending on settings, it can in fact also be the recipient of the invoice connected to this transaction.</t>
  </si>
  <si>
    <t>US</t>
  </si>
  <si>
    <t>OKAGNT</t>
  </si>
  <si>
    <t>Recipient agreement type 1 - commission</t>
  </si>
  <si>
    <t>AGNT</t>
  </si>
  <si>
    <t>The field indicates the customer's default value for the recipient of commission under a b/c agreement with agreement type 1 (Commission). This value is used during customer order entry if the customer order type refers to the customer. See (OIS014).</t>
  </si>
  <si>
    <t>OKAGN2</t>
  </si>
  <si>
    <t>Recipient agreement type 2 - commission</t>
  </si>
  <si>
    <t>AGN2</t>
  </si>
  <si>
    <t>The field indicates the number of the customer who should receive commission. Agreement types 2-7 are for commission.</t>
  </si>
  <si>
    <t>OKAGN3</t>
  </si>
  <si>
    <t>Recipient agreement type 3 - commission</t>
  </si>
  <si>
    <t>AGN3</t>
  </si>
  <si>
    <t>OKAGN4</t>
  </si>
  <si>
    <t>Recipient agreement type 4 - commission</t>
  </si>
  <si>
    <t>AGN4</t>
  </si>
  <si>
    <t>OKAGN5</t>
  </si>
  <si>
    <t>Recipient agreement type 5 - commission</t>
  </si>
  <si>
    <t>AGN5</t>
  </si>
  <si>
    <t>OKAGN6</t>
  </si>
  <si>
    <t>Recipient agreement type 6 - commission</t>
  </si>
  <si>
    <t>AGN6</t>
  </si>
  <si>
    <t>OKAGN7</t>
  </si>
  <si>
    <t>Recipient agreement type 7 - commission</t>
  </si>
  <si>
    <t>AGN7</t>
  </si>
  <si>
    <t>OKINSU</t>
  </si>
  <si>
    <t>Insurance agent</t>
  </si>
  <si>
    <t>INSU</t>
  </si>
  <si>
    <t>OKPYNO</t>
  </si>
  <si>
    <t>Payer</t>
  </si>
  <si>
    <t>PYNO</t>
  </si>
  <si>
    <t>The field indicates the person/business which has paid or will pay the invoice.</t>
  </si>
  <si>
    <t>OKCUST</t>
  </si>
  <si>
    <t>Statistics customer</t>
  </si>
  <si>
    <t>CUST</t>
  </si>
  <si>
    <t>The field indicates a statistics ID for order and sales statistics.</t>
  </si>
  <si>
    <t>OKTEPA</t>
  </si>
  <si>
    <t>Packaging terms</t>
  </si>
  <si>
    <t>TEPA</t>
  </si>
  <si>
    <t>The field indicates what terms apply when goods are packed.</t>
  </si>
  <si>
    <t>OKLHCD</t>
  </si>
  <si>
    <t>Language</t>
  </si>
  <si>
    <t>LNCD</t>
  </si>
  <si>
    <t>GB</t>
  </si>
  <si>
    <t>The field is used for each customer and supplier to indicate which language should be used on external documents when corresponding with customers and suppliers.</t>
  </si>
  <si>
    <t>OKCRLM</t>
  </si>
  <si>
    <t>Credit limit 1</t>
  </si>
  <si>
    <t>15</t>
  </si>
  <si>
    <t>CRLM</t>
  </si>
  <si>
    <t>The field indicates the highest credit limit permitted for past due invoices.</t>
  </si>
  <si>
    <t>OKCRL2</t>
  </si>
  <si>
    <t>Credit limit 2</t>
  </si>
  <si>
    <t>CRL2</t>
  </si>
  <si>
    <t>The field indicates the highest credit limit permitted for outstanding invoices.</t>
  </si>
  <si>
    <t>OKCRL3</t>
  </si>
  <si>
    <t>Credit limit 3</t>
  </si>
  <si>
    <t>CRL3</t>
  </si>
  <si>
    <t>/ProcessCustomerPartyMaster/DataArea/CustomerPartyMaster/CustomerAccount/TotalCreditLimitAmount</t>
  </si>
  <si>
    <t>The field indicates the highest credit limit permitted for outstanding invoices and outstanding orders together.</t>
  </si>
  <si>
    <t>OKBLCD</t>
  </si>
  <si>
    <t>Customer stop</t>
  </si>
  <si>
    <t>BLCD</t>
  </si>
  <si>
    <t>The field indicates whether customer order entry and printing of picking lists should be blocked for a customer with this associated payer. Block codes are entered per customer in (CRS610/J).</t>
  </si>
  <si>
    <t xml:space="preserve">0: No, do not block customer.
1: Block partially. Picking lists may not be printed, but customer orders can be maintained and entered.
2: Block picking lists and customer orders.
3: Block picking lists, customer orders and quotations created in Equipment Quotation Management (EQM). </t>
  </si>
  <si>
    <t>OKPRIO</t>
  </si>
  <si>
    <t>Priority</t>
  </si>
  <si>
    <t>PRIO</t>
  </si>
  <si>
    <t>The field indicates the priority (0-9) to be proposed for customer orders which entered for the current customer. You may change the value for each customer order.</t>
  </si>
  <si>
    <t>OKTBLG</t>
  </si>
  <si>
    <t>Not used</t>
  </si>
  <si>
    <t>TBLG</t>
  </si>
  <si>
    <t>The field indicates the order backlog (VAT excluded) for the customer.</t>
  </si>
  <si>
    <t>OKTOIN</t>
  </si>
  <si>
    <t>TOIN</t>
  </si>
  <si>
    <t>The field indicates the total outstanding invoice value.</t>
  </si>
  <si>
    <t>OKTDIN</t>
  </si>
  <si>
    <t>TDIN</t>
  </si>
  <si>
    <t>The field indicates the invoiced amount (excluding VAT) that is due for payment.</t>
  </si>
  <si>
    <t>OKLIDT</t>
  </si>
  <si>
    <t>8</t>
  </si>
  <si>
    <t>LIDT</t>
  </si>
  <si>
    <t>The field indicates the date when the last invoice was either created for this order, or when it was entered for the current customer or payer.</t>
  </si>
  <si>
    <t>OKININ</t>
  </si>
  <si>
    <t>End date - invoicing range</t>
  </si>
  <si>
    <t>ININ</t>
  </si>
  <si>
    <t>The field indicates invoicing interval for each customer expressed in calendar days. This invoice interval is used for period invoicing and refers to the number of days between which invoices are issued.</t>
  </si>
  <si>
    <t>OKACRF</t>
  </si>
  <si>
    <t>User-defined accounting control object</t>
  </si>
  <si>
    <t>ACRF</t>
  </si>
  <si>
    <t>The field is user-defined, but is most often used to control account entries. It is therefore an accounting object that can be verified and changed in (CRS335).</t>
  </si>
  <si>
    <t>OKAICD</t>
  </si>
  <si>
    <t>Summary invoice</t>
  </si>
  <si>
    <t>AICD</t>
  </si>
  <si>
    <t>The field indicates whether orders and deliveries can be invoiced together on a summary invoice.</t>
  </si>
  <si>
    <t>0: No, one order and delivery on each invoice.
1: Yes, if the deliveries belong to the same order number.
2: Yes, if the deliveries belong to the same payer.
3: Yes, if the deliveries belong to the same payer (item-oriented layout on the invoice). The item-oriented layout presents one invoice line for each item as long as they have the same price.</t>
  </si>
  <si>
    <t>OKBOCD</t>
  </si>
  <si>
    <t>Backorder permitted</t>
  </si>
  <si>
    <t>BOCD</t>
  </si>
  <si>
    <t>OKFRE1</t>
  </si>
  <si>
    <t>Statistics identity 1 customer</t>
  </si>
  <si>
    <t>FRE1</t>
  </si>
  <si>
    <t>The field indicates a user-defined customer statistics accumulator.</t>
  </si>
  <si>
    <t>OKFRE2</t>
  </si>
  <si>
    <t>Statistics identity 2 customer</t>
  </si>
  <si>
    <t>FRE2</t>
  </si>
  <si>
    <t>OKBGRP</t>
  </si>
  <si>
    <t>Bonus group</t>
  </si>
  <si>
    <t>BGRP</t>
  </si>
  <si>
    <t>OKDOGR</t>
  </si>
  <si>
    <t>Customer document group</t>
  </si>
  <si>
    <t>DOGR</t>
  </si>
  <si>
    <t>The field indicates a customer document group.</t>
  </si>
  <si>
    <t>OKBLII</t>
  </si>
  <si>
    <t>Interest invoicing</t>
  </si>
  <si>
    <t>K</t>
  </si>
  <si>
    <t>BLII</t>
  </si>
  <si>
    <t>Select the check box if a customer is to be included in the interest invoicing routine. In this way you can exclude a customer from the routine without having to change the interest rule for the customer.</t>
  </si>
  <si>
    <t>OKIICT</t>
  </si>
  <si>
    <t>Interest rule</t>
  </si>
  <si>
    <t>IICT</t>
  </si>
  <si>
    <t>The field indicates how to calculate interest on overdue payments and the conditions for charging a customer interest. The connection between customer and interest rule is made in the customer file.</t>
  </si>
  <si>
    <t>OKCLCD</t>
  </si>
  <si>
    <t>Collection</t>
  </si>
  <si>
    <t>CLCD</t>
  </si>
  <si>
    <t>Select the check box if unpaid customer invoices may be turned over for debt collection.</t>
  </si>
  <si>
    <t>OKBLPR</t>
  </si>
  <si>
    <t>Payment reminder code</t>
  </si>
  <si>
    <t>BLPR</t>
  </si>
  <si>
    <t>Select the check box if the customer is to be included in the routine for payment reminders.</t>
  </si>
  <si>
    <t>OKRMCT</t>
  </si>
  <si>
    <t>Payment reminder rule</t>
  </si>
  <si>
    <t>RMCT</t>
  </si>
  <si>
    <t>The field indicates the conditions to be met before a payment reminder is sent to a customer.</t>
  </si>
  <si>
    <t>Z01</t>
  </si>
  <si>
    <t>OKBLAC</t>
  </si>
  <si>
    <t>Advice code</t>
  </si>
  <si>
    <t>BLAC</t>
  </si>
  <si>
    <t>Select the check box if the customer is to be included in the routine for payment advice.</t>
  </si>
  <si>
    <t>OKADCA</t>
  </si>
  <si>
    <t>Advice rule</t>
  </si>
  <si>
    <t>ADCA</t>
  </si>
  <si>
    <t>The field is used to connect a customer to an advice rule.</t>
  </si>
  <si>
    <t>OKPYDI</t>
  </si>
  <si>
    <t>Payment instruction</t>
  </si>
  <si>
    <t>PYDI</t>
  </si>
  <si>
    <t>The field identifies payment instructions for a customer's payments to a specific bank. If there is a payment instruction, two lines of text will be printed on the document.</t>
  </si>
  <si>
    <t>OKPONO</t>
  </si>
  <si>
    <t>Postal code</t>
  </si>
  <si>
    <t>PONO</t>
  </si>
  <si>
    <t>/ProcessCustomerPartyMaster/DataArea/CustomerPartyMaster/Location/Address/PostalCode</t>
  </si>
  <si>
    <t>Syndigo - Mail To Address Postal Code</t>
  </si>
  <si>
    <t>The field indicates a postal code for a specific address.</t>
  </si>
  <si>
    <t>OKAUGI</t>
  </si>
  <si>
    <t>Auto giro</t>
  </si>
  <si>
    <t>AUGI</t>
  </si>
  <si>
    <t>OKAGPA</t>
  </si>
  <si>
    <t>Autogiro payer</t>
  </si>
  <si>
    <t>AGPA</t>
  </si>
  <si>
    <t>OKCCUS</t>
  </si>
  <si>
    <t>Company group customer number</t>
  </si>
  <si>
    <t>CCUS</t>
  </si>
  <si>
    <t>The field indicates the customer's ID within the group.</t>
  </si>
  <si>
    <t>OKWAYB</t>
  </si>
  <si>
    <t>Waybill</t>
  </si>
  <si>
    <t>WAYB</t>
  </si>
  <si>
    <t>OKADTG</t>
  </si>
  <si>
    <t>Address tag</t>
  </si>
  <si>
    <t>ADTG</t>
  </si>
  <si>
    <t>OKODTG</t>
  </si>
  <si>
    <t>Odette-tag</t>
  </si>
  <si>
    <t>ODTG</t>
  </si>
  <si>
    <t>OKMAIL</t>
  </si>
  <si>
    <t>Mail type</t>
  </si>
  <si>
    <t>MAIL</t>
  </si>
  <si>
    <t>/ProcessCustomerPartyMaster/DataArea/CustomerPartyMaster/Communication/DialNumber [UseCode]="EMail"</t>
  </si>
  <si>
    <t>OKENHD</t>
  </si>
  <si>
    <t>Document</t>
  </si>
  <si>
    <t>ENHD</t>
  </si>
  <si>
    <t>OKEURI</t>
  </si>
  <si>
    <t>EUR1 certificate</t>
  </si>
  <si>
    <t>EURI</t>
  </si>
  <si>
    <t>OKEDIP</t>
  </si>
  <si>
    <t>EDI-package note</t>
  </si>
  <si>
    <t>EDIP</t>
  </si>
  <si>
    <t>OKCFC1</t>
  </si>
  <si>
    <t>User-defined field 1 - customer</t>
  </si>
  <si>
    <t>I</t>
  </si>
  <si>
    <t>CFC1</t>
  </si>
  <si>
    <t>/ProcessCustomerPartyMaster/DataArea/CustomerPartyMaster/UserArea/Property/NameValue[@name]="ItemFreeField1"</t>
  </si>
  <si>
    <t>The field is a user-defined field that may be used as desired.</t>
  </si>
  <si>
    <t>OKCFC2</t>
  </si>
  <si>
    <t>User-defined field 2 - customer</t>
  </si>
  <si>
    <t>CFC2</t>
  </si>
  <si>
    <t>/ProcessCustomerPartyMaster/DataArea/CustomerPartyMaster/UserArea/Property/NameValue[@name]="ItemFreeField2"</t>
  </si>
  <si>
    <t>OKCFC3</t>
  </si>
  <si>
    <t>User-defined field 3 - customer</t>
  </si>
  <si>
    <t>CFC3</t>
  </si>
  <si>
    <t>/ProcessCustomerPartyMaster/DataArea/CustomerPartyMaster/UserArea/Property/NameValue[@name]="ItemFreeField3"</t>
  </si>
  <si>
    <t>OKCFC4</t>
  </si>
  <si>
    <t>User-defined field 4 - customer</t>
  </si>
  <si>
    <t>CFC4</t>
  </si>
  <si>
    <t>/ProcessCustomerPartyMaster/DataArea/CustomerPartyMaster/UserArea/Property/NameValue[@name]="ItemFreeField4"</t>
  </si>
  <si>
    <t>OKCFC5</t>
  </si>
  <si>
    <t>User-defined field 5 - customer</t>
  </si>
  <si>
    <t>CFC5</t>
  </si>
  <si>
    <t>/ProcessCustomerPartyMaster/DataArea/CustomerPartyMaster/UserArea/Property/NameValue[@name]="ItemFreeField5"</t>
  </si>
  <si>
    <t>OKCFC6</t>
  </si>
  <si>
    <t>User-defined field 6 - customer</t>
  </si>
  <si>
    <t>CFC6</t>
  </si>
  <si>
    <t>/ProcessCustomerPartyMaster/DataArea/CustomerPartyMaster/UserArea/Property/NameValue[@name]="ItemFreeField6"</t>
  </si>
  <si>
    <t>OKCFC7</t>
  </si>
  <si>
    <t>User-defined field 7 - customer</t>
  </si>
  <si>
    <t>CFC7</t>
  </si>
  <si>
    <t>/ProcessCustomerPartyMaster/DataArea/CustomerPartyMaster/UserArea/Property/NameValue[@name]="ItemFreeField7"</t>
  </si>
  <si>
    <t>OKCFC8</t>
  </si>
  <si>
    <t>User-defined field 8 - customer</t>
  </si>
  <si>
    <t>CFC8</t>
  </si>
  <si>
    <t>/ProcessCustomerPartyMaster/DataArea/CustomerPartyMaster/UserArea/Property/NameValue[@name]="ItemFreeField8"</t>
  </si>
  <si>
    <t>OKCFC9</t>
  </si>
  <si>
    <t>User-defined field 9 - customer</t>
  </si>
  <si>
    <t>CFC9</t>
  </si>
  <si>
    <t>/ProcessCustomerPartyMaster/DataArea/CustomerPartyMaster/UserArea/Property/NameValue[@name]="ItemFreeField9"</t>
  </si>
  <si>
    <t>OKCFC0</t>
  </si>
  <si>
    <t>User-defined field 10 - customer</t>
  </si>
  <si>
    <t>CFC0</t>
  </si>
  <si>
    <t>/ProcessCustomerPartyMaster/DataArea/CustomerPartyMaster/UserArea/Property/NameValue[@name]="ItemFreeField0"</t>
  </si>
  <si>
    <t>OKLSID</t>
  </si>
  <si>
    <t>User</t>
  </si>
  <si>
    <t>ChgBasicData</t>
  </si>
  <si>
    <t>LSID</t>
  </si>
  <si>
    <t>The field indicates a user ID or send list for direct distribution of a printout.</t>
  </si>
  <si>
    <t>OKLSAD</t>
  </si>
  <si>
    <t>Address</t>
  </si>
  <si>
    <t>LSAD</t>
  </si>
  <si>
    <t>The field indicates the address of the user ID entered.</t>
  </si>
  <si>
    <t>OKMEAL</t>
  </si>
  <si>
    <t>Valid media</t>
  </si>
  <si>
    <t>MEAL</t>
  </si>
  <si>
    <t>The field indicates the media a partner can use to receive different documents.</t>
  </si>
  <si>
    <t>1: Paper document
2: Telefax
3: EDI
4: Email or SNDNETF (IN-net)</t>
  </si>
  <si>
    <t>OKVRNO</t>
  </si>
  <si>
    <t>VAT registration number</t>
  </si>
  <si>
    <t>VRNO</t>
  </si>
  <si>
    <t>The field indicates the VAT registration number. VAT registration numbers are entered for each customer and supplier, and in the company file of companies based in an EU member country.</t>
  </si>
  <si>
    <t>OKAGCH</t>
  </si>
  <si>
    <t>Agreement check - order header</t>
  </si>
  <si>
    <t>AGCH</t>
  </si>
  <si>
    <t>The field indicates how blanket agreements are retrieved to the order head during customer order entry.</t>
  </si>
  <si>
    <t>0: Agreement not retrieved, but can be specified manually in (OIS100/B).
1: Agreement retrieved. A list of valid agreements is displayed.
2: Agreement retrieved. If there is more than one agreement, a list is displayed. If only one valid agreement exists, this will be retrieved automatically.
3: Oldest valid agreement is retrieved automatically.
4: The lowest blanket agreement number is retrieved automatically, that is, the sequence order in the list in (OIS060).</t>
  </si>
  <si>
    <t>OKAGCT</t>
  </si>
  <si>
    <t>Agreement check - order lines</t>
  </si>
  <si>
    <t>AGCT</t>
  </si>
  <si>
    <t>The field indicates whether blanket agreements are retrieved to the order line during customer order line entry, and how.</t>
  </si>
  <si>
    <t>0: Agreement is not retrieved.
1: Agreement is retrieved. A list of valid agreements is displayed.
2: Agreement retrieved. If there are several agreements with the same priority, a list is displayed. If only one valid agreement exists for that priority, that agreement is retrieved to the order header.
3: Agreement retrieved from the order header. If no agreement is entered on the header or if the agreement is invalid for the order line, the first valid agreement for the item is retrieved.
4: Only items connected to the agreement in the order header are valid in the order line.
5: Only items connected to the agreement in the order header or items not connected to any agreement are valid in the order line.
6: Agreement retrieved from the order header. If no agreement is entered on the header or if the agreement is invalid for the order line, no agreement will be retrieved. However, manual change of agreement on the order line (OIS101/F) is allowed.
7: Agreement is retrieved. The lowest blanket agreement number is retrieved, that is, the sequence order in the list in (OIS060).</t>
  </si>
  <si>
    <t>OKDUCD</t>
  </si>
  <si>
    <t>Due date base</t>
  </si>
  <si>
    <t>DUCD</t>
  </si>
  <si>
    <t>The field indicates which date is to form the basis for calculation of the due date.</t>
  </si>
  <si>
    <t>1: Invoice date
2: Delivery date.</t>
  </si>
  <si>
    <t>OKUSR1</t>
  </si>
  <si>
    <t>Credit limit 1 changed by</t>
  </si>
  <si>
    <t>USR1</t>
  </si>
  <si>
    <t>The field indicates the ID of the person that last changed credit limit. The information is updated automatically.</t>
  </si>
  <si>
    <t>OKUSR2</t>
  </si>
  <si>
    <t>Credit limit 2 changed by</t>
  </si>
  <si>
    <t>USR2</t>
  </si>
  <si>
    <t>OKUSR3</t>
  </si>
  <si>
    <t>Credit limit 3 changed by</t>
  </si>
  <si>
    <t>USR3</t>
  </si>
  <si>
    <t>OKDTE1</t>
  </si>
  <si>
    <t>Change date - credit limit 1</t>
  </si>
  <si>
    <t>DTE1</t>
  </si>
  <si>
    <t>This field indicates the date the credit limit was last updated. The information is updated automatically.</t>
  </si>
  <si>
    <t>OKDTE2</t>
  </si>
  <si>
    <t>Change date - credit limit 2</t>
  </si>
  <si>
    <t>DTE2</t>
  </si>
  <si>
    <t>OKDTE3</t>
  </si>
  <si>
    <t>Change date - credit limit 3</t>
  </si>
  <si>
    <t>DTE3</t>
  </si>
  <si>
    <t>OKCDRC</t>
  </si>
  <si>
    <t>Credit department reference</t>
  </si>
  <si>
    <t>CDRC</t>
  </si>
  <si>
    <t>The field indicates a reference code for the credit manager.</t>
  </si>
  <si>
    <t>OKINCO</t>
  </si>
  <si>
    <t>Insurance company</t>
  </si>
  <si>
    <t>INCO</t>
  </si>
  <si>
    <t>The field indicates the customer's insurance company.</t>
  </si>
  <si>
    <t>OKINSN</t>
  </si>
  <si>
    <t>Insurance number</t>
  </si>
  <si>
    <t>INSN</t>
  </si>
  <si>
    <t>The field indicates the policy number the customer has with the current insurance company.</t>
  </si>
  <si>
    <t>OKCUIC</t>
  </si>
  <si>
    <t>Customer number at the insurance company</t>
  </si>
  <si>
    <t>CUIC</t>
  </si>
  <si>
    <t>The field indicates the company's customer number at the insurance company. It is used on insurance reports in the accounts receivable module.</t>
  </si>
  <si>
    <t>OKINSS</t>
  </si>
  <si>
    <t>Insurance status</t>
  </si>
  <si>
    <t>INSS</t>
  </si>
  <si>
    <t>The field indicates optional information. The system does not update the information.</t>
  </si>
  <si>
    <t>OKNALI</t>
  </si>
  <si>
    <t>Unapproved limit</t>
  </si>
  <si>
    <t>NALI</t>
  </si>
  <si>
    <t>The field indicates the value of the new limit requested, but which has not yet been approved by the insurance company. After the limit has been approved, the value must be moved to the approved limit field.</t>
  </si>
  <si>
    <t>OKDTL1</t>
  </si>
  <si>
    <t>Change date not approved limit</t>
  </si>
  <si>
    <t>DTL1</t>
  </si>
  <si>
    <t>The field indicates the date the unapproved insurance limit was last changed. The information is automatically updated.</t>
  </si>
  <si>
    <t>OKUSL1</t>
  </si>
  <si>
    <t>Changed by</t>
  </si>
  <si>
    <t>USL1</t>
  </si>
  <si>
    <t>The field indicates the person that last changed the unapproved insurance limit.</t>
  </si>
  <si>
    <t>OKINLI</t>
  </si>
  <si>
    <t>Insurance limit</t>
  </si>
  <si>
    <t>INLI</t>
  </si>
  <si>
    <t>The field indicates the amount for which a customer is insured. The insurance is intended for customer losses. Outstanding customer debts may not exceed the insured amount.</t>
  </si>
  <si>
    <t>OKDTL2</t>
  </si>
  <si>
    <t>Change date insurance limit</t>
  </si>
  <si>
    <t>DTL2</t>
  </si>
  <si>
    <t>The field indicates the date the insurance limit was last changed.</t>
  </si>
  <si>
    <t>OKUSL2</t>
  </si>
  <si>
    <t>USL2</t>
  </si>
  <si>
    <t>The field indicates the person that last changed the insurance limit.</t>
  </si>
  <si>
    <t>OKVRCD</t>
  </si>
  <si>
    <t>Business type - trade statistics (TST)</t>
  </si>
  <si>
    <t>VRCD</t>
  </si>
  <si>
    <t>The field indicates different types of trade transactions in the trade statistics, for example, Intrastat or Extrastat reports. You can use this code in different ways depending on your country.</t>
  </si>
  <si>
    <t>OKEDES</t>
  </si>
  <si>
    <t>Place</t>
  </si>
  <si>
    <t>EDES</t>
  </si>
  <si>
    <t>The field indicates the ID of a geographic location or a place, such as a city, town, or airport.</t>
  </si>
  <si>
    <t>OKROUT</t>
  </si>
  <si>
    <t>Route</t>
  </si>
  <si>
    <t>ROUT</t>
  </si>
  <si>
    <t>The field indicates the transportation route. A route is determined by a loading place with one or more unloading locations. The unloading locations can be located in a geographical area or region, such as southeast Germany.</t>
  </si>
  <si>
    <t>OKRODN</t>
  </si>
  <si>
    <t>Route departure</t>
  </si>
  <si>
    <t>RODN</t>
  </si>
  <si>
    <t>The field indicates route departure and is used to identify one or more departures which reoccur with a defined interval (for example, once a week).</t>
  </si>
  <si>
    <t>OKULZO</t>
  </si>
  <si>
    <t>Unloading zone</t>
  </si>
  <si>
    <t>ULZO</t>
  </si>
  <si>
    <t>The field indicates whether to divide a place of unloading into several different zones. Each zone can be linked to one or more delivery address. As a result, you can determine the sequence the packages are to be loaded on the transportation equipment.</t>
  </si>
  <si>
    <t>OKECLC</t>
  </si>
  <si>
    <t>Labor code - trade statistics (TST)</t>
  </si>
  <si>
    <t>ECLC</t>
  </si>
  <si>
    <t>The field indicates labor code and is used to distinguish between different types of transactions that are reported in the trade statistics. The code entered here is optional.</t>
  </si>
  <si>
    <t>OKECF1</t>
  </si>
  <si>
    <t>User-defined TST field 1</t>
  </si>
  <si>
    <t>ECF1</t>
  </si>
  <si>
    <t>The field indicates what information will be transferred to INTRASTAT transactions for dispatch and arrival.</t>
  </si>
  <si>
    <t>OKECF2</t>
  </si>
  <si>
    <t>User-defined TST field 2</t>
  </si>
  <si>
    <t>ECF2</t>
  </si>
  <si>
    <t>OKECF3</t>
  </si>
  <si>
    <t>User-defined TST field 3</t>
  </si>
  <si>
    <t>ECF3</t>
  </si>
  <si>
    <t>OKECF4</t>
  </si>
  <si>
    <t>User-defined TST field  4</t>
  </si>
  <si>
    <t>ECF4</t>
  </si>
  <si>
    <t>OKECF5</t>
  </si>
  <si>
    <t>User-defined TST field 5</t>
  </si>
  <si>
    <t>ECF5</t>
  </si>
  <si>
    <t>OKPYCD</t>
  </si>
  <si>
    <t>Payment method - accounts receivable</t>
  </si>
  <si>
    <t>PYCD</t>
  </si>
  <si>
    <t>/ProcessCustomerPartyMaster/DataArea/CustomerPartyMaster/PaymentMethodCode</t>
  </si>
  <si>
    <t>The field indicates how a payment is or has been handled.</t>
  </si>
  <si>
    <t>TR1</t>
  </si>
  <si>
    <t>OKGRPY</t>
  </si>
  <si>
    <t>Group invoice</t>
  </si>
  <si>
    <t>GRPY</t>
  </si>
  <si>
    <t>Select the check box if several invoices are to be grouped together to create one payment document for this customer.</t>
  </si>
  <si>
    <t>OKTXID</t>
  </si>
  <si>
    <t>Text identity</t>
  </si>
  <si>
    <t>13</t>
  </si>
  <si>
    <t>TXID</t>
  </si>
  <si>
    <t>The field indicates the text ID, which identifies comments made. It is updated automatically when entering comments.</t>
  </si>
  <si>
    <t>OKSERC</t>
  </si>
  <si>
    <t>Service code</t>
  </si>
  <si>
    <t>SERC</t>
  </si>
  <si>
    <t>The field indicates service code and is used to select customer invoices to be processed with VAT. This user-defined code is connected to the customer in (CRS610).</t>
  </si>
  <si>
    <t>OKSRES</t>
  </si>
  <si>
    <t>Service manager</t>
  </si>
  <si>
    <t>ChgServOrdInfo</t>
  </si>
  <si>
    <t>SRES</t>
  </si>
  <si>
    <t>The field indicates who has the main responsibility for a service order. The service manager may be a person or a department head for one or more technicians.</t>
  </si>
  <si>
    <t>OKTECH</t>
  </si>
  <si>
    <t>Technician</t>
  </si>
  <si>
    <t>TECH</t>
  </si>
  <si>
    <t>The field indicates the person who will perform a service assignment. A technician can refer to a single person or a group of technicians.</t>
  </si>
  <si>
    <t>OKTRTI</t>
  </si>
  <si>
    <t>Planned travel time</t>
  </si>
  <si>
    <t>7</t>
  </si>
  <si>
    <t>TRTI</t>
  </si>
  <si>
    <t>The field indicates how much time that is needed to travel to a customer site and back in order to perform a service assignment.</t>
  </si>
  <si>
    <t>OKLZON</t>
  </si>
  <si>
    <t>Service zone</t>
  </si>
  <si>
    <t>LZON</t>
  </si>
  <si>
    <t>The field indicates the zone to which a customer or customer site belongs. It is for informational purposes.</t>
  </si>
  <si>
    <t>OKDIST</t>
  </si>
  <si>
    <t>Number of kilometer</t>
  </si>
  <si>
    <t>DIST</t>
  </si>
  <si>
    <t>The field indicates the round trip distance (in kilometers) from the service office to the customer site.</t>
  </si>
  <si>
    <t>OKTVCD</t>
  </si>
  <si>
    <t>Travel type</t>
  </si>
  <si>
    <t>TVCD</t>
  </si>
  <si>
    <t>The field indicates how trips and travel expenses are to be handled. Each travel type can indicate whether zone debiting is appropriate, what identity travel expense compensation should receive, etc.</t>
  </si>
  <si>
    <t>OKSOTP</t>
  </si>
  <si>
    <t>Service order type</t>
  </si>
  <si>
    <t>SOTP</t>
  </si>
  <si>
    <t>The field indicates an order type which is a combined ID for settings that determine how the order is processed during order entry and in the processing flow.</t>
  </si>
  <si>
    <t>OKMTIC</t>
  </si>
  <si>
    <t>Credit check - MTI</t>
  </si>
  <si>
    <t>MTIC</t>
  </si>
  <si>
    <t>The field indicates whether to use a simplified credit check for M3 telephone orders and Internet applications.</t>
  </si>
  <si>
    <t>0: No. Orders may always be entered.
1: A warning is issued if the credit limit is exceeded, but the order may still be entered.
2: A warning is issued if the credit limit is exceeded, and the order may not be entered.</t>
  </si>
  <si>
    <t>OKPWMT</t>
  </si>
  <si>
    <t>PIN code</t>
  </si>
  <si>
    <t>PWMT</t>
  </si>
  <si>
    <t>The field is used to enter a password for an M3 telephone order, Internet order or a point-of-sales ticket. The password is entered by the customer or the sales person when an order or sales ticket is being placed.</t>
  </si>
  <si>
    <t>OKBPCD</t>
  </si>
  <si>
    <t>Buying pattern type</t>
  </si>
  <si>
    <t>BPCD</t>
  </si>
  <si>
    <t>The field indicates how the type of buying pattern for each customer and item is updated. The pattern is saved for each customer and item for the last three purchases.</t>
  </si>
  <si>
    <t>0: Buying pattern is not updated.
1: The last three purchases are saved.
2: The last three purchases for each day of the week are saved (1=Mon, 2=Tues and so on).
3: The last three purchases for each day of the week, and the last three purchases, are saved.</t>
  </si>
  <si>
    <t>OKBPEX</t>
  </si>
  <si>
    <t>Buying pattern exception</t>
  </si>
  <si>
    <t>BPEX</t>
  </si>
  <si>
    <t>Select the check box if periodic exceptions should override customer buying patterns per weekday.</t>
  </si>
  <si>
    <t>OKACHK</t>
  </si>
  <si>
    <t>Assortment check</t>
  </si>
  <si>
    <t>ACHK</t>
  </si>
  <si>
    <t>The field indicates whether an assortment check is to be carried out for the customer.</t>
  </si>
  <si>
    <t>0: No. The customer can purchase all items.
1: Yes. The customer can only purchase items from assortments connected to the customer (directly or via a business chain), or items without an assortment check according to the item master table.
2: Yes. The customer can only purchase items from assortments connected directly to the customer, or items without an assortment check according to the item master table.</t>
  </si>
  <si>
    <t>OKTINC</t>
  </si>
  <si>
    <t>VAT included</t>
  </si>
  <si>
    <t>TINC</t>
  </si>
  <si>
    <t>Select the check box if sales prices include VAT.</t>
  </si>
  <si>
    <t>OKBUSE</t>
  </si>
  <si>
    <t>Bonus and/or commission active</t>
  </si>
  <si>
    <t>BUSE</t>
  </si>
  <si>
    <t>Select the check box if a bonus/commission agreement can be affected by a customer order entered for this customer number.</t>
  </si>
  <si>
    <t>OKTCEX</t>
  </si>
  <si>
    <t>Included in business chain</t>
  </si>
  <si>
    <t>TCEX</t>
  </si>
  <si>
    <t>The field indicates whether the customer is a member of any business chains.</t>
  </si>
  <si>
    <t>OKPYOP</t>
  </si>
  <si>
    <t>Search path - payer</t>
  </si>
  <si>
    <t>PYOP</t>
  </si>
  <si>
    <t>Select the check box if the proposed payer is to be searched using a business chain.</t>
  </si>
  <si>
    <t>OKALWT</t>
  </si>
  <si>
    <t>Alias category</t>
  </si>
  <si>
    <t>ALWT</t>
  </si>
  <si>
    <t>The field indicates the alias type used when entering a customer order.</t>
  </si>
  <si>
    <t>Blank: This function is not used when the field is left blank.
01: Popular number.
06: Customer's item number (alias number can be blank).
07: Assortment.</t>
  </si>
  <si>
    <t>OKPOPN</t>
  </si>
  <si>
    <t>Alias number</t>
  </si>
  <si>
    <t>POPN</t>
  </si>
  <si>
    <t>The field indicates the alias number which is an alternative ID for an individual item.</t>
  </si>
  <si>
    <t>OKSOOP</t>
  </si>
  <si>
    <t>SOOP</t>
  </si>
  <si>
    <t>OKPRS1</t>
  </si>
  <si>
    <t>Price list SO</t>
  </si>
  <si>
    <t>PRS1</t>
  </si>
  <si>
    <t>The field indicates the ID of a sales prices list. This is a common ID for the sales price of several items, service expenses or contract items. A price list can be used to process several prices for each item, service expense or contract item.</t>
  </si>
  <si>
    <t>OKPRS2</t>
  </si>
  <si>
    <t>Price list 2 SO</t>
  </si>
  <si>
    <t>PRS2</t>
  </si>
  <si>
    <t>OKPRS3</t>
  </si>
  <si>
    <t>Price list 3 SO</t>
  </si>
  <si>
    <t>PRS3</t>
  </si>
  <si>
    <t>OKPRS4</t>
  </si>
  <si>
    <t>Price list 4 SO</t>
  </si>
  <si>
    <t>PRS4</t>
  </si>
  <si>
    <t>OKPRS5</t>
  </si>
  <si>
    <t>Price list 5 SO</t>
  </si>
  <si>
    <t>PRS5</t>
  </si>
  <si>
    <t>OKDMSO</t>
  </si>
  <si>
    <t>Discount model SO</t>
  </si>
  <si>
    <t>DMSO</t>
  </si>
  <si>
    <t>The field indicates the discount model.</t>
  </si>
  <si>
    <t>OKLSOI</t>
  </si>
  <si>
    <t>Last SO invoice date</t>
  </si>
  <si>
    <t>LSOI</t>
  </si>
  <si>
    <t>The field indicates the date when invoicing for a service order was last carried out for this customer. This date is relevant when used to move the set number of days between invoices when invoicing the customer.</t>
  </si>
  <si>
    <t>OKODUD</t>
  </si>
  <si>
    <t>Credit limit 4</t>
  </si>
  <si>
    <t>ODUD</t>
  </si>
  <si>
    <t>The field indicates credit limit 4, which is the number of days past due permitted for the invoice with the oldest due date.</t>
  </si>
  <si>
    <t>OKODUE</t>
  </si>
  <si>
    <t>ODUE</t>
  </si>
  <si>
    <t>The field indicates the number of days past due for the invoice with the oldest due date. This information is automatically updated during the night run.</t>
  </si>
  <si>
    <t>OKEALO</t>
  </si>
  <si>
    <t>EAN location code</t>
  </si>
  <si>
    <t>EALO</t>
  </si>
  <si>
    <t>The field indicates the EAN (European Article Numbering) code for a company. The code is issued by the local EAN organization. The code is validated as the EAN code for an item number.</t>
  </si>
  <si>
    <t>OKECAR</t>
  </si>
  <si>
    <t>State</t>
  </si>
  <si>
    <t>ECAR</t>
  </si>
  <si>
    <t>/ProcessCustomerPartyMaster/DataArea/CustomerPartyMaster/Location/Address/CountrySubDivisionCode</t>
  </si>
  <si>
    <t>Syndigo - Mail To Address State</t>
  </si>
  <si>
    <t>The field indicates a state or province within a country.</t>
  </si>
  <si>
    <t>OKGEOC</t>
  </si>
  <si>
    <t>Geographical code</t>
  </si>
  <si>
    <t>L</t>
  </si>
  <si>
    <t>GEOC</t>
  </si>
  <si>
    <t>The field indicates the geographical code used when calculating M3 sales tax.</t>
  </si>
  <si>
    <t>OKTECN</t>
  </si>
  <si>
    <t>Tax exemption contract number</t>
  </si>
  <si>
    <t>TECN</t>
  </si>
  <si>
    <t>The field indicates the contract number for tax exemption.</t>
  </si>
  <si>
    <t>OKTEEC</t>
  </si>
  <si>
    <t>Tax exemption expiry date</t>
  </si>
  <si>
    <t>TEEC</t>
  </si>
  <si>
    <t>The field indicates the expiration date for tax exemption. This is only used to process sales tax in the US.</t>
  </si>
  <si>
    <t>OKAGPY</t>
  </si>
  <si>
    <t>Payer - postal giro</t>
  </si>
  <si>
    <t>18</t>
  </si>
  <si>
    <t>AGPY</t>
  </si>
  <si>
    <t>The field indicates the customer's payer number. This can be either a bank account number, personal ID, etc.</t>
  </si>
  <si>
    <t>OKAGCP</t>
  </si>
  <si>
    <t>Clearing number</t>
  </si>
  <si>
    <t>AGCP</t>
  </si>
  <si>
    <t>The field indicates the clearing number for the bank account number to be charged when the customer has made a payment through the Postgiro auto giro routine.</t>
  </si>
  <si>
    <t>OKAGAC</t>
  </si>
  <si>
    <t>Bank account number - postal giro</t>
  </si>
  <si>
    <t>12</t>
  </si>
  <si>
    <t>AGAC</t>
  </si>
  <si>
    <t>The field indicates the bank account number to be charged when the customer has made a payment through the Postgiro auto giro routine.</t>
  </si>
  <si>
    <t>OKAGBP</t>
  </si>
  <si>
    <t>Payer - bank giro</t>
  </si>
  <si>
    <t>AGBP</t>
  </si>
  <si>
    <t>The field indicates the customer's payer number. This can be either a bank account number, personal ID number, etc.</t>
  </si>
  <si>
    <t>OKACLB</t>
  </si>
  <si>
    <t>4</t>
  </si>
  <si>
    <t>ACLB</t>
  </si>
  <si>
    <t>The field indicates the clearing number for the bank account number to be charged when the customer has made a payment through the Bankgiro auto giro routine.</t>
  </si>
  <si>
    <t>OKAACB</t>
  </si>
  <si>
    <t>Bank account number - bank giro</t>
  </si>
  <si>
    <t>AACB</t>
  </si>
  <si>
    <t>The field indicates the number of the bank account to be charged when a customer makes a payment through the Bankgiro auto giro routine. If auto giro/company is used, then the customer's bank giro number is normally specified.</t>
  </si>
  <si>
    <t>OKAGPN</t>
  </si>
  <si>
    <t>Personal ID</t>
  </si>
  <si>
    <t>AGPN</t>
  </si>
  <si>
    <t>The field indicates the customer's personal ID or organization number. This is only necessary when Auto giro/Private is used.</t>
  </si>
  <si>
    <t>OKAGBG</t>
  </si>
  <si>
    <t>Bank giro number</t>
  </si>
  <si>
    <t>AGBG</t>
  </si>
  <si>
    <t>The field indicates the customer's bank giro number.</t>
  </si>
  <si>
    <t>OKAGPG</t>
  </si>
  <si>
    <t>Postal giro number</t>
  </si>
  <si>
    <t>AGPG</t>
  </si>
  <si>
    <t>The field indicates the customer's post giro number.</t>
  </si>
  <si>
    <t>OKAGCA</t>
  </si>
  <si>
    <t>Cancellation</t>
  </si>
  <si>
    <t>AGCA</t>
  </si>
  <si>
    <t>The field indicates if the payer information at Bankgiro or Postgiro should be canceled.</t>
  </si>
  <si>
    <t>0: No
1: Yes
9: A cancellation order has been sent.</t>
  </si>
  <si>
    <t>OKAGTD</t>
  </si>
  <si>
    <t>Transmission date</t>
  </si>
  <si>
    <t>AGTD</t>
  </si>
  <si>
    <t>The field indicates the date when the customer's payer information was last transferred to either Bankgiro or Postgiro.</t>
  </si>
  <si>
    <t>OKAGTN</t>
  </si>
  <si>
    <t>Transmission number</t>
  </si>
  <si>
    <t>AGTN</t>
  </si>
  <si>
    <t>The field indicates the transfer when the customer's payment information was last transferred to either Bankgiro or Postgiro.</t>
  </si>
  <si>
    <t>OKINRC</t>
  </si>
  <si>
    <t>Invoice recipient</t>
  </si>
  <si>
    <t>INRC</t>
  </si>
  <si>
    <t>The field indicates the number of the customer who receives the invoice.</t>
  </si>
  <si>
    <t>OKCESA</t>
  </si>
  <si>
    <t>Marketing ID - M3 SMS</t>
  </si>
  <si>
    <t>32</t>
  </si>
  <si>
    <t>CESA</t>
  </si>
  <si>
    <t>OKCHSY</t>
  </si>
  <si>
    <t>Line charge model</t>
  </si>
  <si>
    <t>CHSY</t>
  </si>
  <si>
    <t>The field indicates the line charge model for customer orders, service orders, or rental agreements.</t>
  </si>
  <si>
    <t>OKTAXC</t>
  </si>
  <si>
    <t>Tax code customer/address</t>
  </si>
  <si>
    <t>TAXC</t>
  </si>
  <si>
    <t>The field indicates if an item, charge, customer or ship-to location is taxable or not.</t>
  </si>
  <si>
    <t>TAX</t>
  </si>
  <si>
    <t>OKHAFE</t>
  </si>
  <si>
    <t>Harbor or airport</t>
  </si>
  <si>
    <t>HAFE</t>
  </si>
  <si>
    <t>The field indicates the ID of the harbor or airport. It is used for reporting purposes in the trade statistics.</t>
  </si>
  <si>
    <t>OKOT89</t>
  </si>
  <si>
    <t>Check planned split</t>
  </si>
  <si>
    <t>OT89</t>
  </si>
  <si>
    <t>Select the check box if it should be possible to perform a planned split of the ordered quantity for a customer order line.</t>
  </si>
  <si>
    <t>OKPRDL</t>
  </si>
  <si>
    <t>Print delivery information</t>
  </si>
  <si>
    <t>PRDL</t>
  </si>
  <si>
    <t>Select the check box if delivery information from the delivery address connected to the order line is to be printed on order confirmations and pro forma invoices.</t>
  </si>
  <si>
    <t>OKMCON</t>
  </si>
  <si>
    <t>Mandatory entry of customer's order no.</t>
  </si>
  <si>
    <t>MCON</t>
  </si>
  <si>
    <t>OKRAN1</t>
  </si>
  <si>
    <t>Fixed due date</t>
  </si>
  <si>
    <t>RAN1</t>
  </si>
  <si>
    <t>OKRAN2</t>
  </si>
  <si>
    <t>RAN2</t>
  </si>
  <si>
    <t>OKRAN3</t>
  </si>
  <si>
    <t>RAN3</t>
  </si>
  <si>
    <t>OKRAN4</t>
  </si>
  <si>
    <t>RAN4</t>
  </si>
  <si>
    <t>OKQUCK</t>
  </si>
  <si>
    <t>Quotation check</t>
  </si>
  <si>
    <t>QUCK</t>
  </si>
  <si>
    <t>The field indicates whether current valid quotations are checked during order entry.</t>
  </si>
  <si>
    <t>0: No
1: Yes, if the order type is for a normal, or cash order.
2: Yes, if the order type is for a normal order, quotation, or cash order.</t>
  </si>
  <si>
    <t>OKIVGP</t>
  </si>
  <si>
    <t>Invoicing group</t>
  </si>
  <si>
    <t>IVGP</t>
  </si>
  <si>
    <t>The field indicates the invoicing group.</t>
  </si>
  <si>
    <t>OKACEI</t>
  </si>
  <si>
    <t>Advance invoicing of ECI</t>
  </si>
  <si>
    <t>ACEI</t>
  </si>
  <si>
    <t>The field indicates whether an advance invoice is created automatically during customer order entry.</t>
  </si>
  <si>
    <t>0: No
1: Yes - if the customer order line has a reference number (DO, PO, etc.)
2: Yes - if the customer order line has a reference number AND and the item is an extended catalog item or a non-coded item.</t>
  </si>
  <si>
    <t>OKVDLA</t>
  </si>
  <si>
    <t>Display valid delivery addresses</t>
  </si>
  <si>
    <t>VDLA</t>
  </si>
  <si>
    <t>The field indicates whether or not delivery addresses are to be displayed during order entry.</t>
  </si>
  <si>
    <t>0: No display.
1: Display, provided that at least one address with address type 01 exists.
2: Display, provided that more than one address with address type 01 exist.
3: Display, provided that at least one address with address type 01 exists. Selection is mandatory.</t>
  </si>
  <si>
    <t>OKFACI</t>
  </si>
  <si>
    <t>Facility</t>
  </si>
  <si>
    <t>FACI</t>
  </si>
  <si>
    <t>The field indicates the facility used.</t>
  </si>
  <si>
    <t>A01</t>
  </si>
  <si>
    <t>OKDTID</t>
  </si>
  <si>
    <t>Data identity</t>
  </si>
  <si>
    <t>DTID</t>
  </si>
  <si>
    <t>The field indicates the unique key used to connect a detailed message with the original record.</t>
  </si>
  <si>
    <t>OKDESV</t>
  </si>
  <si>
    <t>Alternate lang for option description</t>
  </si>
  <si>
    <t>DESV</t>
  </si>
  <si>
    <t>The field indicates the language code to use when printing the option description from a product configuration. If no code is entered, the language code from the customer/supplier is used.</t>
  </si>
  <si>
    <t>OKCHCL</t>
  </si>
  <si>
    <t>Charge calculation</t>
  </si>
  <si>
    <t>CHCL</t>
  </si>
  <si>
    <t>The field indicates if and how charges will be calculated.</t>
  </si>
  <si>
    <t>0: No charges are calculated
1: Charges are calculated separately, in other words as regular order line charges.
2: Charges are calculated but included in the item's gross price.</t>
  </si>
  <si>
    <t>OKMCOS</t>
  </si>
  <si>
    <t>Customer's order number mandatory</t>
  </si>
  <si>
    <t>MCOS</t>
  </si>
  <si>
    <t>Select the check box if the customer's order number must be entered during order entry.</t>
  </si>
  <si>
    <t>OKSPLM</t>
  </si>
  <si>
    <t>Supply model</t>
  </si>
  <si>
    <t>SPLM</t>
  </si>
  <si>
    <t>The field indicates rules for how to find alternate ways to supply a specific demand. Several supply models can be valid for a specific item. For example, the supply models for customer order entry and MRP run can differ.</t>
  </si>
  <si>
    <t>OKEXPT</t>
  </si>
  <si>
    <t>Exclude payment terms</t>
  </si>
  <si>
    <t>EXPT</t>
  </si>
  <si>
    <t>OKATPR</t>
  </si>
  <si>
    <t>Attribute pricing rule</t>
  </si>
  <si>
    <t>ATPR</t>
  </si>
  <si>
    <t>The field indicates which rule should be used when calculating attribute-based prices or charges.</t>
  </si>
  <si>
    <t>1: Expected attribute values are used as base
2: Actual attribute values are used as base.</t>
  </si>
  <si>
    <t>OKACGR</t>
  </si>
  <si>
    <t>Object access group</t>
  </si>
  <si>
    <t>ACGR</t>
  </si>
  <si>
    <t>The field is used to restrict access to different objects such as accounting identities, divisions, and facilities.</t>
  </si>
  <si>
    <t>OKSTMS</t>
  </si>
  <si>
    <t>Statement code</t>
  </si>
  <si>
    <t>STMS</t>
  </si>
  <si>
    <t>The field indicates how to manage the customer in the routine for creating statement of accounts in (ARS140) and (ARS510).</t>
  </si>
  <si>
    <t>1: The customer is not included.
2: The customer is included. However, no age distribution of invoices to be overdue is printed on the statement of account.
3: As alternative 2, but an age distribution is printed.</t>
  </si>
  <si>
    <t>OKSTMR</t>
  </si>
  <si>
    <t>Statement rule</t>
  </si>
  <si>
    <t>STMR</t>
  </si>
  <si>
    <t>The field indicates a statement rule for printing of age distribution of customer invoices when creating a statement of account in (ARS140) or (ARS510).</t>
  </si>
  <si>
    <t>OKBCKO</t>
  </si>
  <si>
    <t>Backorder</t>
  </si>
  <si>
    <t>BCKO</t>
  </si>
  <si>
    <t>Select the check box if the backorder is approved when the supply model is executed.</t>
  </si>
  <si>
    <t>OKPADL</t>
  </si>
  <si>
    <t>Partial delivery</t>
  </si>
  <si>
    <t>PADL</t>
  </si>
  <si>
    <t>The field indicates whether the partial delivery is approved when the supply model is executed.</t>
  </si>
  <si>
    <t>OKTOWN</t>
  </si>
  <si>
    <t>City</t>
  </si>
  <si>
    <t>TOWN</t>
  </si>
  <si>
    <t>/ProcessCustomerPartyMaster/DataArea/CustomerPartyMaster/Location/Address/CityName</t>
  </si>
  <si>
    <t>Syndigo - Mail To Address City</t>
  </si>
  <si>
    <t>The field indicates the city in an address. The information is mandatory when address formatting is used, and when a city is an address element used in the formatting rule (CRS117). Address formatting rules are defined for each country (CRS045).</t>
  </si>
  <si>
    <t>OKADVI</t>
  </si>
  <si>
    <t>Ship-via address</t>
  </si>
  <si>
    <t>ADVI</t>
  </si>
  <si>
    <t>The field indicates the address the transport is shipped through before it arrives at the final address.</t>
  </si>
  <si>
    <t>OKESAL</t>
  </si>
  <si>
    <t>E-Sales customer</t>
  </si>
  <si>
    <t>ESAL</t>
  </si>
  <si>
    <t>OKRGDT</t>
  </si>
  <si>
    <t>Entry date</t>
  </si>
  <si>
    <t>RGDT</t>
  </si>
  <si>
    <t>The field indicates the date that the object was created. This date is set automatically.</t>
  </si>
  <si>
    <t>OKRGTM</t>
  </si>
  <si>
    <t>Entry time</t>
  </si>
  <si>
    <t>RGTM</t>
  </si>
  <si>
    <t>The field indicates the time each object was first entered. This time is set automatically.</t>
  </si>
  <si>
    <t>OKLMDT</t>
  </si>
  <si>
    <t>Change date</t>
  </si>
  <si>
    <t>LMDT</t>
  </si>
  <si>
    <t>The field indicates the date the record last was changed.</t>
  </si>
  <si>
    <t>OKCHNO</t>
  </si>
  <si>
    <t>Change number</t>
  </si>
  <si>
    <t>CHNO</t>
  </si>
  <si>
    <t>The field indicates a project change ID.</t>
  </si>
  <si>
    <t>OKCHID</t>
  </si>
  <si>
    <t>CHID</t>
  </si>
  <si>
    <t>The field indicates the ID of the user that last changed the record. If the record has not been changed (change date = blank or equal to entry date), the ID of the user who created the record is displayed.</t>
  </si>
  <si>
    <t>OKLMTS</t>
  </si>
  <si>
    <t>Timestamp</t>
  </si>
  <si>
    <t>LMTS</t>
  </si>
  <si>
    <t>OKSCED</t>
  </si>
  <si>
    <t>Delivery regrouping</t>
  </si>
  <si>
    <t>SCED</t>
  </si>
  <si>
    <t>The field indicates if the delivery regrouping process is activated.</t>
  </si>
  <si>
    <t>OKOT86</t>
  </si>
  <si>
    <t>External prices</t>
  </si>
  <si>
    <t>OT86</t>
  </si>
  <si>
    <t>The field indicates whether external prices are used.</t>
  </si>
  <si>
    <t>0: No.
1: Yes, for labels only.
2: Yes, for packing slips only.
3: Yes, for labels and packing slips.
4: Yes, for invoices only.
5: Yes, for labels and invoices.
6: Yes, for invoices and packing slips.
7: Yes, for all.
8: According to CO type.</t>
  </si>
  <si>
    <t>OKBOP1</t>
  </si>
  <si>
    <t>Automatic closing</t>
  </si>
  <si>
    <t>BOP1</t>
  </si>
  <si>
    <t>The field determines whether backorder quantities should be automatically closed. The "Automatic closing" field in (OIS010) must be set to 1 in order for this setting to be used.</t>
  </si>
  <si>
    <t>0: No. Backorders are allowed and no automatic closing takes place.
1: Yes. Backorders are not allowed and any remaining quantity will be automatically closed.
2: Same as 1 but you can override the setting for each promotion.</t>
  </si>
  <si>
    <t>OKRPLT</t>
  </si>
  <si>
    <t>Rental price list table</t>
  </si>
  <si>
    <t>ChgRentalData</t>
  </si>
  <si>
    <t>RPLT</t>
  </si>
  <si>
    <t>The field indicates a joint ID for the rental prices of several items. By using price list tables you can process several rental price lists for rental agreements for each item. The price list tables are valid for pricing of rental agreement rental lines (line types 4, 5, 7, or 8).</t>
  </si>
  <si>
    <t>OKRDIS</t>
  </si>
  <si>
    <t>Rental discount model</t>
  </si>
  <si>
    <t>RDIS</t>
  </si>
  <si>
    <t>The field indicates a discount model used for retrieving rental discounts. A discount model can contain six discount numbers, which define how a discount is calculated for a rental agreement line (line types 4, 5, 7, or 8). A discount matrix, containing the discount rates, is connected to the discount numbers.</t>
  </si>
  <si>
    <t>OKRPYN</t>
  </si>
  <si>
    <t>Rental payer</t>
  </si>
  <si>
    <t>RPYN</t>
  </si>
  <si>
    <t>The field indicates a default payer for rental agreements.</t>
  </si>
  <si>
    <t>OKRTEP</t>
  </si>
  <si>
    <t>Rental payment terms</t>
  </si>
  <si>
    <t>RTEP</t>
  </si>
  <si>
    <t>The field indicates the default payment terms for rental agreements.</t>
  </si>
  <si>
    <t>OKRSMC</t>
  </si>
  <si>
    <t>Rental salesperson</t>
  </si>
  <si>
    <t>RSMC</t>
  </si>
  <si>
    <t>The field indicates a default salesperson for rental agreements.</t>
  </si>
  <si>
    <t>OKTRSU</t>
  </si>
  <si>
    <t>Trade-in supplier</t>
  </si>
  <si>
    <t>TRSU</t>
  </si>
  <si>
    <t>The field indicates a supplier number connected to a customer. It is used when goods are purchased from the customer as part of a trade-in transaction.</t>
  </si>
  <si>
    <t>OKAOTP</t>
  </si>
  <si>
    <t>Agreement order type</t>
  </si>
  <si>
    <t>AOTP</t>
  </si>
  <si>
    <t>The field indicates a unique ID to control which functions to use in the agreement order flow and how they are used.</t>
  </si>
  <si>
    <t>OKFRCO</t>
  </si>
  <si>
    <t>County ID</t>
  </si>
  <si>
    <t>FRCO</t>
  </si>
  <si>
    <t>The field indicates the identifier of a county in M3. The county ID is unique per state.</t>
  </si>
  <si>
    <t>OKSPLE</t>
  </si>
  <si>
    <t>Standard point location code</t>
  </si>
  <si>
    <t>SPLE</t>
  </si>
  <si>
    <t>The field indicates a standard point location code.</t>
  </si>
  <si>
    <t>OKRASN</t>
  </si>
  <si>
    <t>Rail station</t>
  </si>
  <si>
    <t>RASN</t>
  </si>
  <si>
    <t>The field indicates the ID of the railway station.</t>
  </si>
  <si>
    <t>OKST75</t>
  </si>
  <si>
    <t>Rental rate type</t>
  </si>
  <si>
    <t>ST75</t>
  </si>
  <si>
    <t>The field indicates the type of rate used by default at agreement entry.</t>
  </si>
  <si>
    <t>1: Daily
2: Weekly
3: Monthly
4: Fixed rate
5: Hourly
9: Best Price</t>
  </si>
  <si>
    <t>OKST76</t>
  </si>
  <si>
    <t>Number of shifts</t>
  </si>
  <si>
    <t>ST76</t>
  </si>
  <si>
    <t>The field indicates the number of shifts used by default during agreement entry.</t>
  </si>
  <si>
    <t>0: 0 shifts
1: 1 shift
2: 2 shifts
3: 3 shifts.</t>
  </si>
  <si>
    <t>OKST77</t>
  </si>
  <si>
    <t>Number of days per week</t>
  </si>
  <si>
    <t>ST77</t>
  </si>
  <si>
    <t>The field indicates a proposal for M3 to calculate 5 or 7 days per week at agreement entry.</t>
  </si>
  <si>
    <t>OKST78</t>
  </si>
  <si>
    <t>Minimum days/week to invoice a week</t>
  </si>
  <si>
    <t>ST78</t>
  </si>
  <si>
    <t>The field indicates the number of days needed to invoice for an entire week at final invoicing of an agreement. This is only used for weekly rates.</t>
  </si>
  <si>
    <t>OKRAFA</t>
  </si>
  <si>
    <t>Rate factor</t>
  </si>
  <si>
    <t>RAFA</t>
  </si>
  <si>
    <t>The field indicates the relationship between foreign and domestic currency.</t>
  </si>
  <si>
    <t>1: 1000:1
2: 100:1
3: 10:1
4: 1:1
5: 1:10
6: 1:100
7: 1:1000</t>
  </si>
  <si>
    <t>OKMRTP</t>
  </si>
  <si>
    <t>Minimum rental type</t>
  </si>
  <si>
    <t>MRTP</t>
  </si>
  <si>
    <t>OKMINV</t>
  </si>
  <si>
    <t>Minimum order value</t>
  </si>
  <si>
    <t>MINV</t>
  </si>
  <si>
    <t>OKMIHP</t>
  </si>
  <si>
    <t>Minimum rental period</t>
  </si>
  <si>
    <t>MIHP</t>
  </si>
  <si>
    <t>OKRTYR</t>
  </si>
  <si>
    <t>Return years - open agreement</t>
  </si>
  <si>
    <t>RTYR</t>
  </si>
  <si>
    <t>OKRTMO</t>
  </si>
  <si>
    <t>Return months - open agreement</t>
  </si>
  <si>
    <t>RTMO</t>
  </si>
  <si>
    <t>OKIIYR</t>
  </si>
  <si>
    <t>Invoicing interval - years</t>
  </si>
  <si>
    <t>IIYR</t>
  </si>
  <si>
    <t>The field indicates the number of years with which an invoicing interval should be moved forward in connection with agreement invoicing.</t>
  </si>
  <si>
    <t>OKIIMO</t>
  </si>
  <si>
    <t>Invoicing interval - months</t>
  </si>
  <si>
    <t>IIMO</t>
  </si>
  <si>
    <t>The field indicates how many months an invoicing interval should be moved forward during agreement invoicing.</t>
  </si>
  <si>
    <t>OKIIDA</t>
  </si>
  <si>
    <t>Invoicing interval - days</t>
  </si>
  <si>
    <t>IIDA</t>
  </si>
  <si>
    <t>The field indicates how many days an invoicing interval should be moved forward in connection with agreement invoicing.</t>
  </si>
  <si>
    <t>OKDPOT</t>
  </si>
  <si>
    <t>Rental depot</t>
  </si>
  <si>
    <t>DPOT</t>
  </si>
  <si>
    <t>The field indicates a rental depot.</t>
  </si>
  <si>
    <t>OKDPCD</t>
  </si>
  <si>
    <t>Pricing and discount setting</t>
  </si>
  <si>
    <t>DPCD</t>
  </si>
  <si>
    <t>OKOOTP</t>
  </si>
  <si>
    <t>Override order type</t>
  </si>
  <si>
    <t>OOTP</t>
  </si>
  <si>
    <t>Select the check box to override the 'Price/Disc' setting on (OIS010/J). This is only applicable for 'CO Category' 1 ('Normal order').</t>
  </si>
  <si>
    <t>OKHIFD</t>
  </si>
  <si>
    <t>Hold invoice until fully delivered</t>
  </si>
  <si>
    <t>HIFD</t>
  </si>
  <si>
    <t>Select the check box if invoices are to be hold until the customer order is fully delivered.</t>
  </si>
  <si>
    <t>OKENCD</t>
  </si>
  <si>
    <t>Use code</t>
  </si>
  <si>
    <t>ENCD</t>
  </si>
  <si>
    <t>The field indicates the use code used for AvaTax. The field can be used to set up tax exemption rules in AvaTax. The alternatives listed below are predefined in AvaTax but other codes can be entered manually.</t>
  </si>
  <si>
    <t>A: Federal government
B: State government
C: Tribal government
D: Foreign diplomat
E: Charitable organization
F: Religious organization
G: Resale
H: Agricultural production
I: Industrial production or manufacturers
J: Direct pay permit
K: Direct mail
L: Other or custom
M: Educational organization
N: Local government
P: Commercial aquaculture
Q: Commercial fishery
R: Non-resident</t>
  </si>
  <si>
    <t>OKSEOL</t>
  </si>
  <si>
    <t>Select oldest</t>
  </si>
  <si>
    <t>SEOL</t>
  </si>
  <si>
    <t>OKPYGR</t>
  </si>
  <si>
    <t>Credit group</t>
  </si>
  <si>
    <t>PYGR</t>
  </si>
  <si>
    <t>The field indicates a credit group that is used in credit checking control for all payers that are connected to the credit group in (CRS316).</t>
  </si>
  <si>
    <t>OKSETA</t>
  </si>
  <si>
    <t>Tax regime</t>
  </si>
  <si>
    <t>SETA</t>
  </si>
  <si>
    <t xml:space="preserve">The field indicates how a customer is identified regarding its domestic business activity as a taxpayer. For example, it can be identified as Final consumer, Tax registered, Not registered, Exempted, Simplified regime, and Foreign company. </t>
  </si>
  <si>
    <t>OKTAGY</t>
  </si>
  <si>
    <t>Trade agreement model</t>
  </si>
  <si>
    <t>TAGY</t>
  </si>
  <si>
    <t>The field indicates a trade agreement model, which defines how accruals are calculated for a customer order. The trade agreement model has a selection matrix, which contains the agreements and recipients to retrieve on a customer order.</t>
  </si>
  <si>
    <t>OKOPAY</t>
  </si>
  <si>
    <t>Accounts payable payout</t>
  </si>
  <si>
    <t>OPAY</t>
  </si>
  <si>
    <t>The field indicates whether to enable payment of Accounts Receivable invoices and credit notes to the customer using outgoing payment proposal in (APS330) in Accounts Payable, without netting supplier invoices.</t>
  </si>
  <si>
    <t>0: No
1: Yes</t>
  </si>
  <si>
    <t>OKCASC</t>
  </si>
  <si>
    <t>Cash customer</t>
  </si>
  <si>
    <t>CASC</t>
  </si>
  <si>
    <t>Select the check box to indicate that this is a cash customer. The customer's outstanding credit will not be monitored in (CRS315) for cash customers.</t>
  </si>
  <si>
    <t>OKRCPP</t>
  </si>
  <si>
    <t>Payment receipt document</t>
  </si>
  <si>
    <t>RCPP</t>
  </si>
  <si>
    <t>Select the check box to indicate that a payment receipt document should be printed when the payment is included in a payment receipt displayed in (ARS400).</t>
  </si>
  <si>
    <t>OKEXDF</t>
  </si>
  <si>
    <t>Exclude doubtful allowance</t>
  </si>
  <si>
    <t>EXDF</t>
  </si>
  <si>
    <t>Select the checkbox to exclude the customer from the doubtful allowance routine in (ARS630).</t>
  </si>
  <si>
    <t>OCUSAD</t>
  </si>
  <si>
    <t>OPCONO</t>
  </si>
  <si>
    <t>AddAddress</t>
  </si>
  <si>
    <t>OPDIVI</t>
  </si>
  <si>
    <t>OPCUNO</t>
  </si>
  <si>
    <t>OIS002</t>
  </si>
  <si>
    <t>OPADRT</t>
  </si>
  <si>
    <t>Address type</t>
  </si>
  <si>
    <t>ADRT</t>
  </si>
  <si>
    <t>The field indicates the type of address.</t>
  </si>
  <si>
    <t>01: Delivery address (Customer Order Processing)
02: Location address (Service Order Processing)
03: Invoice address (Customer Order Processing)
04: Payment address
05: Quotation address
06: Order confirmation address
07: Material address in (COS105)
08-50: Reserved for future use
51-99: Reserved for modifications.</t>
  </si>
  <si>
    <t>OPADID</t>
  </si>
  <si>
    <t>The field indicates address number and is used to identify a record in the address file.</t>
  </si>
  <si>
    <t>OPCUNM</t>
  </si>
  <si>
    <t>The field indicates the company or personal name that applies for the address. The address lines with this name form the address which, for example, is printed on customer documents if the address is a delivery address.</t>
  </si>
  <si>
    <t>OPCUA1</t>
  </si>
  <si>
    <t>OPCUA2</t>
  </si>
  <si>
    <t>OPCUA3</t>
  </si>
  <si>
    <t>OPCUA4</t>
  </si>
  <si>
    <t>OPPONO</t>
  </si>
  <si>
    <t>OPEALO</t>
  </si>
  <si>
    <t>OPECAR</t>
  </si>
  <si>
    <t>The field indicates an area, province or state within a country. The information is used for addresses, U.S. sales tax and for trade statistics.</t>
  </si>
  <si>
    <t>OPRONO</t>
  </si>
  <si>
    <t>OPMODL</t>
  </si>
  <si>
    <t>The field indicates how the delivery is made.</t>
  </si>
  <si>
    <t>OPTEDL</t>
  </si>
  <si>
    <t>The field indicates delivery terms, which define when the responsibility for a delivery is transferred from the supplier to the customer.</t>
  </si>
  <si>
    <t>OPTEL2</t>
  </si>
  <si>
    <t>Terms text</t>
  </si>
  <si>
    <t>TEL2</t>
  </si>
  <si>
    <t>The field indicates the terms text, which is usually printed on external documents as explanatory text.</t>
  </si>
  <si>
    <t>OPPHNO</t>
  </si>
  <si>
    <t>OPTFNO</t>
  </si>
  <si>
    <t>OPYREF</t>
  </si>
  <si>
    <t>OPLSID</t>
  </si>
  <si>
    <t>OPLSAD</t>
  </si>
  <si>
    <t>OPMEAL</t>
  </si>
  <si>
    <t>OPCSCD</t>
  </si>
  <si>
    <t>OPVRNO</t>
  </si>
  <si>
    <t>OPEDES</t>
  </si>
  <si>
    <t>OPROUT</t>
  </si>
  <si>
    <t>OPRODN</t>
  </si>
  <si>
    <t>OPULZO</t>
  </si>
  <si>
    <t>OPCESA</t>
  </si>
  <si>
    <t>OPGEOC</t>
  </si>
  <si>
    <t>OPTAXC</t>
  </si>
  <si>
    <t>OPHAFE</t>
  </si>
  <si>
    <t>OPTEPA</t>
  </si>
  <si>
    <t>OPCALV</t>
  </si>
  <si>
    <t>Calendar version</t>
  </si>
  <si>
    <t>CALV</t>
  </si>
  <si>
    <t>The field indicates a delivery schedule calendar version</t>
  </si>
  <si>
    <t>OPDLPA</t>
  </si>
  <si>
    <t>Delivery pattern</t>
  </si>
  <si>
    <t>DLPA</t>
  </si>
  <si>
    <t>The field indicates the delivery pattern, which describes how deliveries are made.</t>
  </si>
  <si>
    <t>OPDNVA</t>
  </si>
  <si>
    <t>Delivery note variant</t>
  </si>
  <si>
    <t>DNVA</t>
  </si>
  <si>
    <t>OPLAVA</t>
  </si>
  <si>
    <t>Label variant</t>
  </si>
  <si>
    <t>LAVA</t>
  </si>
  <si>
    <t>OPFVDT</t>
  </si>
  <si>
    <t>Valid from</t>
  </si>
  <si>
    <t>FVDT</t>
  </si>
  <si>
    <t>The field indicates the first valid date.</t>
  </si>
  <si>
    <t>OPLVDT</t>
  </si>
  <si>
    <t>Valid to</t>
  </si>
  <si>
    <t>LVDT</t>
  </si>
  <si>
    <t>The field indicates the last date the record is valid. If the field is left blank, the record is valid until a date is entered.</t>
  </si>
  <si>
    <t>OPDTID</t>
  </si>
  <si>
    <t>OPSPLM</t>
  </si>
  <si>
    <t>OPBCKO</t>
  </si>
  <si>
    <t>OPPADL</t>
  </si>
  <si>
    <t>OPTOWN</t>
  </si>
  <si>
    <t>OPPNOD</t>
  </si>
  <si>
    <t>Planning node</t>
  </si>
  <si>
    <t>PNOD</t>
  </si>
  <si>
    <t>The field indicates a planning node. The planning node is a geographical location that you can connect to a supplier address, warehouse address, and/or customer address.</t>
  </si>
  <si>
    <t>OPADVI</t>
  </si>
  <si>
    <t>OPTXID</t>
  </si>
  <si>
    <t>OPRGDT</t>
  </si>
  <si>
    <t>OPRGTM</t>
  </si>
  <si>
    <t>OPLMDT</t>
  </si>
  <si>
    <t>OPCHNO</t>
  </si>
  <si>
    <t>OPCHID</t>
  </si>
  <si>
    <t>OPLMTS</t>
  </si>
  <si>
    <t>OPGEOX</t>
  </si>
  <si>
    <t>Geographic code X</t>
  </si>
  <si>
    <t>GEOX</t>
  </si>
  <si>
    <t>The field indicates the longitude coordinate of the node.</t>
  </si>
  <si>
    <t>OPGEOY</t>
  </si>
  <si>
    <t>Geographic code Y</t>
  </si>
  <si>
    <t>GEOY</t>
  </si>
  <si>
    <t>The field indicates the latitude coordinate of the node.</t>
  </si>
  <si>
    <t>OPGEOZ</t>
  </si>
  <si>
    <t>Geographic code  Z</t>
  </si>
  <si>
    <t>GEOZ</t>
  </si>
  <si>
    <t>OPBOP1</t>
  </si>
  <si>
    <t>OPVAAD</t>
  </si>
  <si>
    <t>Valid address</t>
  </si>
  <si>
    <t>VAAD</t>
  </si>
  <si>
    <t>OPPRIO</t>
  </si>
  <si>
    <t>The field indicates the order priority.</t>
  </si>
  <si>
    <t>OPFRCO</t>
  </si>
  <si>
    <t>OPSPLE</t>
  </si>
  <si>
    <t>OPRASN</t>
  </si>
  <si>
    <t>OPADCG</t>
  </si>
  <si>
    <t>Address category</t>
  </si>
  <si>
    <t>ADCG</t>
  </si>
  <si>
    <t>The field indicates an optional categorization of the address, used for informational purposes only.</t>
  </si>
  <si>
    <t>Akhil</t>
  </si>
  <si>
    <t>A000010555</t>
  </si>
  <si>
    <t>Z00001</t>
  </si>
  <si>
    <t>TRI-COUNTY SCHOOL DISTRICT</t>
  </si>
  <si>
    <t>PO BOX 67</t>
  </si>
  <si>
    <t>WI</t>
  </si>
  <si>
    <t>PLAINFIELD</t>
  </si>
  <si>
    <t>ZZZZZZZZZZ</t>
  </si>
  <si>
    <t>ZZZZZZZZZZZZZZZZZZZZZZZZZZZZZZ</t>
  </si>
  <si>
    <t>003</t>
  </si>
  <si>
    <t>001</t>
  </si>
  <si>
    <t>0</t>
  </si>
  <si>
    <t>Domestic customer template</t>
  </si>
  <si>
    <t>Street/P.O. Box</t>
  </si>
  <si>
    <t>Street/P.O. Box, County</t>
  </si>
  <si>
    <t>CITY IN ZIP</t>
  </si>
  <si>
    <t>0.00</t>
  </si>
  <si>
    <t>10000.00</t>
  </si>
  <si>
    <t>100000.00</t>
  </si>
  <si>
    <t>200000.00</t>
  </si>
  <si>
    <t>ZIP</t>
  </si>
  <si>
    <t>ERICP01</t>
  </si>
  <si>
    <t>20260114</t>
  </si>
  <si>
    <t>IN</t>
  </si>
  <si>
    <t>CITY</t>
  </si>
  <si>
    <t>20050615</t>
  </si>
  <si>
    <t>152114</t>
  </si>
  <si>
    <t/>
  </si>
  <si>
    <t>ZZZZZZZZZZZZZZZZ</t>
  </si>
  <si>
    <t>81</t>
  </si>
  <si>
    <t>1768427553889</t>
  </si>
  <si>
    <t>Syndigo Name</t>
  </si>
  <si>
    <t>Exists In Syndigo?</t>
  </si>
  <si>
    <t>MDM Comments</t>
  </si>
  <si>
    <t>Questions</t>
  </si>
  <si>
    <t>Herff Jones_7</t>
  </si>
  <si>
    <t>TransactionName</t>
  </si>
  <si>
    <t>FieldName</t>
  </si>
  <si>
    <t>Mapping</t>
  </si>
  <si>
    <t>DG_Default</t>
  </si>
  <si>
    <t>Doppio_7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</si>
</sst>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2"/>
      <color rgb="FFFFFFFF"/>
      <name val="Avenir"/>
      <family val="2"/>
    </font>
    <font>
      <b/>
      <sz val="12"/>
      <color rgb="FF8164A2"/>
      <name val="Avenir"/>
      <family val="2"/>
    </font>
    <font>
      <b/>
      <sz val="12"/>
      <color rgb="FF1A6B25"/>
      <name val="Avenir"/>
      <family val="2"/>
    </font>
    <font>
      <b/>
      <sz val="12"/>
      <color rgb="FF156082"/>
      <name val="Avenir"/>
      <family val="2"/>
    </font>
    <font>
      <b/>
      <sz val="12"/>
      <color rgb="FFE97131"/>
      <name val="Avenir"/>
      <family val="2"/>
    </font>
    <font>
      <b/>
      <sz val="12"/>
      <color rgb="FF0F9ED5"/>
      <name val="Avenir"/>
      <family val="2"/>
    </font>
    <font>
      <b/>
      <sz val="12"/>
      <color rgb="FF0F2841"/>
      <name val="Avenir"/>
      <family val="2"/>
    </font>
    <font>
      <b/>
      <sz val="12"/>
      <color rgb="FFC00000"/>
      <name val="Avenir"/>
      <family val="2"/>
    </font>
    <font>
      <sz val="12"/>
      <color theme="1"/>
      <name val="Avenir"/>
      <family val="2"/>
    </font>
    <font>
      <sz val="12"/>
      <name val="Avenir Book"/>
      <family val="2"/>
    </font>
  </fonts>
  <fills count="9">
    <fill>
      <patternFill patternType="none"/>
    </fill>
    <fill>
      <patternFill patternType="gray125"/>
    </fill>
    <fill>
      <patternFill patternType="solid">
        <fgColor rgb="FF8164A2"/>
        <bgColor rgb="FF8164A2"/>
      </patternFill>
    </fill>
    <fill>
      <patternFill patternType="solid">
        <fgColor rgb="FF1A6B25"/>
        <bgColor rgb="FF1A6B25"/>
      </patternFill>
    </fill>
    <fill>
      <patternFill patternType="solid">
        <fgColor rgb="FF156082"/>
        <bgColor rgb="FF156082"/>
      </patternFill>
    </fill>
    <fill>
      <patternFill patternType="solid">
        <fgColor rgb="FFE97131"/>
        <bgColor rgb="FFE97131"/>
      </patternFill>
    </fill>
    <fill>
      <patternFill patternType="solid">
        <fgColor rgb="FF0F9ED5"/>
        <bgColor rgb="FF0F9ED5"/>
      </patternFill>
    </fill>
    <fill>
      <patternFill patternType="solid">
        <fgColor rgb="FF0F2841"/>
        <bgColor rgb="FF0F2841"/>
      </patternFill>
    </fill>
    <fill>
      <patternFill patternType="solid">
        <fgColor rgb="FFC00000"/>
        <bgColor rgb="FFC00000"/>
      </patternFill>
    </fill>
  </fills>
  <borders count="1">
    <border>
      <left/>
      <right/>
      <top/>
      <bottom/>
      <diagonal/>
    </border>
  </borders>
  <cellStyleXfs count="1">
    <xf numFmtId="0" fontId="0" fillId="0" borderId="0"/>
  </cellStyleXfs>
  <cellXfs count="34">
    <xf numFmtId="0" fontId="0" fillId="0" borderId="0" xfId="0"/>
    <xf numFmtId="0" fontId="0" fillId="0" borderId="0" xfId="0" applyAlignment="1">
      <alignment horizontal="left"/>
    </xf>
    <xf numFmtId="0" fontId="1" fillId="2" borderId="0" xfId="0" applyFont="1" applyFill="1" applyAlignment="1">
      <alignment horizontal="left"/>
    </xf>
    <xf numFmtId="0" fontId="2"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1" fillId="4" borderId="0" xfId="0" applyFont="1" applyFill="1" applyAlignment="1">
      <alignment horizontal="left"/>
    </xf>
    <xf numFmtId="0" fontId="4" fillId="4" borderId="0" xfId="0" applyFont="1" applyFill="1" applyAlignment="1">
      <alignment horizontal="left"/>
    </xf>
    <xf numFmtId="0" fontId="1" fillId="5" borderId="0" xfId="0" applyFont="1" applyFill="1" applyAlignment="1">
      <alignment horizontal="left"/>
    </xf>
    <xf numFmtId="0" fontId="5" fillId="5" borderId="0" xfId="0" applyFont="1" applyFill="1" applyAlignment="1">
      <alignment horizontal="left"/>
    </xf>
    <xf numFmtId="0" fontId="1" fillId="6" borderId="0" xfId="0" applyFont="1" applyFill="1" applyAlignment="1">
      <alignment horizontal="left"/>
    </xf>
    <xf numFmtId="0" fontId="6" fillId="6" borderId="0" xfId="0" applyFont="1" applyFill="1" applyAlignment="1">
      <alignment horizontal="left"/>
    </xf>
    <xf numFmtId="0" fontId="1" fillId="7" borderId="0" xfId="0" applyFont="1" applyFill="1" applyAlignment="1">
      <alignment horizontal="left"/>
    </xf>
    <xf numFmtId="0" fontId="7" fillId="7" borderId="0" xfId="0" applyFont="1" applyFill="1" applyAlignment="1">
      <alignment horizontal="left"/>
    </xf>
    <xf numFmtId="0" fontId="1" fillId="8" borderId="0" xfId="0" applyFont="1" applyFill="1" applyAlignment="1">
      <alignment horizontal="left"/>
    </xf>
    <xf numFmtId="0" fontId="8" fillId="8" borderId="0" xfId="0" applyFont="1" applyFill="1" applyAlignment="1">
      <alignment horizontal="left"/>
    </xf>
    <xf numFmtId="0" fontId="0" fillId="0" borderId="0" xfId="0" applyAlignment="1">
      <alignment horizontal="left" vertical="top"/>
    </xf>
    <xf numFmtId="0" fontId="9" fillId="0" borderId="0" xfId="0" applyFont="1" applyAlignment="1">
      <alignment horizontal="left" vertical="top"/>
    </xf>
    <xf numFmtId="0" fontId="9"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center" vertical="top"/>
    </xf>
    <xf numFmtId="49" fontId="10" fillId="0" borderId="0" xfId="0" applyNumberFormat="1" applyFont="1" applyAlignment="1">
      <alignment horizontal="left" vertical="top"/>
    </xf>
    <xf numFmtId="0" fontId="10" fillId="0" borderId="0" xfId="0" applyFont="1" applyAlignment="1">
      <alignment horizontal="left" vertical="top"/>
    </xf>
    <xf numFmtId="0" fontId="1" fillId="8" borderId="0" xfId="0" applyFont="1" applyFill="1" applyAlignment="1">
      <alignment horizontal="left" wrapText="1"/>
    </xf>
    <xf numFmtId="0" fontId="10" fillId="0" borderId="0" xfId="0" applyFont="1" applyAlignment="1">
      <alignment horizontal="left" vertical="top" wrapText="1"/>
    </xf>
    <xf numFmtId="0" fontId="1" fillId="2" borderId="0" xfId="0" applyFont="1" applyFill="1" applyAlignment="1">
      <alignment horizontal="center" vertical="top"/>
    </xf>
    <xf numFmtId="0" fontId="9" fillId="0" borderId="0" xfId="0" applyFont="1" applyAlignment="1">
      <alignment horizontal="center" vertical="top"/>
    </xf>
    <xf numFmtId="0" fontId="1" fillId="4" borderId="0" xfId="0" applyFont="1" applyFill="1" applyAlignment="1">
      <alignment horizontal="center" vertical="top"/>
    </xf>
    <xf numFmtId="0" fontId="1" fillId="6" borderId="0" xfId="0" applyFont="1" applyFill="1" applyAlignment="1">
      <alignment horizontal="center" vertical="top"/>
    </xf>
    <xf numFmtId="0" fontId="1" fillId="7" borderId="0" xfId="0" applyFont="1" applyFill="1" applyAlignment="1">
      <alignment horizontal="center" vertical="top"/>
    </xf>
    <xf numFmtId="0" fontId="1" fillId="8" borderId="0" xfId="0" applyFont="1" applyFill="1" applyAlignment="1">
      <alignment horizontal="center" vertical="top"/>
    </xf>
    <xf numFmtId="0" fontId="9" fillId="0" borderId="0" xfId="0" applyFont="1" applyAlignment="1">
      <alignment horizontal="center" vertical="top" wrapText="1"/>
    </xf>
    <xf numFmtId="0" fontId="1" fillId="3" borderId="0" xfId="0" applyFont="1" applyFill="1" applyAlignment="1">
      <alignment horizontal="center" vertical="top"/>
    </xf>
    <xf numFmtId="0" fontId="1" fillId="5" borderId="0" xfId="0" applyFont="1" applyFill="1" applyAlignment="1">
      <alignment horizontal="center" vertical="top"/>
    </xf>
  </cellXfs>
  <cellStyles count="1">
    <cellStyle name="Normal" xfId="0" builtinId="0"/>
  </cellStyles>
  <dxfs count="39">
    <dxf>
      <alignment horizontal="left" vertical="top" textRotation="0" wrapText="0" indent="0" justifyLastLine="0" shrinkToFit="0" readingOrder="0"/>
    </dxf>
    <dxf>
      <font>
        <b val="0"/>
        <i val="0"/>
        <strike val="0"/>
        <condense val="0"/>
        <extend val="0"/>
        <outline val="0"/>
        <shadow val="0"/>
        <u val="none"/>
        <vertAlign val="baseline"/>
        <sz val="12"/>
        <color theme="1"/>
        <name val="Avenir"/>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2"/>
        <color theme="1"/>
        <name val="Avenir"/>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2"/>
        <color theme="1"/>
        <name val="Avenir"/>
        <family val="2"/>
        <scheme val="none"/>
      </font>
      <alignment horizontal="left" vertical="top" textRotation="0" wrapText="0" indent="0" justifyLastLine="0" shrinkToFit="0" readingOrder="0"/>
    </dxf>
    <dxf>
      <alignment horizontal="left" vertical="top" textRotation="0" wrapText="0" indent="0" justifyLastLine="0" shrinkToFit="0" readingOrder="0"/>
    </dxf>
    <dxf>
      <numFmt numFmtId="0" formatCode="General"/>
      <alignment horizontal="left" vertical="top" textRotation="0" wrapText="0" indent="0" justifyLastLine="0" shrinkToFit="0" readingOrder="0"/>
    </dxf>
    <dxf>
      <alignment horizontal="left" vertical="top" textRotation="0" wrapText="0" indent="0" justifyLastLine="0" shrinkToFit="0" readingOrder="0"/>
    </dxf>
    <dxf>
      <numFmt numFmtId="0" formatCode="General"/>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font>
        <b val="0"/>
        <i val="0"/>
        <strike val="0"/>
        <condense val="0"/>
        <extend val="0"/>
        <outline val="0"/>
        <shadow val="0"/>
        <u val="none"/>
        <vertAlign val="baseline"/>
        <sz val="12"/>
        <color theme="1"/>
        <name val="Avenir"/>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2"/>
        <color theme="1"/>
        <name val="Avenir"/>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2"/>
        <color theme="1"/>
        <name val="Avenir"/>
        <family val="2"/>
        <scheme val="none"/>
      </font>
      <numFmt numFmtId="0" formatCode="General"/>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ericpronovost/Doppio/MappingGuides/mapping/processed/HerffJones_CUSTOMER_20251205.xlsx" TargetMode="External"/><Relationship Id="rId1" Type="http://schemas.openxmlformats.org/officeDocument/2006/relationships/externalLinkPath" Target="HerffJones_CUSTOMER_202512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2"/>
      <sheetName val="Squirrel SQL Export 1"/>
      <sheetName val="Payment Terms"/>
      <sheetName val="Cash Disount Terms"/>
      <sheetName val="Sheet1"/>
      <sheetName val="PIVOT - ADAM"/>
      <sheetName val="HerffJones_CUSTOMER_20251205"/>
    </sheetNames>
    <sheetDataSet>
      <sheetData sheetId="0"/>
      <sheetData sheetId="1">
        <row r="1">
          <cell r="K1" t="str">
            <v>API</v>
          </cell>
        </row>
        <row r="2">
          <cell r="K2" t="str">
            <v>API</v>
          </cell>
          <cell r="L2" t="str">
            <v>TransactionName</v>
          </cell>
          <cell r="M2" t="str">
            <v>FieldName</v>
          </cell>
          <cell r="N2" t="str">
            <v>API_</v>
          </cell>
        </row>
        <row r="3">
          <cell r="K3" t="str">
            <v>CRS610MI</v>
          </cell>
          <cell r="L3" t="str">
            <v>Add</v>
          </cell>
          <cell r="M3" t="str">
            <v>CUTM</v>
          </cell>
          <cell r="N3" t="str">
            <v/>
          </cell>
        </row>
        <row r="4">
          <cell r="K4" t="str">
            <v>CRS610MI</v>
          </cell>
          <cell r="L4" t="str">
            <v>Add</v>
          </cell>
          <cell r="M4" t="str">
            <v>CONO</v>
          </cell>
          <cell r="N4" t="str">
            <v/>
          </cell>
        </row>
        <row r="5">
          <cell r="K5" t="str">
            <v>CRS610MI</v>
          </cell>
          <cell r="L5" t="str">
            <v>Add</v>
          </cell>
          <cell r="M5" t="str">
            <v>DIVI</v>
          </cell>
          <cell r="N5" t="str">
            <v/>
          </cell>
        </row>
        <row r="6">
          <cell r="K6" t="str">
            <v>CRS610MI</v>
          </cell>
          <cell r="L6" t="str">
            <v>Add</v>
          </cell>
          <cell r="M6" t="str">
            <v>STAT</v>
          </cell>
          <cell r="N6" t="str">
            <v/>
          </cell>
        </row>
        <row r="7">
          <cell r="K7" t="str">
            <v>CRS610MI</v>
          </cell>
          <cell r="L7" t="str">
            <v>Add</v>
          </cell>
          <cell r="M7" t="str">
            <v>CUNO</v>
          </cell>
          <cell r="N7" t="str">
            <v/>
          </cell>
        </row>
        <row r="8">
          <cell r="K8" t="str">
            <v>CRS610MI</v>
          </cell>
          <cell r="L8" t="str">
            <v>ChgOrderInfo</v>
          </cell>
          <cell r="M8" t="str">
            <v>CUCL</v>
          </cell>
          <cell r="N8" t="str">
            <v/>
          </cell>
        </row>
        <row r="9">
          <cell r="K9" t="str">
            <v>CRS610MI</v>
          </cell>
          <cell r="L9" t="str">
            <v>Add</v>
          </cell>
          <cell r="M9" t="str">
            <v>CUTP</v>
          </cell>
          <cell r="N9" t="str">
            <v/>
          </cell>
        </row>
        <row r="10">
          <cell r="K10" t="str">
            <v>CRS610MI</v>
          </cell>
          <cell r="L10" t="str">
            <v>Add</v>
          </cell>
          <cell r="M10" t="str">
            <v>ALCU</v>
          </cell>
          <cell r="N10" t="str">
            <v/>
          </cell>
        </row>
        <row r="11">
          <cell r="K11" t="str">
            <v>CRS610MI</v>
          </cell>
          <cell r="L11" t="str">
            <v>Add</v>
          </cell>
          <cell r="M11" t="str">
            <v>CUNM</v>
          </cell>
          <cell r="N11" t="str">
            <v/>
          </cell>
        </row>
        <row r="12">
          <cell r="K12" t="str">
            <v>CRS610MI</v>
          </cell>
          <cell r="L12" t="str">
            <v>Add</v>
          </cell>
          <cell r="M12" t="str">
            <v>CUA1</v>
          </cell>
          <cell r="N12" t="str">
            <v/>
          </cell>
        </row>
        <row r="13">
          <cell r="K13" t="str">
            <v>CRS610MI</v>
          </cell>
          <cell r="L13" t="str">
            <v>Add</v>
          </cell>
          <cell r="M13" t="str">
            <v>CUA2</v>
          </cell>
          <cell r="N13" t="str">
            <v/>
          </cell>
        </row>
        <row r="14">
          <cell r="K14" t="str">
            <v>CRS610MI</v>
          </cell>
          <cell r="L14" t="str">
            <v>Add</v>
          </cell>
          <cell r="M14" t="str">
            <v>CUA3</v>
          </cell>
          <cell r="N14" t="str">
            <v/>
          </cell>
        </row>
        <row r="15">
          <cell r="K15" t="str">
            <v>CRS610MI</v>
          </cell>
          <cell r="L15" t="str">
            <v>Add</v>
          </cell>
          <cell r="M15" t="str">
            <v>CUA4</v>
          </cell>
          <cell r="N15" t="str">
            <v/>
          </cell>
        </row>
        <row r="16">
          <cell r="K16" t="str">
            <v>CRS610MI</v>
          </cell>
          <cell r="L16" t="str">
            <v>ChgOrderInfo</v>
          </cell>
          <cell r="M16" t="str">
            <v>ADID</v>
          </cell>
          <cell r="N16" t="str">
            <v/>
          </cell>
        </row>
        <row r="17">
          <cell r="K17" t="str">
            <v>CRS610MI</v>
          </cell>
          <cell r="L17" t="str">
            <v>ChgOrderInfo</v>
          </cell>
          <cell r="M17" t="str">
            <v>ADBO</v>
          </cell>
          <cell r="N17" t="str">
            <v/>
          </cell>
        </row>
        <row r="18">
          <cell r="K18" t="str">
            <v>CRS610MI</v>
          </cell>
          <cell r="L18" t="str">
            <v>Add</v>
          </cell>
          <cell r="M18" t="str">
            <v>PHNO</v>
          </cell>
          <cell r="N18" t="str">
            <v/>
          </cell>
        </row>
        <row r="19">
          <cell r="K19" t="str">
            <v>CRS610MI</v>
          </cell>
          <cell r="L19" t="str">
            <v>Add</v>
          </cell>
          <cell r="M19" t="str">
            <v>PHN2</v>
          </cell>
          <cell r="N19" t="str">
            <v/>
          </cell>
        </row>
        <row r="20">
          <cell r="K20" t="str">
            <v>CRS610MI</v>
          </cell>
          <cell r="L20" t="str">
            <v>Add</v>
          </cell>
          <cell r="M20" t="str">
            <v>TFNO</v>
          </cell>
          <cell r="N20" t="str">
            <v/>
          </cell>
        </row>
        <row r="21">
          <cell r="K21" t="str">
            <v>CRS610MI</v>
          </cell>
          <cell r="L21" t="str">
            <v>ChgFinancial</v>
          </cell>
          <cell r="M21" t="str">
            <v>CORG</v>
          </cell>
          <cell r="N21" t="str">
            <v/>
          </cell>
        </row>
        <row r="22">
          <cell r="K22" t="str">
            <v>CRS610MI</v>
          </cell>
          <cell r="L22" t="str">
            <v>ChgFinancial</v>
          </cell>
          <cell r="M22" t="str">
            <v>COR2</v>
          </cell>
          <cell r="N22" t="str">
            <v/>
          </cell>
        </row>
        <row r="23">
          <cell r="K23" t="str">
            <v>CRS610MI</v>
          </cell>
          <cell r="L23" t="str">
            <v>Add</v>
          </cell>
          <cell r="M23" t="str">
            <v>YREF</v>
          </cell>
          <cell r="N23" t="str">
            <v/>
          </cell>
        </row>
        <row r="24">
          <cell r="K24" t="str">
            <v>CRS610MI</v>
          </cell>
          <cell r="L24" t="str">
            <v>Add</v>
          </cell>
          <cell r="M24" t="str">
            <v>YRE2</v>
          </cell>
          <cell r="N24" t="str">
            <v/>
          </cell>
        </row>
        <row r="25">
          <cell r="K25" t="str">
            <v>CRS610MI</v>
          </cell>
          <cell r="L25" t="str">
            <v>ChgOrderInfo</v>
          </cell>
          <cell r="M25" t="str">
            <v>OREF</v>
          </cell>
          <cell r="N25" t="str">
            <v/>
          </cell>
        </row>
        <row r="26">
          <cell r="K26" t="str">
            <v>CRS610MI</v>
          </cell>
          <cell r="L26" t="str">
            <v>Add</v>
          </cell>
          <cell r="M26" t="str">
            <v>CUSU</v>
          </cell>
          <cell r="N26" t="str">
            <v/>
          </cell>
        </row>
        <row r="27">
          <cell r="K27" t="str">
            <v>CRS610MI</v>
          </cell>
          <cell r="L27" t="str">
            <v>ChgOrderInfo</v>
          </cell>
          <cell r="M27" t="str">
            <v>EXCD</v>
          </cell>
          <cell r="N27" t="str">
            <v/>
          </cell>
        </row>
        <row r="28">
          <cell r="K28" t="str">
            <v>CRS610MI</v>
          </cell>
          <cell r="L28" t="str">
            <v>ChgOrderInfo</v>
          </cell>
          <cell r="M28" t="str">
            <v>TEPY</v>
          </cell>
          <cell r="N28" t="str">
            <v/>
          </cell>
        </row>
        <row r="29">
          <cell r="K29" t="str">
            <v/>
          </cell>
          <cell r="L29" t="str">
            <v/>
          </cell>
          <cell r="M29" t="str">
            <v>OT75</v>
          </cell>
          <cell r="N29" t="str">
            <v/>
          </cell>
        </row>
        <row r="30">
          <cell r="K30" t="str">
            <v>CRS610MI</v>
          </cell>
          <cell r="L30" t="str">
            <v>ChgFinancial</v>
          </cell>
          <cell r="M30" t="str">
            <v>TECD</v>
          </cell>
          <cell r="N30" t="str">
            <v/>
          </cell>
        </row>
        <row r="31">
          <cell r="K31" t="str">
            <v>CRS610MI</v>
          </cell>
          <cell r="L31" t="str">
            <v>ChgOrderInfo</v>
          </cell>
          <cell r="M31" t="str">
            <v>TEDL</v>
          </cell>
          <cell r="N31" t="str">
            <v/>
          </cell>
        </row>
        <row r="32">
          <cell r="K32" t="str">
            <v>CRS610MI</v>
          </cell>
          <cell r="L32" t="str">
            <v>ChgOrderInfo</v>
          </cell>
          <cell r="M32" t="str">
            <v>MODL</v>
          </cell>
          <cell r="N32" t="str">
            <v/>
          </cell>
        </row>
        <row r="33">
          <cell r="K33" t="str">
            <v>CRS610MI</v>
          </cell>
          <cell r="L33" t="str">
            <v>ChgOrderInfo</v>
          </cell>
          <cell r="M33" t="str">
            <v>SMCD</v>
          </cell>
          <cell r="N33" t="str">
            <v/>
          </cell>
        </row>
        <row r="34">
          <cell r="K34" t="str">
            <v>CRS610MI</v>
          </cell>
          <cell r="L34" t="str">
            <v>ChgOrderInfo</v>
          </cell>
          <cell r="M34" t="str">
            <v>RESP</v>
          </cell>
          <cell r="N34" t="str">
            <v/>
          </cell>
        </row>
        <row r="35">
          <cell r="K35" t="str">
            <v/>
          </cell>
          <cell r="L35" t="str">
            <v/>
          </cell>
          <cell r="M35" t="str">
            <v>RONO</v>
          </cell>
          <cell r="N35" t="str">
            <v/>
          </cell>
        </row>
        <row r="36">
          <cell r="K36" t="str">
            <v>CRS610MI</v>
          </cell>
          <cell r="L36" t="str">
            <v>ChgOrderInfo</v>
          </cell>
          <cell r="M36" t="str">
            <v>DIPC</v>
          </cell>
          <cell r="N36" t="str">
            <v/>
          </cell>
        </row>
        <row r="37">
          <cell r="K37" t="str">
            <v>CRS610MI</v>
          </cell>
          <cell r="L37" t="str">
            <v>ChgOrderInfo</v>
          </cell>
          <cell r="M37" t="str">
            <v>DISY</v>
          </cell>
          <cell r="N37" t="str">
            <v/>
          </cell>
        </row>
        <row r="38">
          <cell r="K38" t="str">
            <v>CRS610MI</v>
          </cell>
          <cell r="L38" t="str">
            <v>ChgOrderInfo</v>
          </cell>
          <cell r="M38" t="str">
            <v>DIGC</v>
          </cell>
          <cell r="N38" t="str">
            <v/>
          </cell>
        </row>
        <row r="39">
          <cell r="K39" t="str">
            <v>CRS610MI</v>
          </cell>
          <cell r="L39" t="str">
            <v>ChgFinancial</v>
          </cell>
          <cell r="M39" t="str">
            <v>VTCD</v>
          </cell>
          <cell r="N39" t="str">
            <v/>
          </cell>
        </row>
        <row r="40">
          <cell r="K40" t="str">
            <v>CRS610MI</v>
          </cell>
          <cell r="L40" t="str">
            <v>ChgFinancial</v>
          </cell>
          <cell r="M40" t="str">
            <v>TXAP</v>
          </cell>
          <cell r="N40" t="str">
            <v/>
          </cell>
        </row>
        <row r="41">
          <cell r="K41" t="str">
            <v>CRS610MI</v>
          </cell>
          <cell r="L41" t="str">
            <v>ChgFinancial</v>
          </cell>
          <cell r="M41" t="str">
            <v>CUCD</v>
          </cell>
          <cell r="N41" t="str">
            <v/>
          </cell>
        </row>
        <row r="42">
          <cell r="K42" t="str">
            <v>CRS610MI</v>
          </cell>
          <cell r="L42" t="str">
            <v>ChgFinancial</v>
          </cell>
          <cell r="M42" t="str">
            <v>CRTP</v>
          </cell>
          <cell r="N42" t="str">
            <v/>
          </cell>
        </row>
        <row r="43">
          <cell r="K43" t="str">
            <v>CRS610MI</v>
          </cell>
          <cell r="L43" t="str">
            <v>ChgOrderInfo</v>
          </cell>
          <cell r="M43" t="str">
            <v>PLTB</v>
          </cell>
          <cell r="N43" t="str">
            <v/>
          </cell>
        </row>
        <row r="44">
          <cell r="K44" t="str">
            <v>CRS610MI</v>
          </cell>
          <cell r="L44" t="str">
            <v>ChgOrderInfo</v>
          </cell>
          <cell r="M44" t="str">
            <v>PRVG</v>
          </cell>
          <cell r="N44" t="str">
            <v/>
          </cell>
        </row>
        <row r="45">
          <cell r="K45" t="str">
            <v/>
          </cell>
          <cell r="L45" t="str">
            <v/>
          </cell>
          <cell r="M45" t="str">
            <v>BREC</v>
          </cell>
          <cell r="N45" t="str">
            <v/>
          </cell>
        </row>
        <row r="46">
          <cell r="K46" t="str">
            <v>CRS610MI</v>
          </cell>
          <cell r="L46" t="str">
            <v>ChgOrderInfo</v>
          </cell>
          <cell r="M46" t="str">
            <v>DTFM</v>
          </cell>
          <cell r="N46" t="str">
            <v/>
          </cell>
        </row>
        <row r="47">
          <cell r="K47" t="str">
            <v>CRS610MI</v>
          </cell>
          <cell r="L47" t="str">
            <v>ChgOrderInfo</v>
          </cell>
          <cell r="M47" t="str">
            <v>EDIT</v>
          </cell>
          <cell r="N47" t="str">
            <v/>
          </cell>
        </row>
        <row r="48">
          <cell r="K48" t="str">
            <v>CRS610MI</v>
          </cell>
          <cell r="L48" t="str">
            <v>ChgOrderInfo</v>
          </cell>
          <cell r="M48" t="str">
            <v>ORTP</v>
          </cell>
          <cell r="N48" t="str">
            <v/>
          </cell>
        </row>
        <row r="49">
          <cell r="K49" t="str">
            <v>CRS610MI</v>
          </cell>
          <cell r="L49" t="str">
            <v>ChgOrderInfo</v>
          </cell>
          <cell r="M49" t="str">
            <v>WHLO</v>
          </cell>
          <cell r="N49" t="str">
            <v/>
          </cell>
        </row>
        <row r="50">
          <cell r="K50" t="str">
            <v>CRS610MI</v>
          </cell>
          <cell r="L50" t="str">
            <v>ChgOrderInfo</v>
          </cell>
          <cell r="M50" t="str">
            <v>PRIC</v>
          </cell>
          <cell r="N50" t="str">
            <v/>
          </cell>
        </row>
        <row r="51">
          <cell r="K51" t="str">
            <v>CRS610MI</v>
          </cell>
          <cell r="L51" t="str">
            <v>ChgOrderInfo</v>
          </cell>
          <cell r="M51" t="str">
            <v>SDST</v>
          </cell>
          <cell r="N51" t="str">
            <v/>
          </cell>
        </row>
        <row r="52">
          <cell r="K52" t="str">
            <v>CRS610MI</v>
          </cell>
          <cell r="L52" t="str">
            <v>Add</v>
          </cell>
          <cell r="M52" t="str">
            <v>CSCD</v>
          </cell>
          <cell r="N52" t="str">
            <v/>
          </cell>
        </row>
        <row r="53">
          <cell r="K53" t="str">
            <v/>
          </cell>
          <cell r="L53" t="str">
            <v/>
          </cell>
          <cell r="M53" t="str">
            <v>AGNT</v>
          </cell>
          <cell r="N53" t="str">
            <v/>
          </cell>
        </row>
        <row r="54">
          <cell r="K54" t="str">
            <v/>
          </cell>
          <cell r="L54" t="str">
            <v/>
          </cell>
          <cell r="M54" t="str">
            <v>AGN2</v>
          </cell>
          <cell r="N54" t="str">
            <v/>
          </cell>
        </row>
        <row r="55">
          <cell r="K55" t="str">
            <v/>
          </cell>
          <cell r="L55" t="str">
            <v/>
          </cell>
          <cell r="M55" t="str">
            <v>AGN3</v>
          </cell>
          <cell r="N55" t="str">
            <v/>
          </cell>
        </row>
        <row r="56">
          <cell r="K56" t="str">
            <v/>
          </cell>
          <cell r="L56" t="str">
            <v/>
          </cell>
          <cell r="M56" t="str">
            <v>AGN4</v>
          </cell>
          <cell r="N56" t="str">
            <v/>
          </cell>
        </row>
        <row r="57">
          <cell r="K57" t="str">
            <v/>
          </cell>
          <cell r="L57" t="str">
            <v/>
          </cell>
          <cell r="M57" t="str">
            <v>AGN5</v>
          </cell>
          <cell r="N57" t="str">
            <v/>
          </cell>
        </row>
        <row r="58">
          <cell r="K58" t="str">
            <v/>
          </cell>
          <cell r="L58" t="str">
            <v/>
          </cell>
          <cell r="M58" t="str">
            <v>AGN6</v>
          </cell>
          <cell r="N58" t="str">
            <v/>
          </cell>
        </row>
        <row r="59">
          <cell r="K59" t="str">
            <v/>
          </cell>
          <cell r="L59" t="str">
            <v/>
          </cell>
          <cell r="M59" t="str">
            <v>AGN7</v>
          </cell>
          <cell r="N59" t="str">
            <v/>
          </cell>
        </row>
        <row r="60">
          <cell r="K60" t="str">
            <v/>
          </cell>
          <cell r="L60" t="str">
            <v/>
          </cell>
          <cell r="M60" t="str">
            <v>INSU</v>
          </cell>
          <cell r="N60" t="str">
            <v/>
          </cell>
        </row>
        <row r="61">
          <cell r="K61" t="str">
            <v>CRS610MI</v>
          </cell>
          <cell r="L61" t="str">
            <v>ChgOrderInfo</v>
          </cell>
          <cell r="M61" t="str">
            <v>PYNO</v>
          </cell>
          <cell r="N61" t="str">
            <v/>
          </cell>
        </row>
        <row r="62">
          <cell r="K62" t="str">
            <v>CRS610MI</v>
          </cell>
          <cell r="L62" t="str">
            <v>ChgOrderInfo</v>
          </cell>
          <cell r="M62" t="str">
            <v>CUST</v>
          </cell>
          <cell r="N62" t="str">
            <v/>
          </cell>
        </row>
        <row r="63">
          <cell r="K63" t="str">
            <v>CRS610MI</v>
          </cell>
          <cell r="L63" t="str">
            <v>ChgOrderInfo</v>
          </cell>
          <cell r="M63" t="str">
            <v>TEPA</v>
          </cell>
          <cell r="N63" t="str">
            <v/>
          </cell>
        </row>
        <row r="64">
          <cell r="K64" t="str">
            <v>CRS610MI</v>
          </cell>
          <cell r="L64" t="str">
            <v>Add</v>
          </cell>
          <cell r="M64" t="str">
            <v>LNCD</v>
          </cell>
          <cell r="N64" t="str">
            <v/>
          </cell>
        </row>
        <row r="65">
          <cell r="K65" t="str">
            <v>CRS610MI</v>
          </cell>
          <cell r="L65" t="str">
            <v>ChgFinancial</v>
          </cell>
          <cell r="M65" t="str">
            <v>CRLM</v>
          </cell>
          <cell r="N65" t="str">
            <v/>
          </cell>
        </row>
        <row r="66">
          <cell r="K66" t="str">
            <v>CRS610MI</v>
          </cell>
          <cell r="L66" t="str">
            <v>ChgFinancial</v>
          </cell>
          <cell r="M66" t="str">
            <v>CRL2</v>
          </cell>
          <cell r="N66" t="str">
            <v/>
          </cell>
        </row>
        <row r="67">
          <cell r="K67" t="str">
            <v>CRS610MI</v>
          </cell>
          <cell r="L67" t="str">
            <v>ChgFinancial</v>
          </cell>
          <cell r="M67" t="str">
            <v>CRL3</v>
          </cell>
          <cell r="N67" t="str">
            <v/>
          </cell>
        </row>
        <row r="68">
          <cell r="K68" t="str">
            <v>CRS610MI</v>
          </cell>
          <cell r="L68" t="str">
            <v>ChgFinancial</v>
          </cell>
          <cell r="M68" t="str">
            <v>BLCD</v>
          </cell>
          <cell r="N68" t="str">
            <v/>
          </cell>
        </row>
        <row r="69">
          <cell r="K69" t="str">
            <v>CRS610MI</v>
          </cell>
          <cell r="L69" t="str">
            <v>ChgOrderInfo</v>
          </cell>
          <cell r="M69" t="str">
            <v>PRIO</v>
          </cell>
          <cell r="N69" t="str">
            <v/>
          </cell>
        </row>
        <row r="70">
          <cell r="K70" t="str">
            <v/>
          </cell>
          <cell r="L70" t="str">
            <v/>
          </cell>
          <cell r="M70" t="str">
            <v>TBLG</v>
          </cell>
          <cell r="N70" t="str">
            <v/>
          </cell>
        </row>
        <row r="71">
          <cell r="K71" t="str">
            <v/>
          </cell>
          <cell r="L71" t="str">
            <v/>
          </cell>
          <cell r="M71" t="str">
            <v>TOIN</v>
          </cell>
          <cell r="N71" t="str">
            <v/>
          </cell>
        </row>
        <row r="72">
          <cell r="K72" t="str">
            <v>CRS610MI</v>
          </cell>
          <cell r="L72" t="str">
            <v>ChgFinancial</v>
          </cell>
          <cell r="M72" t="str">
            <v>TDIN</v>
          </cell>
          <cell r="N72" t="str">
            <v/>
          </cell>
        </row>
        <row r="73">
          <cell r="K73" t="str">
            <v/>
          </cell>
          <cell r="L73" t="str">
            <v/>
          </cell>
          <cell r="M73" t="str">
            <v>LIDT</v>
          </cell>
          <cell r="N73" t="str">
            <v/>
          </cell>
        </row>
        <row r="74">
          <cell r="K74" t="str">
            <v>CRS610MI</v>
          </cell>
          <cell r="L74" t="str">
            <v>ChgOrderInfo</v>
          </cell>
          <cell r="M74" t="str">
            <v>ININ</v>
          </cell>
          <cell r="N74" t="str">
            <v/>
          </cell>
        </row>
        <row r="75">
          <cell r="K75" t="str">
            <v>CRS610MI</v>
          </cell>
          <cell r="L75" t="str">
            <v>ChgOrderInfo</v>
          </cell>
          <cell r="M75" t="str">
            <v>ACRF</v>
          </cell>
          <cell r="N75" t="str">
            <v/>
          </cell>
        </row>
        <row r="76">
          <cell r="K76" t="str">
            <v>CRS610MI</v>
          </cell>
          <cell r="L76" t="str">
            <v>ChgOrderInfo</v>
          </cell>
          <cell r="M76" t="str">
            <v>AICD</v>
          </cell>
          <cell r="N76" t="str">
            <v/>
          </cell>
        </row>
        <row r="77">
          <cell r="K77" t="str">
            <v/>
          </cell>
          <cell r="L77" t="str">
            <v/>
          </cell>
          <cell r="M77" t="str">
            <v>BOCD</v>
          </cell>
          <cell r="N77" t="str">
            <v/>
          </cell>
        </row>
        <row r="78">
          <cell r="K78" t="str">
            <v>CRS610MI</v>
          </cell>
          <cell r="L78" t="str">
            <v>ChgOrderInfo</v>
          </cell>
          <cell r="M78" t="str">
            <v>FRE1</v>
          </cell>
          <cell r="N78" t="str">
            <v/>
          </cell>
        </row>
        <row r="79">
          <cell r="K79" t="str">
            <v>CRS610MI</v>
          </cell>
          <cell r="L79" t="str">
            <v>ChgOrderInfo</v>
          </cell>
          <cell r="M79" t="str">
            <v>FRE2</v>
          </cell>
          <cell r="N79" t="str">
            <v/>
          </cell>
        </row>
        <row r="80">
          <cell r="K80" t="str">
            <v>CRS610MI</v>
          </cell>
          <cell r="L80" t="str">
            <v>ChgOrderInfo</v>
          </cell>
          <cell r="M80" t="str">
            <v>BGRP</v>
          </cell>
          <cell r="N80" t="str">
            <v/>
          </cell>
        </row>
        <row r="81">
          <cell r="K81" t="str">
            <v>CRS610MI</v>
          </cell>
          <cell r="L81" t="str">
            <v>ChgOrderInfo</v>
          </cell>
          <cell r="M81" t="str">
            <v>DOGR</v>
          </cell>
          <cell r="N81" t="str">
            <v/>
          </cell>
        </row>
        <row r="82">
          <cell r="K82" t="str">
            <v>CRS610MI</v>
          </cell>
          <cell r="L82" t="str">
            <v>ChgFinancial</v>
          </cell>
          <cell r="M82" t="str">
            <v>BLII</v>
          </cell>
          <cell r="N82" t="str">
            <v/>
          </cell>
        </row>
        <row r="83">
          <cell r="K83" t="str">
            <v>CRS610MI</v>
          </cell>
          <cell r="L83" t="str">
            <v>ChgFinancial</v>
          </cell>
          <cell r="M83" t="str">
            <v>IICT</v>
          </cell>
          <cell r="N83" t="str">
            <v/>
          </cell>
        </row>
        <row r="84">
          <cell r="K84" t="str">
            <v>CRS610MI</v>
          </cell>
          <cell r="L84" t="str">
            <v>ChgFinancial</v>
          </cell>
          <cell r="M84" t="str">
            <v>CLCD</v>
          </cell>
          <cell r="N84" t="str">
            <v/>
          </cell>
        </row>
        <row r="85">
          <cell r="K85" t="str">
            <v>CRS610MI</v>
          </cell>
          <cell r="L85" t="str">
            <v>ChgFinancial</v>
          </cell>
          <cell r="M85" t="str">
            <v>BLPR</v>
          </cell>
          <cell r="N85" t="str">
            <v/>
          </cell>
        </row>
        <row r="86">
          <cell r="K86" t="str">
            <v>CRS610MI</v>
          </cell>
          <cell r="L86" t="str">
            <v>ChgFinancial</v>
          </cell>
          <cell r="M86" t="str">
            <v>RMCT</v>
          </cell>
          <cell r="N86" t="str">
            <v/>
          </cell>
        </row>
        <row r="87">
          <cell r="K87" t="str">
            <v>CRS610MI</v>
          </cell>
          <cell r="L87" t="str">
            <v>ChgFinancial</v>
          </cell>
          <cell r="M87" t="str">
            <v>BLAC</v>
          </cell>
          <cell r="N87" t="str">
            <v/>
          </cell>
        </row>
        <row r="88">
          <cell r="K88" t="str">
            <v>CRS610MI</v>
          </cell>
          <cell r="L88" t="str">
            <v>ChgFinancial</v>
          </cell>
          <cell r="M88" t="str">
            <v>ADCA</v>
          </cell>
          <cell r="N88" t="str">
            <v/>
          </cell>
        </row>
        <row r="89">
          <cell r="K89" t="str">
            <v>CRS610MI</v>
          </cell>
          <cell r="L89" t="str">
            <v>ChgFinancial</v>
          </cell>
          <cell r="M89" t="str">
            <v>PYDI</v>
          </cell>
          <cell r="N89" t="str">
            <v/>
          </cell>
        </row>
        <row r="90">
          <cell r="K90" t="str">
            <v>CRS610MI</v>
          </cell>
          <cell r="L90" t="str">
            <v>Add</v>
          </cell>
          <cell r="M90" t="str">
            <v>PONO</v>
          </cell>
          <cell r="N90" t="str">
            <v/>
          </cell>
        </row>
        <row r="91">
          <cell r="K91" t="str">
            <v/>
          </cell>
          <cell r="L91" t="str">
            <v/>
          </cell>
          <cell r="M91" t="str">
            <v>AUGI</v>
          </cell>
          <cell r="N91" t="str">
            <v/>
          </cell>
        </row>
        <row r="92">
          <cell r="K92" t="str">
            <v/>
          </cell>
          <cell r="L92" t="str">
            <v/>
          </cell>
          <cell r="M92" t="str">
            <v>AGPA</v>
          </cell>
          <cell r="N92" t="str">
            <v/>
          </cell>
        </row>
        <row r="93">
          <cell r="K93" t="str">
            <v>CRS610MI</v>
          </cell>
          <cell r="L93" t="str">
            <v>ChgFinancial</v>
          </cell>
          <cell r="M93" t="str">
            <v>CCUS</v>
          </cell>
          <cell r="N93" t="str">
            <v/>
          </cell>
        </row>
        <row r="94">
          <cell r="K94" t="str">
            <v/>
          </cell>
          <cell r="L94" t="str">
            <v/>
          </cell>
          <cell r="M94" t="str">
            <v>WAYB</v>
          </cell>
          <cell r="N94" t="str">
            <v/>
          </cell>
        </row>
        <row r="95">
          <cell r="K95" t="str">
            <v/>
          </cell>
          <cell r="L95" t="str">
            <v/>
          </cell>
          <cell r="M95" t="str">
            <v>ADTG</v>
          </cell>
          <cell r="N95" t="str">
            <v/>
          </cell>
        </row>
        <row r="96">
          <cell r="K96" t="str">
            <v/>
          </cell>
          <cell r="L96" t="str">
            <v/>
          </cell>
          <cell r="M96" t="str">
            <v>ODTG</v>
          </cell>
          <cell r="N96" t="str">
            <v/>
          </cell>
        </row>
        <row r="97">
          <cell r="K97" t="str">
            <v>CRS610MI</v>
          </cell>
          <cell r="L97" t="str">
            <v>Add</v>
          </cell>
          <cell r="M97" t="str">
            <v>MAIL</v>
          </cell>
          <cell r="N97" t="str">
            <v/>
          </cell>
        </row>
        <row r="98">
          <cell r="K98" t="str">
            <v/>
          </cell>
          <cell r="L98" t="str">
            <v/>
          </cell>
          <cell r="M98" t="str">
            <v>ENHD</v>
          </cell>
          <cell r="N98" t="str">
            <v/>
          </cell>
        </row>
        <row r="99">
          <cell r="K99" t="str">
            <v/>
          </cell>
          <cell r="L99" t="str">
            <v/>
          </cell>
          <cell r="M99" t="str">
            <v>EURI</v>
          </cell>
          <cell r="N99" t="str">
            <v/>
          </cell>
        </row>
        <row r="100">
          <cell r="K100" t="str">
            <v/>
          </cell>
          <cell r="L100" t="str">
            <v/>
          </cell>
          <cell r="M100" t="str">
            <v>EDIP</v>
          </cell>
          <cell r="N100" t="str">
            <v/>
          </cell>
        </row>
        <row r="101">
          <cell r="K101" t="str">
            <v>CRS610MI</v>
          </cell>
          <cell r="L101" t="str">
            <v>Add</v>
          </cell>
          <cell r="M101" t="str">
            <v>CFC1</v>
          </cell>
          <cell r="N101" t="str">
            <v/>
          </cell>
        </row>
        <row r="102">
          <cell r="K102" t="str">
            <v>CRS610MI</v>
          </cell>
          <cell r="L102" t="str">
            <v>Add</v>
          </cell>
          <cell r="M102" t="str">
            <v>CFC2</v>
          </cell>
          <cell r="N102" t="str">
            <v/>
          </cell>
        </row>
        <row r="103">
          <cell r="K103" t="str">
            <v>CRS610MI</v>
          </cell>
          <cell r="L103" t="str">
            <v>Add</v>
          </cell>
          <cell r="M103" t="str">
            <v>CFC3</v>
          </cell>
          <cell r="N103" t="str">
            <v/>
          </cell>
        </row>
        <row r="104">
          <cell r="K104" t="str">
            <v>CRS610MI</v>
          </cell>
          <cell r="L104" t="str">
            <v>Add</v>
          </cell>
          <cell r="M104" t="str">
            <v>CFC4</v>
          </cell>
          <cell r="N104" t="str">
            <v/>
          </cell>
        </row>
        <row r="105">
          <cell r="K105" t="str">
            <v>CRS610MI</v>
          </cell>
          <cell r="L105" t="str">
            <v>Add</v>
          </cell>
          <cell r="M105" t="str">
            <v>CFC5</v>
          </cell>
          <cell r="N105" t="str">
            <v/>
          </cell>
        </row>
        <row r="106">
          <cell r="K106" t="str">
            <v>CRS610MI</v>
          </cell>
          <cell r="L106" t="str">
            <v>Add</v>
          </cell>
          <cell r="M106" t="str">
            <v>CFC6</v>
          </cell>
          <cell r="N106" t="str">
            <v/>
          </cell>
        </row>
        <row r="107">
          <cell r="K107" t="str">
            <v>CRS610MI</v>
          </cell>
          <cell r="L107" t="str">
            <v>Add</v>
          </cell>
          <cell r="M107" t="str">
            <v>CFC7</v>
          </cell>
          <cell r="N107" t="str">
            <v/>
          </cell>
        </row>
        <row r="108">
          <cell r="K108" t="str">
            <v>CRS610MI</v>
          </cell>
          <cell r="L108" t="str">
            <v>Add</v>
          </cell>
          <cell r="M108" t="str">
            <v>CFC8</v>
          </cell>
          <cell r="N108" t="str">
            <v/>
          </cell>
        </row>
        <row r="109">
          <cell r="K109" t="str">
            <v>CRS610MI</v>
          </cell>
          <cell r="L109" t="str">
            <v>Add</v>
          </cell>
          <cell r="M109" t="str">
            <v>CFC9</v>
          </cell>
          <cell r="N109" t="str">
            <v/>
          </cell>
        </row>
        <row r="110">
          <cell r="K110" t="str">
            <v>CRS610MI</v>
          </cell>
          <cell r="L110" t="str">
            <v>Add</v>
          </cell>
          <cell r="M110" t="str">
            <v>CFC0</v>
          </cell>
          <cell r="N110" t="str">
            <v/>
          </cell>
        </row>
        <row r="111">
          <cell r="K111" t="str">
            <v>CRS610MI</v>
          </cell>
          <cell r="L111" t="str">
            <v>ChgBasicData</v>
          </cell>
          <cell r="M111" t="str">
            <v>LSID</v>
          </cell>
          <cell r="N111" t="str">
            <v/>
          </cell>
        </row>
        <row r="112">
          <cell r="K112" t="str">
            <v>CRS610MI</v>
          </cell>
          <cell r="L112" t="str">
            <v>ChgBasicData</v>
          </cell>
          <cell r="M112" t="str">
            <v>LSAD</v>
          </cell>
          <cell r="N112" t="str">
            <v/>
          </cell>
        </row>
        <row r="113">
          <cell r="K113" t="str">
            <v>CRS610MI</v>
          </cell>
          <cell r="L113" t="str">
            <v>ChgBasicData</v>
          </cell>
          <cell r="M113" t="str">
            <v>MEAL</v>
          </cell>
          <cell r="N113" t="str">
            <v/>
          </cell>
        </row>
        <row r="114">
          <cell r="K114" t="str">
            <v>CRS610MI</v>
          </cell>
          <cell r="L114" t="str">
            <v>ChgFinancial</v>
          </cell>
          <cell r="M114" t="str">
            <v>VRNO</v>
          </cell>
          <cell r="N114" t="str">
            <v/>
          </cell>
        </row>
        <row r="115">
          <cell r="K115" t="str">
            <v>CRS610MI</v>
          </cell>
          <cell r="L115" t="str">
            <v>ChgOrderInfo</v>
          </cell>
          <cell r="M115" t="str">
            <v>AGCH</v>
          </cell>
          <cell r="N115" t="str">
            <v/>
          </cell>
        </row>
        <row r="116">
          <cell r="K116" t="str">
            <v>CRS610MI</v>
          </cell>
          <cell r="L116" t="str">
            <v>ChgOrderInfo</v>
          </cell>
          <cell r="M116" t="str">
            <v>AGCT</v>
          </cell>
          <cell r="N116" t="str">
            <v/>
          </cell>
        </row>
        <row r="117">
          <cell r="K117" t="str">
            <v>CRS610MI</v>
          </cell>
          <cell r="L117" t="str">
            <v>ChgFinancial</v>
          </cell>
          <cell r="M117" t="str">
            <v>DUCD</v>
          </cell>
          <cell r="N117" t="str">
            <v/>
          </cell>
        </row>
        <row r="118">
          <cell r="K118" t="str">
            <v/>
          </cell>
          <cell r="L118" t="str">
            <v/>
          </cell>
          <cell r="M118" t="str">
            <v>USR1</v>
          </cell>
          <cell r="N118" t="str">
            <v/>
          </cell>
        </row>
        <row r="119">
          <cell r="K119" t="str">
            <v/>
          </cell>
          <cell r="L119" t="str">
            <v/>
          </cell>
          <cell r="M119" t="str">
            <v>USR2</v>
          </cell>
          <cell r="N119" t="str">
            <v/>
          </cell>
        </row>
        <row r="120">
          <cell r="K120" t="str">
            <v/>
          </cell>
          <cell r="L120" t="str">
            <v/>
          </cell>
          <cell r="M120" t="str">
            <v>USR3</v>
          </cell>
          <cell r="N120" t="str">
            <v/>
          </cell>
        </row>
        <row r="121">
          <cell r="K121" t="str">
            <v/>
          </cell>
          <cell r="L121" t="str">
            <v/>
          </cell>
          <cell r="M121" t="str">
            <v>DTE1</v>
          </cell>
          <cell r="N121" t="str">
            <v/>
          </cell>
        </row>
        <row r="122">
          <cell r="K122" t="str">
            <v/>
          </cell>
          <cell r="L122" t="str">
            <v/>
          </cell>
          <cell r="M122" t="str">
            <v>DTE2</v>
          </cell>
          <cell r="N122" t="str">
            <v/>
          </cell>
        </row>
        <row r="123">
          <cell r="K123" t="str">
            <v/>
          </cell>
          <cell r="L123" t="str">
            <v/>
          </cell>
          <cell r="M123" t="str">
            <v>DTE3</v>
          </cell>
          <cell r="N123" t="str">
            <v/>
          </cell>
        </row>
        <row r="124">
          <cell r="K124" t="str">
            <v>CRS610MI</v>
          </cell>
          <cell r="L124" t="str">
            <v>ChgFinancial</v>
          </cell>
          <cell r="M124" t="str">
            <v>CDRC</v>
          </cell>
          <cell r="N124" t="str">
            <v/>
          </cell>
        </row>
        <row r="125">
          <cell r="K125" t="str">
            <v>CRS610MI</v>
          </cell>
          <cell r="L125" t="str">
            <v>ChgFinancial</v>
          </cell>
          <cell r="M125" t="str">
            <v>INCO</v>
          </cell>
          <cell r="N125" t="str">
            <v/>
          </cell>
        </row>
        <row r="126">
          <cell r="K126" t="str">
            <v>CRS610MI</v>
          </cell>
          <cell r="L126" t="str">
            <v>ChgFinancial</v>
          </cell>
          <cell r="M126" t="str">
            <v>INSN</v>
          </cell>
          <cell r="N126" t="str">
            <v/>
          </cell>
        </row>
        <row r="127">
          <cell r="K127" t="str">
            <v>CRS610MI</v>
          </cell>
          <cell r="L127" t="str">
            <v>ChgFinancial</v>
          </cell>
          <cell r="M127" t="str">
            <v>CUIC</v>
          </cell>
          <cell r="N127" t="str">
            <v/>
          </cell>
        </row>
        <row r="128">
          <cell r="K128" t="str">
            <v>CRS610MI</v>
          </cell>
          <cell r="L128" t="str">
            <v>ChgFinancial</v>
          </cell>
          <cell r="M128" t="str">
            <v>INSS</v>
          </cell>
          <cell r="N128" t="str">
            <v/>
          </cell>
        </row>
        <row r="129">
          <cell r="K129" t="str">
            <v>CRS610MI</v>
          </cell>
          <cell r="L129" t="str">
            <v>ChgFinancial</v>
          </cell>
          <cell r="M129" t="str">
            <v>NALI</v>
          </cell>
          <cell r="N129" t="str">
            <v/>
          </cell>
        </row>
        <row r="130">
          <cell r="K130" t="str">
            <v/>
          </cell>
          <cell r="L130" t="str">
            <v/>
          </cell>
          <cell r="M130" t="str">
            <v>DTL1</v>
          </cell>
          <cell r="N130" t="str">
            <v/>
          </cell>
        </row>
        <row r="131">
          <cell r="K131" t="str">
            <v/>
          </cell>
          <cell r="L131" t="str">
            <v/>
          </cell>
          <cell r="M131" t="str">
            <v>USL1</v>
          </cell>
          <cell r="N131" t="str">
            <v/>
          </cell>
        </row>
        <row r="132">
          <cell r="K132" t="str">
            <v>CRS610MI</v>
          </cell>
          <cell r="L132" t="str">
            <v>ChgFinancial</v>
          </cell>
          <cell r="M132" t="str">
            <v>INLI</v>
          </cell>
          <cell r="N132" t="str">
            <v/>
          </cell>
        </row>
        <row r="133">
          <cell r="K133" t="str">
            <v/>
          </cell>
          <cell r="L133" t="str">
            <v/>
          </cell>
          <cell r="M133" t="str">
            <v>DTL2</v>
          </cell>
          <cell r="N133" t="str">
            <v/>
          </cell>
        </row>
        <row r="134">
          <cell r="K134" t="str">
            <v/>
          </cell>
          <cell r="L134" t="str">
            <v/>
          </cell>
          <cell r="M134" t="str">
            <v>USL2</v>
          </cell>
          <cell r="N134" t="str">
            <v/>
          </cell>
        </row>
        <row r="135">
          <cell r="K135" t="str">
            <v/>
          </cell>
          <cell r="L135" t="str">
            <v/>
          </cell>
          <cell r="M135" t="str">
            <v>VRCD</v>
          </cell>
          <cell r="N135" t="str">
            <v/>
          </cell>
        </row>
        <row r="136">
          <cell r="K136" t="str">
            <v>CRS610MI</v>
          </cell>
          <cell r="L136" t="str">
            <v>Add</v>
          </cell>
          <cell r="M136" t="str">
            <v>EDES</v>
          </cell>
          <cell r="N136" t="str">
            <v/>
          </cell>
        </row>
        <row r="137">
          <cell r="K137" t="str">
            <v/>
          </cell>
          <cell r="L137" t="str">
            <v/>
          </cell>
          <cell r="M137" t="str">
            <v>ROUT</v>
          </cell>
          <cell r="N137" t="str">
            <v/>
          </cell>
        </row>
        <row r="138">
          <cell r="K138" t="str">
            <v/>
          </cell>
          <cell r="L138" t="str">
            <v/>
          </cell>
          <cell r="M138" t="str">
            <v>RODN</v>
          </cell>
          <cell r="N138" t="str">
            <v/>
          </cell>
        </row>
        <row r="139">
          <cell r="K139" t="str">
            <v>CRS610MI</v>
          </cell>
          <cell r="L139" t="str">
            <v>ChgOrderInfo</v>
          </cell>
          <cell r="M139" t="str">
            <v>ULZO</v>
          </cell>
          <cell r="N139" t="str">
            <v/>
          </cell>
        </row>
        <row r="140">
          <cell r="K140" t="str">
            <v>CRS610MI</v>
          </cell>
          <cell r="L140" t="str">
            <v>ChgOrderInfo</v>
          </cell>
          <cell r="M140" t="str">
            <v>ECLC</v>
          </cell>
          <cell r="N140" t="str">
            <v/>
          </cell>
        </row>
        <row r="141">
          <cell r="K141" t="str">
            <v/>
          </cell>
          <cell r="L141" t="str">
            <v/>
          </cell>
          <cell r="M141" t="str">
            <v>ECF1</v>
          </cell>
          <cell r="N141" t="str">
            <v/>
          </cell>
        </row>
        <row r="142">
          <cell r="K142" t="str">
            <v/>
          </cell>
          <cell r="L142" t="str">
            <v/>
          </cell>
          <cell r="M142" t="str">
            <v>ECF2</v>
          </cell>
          <cell r="N142" t="str">
            <v/>
          </cell>
        </row>
        <row r="143">
          <cell r="K143" t="str">
            <v/>
          </cell>
          <cell r="L143" t="str">
            <v/>
          </cell>
          <cell r="M143" t="str">
            <v>ECF3</v>
          </cell>
          <cell r="N143" t="str">
            <v/>
          </cell>
        </row>
        <row r="144">
          <cell r="K144" t="str">
            <v/>
          </cell>
          <cell r="L144" t="str">
            <v/>
          </cell>
          <cell r="M144" t="str">
            <v>ECF4</v>
          </cell>
          <cell r="N144" t="str">
            <v/>
          </cell>
        </row>
        <row r="145">
          <cell r="K145" t="str">
            <v/>
          </cell>
          <cell r="L145" t="str">
            <v/>
          </cell>
          <cell r="M145" t="str">
            <v>ECF5</v>
          </cell>
          <cell r="N145" t="str">
            <v/>
          </cell>
        </row>
        <row r="146">
          <cell r="K146" t="str">
            <v>CRS610MI</v>
          </cell>
          <cell r="L146" t="str">
            <v>ChgFinancial</v>
          </cell>
          <cell r="M146" t="str">
            <v>PYCD</v>
          </cell>
          <cell r="N146" t="str">
            <v/>
          </cell>
        </row>
        <row r="147">
          <cell r="K147" t="str">
            <v>CRS610MI</v>
          </cell>
          <cell r="L147" t="str">
            <v>ChgOrderInfo</v>
          </cell>
          <cell r="M147" t="str">
            <v>GRPY</v>
          </cell>
          <cell r="N147" t="str">
            <v/>
          </cell>
        </row>
        <row r="148">
          <cell r="K148" t="str">
            <v/>
          </cell>
          <cell r="L148" t="str">
            <v/>
          </cell>
          <cell r="M148" t="str">
            <v>TXID</v>
          </cell>
          <cell r="N148" t="str">
            <v/>
          </cell>
        </row>
        <row r="149">
          <cell r="K149" t="str">
            <v>CRS610MI</v>
          </cell>
          <cell r="L149" t="str">
            <v>ChgFinancial</v>
          </cell>
          <cell r="M149" t="str">
            <v>SERC</v>
          </cell>
          <cell r="N149" t="str">
            <v/>
          </cell>
        </row>
        <row r="150">
          <cell r="K150" t="str">
            <v>CRS610MI</v>
          </cell>
          <cell r="L150" t="str">
            <v>ChgServOrdInfo</v>
          </cell>
          <cell r="M150" t="str">
            <v>SRES</v>
          </cell>
          <cell r="N150" t="str">
            <v/>
          </cell>
        </row>
        <row r="151">
          <cell r="K151" t="str">
            <v>CRS610MI</v>
          </cell>
          <cell r="L151" t="str">
            <v>ChgServOrdInfo</v>
          </cell>
          <cell r="M151" t="str">
            <v>TECH</v>
          </cell>
          <cell r="N151" t="str">
            <v/>
          </cell>
        </row>
        <row r="152">
          <cell r="K152" t="str">
            <v/>
          </cell>
          <cell r="L152" t="str">
            <v/>
          </cell>
          <cell r="M152" t="str">
            <v>TRTI</v>
          </cell>
          <cell r="N152" t="str">
            <v/>
          </cell>
        </row>
        <row r="153">
          <cell r="K153" t="str">
            <v/>
          </cell>
          <cell r="L153" t="str">
            <v/>
          </cell>
          <cell r="M153" t="str">
            <v>LZON</v>
          </cell>
          <cell r="N153" t="str">
            <v/>
          </cell>
        </row>
        <row r="154">
          <cell r="K154" t="str">
            <v/>
          </cell>
          <cell r="L154" t="str">
            <v/>
          </cell>
          <cell r="M154" t="str">
            <v>DIST</v>
          </cell>
          <cell r="N154" t="str">
            <v/>
          </cell>
        </row>
        <row r="155">
          <cell r="K155" t="str">
            <v/>
          </cell>
          <cell r="L155" t="str">
            <v/>
          </cell>
          <cell r="M155" t="str">
            <v>TVCD</v>
          </cell>
          <cell r="N155" t="str">
            <v/>
          </cell>
        </row>
        <row r="156">
          <cell r="K156" t="str">
            <v>CRS610MI</v>
          </cell>
          <cell r="L156" t="str">
            <v>ChgServOrdInfo</v>
          </cell>
          <cell r="M156" t="str">
            <v>SOTP</v>
          </cell>
          <cell r="N156" t="str">
            <v/>
          </cell>
        </row>
        <row r="157">
          <cell r="K157" t="str">
            <v/>
          </cell>
          <cell r="L157" t="str">
            <v/>
          </cell>
          <cell r="M157" t="str">
            <v>MTIC</v>
          </cell>
          <cell r="N157" t="str">
            <v/>
          </cell>
        </row>
        <row r="158">
          <cell r="K158" t="str">
            <v>CRS610MI</v>
          </cell>
          <cell r="L158" t="str">
            <v>Add</v>
          </cell>
          <cell r="M158" t="str">
            <v>PWMT</v>
          </cell>
          <cell r="N158" t="str">
            <v/>
          </cell>
        </row>
        <row r="159">
          <cell r="K159" t="str">
            <v/>
          </cell>
          <cell r="L159" t="str">
            <v/>
          </cell>
          <cell r="M159" t="str">
            <v>BPCD</v>
          </cell>
          <cell r="N159" t="str">
            <v/>
          </cell>
        </row>
        <row r="160">
          <cell r="K160" t="str">
            <v/>
          </cell>
          <cell r="L160" t="str">
            <v/>
          </cell>
          <cell r="M160" t="str">
            <v>BPEX</v>
          </cell>
          <cell r="N160" t="str">
            <v/>
          </cell>
        </row>
        <row r="161">
          <cell r="K161" t="str">
            <v>CRS610MI</v>
          </cell>
          <cell r="L161" t="str">
            <v>ChgOrderInfo</v>
          </cell>
          <cell r="M161" t="str">
            <v>ACHK</v>
          </cell>
          <cell r="N161" t="str">
            <v/>
          </cell>
        </row>
        <row r="162">
          <cell r="K162" t="str">
            <v>CRS610MI</v>
          </cell>
          <cell r="L162" t="str">
            <v>ChgOrderInfo</v>
          </cell>
          <cell r="M162" t="str">
            <v>TINC</v>
          </cell>
          <cell r="N162" t="str">
            <v/>
          </cell>
        </row>
        <row r="163">
          <cell r="K163" t="str">
            <v>CRS610MI</v>
          </cell>
          <cell r="L163" t="str">
            <v>ChgOrderInfo</v>
          </cell>
          <cell r="M163" t="str">
            <v>BUSE</v>
          </cell>
          <cell r="N163" t="str">
            <v/>
          </cell>
        </row>
        <row r="164">
          <cell r="K164" t="str">
            <v/>
          </cell>
          <cell r="L164" t="str">
            <v/>
          </cell>
          <cell r="M164" t="str">
            <v>TCEX</v>
          </cell>
          <cell r="N164" t="str">
            <v/>
          </cell>
        </row>
        <row r="165">
          <cell r="K165" t="str">
            <v>CRS610MI</v>
          </cell>
          <cell r="L165" t="str">
            <v>ChgBasicData</v>
          </cell>
          <cell r="M165" t="str">
            <v>PYOP</v>
          </cell>
          <cell r="N165" t="str">
            <v/>
          </cell>
        </row>
        <row r="166">
          <cell r="K166" t="str">
            <v>CRS610MI</v>
          </cell>
          <cell r="L166" t="str">
            <v>ChgOrderInfo</v>
          </cell>
          <cell r="M166" t="str">
            <v>ALWT</v>
          </cell>
          <cell r="N166" t="str">
            <v/>
          </cell>
        </row>
        <row r="167">
          <cell r="K167" t="str">
            <v>CRS610MI</v>
          </cell>
          <cell r="L167" t="str">
            <v>ChgOrderInfo</v>
          </cell>
          <cell r="M167" t="str">
            <v>POPN</v>
          </cell>
          <cell r="N167" t="str">
            <v/>
          </cell>
        </row>
        <row r="168">
          <cell r="K168" t="str">
            <v/>
          </cell>
          <cell r="L168" t="str">
            <v/>
          </cell>
          <cell r="M168" t="str">
            <v>SOOP</v>
          </cell>
          <cell r="N168" t="str">
            <v/>
          </cell>
        </row>
        <row r="169">
          <cell r="K169" t="str">
            <v>CRS610MI</v>
          </cell>
          <cell r="L169" t="str">
            <v>ChgServOrdInfo</v>
          </cell>
          <cell r="M169" t="str">
            <v>PRS1</v>
          </cell>
          <cell r="N169" t="str">
            <v/>
          </cell>
        </row>
        <row r="170">
          <cell r="K170" t="str">
            <v>CRS610MI</v>
          </cell>
          <cell r="L170" t="str">
            <v>ChgServOrdInfo</v>
          </cell>
          <cell r="M170" t="str">
            <v>PRS2</v>
          </cell>
          <cell r="N170" t="str">
            <v/>
          </cell>
        </row>
        <row r="171">
          <cell r="K171" t="str">
            <v>CRS610MI</v>
          </cell>
          <cell r="L171" t="str">
            <v>ChgServOrdInfo</v>
          </cell>
          <cell r="M171" t="str">
            <v>PRS3</v>
          </cell>
          <cell r="N171" t="str">
            <v/>
          </cell>
        </row>
        <row r="172">
          <cell r="K172" t="str">
            <v>CRS610MI</v>
          </cell>
          <cell r="L172" t="str">
            <v>ChgServOrdInfo</v>
          </cell>
          <cell r="M172" t="str">
            <v>PRS4</v>
          </cell>
          <cell r="N172" t="str">
            <v/>
          </cell>
        </row>
        <row r="173">
          <cell r="K173" t="str">
            <v>CRS610MI</v>
          </cell>
          <cell r="L173" t="str">
            <v>ChgServOrdInfo</v>
          </cell>
          <cell r="M173" t="str">
            <v>PRS5</v>
          </cell>
          <cell r="N173" t="str">
            <v/>
          </cell>
        </row>
        <row r="174">
          <cell r="K174" t="str">
            <v>CRS610MI</v>
          </cell>
          <cell r="L174" t="str">
            <v>ChgServOrdInfo</v>
          </cell>
          <cell r="M174" t="str">
            <v>DMSO</v>
          </cell>
          <cell r="N174" t="str">
            <v/>
          </cell>
        </row>
        <row r="175">
          <cell r="K175" t="str">
            <v/>
          </cell>
          <cell r="L175" t="str">
            <v/>
          </cell>
          <cell r="M175" t="str">
            <v>LSOI</v>
          </cell>
          <cell r="N175" t="str">
            <v/>
          </cell>
        </row>
        <row r="176">
          <cell r="K176" t="str">
            <v>CRS610MI</v>
          </cell>
          <cell r="L176" t="str">
            <v>ChgFinancial</v>
          </cell>
          <cell r="M176" t="str">
            <v>ODUD</v>
          </cell>
          <cell r="N176" t="str">
            <v/>
          </cell>
        </row>
        <row r="177">
          <cell r="K177" t="str">
            <v/>
          </cell>
          <cell r="L177" t="str">
            <v/>
          </cell>
          <cell r="M177" t="str">
            <v>ODUE</v>
          </cell>
          <cell r="N177" t="str">
            <v/>
          </cell>
        </row>
        <row r="178">
          <cell r="K178" t="str">
            <v>CRS610MI</v>
          </cell>
          <cell r="L178" t="str">
            <v>Add</v>
          </cell>
          <cell r="M178" t="str">
            <v>EALO</v>
          </cell>
          <cell r="N178" t="str">
            <v/>
          </cell>
        </row>
        <row r="179">
          <cell r="K179" t="str">
            <v>CRS610MI</v>
          </cell>
          <cell r="L179" t="str">
            <v>Add</v>
          </cell>
          <cell r="M179" t="str">
            <v>ECAR</v>
          </cell>
          <cell r="N179" t="str">
            <v/>
          </cell>
        </row>
        <row r="180">
          <cell r="K180" t="str">
            <v>CRS610MI</v>
          </cell>
          <cell r="L180" t="str">
            <v>ChgBasicData</v>
          </cell>
          <cell r="M180" t="str">
            <v>GEOC</v>
          </cell>
          <cell r="N180" t="str">
            <v/>
          </cell>
        </row>
        <row r="181">
          <cell r="K181" t="str">
            <v>CRS610MI</v>
          </cell>
          <cell r="L181" t="str">
            <v>ChgFinancial</v>
          </cell>
          <cell r="M181" t="str">
            <v>TECN</v>
          </cell>
          <cell r="N181" t="str">
            <v/>
          </cell>
        </row>
        <row r="182">
          <cell r="K182" t="str">
            <v>CRS610MI</v>
          </cell>
          <cell r="L182" t="str">
            <v>ChgFinancial</v>
          </cell>
          <cell r="M182" t="str">
            <v>TEEC</v>
          </cell>
          <cell r="N182" t="str">
            <v/>
          </cell>
        </row>
        <row r="183">
          <cell r="K183" t="str">
            <v>CRS610MI</v>
          </cell>
          <cell r="L183" t="str">
            <v>ChgFinancial</v>
          </cell>
          <cell r="M183" t="str">
            <v>AGPY</v>
          </cell>
          <cell r="N183" t="str">
            <v/>
          </cell>
        </row>
        <row r="184">
          <cell r="K184" t="str">
            <v>CRS610MI</v>
          </cell>
          <cell r="L184" t="str">
            <v>ChgFinancial</v>
          </cell>
          <cell r="M184" t="str">
            <v>AGCP</v>
          </cell>
          <cell r="N184" t="str">
            <v/>
          </cell>
        </row>
        <row r="185">
          <cell r="K185" t="str">
            <v>CRS610MI</v>
          </cell>
          <cell r="L185" t="str">
            <v>ChgFinancial</v>
          </cell>
          <cell r="M185" t="str">
            <v>AGAC</v>
          </cell>
          <cell r="N185" t="str">
            <v/>
          </cell>
        </row>
        <row r="186">
          <cell r="K186" t="str">
            <v>CRS610MI</v>
          </cell>
          <cell r="L186" t="str">
            <v>ChgFinancial</v>
          </cell>
          <cell r="M186" t="str">
            <v>AGBP</v>
          </cell>
          <cell r="N186" t="str">
            <v/>
          </cell>
        </row>
        <row r="187">
          <cell r="K187" t="str">
            <v/>
          </cell>
          <cell r="L187" t="str">
            <v/>
          </cell>
          <cell r="M187" t="str">
            <v>ACLB</v>
          </cell>
          <cell r="N187" t="str">
            <v/>
          </cell>
        </row>
        <row r="188">
          <cell r="K188" t="str">
            <v>CRS610MI</v>
          </cell>
          <cell r="L188" t="str">
            <v>ChgFinancial</v>
          </cell>
          <cell r="M188" t="str">
            <v>AACB</v>
          </cell>
          <cell r="N188" t="str">
            <v/>
          </cell>
        </row>
        <row r="189">
          <cell r="K189" t="str">
            <v/>
          </cell>
          <cell r="L189" t="str">
            <v/>
          </cell>
          <cell r="M189" t="str">
            <v>AGPN</v>
          </cell>
          <cell r="N189" t="str">
            <v/>
          </cell>
        </row>
        <row r="190">
          <cell r="K190" t="str">
            <v>CRS610MI</v>
          </cell>
          <cell r="L190" t="str">
            <v>ChgFinancial</v>
          </cell>
          <cell r="M190" t="str">
            <v>AGBG</v>
          </cell>
          <cell r="N190" t="str">
            <v/>
          </cell>
        </row>
        <row r="191">
          <cell r="K191" t="str">
            <v>CRS610MI</v>
          </cell>
          <cell r="L191" t="str">
            <v>ChgFinancial</v>
          </cell>
          <cell r="M191" t="str">
            <v>AGPG</v>
          </cell>
          <cell r="N191" t="str">
            <v/>
          </cell>
        </row>
        <row r="192">
          <cell r="K192" t="str">
            <v/>
          </cell>
          <cell r="L192" t="str">
            <v/>
          </cell>
          <cell r="M192" t="str">
            <v>AGCA</v>
          </cell>
          <cell r="N192" t="str">
            <v/>
          </cell>
        </row>
        <row r="193">
          <cell r="K193" t="str">
            <v/>
          </cell>
          <cell r="L193" t="str">
            <v/>
          </cell>
          <cell r="M193" t="str">
            <v>AGTD</v>
          </cell>
          <cell r="N193" t="str">
            <v/>
          </cell>
        </row>
        <row r="194">
          <cell r="K194" t="str">
            <v/>
          </cell>
          <cell r="L194" t="str">
            <v/>
          </cell>
          <cell r="M194" t="str">
            <v>AGTN</v>
          </cell>
          <cell r="N194" t="str">
            <v/>
          </cell>
        </row>
        <row r="195">
          <cell r="K195" t="str">
            <v>CRS610MI</v>
          </cell>
          <cell r="L195" t="str">
            <v>ChgOrderInfo</v>
          </cell>
          <cell r="M195" t="str">
            <v>INRC</v>
          </cell>
          <cell r="N195" t="str">
            <v/>
          </cell>
        </row>
        <row r="196">
          <cell r="K196" t="str">
            <v>CRS610MI</v>
          </cell>
          <cell r="L196" t="str">
            <v>Add</v>
          </cell>
          <cell r="M196" t="str">
            <v>CESA</v>
          </cell>
          <cell r="N196" t="str">
            <v/>
          </cell>
        </row>
        <row r="197">
          <cell r="K197" t="str">
            <v>CRS610MI</v>
          </cell>
          <cell r="L197" t="str">
            <v>ChgOrderInfo</v>
          </cell>
          <cell r="M197" t="str">
            <v>CHSY</v>
          </cell>
          <cell r="N197" t="str">
            <v/>
          </cell>
        </row>
        <row r="198">
          <cell r="K198" t="str">
            <v>CRS610MI</v>
          </cell>
          <cell r="L198" t="str">
            <v>ChgFinancial</v>
          </cell>
          <cell r="M198" t="str">
            <v>TAXC</v>
          </cell>
          <cell r="N198" t="str">
            <v/>
          </cell>
        </row>
        <row r="199">
          <cell r="K199" t="str">
            <v>CRS610MI</v>
          </cell>
          <cell r="L199" t="str">
            <v>ChgBasicData</v>
          </cell>
          <cell r="M199" t="str">
            <v>HAFE</v>
          </cell>
          <cell r="N199" t="str">
            <v/>
          </cell>
        </row>
        <row r="200">
          <cell r="K200" t="str">
            <v>CRS610MI</v>
          </cell>
          <cell r="L200" t="str">
            <v>ChgOrderInfo</v>
          </cell>
          <cell r="M200" t="str">
            <v>OT89</v>
          </cell>
          <cell r="N200" t="str">
            <v/>
          </cell>
        </row>
        <row r="201">
          <cell r="K201" t="str">
            <v>CRS610MI</v>
          </cell>
          <cell r="L201" t="str">
            <v>ChgOrderInfo</v>
          </cell>
          <cell r="M201" t="str">
            <v>PRDL</v>
          </cell>
          <cell r="N201" t="str">
            <v/>
          </cell>
        </row>
        <row r="202">
          <cell r="K202" t="str">
            <v>CRS610MI</v>
          </cell>
          <cell r="L202" t="str">
            <v>ChgServOrdInfo</v>
          </cell>
          <cell r="M202" t="str">
            <v>MCON</v>
          </cell>
          <cell r="N202" t="str">
            <v/>
          </cell>
        </row>
        <row r="203">
          <cell r="K203" t="str">
            <v>CRS610MI</v>
          </cell>
          <cell r="L203" t="str">
            <v>ChgFinancial</v>
          </cell>
          <cell r="M203" t="str">
            <v>RAN1</v>
          </cell>
          <cell r="N203" t="str">
            <v/>
          </cell>
        </row>
        <row r="204">
          <cell r="K204" t="str">
            <v>CRS610MI</v>
          </cell>
          <cell r="L204" t="str">
            <v>ChgFinancial</v>
          </cell>
          <cell r="M204" t="str">
            <v>RAN2</v>
          </cell>
          <cell r="N204" t="str">
            <v/>
          </cell>
        </row>
        <row r="205">
          <cell r="K205" t="str">
            <v>CRS610MI</v>
          </cell>
          <cell r="L205" t="str">
            <v>ChgFinancial</v>
          </cell>
          <cell r="M205" t="str">
            <v>RAN3</v>
          </cell>
          <cell r="N205" t="str">
            <v/>
          </cell>
        </row>
        <row r="206">
          <cell r="K206" t="str">
            <v>CRS610MI</v>
          </cell>
          <cell r="L206" t="str">
            <v>ChgFinancial</v>
          </cell>
          <cell r="M206" t="str">
            <v>RAN4</v>
          </cell>
          <cell r="N206" t="str">
            <v/>
          </cell>
        </row>
        <row r="207">
          <cell r="K207" t="str">
            <v>CRS610MI</v>
          </cell>
          <cell r="L207" t="str">
            <v>ChgOrderInfo</v>
          </cell>
          <cell r="M207" t="str">
            <v>QUCK</v>
          </cell>
          <cell r="N207" t="str">
            <v/>
          </cell>
        </row>
        <row r="208">
          <cell r="K208" t="str">
            <v>CRS610MI</v>
          </cell>
          <cell r="L208" t="str">
            <v>Add</v>
          </cell>
          <cell r="M208" t="str">
            <v>IVGP</v>
          </cell>
          <cell r="N208" t="str">
            <v/>
          </cell>
        </row>
        <row r="209">
          <cell r="K209" t="str">
            <v/>
          </cell>
          <cell r="L209" t="str">
            <v/>
          </cell>
          <cell r="M209" t="str">
            <v>ACEI</v>
          </cell>
          <cell r="N209" t="str">
            <v/>
          </cell>
        </row>
        <row r="210">
          <cell r="K210" t="str">
            <v>CRS610MI</v>
          </cell>
          <cell r="L210" t="str">
            <v>ChgOrderInfo</v>
          </cell>
          <cell r="M210" t="str">
            <v>VDLA</v>
          </cell>
          <cell r="N210" t="str">
            <v/>
          </cell>
        </row>
        <row r="211">
          <cell r="K211" t="str">
            <v>CRS610MI</v>
          </cell>
          <cell r="L211" t="str">
            <v>ChgOrderInfo</v>
          </cell>
          <cell r="M211" t="str">
            <v>FACI</v>
          </cell>
          <cell r="N211" t="str">
            <v/>
          </cell>
        </row>
        <row r="212">
          <cell r="K212" t="str">
            <v/>
          </cell>
          <cell r="L212" t="str">
            <v/>
          </cell>
          <cell r="M212" t="str">
            <v>DTID</v>
          </cell>
          <cell r="N212" t="str">
            <v/>
          </cell>
        </row>
        <row r="213">
          <cell r="K213" t="str">
            <v>CRS610MI</v>
          </cell>
          <cell r="L213" t="str">
            <v>ChgOrderInfo</v>
          </cell>
          <cell r="M213" t="str">
            <v>DESV</v>
          </cell>
          <cell r="N213" t="str">
            <v/>
          </cell>
        </row>
        <row r="214">
          <cell r="K214" t="str">
            <v/>
          </cell>
          <cell r="L214" t="str">
            <v/>
          </cell>
          <cell r="M214" t="str">
            <v>CHCL</v>
          </cell>
          <cell r="N214" t="str">
            <v/>
          </cell>
        </row>
        <row r="215">
          <cell r="K215" t="str">
            <v>CRS610MI</v>
          </cell>
          <cell r="L215" t="str">
            <v>ChgOrderInfo</v>
          </cell>
          <cell r="M215" t="str">
            <v>MCOS</v>
          </cell>
          <cell r="N215" t="str">
            <v/>
          </cell>
        </row>
        <row r="216">
          <cell r="K216" t="str">
            <v>CRS610MI</v>
          </cell>
          <cell r="L216" t="str">
            <v>ChgOrderInfo</v>
          </cell>
          <cell r="M216" t="str">
            <v>SPLM</v>
          </cell>
          <cell r="N216" t="str">
            <v/>
          </cell>
        </row>
        <row r="217">
          <cell r="K217" t="str">
            <v/>
          </cell>
          <cell r="L217" t="str">
            <v/>
          </cell>
          <cell r="M217" t="str">
            <v>EXPT</v>
          </cell>
          <cell r="N217" t="str">
            <v/>
          </cell>
        </row>
        <row r="218">
          <cell r="K218" t="str">
            <v>CRS610MI</v>
          </cell>
          <cell r="L218" t="str">
            <v>ChgOrderInfo</v>
          </cell>
          <cell r="M218" t="str">
            <v>ATPR</v>
          </cell>
          <cell r="N218" t="str">
            <v/>
          </cell>
        </row>
        <row r="219">
          <cell r="K219" t="str">
            <v>CRS610MI</v>
          </cell>
          <cell r="L219" t="str">
            <v>ChgOrderInfo</v>
          </cell>
          <cell r="M219" t="str">
            <v>ACGR</v>
          </cell>
          <cell r="N219" t="str">
            <v/>
          </cell>
        </row>
        <row r="220">
          <cell r="K220" t="str">
            <v>CRS610MI</v>
          </cell>
          <cell r="L220" t="str">
            <v>ChgFinancial</v>
          </cell>
          <cell r="M220" t="str">
            <v>STMS</v>
          </cell>
          <cell r="N220" t="str">
            <v/>
          </cell>
        </row>
        <row r="221">
          <cell r="K221" t="str">
            <v>CRS610MI</v>
          </cell>
          <cell r="L221" t="str">
            <v>ChgFinancial</v>
          </cell>
          <cell r="M221" t="str">
            <v>STMR</v>
          </cell>
          <cell r="N221" t="str">
            <v/>
          </cell>
        </row>
        <row r="222">
          <cell r="K222" t="str">
            <v>CRS610MI</v>
          </cell>
          <cell r="L222" t="str">
            <v>ChgOrderInfo</v>
          </cell>
          <cell r="M222" t="str">
            <v>BCKO</v>
          </cell>
          <cell r="N222" t="str">
            <v/>
          </cell>
        </row>
        <row r="223">
          <cell r="K223" t="str">
            <v>CRS610MI</v>
          </cell>
          <cell r="L223" t="str">
            <v>ChgOrderInfo</v>
          </cell>
          <cell r="M223" t="str">
            <v>PADL</v>
          </cell>
          <cell r="N223" t="str">
            <v/>
          </cell>
        </row>
        <row r="224">
          <cell r="K224" t="str">
            <v>CRS610MI</v>
          </cell>
          <cell r="L224" t="str">
            <v>Add</v>
          </cell>
          <cell r="M224" t="str">
            <v>TOWN</v>
          </cell>
          <cell r="N224" t="str">
            <v/>
          </cell>
        </row>
        <row r="225">
          <cell r="K225" t="str">
            <v>CRS610MI</v>
          </cell>
          <cell r="L225" t="str">
            <v>ChgOrderInfo</v>
          </cell>
          <cell r="M225" t="str">
            <v>ADVI</v>
          </cell>
          <cell r="N225" t="str">
            <v/>
          </cell>
        </row>
        <row r="226">
          <cell r="K226" t="str">
            <v/>
          </cell>
          <cell r="L226" t="str">
            <v/>
          </cell>
          <cell r="M226" t="str">
            <v>ESAL</v>
          </cell>
          <cell r="N226" t="str">
            <v/>
          </cell>
        </row>
        <row r="227">
          <cell r="K227" t="str">
            <v/>
          </cell>
          <cell r="L227" t="str">
            <v/>
          </cell>
          <cell r="M227" t="str">
            <v>RGDT</v>
          </cell>
          <cell r="N227" t="str">
            <v/>
          </cell>
        </row>
        <row r="228">
          <cell r="K228" t="str">
            <v/>
          </cell>
          <cell r="L228" t="str">
            <v/>
          </cell>
          <cell r="M228" t="str">
            <v>RGTM</v>
          </cell>
          <cell r="N228" t="str">
            <v/>
          </cell>
        </row>
        <row r="229">
          <cell r="K229" t="str">
            <v/>
          </cell>
          <cell r="L229" t="str">
            <v/>
          </cell>
          <cell r="M229" t="str">
            <v>LMDT</v>
          </cell>
          <cell r="N229" t="str">
            <v/>
          </cell>
        </row>
        <row r="230">
          <cell r="K230" t="str">
            <v/>
          </cell>
          <cell r="L230" t="str">
            <v/>
          </cell>
          <cell r="M230" t="str">
            <v>CHNO</v>
          </cell>
          <cell r="N230" t="str">
            <v/>
          </cell>
        </row>
        <row r="231">
          <cell r="K231" t="str">
            <v/>
          </cell>
          <cell r="L231" t="str">
            <v/>
          </cell>
          <cell r="M231" t="str">
            <v>CHID</v>
          </cell>
          <cell r="N231" t="str">
            <v/>
          </cell>
        </row>
        <row r="232">
          <cell r="K232" t="str">
            <v/>
          </cell>
          <cell r="L232" t="str">
            <v/>
          </cell>
          <cell r="M232" t="str">
            <v>LMTS</v>
          </cell>
          <cell r="N232" t="str">
            <v/>
          </cell>
        </row>
        <row r="233">
          <cell r="K233" t="str">
            <v>CRS610MI</v>
          </cell>
          <cell r="L233" t="str">
            <v>ChgOrderInfo</v>
          </cell>
          <cell r="M233" t="str">
            <v>SCED</v>
          </cell>
          <cell r="N233" t="str">
            <v/>
          </cell>
        </row>
        <row r="234">
          <cell r="K234" t="str">
            <v>CRS610MI</v>
          </cell>
          <cell r="L234" t="str">
            <v>ChgOrderInfo</v>
          </cell>
          <cell r="M234" t="str">
            <v>OT86</v>
          </cell>
          <cell r="N234" t="str">
            <v/>
          </cell>
        </row>
        <row r="235">
          <cell r="K235" t="str">
            <v>CRS610MI</v>
          </cell>
          <cell r="L235" t="str">
            <v>ChgOrderInfo</v>
          </cell>
          <cell r="M235" t="str">
            <v>BOP1</v>
          </cell>
          <cell r="N235" t="str">
            <v/>
          </cell>
        </row>
        <row r="236">
          <cell r="K236" t="str">
            <v>CRS610MI</v>
          </cell>
          <cell r="L236" t="str">
            <v>ChgRentalData</v>
          </cell>
          <cell r="M236" t="str">
            <v>RPLT</v>
          </cell>
          <cell r="N236" t="str">
            <v/>
          </cell>
        </row>
        <row r="237">
          <cell r="K237" t="str">
            <v>CRS610MI</v>
          </cell>
          <cell r="L237" t="str">
            <v>ChgRentalData</v>
          </cell>
          <cell r="M237" t="str">
            <v>RDIS</v>
          </cell>
          <cell r="N237" t="str">
            <v/>
          </cell>
        </row>
        <row r="238">
          <cell r="K238" t="str">
            <v/>
          </cell>
          <cell r="L238" t="str">
            <v/>
          </cell>
          <cell r="M238" t="str">
            <v>RPYN</v>
          </cell>
          <cell r="N238" t="str">
            <v/>
          </cell>
        </row>
        <row r="239">
          <cell r="K239" t="str">
            <v>CRS610MI</v>
          </cell>
          <cell r="L239" t="str">
            <v>ChgRentalData</v>
          </cell>
          <cell r="M239" t="str">
            <v>RTEP</v>
          </cell>
          <cell r="N239" t="str">
            <v/>
          </cell>
        </row>
        <row r="240">
          <cell r="K240" t="str">
            <v>CRS610MI</v>
          </cell>
          <cell r="L240" t="str">
            <v>ChgRentalData</v>
          </cell>
          <cell r="M240" t="str">
            <v>RSMC</v>
          </cell>
          <cell r="N240" t="str">
            <v/>
          </cell>
        </row>
        <row r="241">
          <cell r="K241" t="str">
            <v>CRS610MI</v>
          </cell>
          <cell r="L241" t="str">
            <v>ChgOrderInfo</v>
          </cell>
          <cell r="M241" t="str">
            <v>TRSU</v>
          </cell>
          <cell r="N241" t="str">
            <v/>
          </cell>
        </row>
        <row r="242">
          <cell r="K242" t="str">
            <v>CRS610MI</v>
          </cell>
          <cell r="L242" t="str">
            <v>ChgRentalData</v>
          </cell>
          <cell r="M242" t="str">
            <v>AOTP</v>
          </cell>
          <cell r="N242" t="str">
            <v/>
          </cell>
        </row>
        <row r="243">
          <cell r="K243" t="str">
            <v>CRS610MI</v>
          </cell>
          <cell r="L243" t="str">
            <v>Add</v>
          </cell>
          <cell r="M243" t="str">
            <v>FRCO</v>
          </cell>
          <cell r="N243" t="str">
            <v/>
          </cell>
        </row>
        <row r="244">
          <cell r="K244" t="str">
            <v>CRS610MI</v>
          </cell>
          <cell r="L244" t="str">
            <v>Add</v>
          </cell>
          <cell r="M244" t="str">
            <v>SPLE</v>
          </cell>
          <cell r="N244" t="str">
            <v/>
          </cell>
        </row>
        <row r="245">
          <cell r="K245" t="str">
            <v>CRS610MI</v>
          </cell>
          <cell r="L245" t="str">
            <v>Add</v>
          </cell>
          <cell r="M245" t="str">
            <v>RASN</v>
          </cell>
          <cell r="N245" t="str">
            <v/>
          </cell>
        </row>
        <row r="246">
          <cell r="K246" t="str">
            <v>CRS610MI</v>
          </cell>
          <cell r="L246" t="str">
            <v>ChgRentalData</v>
          </cell>
          <cell r="M246" t="str">
            <v>ST75</v>
          </cell>
          <cell r="N246" t="str">
            <v/>
          </cell>
        </row>
        <row r="247">
          <cell r="K247" t="str">
            <v>CRS610MI</v>
          </cell>
          <cell r="L247" t="str">
            <v>ChgRentalData</v>
          </cell>
          <cell r="M247" t="str">
            <v>ST76</v>
          </cell>
          <cell r="N247" t="str">
            <v/>
          </cell>
        </row>
        <row r="248">
          <cell r="K248" t="str">
            <v>CRS610MI</v>
          </cell>
          <cell r="L248" t="str">
            <v>ChgRentalData</v>
          </cell>
          <cell r="M248" t="str">
            <v>ST77</v>
          </cell>
          <cell r="N248" t="str">
            <v/>
          </cell>
        </row>
        <row r="249">
          <cell r="K249" t="str">
            <v>CRS610MI</v>
          </cell>
          <cell r="L249" t="str">
            <v>ChgRentalData</v>
          </cell>
          <cell r="M249" t="str">
            <v>ST78</v>
          </cell>
          <cell r="N249" t="str">
            <v/>
          </cell>
        </row>
        <row r="250">
          <cell r="K250" t="str">
            <v>CRS610MI</v>
          </cell>
          <cell r="L250" t="str">
            <v>ChgRentalData</v>
          </cell>
          <cell r="M250" t="str">
            <v>RAFA</v>
          </cell>
          <cell r="N250" t="str">
            <v/>
          </cell>
        </row>
        <row r="251">
          <cell r="K251" t="str">
            <v>CRS610MI</v>
          </cell>
          <cell r="L251" t="str">
            <v>ChgRentalData</v>
          </cell>
          <cell r="M251" t="str">
            <v>MRTP</v>
          </cell>
          <cell r="N251" t="str">
            <v/>
          </cell>
        </row>
        <row r="252">
          <cell r="K252" t="str">
            <v>CRS610MI</v>
          </cell>
          <cell r="L252" t="str">
            <v>ChgRentalData</v>
          </cell>
          <cell r="M252" t="str">
            <v>MINV</v>
          </cell>
          <cell r="N252" t="str">
            <v/>
          </cell>
        </row>
        <row r="253">
          <cell r="K253" t="str">
            <v>CRS610MI</v>
          </cell>
          <cell r="L253" t="str">
            <v>ChgRentalData</v>
          </cell>
          <cell r="M253" t="str">
            <v>MIHP</v>
          </cell>
          <cell r="N253" t="str">
            <v/>
          </cell>
        </row>
        <row r="254">
          <cell r="K254" t="str">
            <v>CRS610MI</v>
          </cell>
          <cell r="L254" t="str">
            <v>ChgRentalData</v>
          </cell>
          <cell r="M254" t="str">
            <v>RTYR</v>
          </cell>
          <cell r="N254" t="str">
            <v/>
          </cell>
        </row>
        <row r="255">
          <cell r="K255" t="str">
            <v>CRS610MI</v>
          </cell>
          <cell r="L255" t="str">
            <v>ChgRentalData</v>
          </cell>
          <cell r="M255" t="str">
            <v>RTMO</v>
          </cell>
          <cell r="N255" t="str">
            <v/>
          </cell>
        </row>
        <row r="256">
          <cell r="K256" t="str">
            <v>CRS610MI</v>
          </cell>
          <cell r="L256" t="str">
            <v>ChgRentalData</v>
          </cell>
          <cell r="M256" t="str">
            <v>IIYR</v>
          </cell>
          <cell r="N256" t="str">
            <v/>
          </cell>
        </row>
        <row r="257">
          <cell r="K257" t="str">
            <v>CRS610MI</v>
          </cell>
          <cell r="L257" t="str">
            <v>ChgRentalData</v>
          </cell>
          <cell r="M257" t="str">
            <v>IIMO</v>
          </cell>
          <cell r="N257" t="str">
            <v/>
          </cell>
        </row>
        <row r="258">
          <cell r="K258" t="str">
            <v>CRS610MI</v>
          </cell>
          <cell r="L258" t="str">
            <v>ChgRentalData</v>
          </cell>
          <cell r="M258" t="str">
            <v>IIDA</v>
          </cell>
          <cell r="N258" t="str">
            <v/>
          </cell>
        </row>
        <row r="259">
          <cell r="K259" t="str">
            <v>CRS610MI</v>
          </cell>
          <cell r="L259" t="str">
            <v>ChgRentalData</v>
          </cell>
          <cell r="M259" t="str">
            <v>DPOT</v>
          </cell>
          <cell r="N259" t="str">
            <v/>
          </cell>
        </row>
        <row r="260">
          <cell r="K260" t="str">
            <v>CRS610MI</v>
          </cell>
          <cell r="L260" t="str">
            <v>ChgOrderInfo</v>
          </cell>
          <cell r="M260" t="str">
            <v>DPCD</v>
          </cell>
          <cell r="N260" t="str">
            <v/>
          </cell>
        </row>
        <row r="261">
          <cell r="K261" t="str">
            <v>CRS610MI</v>
          </cell>
          <cell r="L261" t="str">
            <v>ChgOrderInfo</v>
          </cell>
          <cell r="M261" t="str">
            <v>OOTP</v>
          </cell>
          <cell r="N261" t="str">
            <v/>
          </cell>
        </row>
        <row r="262">
          <cell r="K262" t="str">
            <v>CRS610MI</v>
          </cell>
          <cell r="L262" t="str">
            <v>ChgOrderInfo</v>
          </cell>
          <cell r="M262" t="str">
            <v>HIFD</v>
          </cell>
          <cell r="N262" t="str">
            <v/>
          </cell>
        </row>
        <row r="263">
          <cell r="K263" t="str">
            <v>CRS610MI</v>
          </cell>
          <cell r="L263" t="str">
            <v>ChgFinancial</v>
          </cell>
          <cell r="M263" t="str">
            <v>ENCD</v>
          </cell>
          <cell r="N263" t="str">
            <v/>
          </cell>
        </row>
        <row r="264">
          <cell r="K264" t="str">
            <v/>
          </cell>
          <cell r="L264" t="str">
            <v/>
          </cell>
          <cell r="M264" t="str">
            <v>SEOL</v>
          </cell>
          <cell r="N264" t="str">
            <v/>
          </cell>
        </row>
        <row r="265">
          <cell r="K265" t="str">
            <v/>
          </cell>
          <cell r="L265" t="str">
            <v/>
          </cell>
          <cell r="M265" t="str">
            <v>PYGR</v>
          </cell>
          <cell r="N265" t="str">
            <v/>
          </cell>
        </row>
        <row r="266">
          <cell r="K266" t="str">
            <v>CRS610MI</v>
          </cell>
          <cell r="L266" t="str">
            <v>ChgFinancial</v>
          </cell>
          <cell r="M266" t="str">
            <v>SETA</v>
          </cell>
          <cell r="N266" t="str">
            <v/>
          </cell>
        </row>
        <row r="267">
          <cell r="K267" t="str">
            <v>CRS610MI</v>
          </cell>
          <cell r="L267" t="str">
            <v>ChgOrderInfo</v>
          </cell>
          <cell r="M267" t="str">
            <v>TAGY</v>
          </cell>
          <cell r="N267" t="str">
            <v/>
          </cell>
        </row>
        <row r="268">
          <cell r="K268" t="str">
            <v>CRS610MI</v>
          </cell>
          <cell r="L268" t="str">
            <v>ChgFinancial</v>
          </cell>
          <cell r="M268" t="str">
            <v>OPAY</v>
          </cell>
          <cell r="N268" t="str">
            <v/>
          </cell>
        </row>
        <row r="269">
          <cell r="K269" t="str">
            <v>CRS610MI</v>
          </cell>
          <cell r="L269" t="str">
            <v>ChgFinancial</v>
          </cell>
          <cell r="M269" t="str">
            <v>CASC</v>
          </cell>
          <cell r="N269" t="str">
            <v/>
          </cell>
        </row>
        <row r="270">
          <cell r="K270" t="str">
            <v>CRS610MI</v>
          </cell>
          <cell r="L270" t="str">
            <v>ChgFinancial</v>
          </cell>
          <cell r="M270" t="str">
            <v>RCPP</v>
          </cell>
          <cell r="N270" t="str">
            <v/>
          </cell>
        </row>
        <row r="271">
          <cell r="K271" t="str">
            <v>CRS610MI</v>
          </cell>
          <cell r="L271" t="str">
            <v>ChgFinancial</v>
          </cell>
          <cell r="M271" t="str">
            <v>EXDF</v>
          </cell>
          <cell r="N271" t="str">
            <v/>
          </cell>
        </row>
        <row r="273">
          <cell r="K273" t="str">
            <v>CRS610MI</v>
          </cell>
          <cell r="L273" t="str">
            <v>AddAddress</v>
          </cell>
          <cell r="M273" t="str">
            <v>CONO</v>
          </cell>
          <cell r="N273" t="str">
            <v/>
          </cell>
        </row>
        <row r="274">
          <cell r="K274" t="str">
            <v>CRS610MI</v>
          </cell>
          <cell r="L274" t="str">
            <v>AddAddress</v>
          </cell>
          <cell r="M274" t="str">
            <v>DIVI</v>
          </cell>
          <cell r="N274" t="str">
            <v/>
          </cell>
        </row>
        <row r="275">
          <cell r="K275" t="str">
            <v>CRS610MI</v>
          </cell>
          <cell r="L275" t="str">
            <v>AddAddress</v>
          </cell>
          <cell r="M275" t="str">
            <v>CUNO</v>
          </cell>
          <cell r="N275" t="str">
            <v/>
          </cell>
        </row>
        <row r="276">
          <cell r="K276" t="str">
            <v>CRS610MI</v>
          </cell>
          <cell r="L276" t="str">
            <v>AddAddress</v>
          </cell>
          <cell r="M276" t="str">
            <v>ADRT</v>
          </cell>
          <cell r="N276" t="str">
            <v/>
          </cell>
        </row>
        <row r="277">
          <cell r="K277" t="str">
            <v>CRS610MI</v>
          </cell>
          <cell r="L277" t="str">
            <v>AddAddress</v>
          </cell>
          <cell r="M277" t="str">
            <v>ADID</v>
          </cell>
          <cell r="N277" t="str">
            <v/>
          </cell>
        </row>
        <row r="278">
          <cell r="K278" t="str">
            <v>CRS610MI</v>
          </cell>
          <cell r="L278" t="str">
            <v>AddAddress</v>
          </cell>
          <cell r="M278" t="str">
            <v>CUNM</v>
          </cell>
          <cell r="N278" t="str">
            <v/>
          </cell>
        </row>
        <row r="279">
          <cell r="K279" t="str">
            <v>CRS610MI</v>
          </cell>
          <cell r="L279" t="str">
            <v>AddAddress</v>
          </cell>
          <cell r="M279" t="str">
            <v>CUA1</v>
          </cell>
          <cell r="N279" t="str">
            <v/>
          </cell>
        </row>
        <row r="280">
          <cell r="K280" t="str">
            <v>CRS610MI</v>
          </cell>
          <cell r="L280" t="str">
            <v>AddAddress</v>
          </cell>
          <cell r="M280" t="str">
            <v>CUA2</v>
          </cell>
          <cell r="N280" t="str">
            <v/>
          </cell>
        </row>
        <row r="281">
          <cell r="K281" t="str">
            <v>CRS610MI</v>
          </cell>
          <cell r="L281" t="str">
            <v>AddAddress</v>
          </cell>
          <cell r="M281" t="str">
            <v>CUA3</v>
          </cell>
          <cell r="N281" t="str">
            <v/>
          </cell>
        </row>
        <row r="282">
          <cell r="K282" t="str">
            <v>CRS610MI</v>
          </cell>
          <cell r="L282" t="str">
            <v>AddAddress</v>
          </cell>
          <cell r="M282" t="str">
            <v>CUA4</v>
          </cell>
          <cell r="N282" t="str">
            <v/>
          </cell>
        </row>
        <row r="283">
          <cell r="K283" t="str">
            <v>CRS610MI</v>
          </cell>
          <cell r="L283" t="str">
            <v>AddAddress</v>
          </cell>
          <cell r="M283" t="str">
            <v>PONO</v>
          </cell>
          <cell r="N283" t="str">
            <v/>
          </cell>
        </row>
        <row r="284">
          <cell r="K284" t="str">
            <v>CRS610MI</v>
          </cell>
          <cell r="L284" t="str">
            <v>AddAddress</v>
          </cell>
          <cell r="M284" t="str">
            <v>EALO</v>
          </cell>
          <cell r="N284" t="str">
            <v/>
          </cell>
        </row>
        <row r="285">
          <cell r="K285" t="str">
            <v>CRS610MI</v>
          </cell>
          <cell r="L285" t="str">
            <v>AddAddress</v>
          </cell>
          <cell r="M285" t="str">
            <v>ECAR</v>
          </cell>
          <cell r="N285" t="str">
            <v/>
          </cell>
        </row>
        <row r="286">
          <cell r="K286" t="str">
            <v>CRS610MI</v>
          </cell>
          <cell r="L286" t="str">
            <v>AddAddress</v>
          </cell>
          <cell r="M286" t="str">
            <v>RONO</v>
          </cell>
          <cell r="N286" t="str">
            <v/>
          </cell>
        </row>
        <row r="287">
          <cell r="K287" t="str">
            <v>CRS610MI</v>
          </cell>
          <cell r="L287" t="str">
            <v>AddAddress</v>
          </cell>
          <cell r="M287" t="str">
            <v>MODL</v>
          </cell>
          <cell r="N287" t="str">
            <v/>
          </cell>
        </row>
        <row r="288">
          <cell r="K288" t="str">
            <v>CRS610MI</v>
          </cell>
          <cell r="L288" t="str">
            <v>AddAddress</v>
          </cell>
          <cell r="M288" t="str">
            <v>TEDL</v>
          </cell>
          <cell r="N288" t="str">
            <v/>
          </cell>
        </row>
        <row r="289">
          <cell r="K289" t="str">
            <v>CRS610MI</v>
          </cell>
          <cell r="L289" t="str">
            <v>AddAddress</v>
          </cell>
          <cell r="M289" t="str">
            <v>TEL2</v>
          </cell>
          <cell r="N289" t="str">
            <v/>
          </cell>
        </row>
        <row r="290">
          <cell r="K290" t="str">
            <v>CRS610MI</v>
          </cell>
          <cell r="L290" t="str">
            <v>AddAddress</v>
          </cell>
          <cell r="M290" t="str">
            <v>PHNO</v>
          </cell>
          <cell r="N290" t="str">
            <v/>
          </cell>
        </row>
        <row r="291">
          <cell r="K291" t="str">
            <v>CRS610MI</v>
          </cell>
          <cell r="L291" t="str">
            <v>AddAddress</v>
          </cell>
          <cell r="M291" t="str">
            <v>TFNO</v>
          </cell>
          <cell r="N291" t="str">
            <v/>
          </cell>
        </row>
        <row r="292">
          <cell r="K292" t="str">
            <v>CRS610MI</v>
          </cell>
          <cell r="L292" t="str">
            <v>AddAddress</v>
          </cell>
          <cell r="M292" t="str">
            <v>YREF</v>
          </cell>
          <cell r="N292" t="str">
            <v/>
          </cell>
        </row>
        <row r="293">
          <cell r="K293" t="str">
            <v>CRS610MI</v>
          </cell>
          <cell r="L293" t="str">
            <v>AddAddress</v>
          </cell>
          <cell r="M293" t="str">
            <v>LSID</v>
          </cell>
          <cell r="N293" t="str">
            <v/>
          </cell>
        </row>
        <row r="294">
          <cell r="K294" t="str">
            <v>CRS610MI</v>
          </cell>
          <cell r="L294" t="str">
            <v>AddAddress</v>
          </cell>
          <cell r="M294" t="str">
            <v>LSAD</v>
          </cell>
          <cell r="N294" t="str">
            <v/>
          </cell>
        </row>
        <row r="295">
          <cell r="K295" t="str">
            <v>CRS610MI</v>
          </cell>
          <cell r="L295" t="str">
            <v>AddAddress</v>
          </cell>
          <cell r="M295" t="str">
            <v>MEAL</v>
          </cell>
          <cell r="N295" t="str">
            <v/>
          </cell>
        </row>
        <row r="296">
          <cell r="K296" t="str">
            <v>CRS610MI</v>
          </cell>
          <cell r="L296" t="str">
            <v>AddAddress</v>
          </cell>
          <cell r="M296" t="str">
            <v>CSCD</v>
          </cell>
          <cell r="N296" t="str">
            <v/>
          </cell>
        </row>
        <row r="297">
          <cell r="K297" t="str">
            <v>CRS610MI</v>
          </cell>
          <cell r="L297" t="str">
            <v>AddAddress</v>
          </cell>
          <cell r="M297" t="str">
            <v>VRNO</v>
          </cell>
          <cell r="N297" t="str">
            <v/>
          </cell>
        </row>
        <row r="298">
          <cell r="K298" t="str">
            <v>CRS610MI</v>
          </cell>
          <cell r="L298" t="str">
            <v>AddAddress</v>
          </cell>
          <cell r="M298" t="str">
            <v>EDES</v>
          </cell>
          <cell r="N298" t="str">
            <v/>
          </cell>
        </row>
        <row r="299">
          <cell r="K299" t="str">
            <v>CRS610MI</v>
          </cell>
          <cell r="L299" t="str">
            <v>AddAddress</v>
          </cell>
          <cell r="M299" t="str">
            <v>ROUT</v>
          </cell>
          <cell r="N299" t="str">
            <v/>
          </cell>
        </row>
        <row r="300">
          <cell r="K300" t="str">
            <v>CRS610MI</v>
          </cell>
          <cell r="L300" t="str">
            <v>AddAddress</v>
          </cell>
          <cell r="M300" t="str">
            <v>RODN</v>
          </cell>
          <cell r="N300" t="str">
            <v/>
          </cell>
        </row>
        <row r="301">
          <cell r="K301" t="str">
            <v>CRS610MI</v>
          </cell>
          <cell r="L301" t="str">
            <v>AddAddress</v>
          </cell>
          <cell r="M301" t="str">
            <v>ULZO</v>
          </cell>
          <cell r="N301" t="str">
            <v/>
          </cell>
        </row>
        <row r="302">
          <cell r="K302" t="str">
            <v>CRS610MI</v>
          </cell>
          <cell r="L302" t="str">
            <v>AddAddress</v>
          </cell>
          <cell r="M302" t="str">
            <v>CESA</v>
          </cell>
          <cell r="N302" t="str">
            <v/>
          </cell>
        </row>
        <row r="303">
          <cell r="K303" t="str">
            <v>CRS610MI</v>
          </cell>
          <cell r="L303" t="str">
            <v>AddAddress</v>
          </cell>
          <cell r="M303" t="str">
            <v>GEOC</v>
          </cell>
          <cell r="N303" t="str">
            <v/>
          </cell>
        </row>
        <row r="304">
          <cell r="K304" t="str">
            <v>CRS610MI</v>
          </cell>
          <cell r="L304" t="str">
            <v>AddAddress</v>
          </cell>
          <cell r="M304" t="str">
            <v>TAXC</v>
          </cell>
          <cell r="N304" t="str">
            <v/>
          </cell>
        </row>
        <row r="305">
          <cell r="K305" t="str">
            <v>CRS610MI</v>
          </cell>
          <cell r="L305" t="str">
            <v>AddAddress</v>
          </cell>
          <cell r="M305" t="str">
            <v>HAFE</v>
          </cell>
          <cell r="N305" t="str">
            <v/>
          </cell>
        </row>
        <row r="306">
          <cell r="K306" t="str">
            <v>CRS610MI</v>
          </cell>
          <cell r="L306" t="str">
            <v>ChgOrderInfo</v>
          </cell>
          <cell r="M306" t="str">
            <v>TEPA</v>
          </cell>
          <cell r="N306" t="str">
            <v/>
          </cell>
        </row>
        <row r="307">
          <cell r="K307" t="str">
            <v/>
          </cell>
          <cell r="L307" t="str">
            <v/>
          </cell>
          <cell r="M307" t="str">
            <v>CALV</v>
          </cell>
          <cell r="N307" t="str">
            <v/>
          </cell>
        </row>
        <row r="308">
          <cell r="K308" t="str">
            <v/>
          </cell>
          <cell r="L308" t="str">
            <v/>
          </cell>
          <cell r="M308" t="str">
            <v>DLPA</v>
          </cell>
          <cell r="N308" t="str">
            <v/>
          </cell>
        </row>
        <row r="309">
          <cell r="K309" t="str">
            <v/>
          </cell>
          <cell r="L309" t="str">
            <v/>
          </cell>
          <cell r="M309" t="str">
            <v>DNVA</v>
          </cell>
          <cell r="N309" t="str">
            <v/>
          </cell>
        </row>
        <row r="310">
          <cell r="K310" t="str">
            <v/>
          </cell>
          <cell r="L310" t="str">
            <v/>
          </cell>
          <cell r="M310" t="str">
            <v>LAVA</v>
          </cell>
          <cell r="N310" t="str">
            <v/>
          </cell>
        </row>
        <row r="311">
          <cell r="K311" t="str">
            <v>CRS610MI</v>
          </cell>
          <cell r="L311" t="str">
            <v>AddAddress</v>
          </cell>
          <cell r="M311" t="str">
            <v>FVDT</v>
          </cell>
          <cell r="N311" t="str">
            <v/>
          </cell>
        </row>
        <row r="312">
          <cell r="K312" t="str">
            <v>CRS610MI</v>
          </cell>
          <cell r="L312" t="str">
            <v>AddAddress</v>
          </cell>
          <cell r="M312" t="str">
            <v>LVDT</v>
          </cell>
          <cell r="N312" t="str">
            <v/>
          </cell>
        </row>
        <row r="313">
          <cell r="K313" t="str">
            <v/>
          </cell>
          <cell r="L313" t="str">
            <v/>
          </cell>
          <cell r="M313" t="str">
            <v>DTID</v>
          </cell>
          <cell r="N313" t="str">
            <v/>
          </cell>
        </row>
        <row r="314">
          <cell r="K314" t="str">
            <v>CRS610MI</v>
          </cell>
          <cell r="L314" t="str">
            <v>AddAddress</v>
          </cell>
          <cell r="M314" t="str">
            <v>SPLM</v>
          </cell>
          <cell r="N314" t="str">
            <v/>
          </cell>
        </row>
        <row r="315">
          <cell r="K315" t="str">
            <v>CRS610MI</v>
          </cell>
          <cell r="L315" t="str">
            <v>ChgOrderInfo</v>
          </cell>
          <cell r="M315" t="str">
            <v>BCKO</v>
          </cell>
          <cell r="N315" t="str">
            <v/>
          </cell>
        </row>
        <row r="316">
          <cell r="K316" t="str">
            <v>CRS610MI</v>
          </cell>
          <cell r="L316" t="str">
            <v>ChgOrderInfo</v>
          </cell>
          <cell r="M316" t="str">
            <v>PADL</v>
          </cell>
          <cell r="N316" t="str">
            <v/>
          </cell>
        </row>
        <row r="317">
          <cell r="K317" t="str">
            <v>CRS610MI</v>
          </cell>
          <cell r="L317" t="str">
            <v>AddAddress</v>
          </cell>
          <cell r="M317" t="str">
            <v>TOWN</v>
          </cell>
          <cell r="N317" t="str">
            <v/>
          </cell>
        </row>
        <row r="318">
          <cell r="K318" t="str">
            <v/>
          </cell>
          <cell r="L318" t="str">
            <v/>
          </cell>
          <cell r="M318" t="str">
            <v>PNOD</v>
          </cell>
          <cell r="N318" t="str">
            <v/>
          </cell>
        </row>
        <row r="319">
          <cell r="K319" t="str">
            <v>CRS610MI</v>
          </cell>
          <cell r="L319" t="str">
            <v>AddAddress</v>
          </cell>
          <cell r="M319" t="str">
            <v>ADVI</v>
          </cell>
          <cell r="N319" t="str">
            <v/>
          </cell>
        </row>
        <row r="320">
          <cell r="K320" t="str">
            <v/>
          </cell>
          <cell r="L320" t="str">
            <v/>
          </cell>
          <cell r="M320" t="str">
            <v>TXID</v>
          </cell>
          <cell r="N320" t="str">
            <v/>
          </cell>
        </row>
        <row r="321">
          <cell r="K321" t="str">
            <v/>
          </cell>
          <cell r="L321" t="str">
            <v/>
          </cell>
          <cell r="M321" t="str">
            <v>RGDT</v>
          </cell>
          <cell r="N321" t="str">
            <v/>
          </cell>
        </row>
        <row r="322">
          <cell r="K322" t="str">
            <v/>
          </cell>
          <cell r="L322" t="str">
            <v/>
          </cell>
          <cell r="M322" t="str">
            <v>RGTM</v>
          </cell>
          <cell r="N322" t="str">
            <v/>
          </cell>
        </row>
        <row r="323">
          <cell r="K323" t="str">
            <v/>
          </cell>
          <cell r="L323" t="str">
            <v/>
          </cell>
          <cell r="M323" t="str">
            <v>LMDT</v>
          </cell>
          <cell r="N323" t="str">
            <v/>
          </cell>
        </row>
        <row r="324">
          <cell r="K324" t="str">
            <v/>
          </cell>
          <cell r="L324" t="str">
            <v/>
          </cell>
          <cell r="M324" t="str">
            <v>CHNO</v>
          </cell>
          <cell r="N324" t="str">
            <v/>
          </cell>
        </row>
        <row r="325">
          <cell r="K325" t="str">
            <v/>
          </cell>
          <cell r="L325" t="str">
            <v/>
          </cell>
          <cell r="M325" t="str">
            <v>CHID</v>
          </cell>
          <cell r="N325" t="str">
            <v/>
          </cell>
        </row>
        <row r="326">
          <cell r="K326" t="str">
            <v/>
          </cell>
          <cell r="L326" t="str">
            <v/>
          </cell>
          <cell r="M326" t="str">
            <v>LMTS</v>
          </cell>
          <cell r="N326" t="str">
            <v/>
          </cell>
        </row>
        <row r="327">
          <cell r="K327" t="str">
            <v>CRS610MI</v>
          </cell>
          <cell r="L327" t="str">
            <v>AddAddress</v>
          </cell>
          <cell r="M327" t="str">
            <v>GEOX</v>
          </cell>
          <cell r="N327" t="str">
            <v/>
          </cell>
        </row>
        <row r="328">
          <cell r="K328" t="str">
            <v>CRS610MI</v>
          </cell>
          <cell r="L328" t="str">
            <v>AddAddress</v>
          </cell>
          <cell r="M328" t="str">
            <v>GEOY</v>
          </cell>
          <cell r="N328" t="str">
            <v/>
          </cell>
        </row>
        <row r="329">
          <cell r="K329" t="str">
            <v>CRS610MI</v>
          </cell>
          <cell r="L329" t="str">
            <v>AddAddress</v>
          </cell>
          <cell r="M329" t="str">
            <v>GEOZ</v>
          </cell>
          <cell r="N329" t="str">
            <v/>
          </cell>
        </row>
        <row r="330">
          <cell r="K330" t="str">
            <v>CRS610MI</v>
          </cell>
          <cell r="L330" t="str">
            <v>ChgOrderInfo</v>
          </cell>
          <cell r="M330" t="str">
            <v>BOP1</v>
          </cell>
          <cell r="N330" t="str">
            <v/>
          </cell>
        </row>
        <row r="331">
          <cell r="K331" t="str">
            <v/>
          </cell>
          <cell r="L331" t="str">
            <v/>
          </cell>
          <cell r="M331" t="str">
            <v>VAAD</v>
          </cell>
          <cell r="N331" t="str">
            <v/>
          </cell>
        </row>
        <row r="332">
          <cell r="K332" t="str">
            <v>CRS610MI</v>
          </cell>
          <cell r="L332" t="str">
            <v>AddAddress</v>
          </cell>
          <cell r="M332" t="str">
            <v>PRIO</v>
          </cell>
          <cell r="N332" t="str">
            <v/>
          </cell>
        </row>
        <row r="333">
          <cell r="K333" t="str">
            <v>CRS610MI</v>
          </cell>
          <cell r="L333" t="str">
            <v>AddAddress</v>
          </cell>
          <cell r="M333" t="str">
            <v>FRCO</v>
          </cell>
          <cell r="N333" t="str">
            <v/>
          </cell>
        </row>
        <row r="334">
          <cell r="K334" t="str">
            <v>CRS610MI</v>
          </cell>
          <cell r="L334" t="str">
            <v>AddAddress</v>
          </cell>
          <cell r="M334" t="str">
            <v>SPLE</v>
          </cell>
          <cell r="N334" t="str">
            <v/>
          </cell>
        </row>
        <row r="335">
          <cell r="K335" t="str">
            <v>CRS610MI</v>
          </cell>
          <cell r="L335" t="str">
            <v>AddAddress</v>
          </cell>
          <cell r="M335" t="str">
            <v>RASN</v>
          </cell>
          <cell r="N335" t="str">
            <v/>
          </cell>
        </row>
        <row r="336">
          <cell r="K336" t="str">
            <v>CRS610MI</v>
          </cell>
          <cell r="L336" t="str">
            <v>AddAddress</v>
          </cell>
          <cell r="M336" t="str">
            <v>ADCG</v>
          </cell>
          <cell r="N336" t="str">
            <v/>
          </cell>
        </row>
      </sheetData>
      <sheetData sheetId="2"/>
      <sheetData sheetId="3"/>
      <sheetData sheetId="4"/>
      <sheetData sheetId="5"/>
      <sheetData sheetId="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ppingGuide" displayName="MappingGuide" ref="A2:AJ335" headerRowDxfId="38" dataDxfId="37" totalsRowDxfId="36">
  <autoFilter ref="A2:AJ335" xr:uid="{00000000-0009-0000-0100-000001000000}">
    <filterColumn colId="1">
      <filters>
        <filter val="OCUSAD"/>
      </filters>
    </filterColumn>
  </autoFilter>
  <tableColumns count="36">
    <tableColumn id="1" xr3:uid="{00000000-0010-0000-0000-000001000000}" name="Sequence" dataDxfId="35"/>
    <tableColumn id="2" xr3:uid="{00000000-0010-0000-0000-000002000000}" name="TableName" dataDxfId="34"/>
    <tableColumn id="3" xr3:uid="{00000000-0010-0000-0000-000003000000}" name="ColumnName" dataDxfId="33"/>
    <tableColumn id="4" xr3:uid="{00000000-0010-0000-0000-000004000000}" name="Description" dataDxfId="32"/>
    <tableColumn id="5" xr3:uid="{00000000-0010-0000-0000-000005000000}" name="DataType" dataDxfId="31"/>
    <tableColumn id="6" xr3:uid="{00000000-0010-0000-0000-000006000000}" name="Length" dataDxfId="30"/>
    <tableColumn id="7" xr3:uid="{00000000-0010-0000-0000-000007000000}" name="Decimals" dataDxfId="29"/>
    <tableColumn id="8" xr3:uid="{00000000-0010-0000-0000-000008000000}" name="Table_7" dataDxfId="28"/>
    <tableColumn id="9" xr3:uid="{00000000-0010-0000-0000-000009000000}" name="Program" dataDxfId="27"/>
    <tableColumn id="10" xr3:uid="{00000000-0010-0000-0000-00000A000000}" name="Panel" dataDxfId="26"/>
    <tableColumn id="11" xr3:uid="{00000000-0010-0000-0000-00000B000000}" name="Pgm_2" dataDxfId="25"/>
    <tableColumn id="12" xr3:uid="{00000000-0010-0000-0000-00000C000000}" name="API" dataDxfId="24"/>
    <tableColumn id="13" xr3:uid="{00000000-0010-0000-0000-00000D000000}" name="TransactionName" dataDxfId="23"/>
    <tableColumn id="14" xr3:uid="{00000000-0010-0000-0000-00000E000000}" name="FieldName" dataDxfId="22"/>
    <tableColumn id="15" xr3:uid="{00000000-0010-0000-0000-00000F000000}" name="API_3" dataDxfId="21"/>
    <tableColumn id="16" xr3:uid="{00000000-0010-0000-0000-000010000000}" name="XPath" dataDxfId="20"/>
    <tableColumn id="17" xr3:uid="{00000000-0010-0000-0000-000011000000}" name="BOD_1" dataDxfId="19"/>
    <tableColumn id="18" xr3:uid="{00000000-0010-0000-0000-000012000000}" name="MappingNotes" dataDxfId="18"/>
    <tableColumn id="19" xr3:uid="{00000000-0010-0000-0000-000013000000}" name="Responsible" dataDxfId="17">
      <calculatedColumnFormula array="1">_xlfn.LET(_xlpm.r,_xlfn.XLOOKUP(1,MappingGuide[[#This Row],[API]:[API_3]],'[1]Squirrel SQL Export 1'!$K:$N,[1]!Table1[[#This Row],[Responsible from HJ]]),IF(_xlpm.r=0,"",_xlpm.r))</calculatedColumnFormula>
    </tableColumn>
    <tableColumn id="20" xr3:uid="{00000000-0010-0000-0000-000014000000}" name="Required" dataDxfId="16"/>
    <tableColumn id="21" xr3:uid="{00000000-0010-0000-0000-000015000000}" name="DefaultValue" dataDxfId="15"/>
    <tableColumn id="32" xr3:uid="{A78E6124-A7C1-1849-BC6E-9D92275D2EAD}" name="MDM Comments" dataDxfId="14">
      <calculatedColumnFormula array="1">_xlfn.LET(_xlpm.r,_xlfn.XLOOKUP(1,MappingGuide[[#This Row],[API]:[API_3]],'[1]Squirrel SQL Export 1'!$K:$N,[1]!Table1[[#This Row],[MDM Comments]]),IF(_xlpm.r=0,"",_xlpm.r))</calculatedColumnFormula>
    </tableColumn>
    <tableColumn id="33" xr3:uid="{76BD43CF-B8AA-0644-9716-2BD7BB37ED7E}" name="Exists In Syndigo?" dataDxfId="13">
      <calculatedColumnFormula array="1">_xlfn.LET(_xlpm.r,_xlfn.XLOOKUP(1,MappingGuide[[#This Row],[API]:[API_3]],'[1]Squirrel SQL Export 1'!$K:$N,[1]!Table1[[#This Row],[Exists In Syndigo?]]),IF(_xlpm.r=0,"",_xlpm.r))</calculatedColumnFormula>
    </tableColumn>
    <tableColumn id="31" xr3:uid="{1856AC87-4B93-6947-84B1-F9D71B026C0F}" name="Syndigo Name" dataDxfId="12">
      <calculatedColumnFormula array="1">_xlfn.LET(_xlpm.r,_xlfn.XLOOKUP(1,MappingGuide[[#This Row],[API]:[API_3]],'[1]Squirrel SQL Export 1'!$K:$N,[1]!Table1[[#This Row],[Syndigo Name]]),IF(_xlpm.r=0,"",_xlpm.r))</calculatedColumnFormula>
    </tableColumn>
    <tableColumn id="22" xr3:uid="{00000000-0010-0000-0000-000016000000}" name="Herff Jones_7" dataDxfId="11"/>
    <tableColumn id="23" xr3:uid="{00000000-0010-0000-0000-000017000000}" name="Definition" dataDxfId="10"/>
    <tableColumn id="24" xr3:uid="{00000000-0010-0000-0000-000018000000}" name="Alternatives" dataDxfId="9"/>
    <tableColumn id="25" xr3:uid="{00000000-0010-0000-0000-000019000000}" name="Help_2" dataDxfId="8"/>
    <tableColumn id="26" xr3:uid="{00000000-0010-0000-0000-00001A000000}" name="DG_Notes" dataDxfId="7">
      <calculatedColumnFormula array="1">_xlfn.XLOOKUP(1,MappingGuide[[#This Row],[API]:[API_3]],'[1]Squirrel SQL Export 1'!$K:$N,[1]!Table1[[#This Row],[Doppio Notes2]])</calculatedColumnFormula>
    </tableColumn>
    <tableColumn id="27" xr3:uid="{00000000-0010-0000-0000-00001B000000}" name="DG_Responsible" dataDxfId="6"/>
    <tableColumn id="28" xr3:uid="{00000000-0010-0000-0000-00001C000000}" name="DG_Required" dataDxfId="5">
      <calculatedColumnFormula array="1">_xlfn.XLOOKUP(1,MappingGuide[[#This Row],[API]:[API_3]],'[1]Squirrel SQL Export 1'!$K:$N,[1]!Table1[[#This Row],[DG_required]])</calculatedColumnFormula>
    </tableColumn>
    <tableColumn id="29" xr3:uid="{00000000-0010-0000-0000-00001D000000}" name="DG_Example" dataDxfId="4"/>
    <tableColumn id="36" xr3:uid="{C1BF0ADF-E868-564A-8B71-BFEDDFEF6837}" name="DG_Default" dataDxfId="3"/>
    <tableColumn id="34" xr3:uid="{9CB8CC23-1104-D044-B0CA-E148AB05FB80}" name="Questions" dataDxfId="2">
      <calculatedColumnFormula array="1">_xlfn.LET(_xlpm.r,_xlfn.XLOOKUP(1,MappingGuide[[#This Row],[API]:[API_3]],'[1]Squirrel SQL Export 1'!$K:$N,[1]!Table1[[#This Row],[Pending Items]]),IF(_xlpm.r=0,"",_xlpm.r))</calculatedColumnFormula>
    </tableColumn>
    <tableColumn id="35" xr3:uid="{EDBCB646-7DDE-8D4B-B34A-51A9A7391908}" name="Mapping" dataDxfId="1">
      <calculatedColumnFormula array="1">_xlfn.LET(_xlpm.r,_xlfn.XLOOKUP(1,MappingGuide[[#This Row],[API]:[API_3]],'[1]Squirrel SQL Export 1'!$K:$N,[1]!Table1[[#This Row],[Syndigo Name]]),IF(_xlpm.r=0,"",_xlpm.r))</calculatedColumnFormula>
    </tableColumn>
    <tableColumn id="30" xr3:uid="{00000000-0010-0000-0000-00001E000000}" name="Doppio_7" dataDxfId="0"/>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J335"/>
  <sheetViews>
    <sheetView tabSelected="1" workbookViewId="0">
      <pane xSplit="4" ySplit="2" topLeftCell="E272" activePane="bottomRight" state="frozen"/>
      <selection pane="topRight" activeCell="E1" sqref="E1"/>
      <selection pane="bottomLeft" activeCell="A3" sqref="A3"/>
      <selection pane="bottomRight" activeCell="J297" sqref="J297"/>
    </sheetView>
  </sheetViews>
  <sheetFormatPr baseColWidth="10" defaultColWidth="8.83203125" defaultRowHeight="15" outlineLevelCol="1"/>
  <cols>
    <col min="1" max="1" width="6.33203125" style="16" customWidth="1"/>
    <col min="2" max="3" width="11.1640625" style="16" customWidth="1"/>
    <col min="4" max="4" width="16.83203125" style="16" customWidth="1"/>
    <col min="5" max="8" width="15" style="16" customWidth="1"/>
    <col min="9" max="10" width="15" style="16" customWidth="1" outlineLevel="1"/>
    <col min="11" max="11" width="15" style="16" customWidth="1"/>
    <col min="12" max="12" width="15" style="16" customWidth="1" outlineLevel="1"/>
    <col min="13" max="13" width="16" style="16" customWidth="1" outlineLevel="1"/>
    <col min="14" max="14" width="15" style="16" customWidth="1" outlineLevel="1"/>
    <col min="15" max="15" width="15" style="16" customWidth="1"/>
    <col min="16" max="16" width="60" style="16" hidden="1" customWidth="1" outlineLevel="1"/>
    <col min="17" max="17" width="15" style="16" customWidth="1" collapsed="1"/>
    <col min="18" max="18" width="28.83203125" style="16" customWidth="1" outlineLevel="1"/>
    <col min="19" max="19" width="14.5" style="16" customWidth="1" outlineLevel="1"/>
    <col min="20" max="20" width="13.6640625" style="16" customWidth="1" outlineLevel="1"/>
    <col min="21" max="21" width="31.1640625" style="16" customWidth="1" outlineLevel="1"/>
    <col min="22" max="22" width="29" style="16" customWidth="1" outlineLevel="1"/>
    <col min="23" max="23" width="13.6640625" style="16" customWidth="1" outlineLevel="1"/>
    <col min="24" max="24" width="27" style="16" customWidth="1" outlineLevel="1"/>
    <col min="25" max="25" width="15" style="16" customWidth="1"/>
    <col min="26" max="27" width="60" style="16" customWidth="1" outlineLevel="1"/>
    <col min="28" max="28" width="15" style="16" customWidth="1"/>
    <col min="29" max="29" width="51.1640625" style="16" customWidth="1" outlineLevel="1"/>
    <col min="30" max="33" width="19.33203125" style="16" customWidth="1" outlineLevel="1"/>
    <col min="34" max="34" width="41" style="19" customWidth="1" outlineLevel="1"/>
    <col min="35" max="35" width="41" style="16" customWidth="1" outlineLevel="1"/>
    <col min="36" max="36" width="15.1640625" style="16" customWidth="1"/>
    <col min="37" max="16384" width="8.83203125" style="16"/>
  </cols>
  <sheetData>
    <row r="1" spans="1:36" s="20" customFormat="1" ht="17">
      <c r="A1" s="25" t="s">
        <v>0</v>
      </c>
      <c r="B1" s="26"/>
      <c r="C1" s="26"/>
      <c r="D1" s="26"/>
      <c r="E1" s="26"/>
      <c r="F1" s="26"/>
      <c r="G1" s="26"/>
      <c r="H1" s="26"/>
      <c r="I1" s="32" t="s">
        <v>1</v>
      </c>
      <c r="J1" s="26"/>
      <c r="K1" s="26"/>
      <c r="L1" s="27" t="s">
        <v>2</v>
      </c>
      <c r="M1" s="26"/>
      <c r="N1" s="26"/>
      <c r="O1" s="26"/>
      <c r="P1" s="33" t="s">
        <v>3</v>
      </c>
      <c r="Q1" s="26"/>
      <c r="R1" s="28" t="s">
        <v>4</v>
      </c>
      <c r="S1" s="26"/>
      <c r="T1" s="26"/>
      <c r="U1" s="26"/>
      <c r="V1" s="26"/>
      <c r="W1" s="26"/>
      <c r="X1" s="26"/>
      <c r="Y1" s="26"/>
      <c r="Z1" s="29" t="s">
        <v>5</v>
      </c>
      <c r="AA1" s="26"/>
      <c r="AB1" s="26"/>
      <c r="AC1" s="30" t="s">
        <v>6</v>
      </c>
      <c r="AD1" s="26"/>
      <c r="AE1" s="26"/>
      <c r="AF1" s="26"/>
      <c r="AG1" s="26"/>
      <c r="AH1" s="31"/>
      <c r="AI1" s="26"/>
      <c r="AJ1" s="26"/>
    </row>
    <row r="2" spans="1:36" s="1" customFormat="1" ht="18">
      <c r="A2" s="2" t="s">
        <v>7</v>
      </c>
      <c r="B2" s="2" t="s">
        <v>8</v>
      </c>
      <c r="C2" s="2" t="s">
        <v>9</v>
      </c>
      <c r="D2" s="2" t="s">
        <v>10</v>
      </c>
      <c r="E2" s="2" t="s">
        <v>11</v>
      </c>
      <c r="F2" s="2" t="s">
        <v>12</v>
      </c>
      <c r="G2" s="2" t="s">
        <v>13</v>
      </c>
      <c r="H2" s="3" t="s">
        <v>14</v>
      </c>
      <c r="I2" s="4" t="s">
        <v>15</v>
      </c>
      <c r="J2" s="4" t="s">
        <v>16</v>
      </c>
      <c r="K2" s="5" t="s">
        <v>17</v>
      </c>
      <c r="L2" s="6" t="s">
        <v>2</v>
      </c>
      <c r="M2" s="6" t="s">
        <v>1315</v>
      </c>
      <c r="N2" s="6" t="s">
        <v>1316</v>
      </c>
      <c r="O2" s="7" t="s">
        <v>18</v>
      </c>
      <c r="P2" s="8" t="s">
        <v>19</v>
      </c>
      <c r="Q2" s="9" t="s">
        <v>20</v>
      </c>
      <c r="R2" s="10" t="s">
        <v>21</v>
      </c>
      <c r="S2" s="10" t="s">
        <v>22</v>
      </c>
      <c r="T2" s="10" t="s">
        <v>23</v>
      </c>
      <c r="U2" s="10" t="s">
        <v>24</v>
      </c>
      <c r="V2" s="10" t="s">
        <v>1312</v>
      </c>
      <c r="W2" s="10" t="s">
        <v>1311</v>
      </c>
      <c r="X2" s="10" t="s">
        <v>1310</v>
      </c>
      <c r="Y2" s="11" t="s">
        <v>1314</v>
      </c>
      <c r="Z2" s="12" t="s">
        <v>25</v>
      </c>
      <c r="AA2" s="12" t="s">
        <v>26</v>
      </c>
      <c r="AB2" s="13" t="s">
        <v>27</v>
      </c>
      <c r="AC2" s="14" t="s">
        <v>28</v>
      </c>
      <c r="AD2" s="14" t="s">
        <v>29</v>
      </c>
      <c r="AE2" s="14" t="s">
        <v>30</v>
      </c>
      <c r="AF2" s="14" t="s">
        <v>31</v>
      </c>
      <c r="AG2" s="14" t="s">
        <v>1318</v>
      </c>
      <c r="AH2" s="23" t="s">
        <v>1313</v>
      </c>
      <c r="AI2" s="14" t="s">
        <v>1317</v>
      </c>
      <c r="AJ2" s="15" t="s">
        <v>1319</v>
      </c>
    </row>
    <row r="3" spans="1:36" ht="162" hidden="1">
      <c r="A3" s="17">
        <v>1</v>
      </c>
      <c r="B3" s="17"/>
      <c r="C3" s="17"/>
      <c r="D3" s="17" t="s">
        <v>32</v>
      </c>
      <c r="E3" s="17" t="s">
        <v>33</v>
      </c>
      <c r="F3" s="17" t="s">
        <v>34</v>
      </c>
      <c r="G3" s="17"/>
      <c r="H3" s="17"/>
      <c r="I3" s="17"/>
      <c r="J3" s="17"/>
      <c r="K3" s="17"/>
      <c r="L3" s="17" t="s">
        <v>35</v>
      </c>
      <c r="M3" s="17" t="s">
        <v>36</v>
      </c>
      <c r="N3" s="17" t="s">
        <v>37</v>
      </c>
      <c r="O3" s="17"/>
      <c r="P3" s="17"/>
      <c r="Q3" s="17"/>
      <c r="R3" s="17" t="s">
        <v>38</v>
      </c>
      <c r="S3" s="17" t="e" cm="1">
        <f t="array" ref="S3">_xlfn.LET(_xlpm.r,_xlfn.XLOOKUP(1,MappingGuide[[#This Row],[API]:[API_3]],'[1]Squirrel SQL Export 1'!$K:$N,[1]!Table1[[#This Row],[Responsible from HJ]]),IF(_xlpm.r=0,"",_xlpm.r))</f>
        <v>#REF!</v>
      </c>
      <c r="T3" s="17" t="s">
        <v>39</v>
      </c>
      <c r="U3" s="17" t="s">
        <v>1281</v>
      </c>
      <c r="V3" s="17" t="e" cm="1">
        <f t="array" ref="V3">_xlfn.LET(_xlpm.r,_xlfn.XLOOKUP(1,MappingGuide[[#This Row],[API]:[API_3]],'[1]Squirrel SQL Export 1'!$K:$N,[1]!Table1[[#This Row],[MDM Comments]]),IF(_xlpm.r=0,"",_xlpm.r))</f>
        <v>#REF!</v>
      </c>
      <c r="W3" s="17" t="e" cm="1">
        <f t="array" ref="W3">_xlfn.LET(_xlpm.r,_xlfn.XLOOKUP(1,MappingGuide[[#This Row],[API]:[API_3]],'[1]Squirrel SQL Export 1'!$K:$N,[1]!Table1[[#This Row],[Exists In Syndigo?]]),IF(_xlpm.r=0,"",_xlpm.r))</f>
        <v>#REF!</v>
      </c>
      <c r="X3" s="17" t="e" cm="1">
        <f t="array" ref="X3">_xlfn.LET(_xlpm.r,_xlfn.XLOOKUP(1,MappingGuide[[#This Row],[API]:[API_3]],'[1]Squirrel SQL Export 1'!$K:$N,[1]!Table1[[#This Row],[Syndigo Name]]),IF(_xlpm.r=0,"",_xlpm.r))</f>
        <v>#REF!</v>
      </c>
      <c r="Y3" s="17"/>
      <c r="Z3" s="17"/>
      <c r="AA3" s="17"/>
      <c r="AB3" s="17"/>
      <c r="AC3" s="17" t="e" cm="1">
        <f t="array" ref="AC3">_xlfn.XLOOKUP(1,MappingGuide[[#This Row],[API]:[API_3]],'[1]Squirrel SQL Export 1'!$K:$N,[1]!Table1[[#This Row],[Doppio Notes2]])</f>
        <v>#REF!</v>
      </c>
      <c r="AD3" s="17" t="s">
        <v>1279</v>
      </c>
      <c r="AE3" s="17" t="e" cm="1">
        <f t="array" ref="AE3">_xlfn.XLOOKUP(1,MappingGuide[[#This Row],[API]:[API_3]],'[1]Squirrel SQL Export 1'!$K:$N,[1]!Table1[[#This Row],[DG_required]])</f>
        <v>#REF!</v>
      </c>
      <c r="AF3" s="21" t="s">
        <v>1281</v>
      </c>
      <c r="AG3" s="21"/>
      <c r="AH3" s="24" t="e" cm="1">
        <f t="array" ref="AH3">_xlfn.LET(_xlpm.r,_xlfn.XLOOKUP(1,MappingGuide[[#This Row],[API]:[API_3]],'[1]Squirrel SQL Export 1'!$K:$N,[1]!Table1[[#This Row],[Pending Items]]),IF(_xlpm.r=0,"",_xlpm.r))</f>
        <v>#REF!</v>
      </c>
      <c r="AI3" s="22" t="e" cm="1">
        <f t="array" ref="AI3">_xlfn.LET(_xlpm.r,_xlfn.XLOOKUP(1,MappingGuide[[#This Row],[API]:[API_3]],'[1]Squirrel SQL Export 1'!$K:$N,[1]!Table1[[#This Row],[Syndigo Name]]),IF(_xlpm.r=0,"",_xlpm.r))</f>
        <v>#REF!</v>
      </c>
      <c r="AJ3" s="17"/>
    </row>
    <row r="4" spans="1:36" ht="18" hidden="1">
      <c r="A4" s="17">
        <v>2</v>
      </c>
      <c r="B4" s="17" t="s">
        <v>40</v>
      </c>
      <c r="C4" s="17" t="s">
        <v>41</v>
      </c>
      <c r="D4" s="17" t="s">
        <v>42</v>
      </c>
      <c r="E4" s="17" t="s">
        <v>43</v>
      </c>
      <c r="F4" s="17" t="s">
        <v>44</v>
      </c>
      <c r="G4" s="17"/>
      <c r="H4" s="17"/>
      <c r="I4" s="17"/>
      <c r="J4" s="17"/>
      <c r="K4" s="17"/>
      <c r="L4" s="17" t="s">
        <v>35</v>
      </c>
      <c r="M4" s="17" t="s">
        <v>36</v>
      </c>
      <c r="N4" s="17" t="s">
        <v>45</v>
      </c>
      <c r="O4" s="17"/>
      <c r="P4" s="17"/>
      <c r="Q4" s="17"/>
      <c r="R4" s="17" t="s">
        <v>46</v>
      </c>
      <c r="S4" s="17" t="e" cm="1">
        <f t="array" ref="S4">_xlfn.LET(_xlpm.r,_xlfn.XLOOKUP(1,MappingGuide[[#This Row],[API]:[API_3]],'[1]Squirrel SQL Export 1'!$K:$N,[1]!Table1[[#This Row],[Responsible from HJ]]),IF(_xlpm.r=0,"",_xlpm.r))</f>
        <v>#REF!</v>
      </c>
      <c r="T4" s="17"/>
      <c r="U4" s="17"/>
      <c r="V4" s="17" t="e" cm="1">
        <f t="array" ref="V4">_xlfn.LET(_xlpm.r,_xlfn.XLOOKUP(1,MappingGuide[[#This Row],[API]:[API_3]],'[1]Squirrel SQL Export 1'!$K:$N,[1]!Table1[[#This Row],[MDM Comments]]),IF(_xlpm.r=0,"",_xlpm.r))</f>
        <v>#REF!</v>
      </c>
      <c r="W4" s="17" t="e" cm="1">
        <f t="array" ref="W4">_xlfn.LET(_xlpm.r,_xlfn.XLOOKUP(1,MappingGuide[[#This Row],[API]:[API_3]],'[1]Squirrel SQL Export 1'!$K:$N,[1]!Table1[[#This Row],[Exists In Syndigo?]]),IF(_xlpm.r=0,"",_xlpm.r))</f>
        <v>#REF!</v>
      </c>
      <c r="X4" s="17" t="e" cm="1">
        <f t="array" ref="X4">_xlfn.LET(_xlpm.r,_xlfn.XLOOKUP(1,MappingGuide[[#This Row],[API]:[API_3]],'[1]Squirrel SQL Export 1'!$K:$N,[1]!Table1[[#This Row],[Syndigo Name]]),IF(_xlpm.r=0,"",_xlpm.r))</f>
        <v>#REF!</v>
      </c>
      <c r="Y4" s="17"/>
      <c r="Z4" s="17" t="s">
        <v>47</v>
      </c>
      <c r="AA4" s="17"/>
      <c r="AB4" s="17"/>
      <c r="AC4" s="17" t="e" cm="1">
        <f t="array" ref="AC4">_xlfn.XLOOKUP(1,MappingGuide[[#This Row],[API]:[API_3]],'[1]Squirrel SQL Export 1'!$K:$N,[1]!Table1[[#This Row],[Doppio Notes2]])</f>
        <v>#REF!</v>
      </c>
      <c r="AD4" s="17" t="s">
        <v>1279</v>
      </c>
      <c r="AE4" s="17" t="e" cm="1">
        <f t="array" ref="AE4">_xlfn.XLOOKUP(1,MappingGuide[[#This Row],[API]:[API_3]],'[1]Squirrel SQL Export 1'!$K:$N,[1]!Table1[[#This Row],[DG_required]])</f>
        <v>#REF!</v>
      </c>
      <c r="AF4" s="21" t="s">
        <v>48</v>
      </c>
      <c r="AG4" s="21"/>
      <c r="AH4" s="24" t="e" cm="1">
        <f t="array" ref="AH4">_xlfn.LET(_xlpm.r,_xlfn.XLOOKUP(1,MappingGuide[[#This Row],[API]:[API_3]],'[1]Squirrel SQL Export 1'!$K:$N,[1]!Table1[[#This Row],[Pending Items]]),IF(_xlpm.r=0,"",_xlpm.r))</f>
        <v>#REF!</v>
      </c>
      <c r="AI4" s="22" t="e" cm="1">
        <f t="array" ref="AI4">_xlfn.LET(_xlpm.r,_xlfn.XLOOKUP(1,MappingGuide[[#This Row],[API]:[API_3]],'[1]Squirrel SQL Export 1'!$K:$N,[1]!Table1[[#This Row],[Syndigo Name]]),IF(_xlpm.r=0,"",_xlpm.r))</f>
        <v>#REF!</v>
      </c>
      <c r="AJ4" s="17"/>
    </row>
    <row r="5" spans="1:36" ht="18" hidden="1">
      <c r="A5" s="17">
        <v>3</v>
      </c>
      <c r="B5" s="17" t="s">
        <v>40</v>
      </c>
      <c r="C5" s="17" t="s">
        <v>49</v>
      </c>
      <c r="D5" s="17" t="s">
        <v>50</v>
      </c>
      <c r="E5" s="17" t="s">
        <v>33</v>
      </c>
      <c r="F5" s="17" t="s">
        <v>44</v>
      </c>
      <c r="G5" s="17"/>
      <c r="H5" s="17"/>
      <c r="I5" s="17"/>
      <c r="J5" s="17"/>
      <c r="K5" s="17"/>
      <c r="L5" s="17" t="s">
        <v>35</v>
      </c>
      <c r="M5" s="17" t="s">
        <v>36</v>
      </c>
      <c r="N5" s="17" t="s">
        <v>51</v>
      </c>
      <c r="O5" s="17"/>
      <c r="P5" s="17"/>
      <c r="Q5" s="17"/>
      <c r="R5" s="17" t="s">
        <v>46</v>
      </c>
      <c r="S5" s="17" t="e" cm="1">
        <f t="array" ref="S5">_xlfn.LET(_xlpm.r,_xlfn.XLOOKUP(1,MappingGuide[[#This Row],[API]:[API_3]],'[1]Squirrel SQL Export 1'!$K:$N,[1]!Table1[[#This Row],[Responsible from HJ]]),IF(_xlpm.r=0,"",_xlpm.r))</f>
        <v>#REF!</v>
      </c>
      <c r="T5" s="17"/>
      <c r="U5" s="17"/>
      <c r="V5" s="17" t="e" cm="1">
        <f t="array" ref="V5">_xlfn.LET(_xlpm.r,_xlfn.XLOOKUP(1,MappingGuide[[#This Row],[API]:[API_3]],'[1]Squirrel SQL Export 1'!$K:$N,[1]!Table1[[#This Row],[MDM Comments]]),IF(_xlpm.r=0,"",_xlpm.r))</f>
        <v>#REF!</v>
      </c>
      <c r="W5" s="17" t="e" cm="1">
        <f t="array" ref="W5">_xlfn.LET(_xlpm.r,_xlfn.XLOOKUP(1,MappingGuide[[#This Row],[API]:[API_3]],'[1]Squirrel SQL Export 1'!$K:$N,[1]!Table1[[#This Row],[Exists In Syndigo?]]),IF(_xlpm.r=0,"",_xlpm.r))</f>
        <v>#REF!</v>
      </c>
      <c r="X5" s="17" t="e" cm="1">
        <f t="array" ref="X5">_xlfn.LET(_xlpm.r,_xlfn.XLOOKUP(1,MappingGuide[[#This Row],[API]:[API_3]],'[1]Squirrel SQL Export 1'!$K:$N,[1]!Table1[[#This Row],[Syndigo Name]]),IF(_xlpm.r=0,"",_xlpm.r))</f>
        <v>#REF!</v>
      </c>
      <c r="Y5" s="17"/>
      <c r="Z5" s="17" t="s">
        <v>52</v>
      </c>
      <c r="AA5" s="17"/>
      <c r="AB5" s="17"/>
      <c r="AC5" s="17" t="e" cm="1">
        <f t="array" ref="AC5">_xlfn.XLOOKUP(1,MappingGuide[[#This Row],[API]:[API_3]],'[1]Squirrel SQL Export 1'!$K:$N,[1]!Table1[[#This Row],[Doppio Notes2]])</f>
        <v>#REF!</v>
      </c>
      <c r="AD5" s="17" t="s">
        <v>1279</v>
      </c>
      <c r="AE5" s="17" t="e" cm="1">
        <f t="array" ref="AE5">_xlfn.XLOOKUP(1,MappingGuide[[#This Row],[API]:[API_3]],'[1]Squirrel SQL Export 1'!$K:$N,[1]!Table1[[#This Row],[DG_required]])</f>
        <v>#REF!</v>
      </c>
      <c r="AF5" s="21" t="s">
        <v>1306</v>
      </c>
      <c r="AG5" s="21"/>
      <c r="AH5" s="24" t="e" cm="1">
        <f t="array" ref="AH5">_xlfn.LET(_xlpm.r,_xlfn.XLOOKUP(1,MappingGuide[[#This Row],[API]:[API_3]],'[1]Squirrel SQL Export 1'!$K:$N,[1]!Table1[[#This Row],[Pending Items]]),IF(_xlpm.r=0,"",_xlpm.r))</f>
        <v>#REF!</v>
      </c>
      <c r="AI5" s="22" t="e" cm="1">
        <f t="array" ref="AI5">_xlfn.LET(_xlpm.r,_xlfn.XLOOKUP(1,MappingGuide[[#This Row],[API]:[API_3]],'[1]Squirrel SQL Export 1'!$K:$N,[1]!Table1[[#This Row],[Syndigo Name]]),IF(_xlpm.r=0,"",_xlpm.r))</f>
        <v>#REF!</v>
      </c>
      <c r="AJ5" s="17"/>
    </row>
    <row r="6" spans="1:36" ht="18" hidden="1">
      <c r="A6" s="17">
        <v>4</v>
      </c>
      <c r="B6" s="17" t="s">
        <v>40</v>
      </c>
      <c r="C6" s="17" t="s">
        <v>54</v>
      </c>
      <c r="D6" s="17" t="s">
        <v>55</v>
      </c>
      <c r="E6" s="17" t="s">
        <v>33</v>
      </c>
      <c r="F6" s="17" t="s">
        <v>56</v>
      </c>
      <c r="G6" s="17"/>
      <c r="H6" s="17"/>
      <c r="I6" s="17" t="s">
        <v>57</v>
      </c>
      <c r="J6" s="17" t="s">
        <v>58</v>
      </c>
      <c r="K6" s="17"/>
      <c r="L6" s="17" t="s">
        <v>35</v>
      </c>
      <c r="M6" s="17" t="s">
        <v>36</v>
      </c>
      <c r="N6" s="17" t="s">
        <v>59</v>
      </c>
      <c r="O6" s="17"/>
      <c r="P6" s="17" t="s">
        <v>60</v>
      </c>
      <c r="Q6" s="17"/>
      <c r="R6" s="17"/>
      <c r="S6" s="17" t="e" cm="1">
        <f t="array" ref="S6">_xlfn.LET(_xlpm.r,_xlfn.XLOOKUP(1,MappingGuide[[#This Row],[API]:[API_3]],'[1]Squirrel SQL Export 1'!$K:$N,[1]!Table1[[#This Row],[Responsible from HJ]]),IF(_xlpm.r=0,"",_xlpm.r))</f>
        <v>#REF!</v>
      </c>
      <c r="T6" s="17"/>
      <c r="U6" s="17"/>
      <c r="V6" s="17" t="e" cm="1">
        <f t="array" ref="V6">_xlfn.LET(_xlpm.r,_xlfn.XLOOKUP(1,MappingGuide[[#This Row],[API]:[API_3]],'[1]Squirrel SQL Export 1'!$K:$N,[1]!Table1[[#This Row],[MDM Comments]]),IF(_xlpm.r=0,"",_xlpm.r))</f>
        <v>#REF!</v>
      </c>
      <c r="W6" s="17" t="e" cm="1">
        <f t="array" ref="W6">_xlfn.LET(_xlpm.r,_xlfn.XLOOKUP(1,MappingGuide[[#This Row],[API]:[API_3]],'[1]Squirrel SQL Export 1'!$K:$N,[1]!Table1[[#This Row],[Exists In Syndigo?]]),IF(_xlpm.r=0,"",_xlpm.r))</f>
        <v>#REF!</v>
      </c>
      <c r="X6" s="17" t="e" cm="1">
        <f t="array" ref="X6">_xlfn.LET(_xlpm.r,_xlfn.XLOOKUP(1,MappingGuide[[#This Row],[API]:[API_3]],'[1]Squirrel SQL Export 1'!$K:$N,[1]!Table1[[#This Row],[Syndigo Name]]),IF(_xlpm.r=0,"",_xlpm.r))</f>
        <v>#REF!</v>
      </c>
      <c r="Y6" s="17"/>
      <c r="Z6" s="17" t="s">
        <v>61</v>
      </c>
      <c r="AA6" s="17" t="s">
        <v>62</v>
      </c>
      <c r="AB6" s="17"/>
      <c r="AC6" s="17" t="e" cm="1">
        <f t="array" ref="AC6">_xlfn.XLOOKUP(1,MappingGuide[[#This Row],[API]:[API_3]],'[1]Squirrel SQL Export 1'!$K:$N,[1]!Table1[[#This Row],[Doppio Notes2]])</f>
        <v>#REF!</v>
      </c>
      <c r="AD6" s="17" t="s">
        <v>1279</v>
      </c>
      <c r="AE6" s="17" t="e" cm="1">
        <f t="array" ref="AE6">_xlfn.XLOOKUP(1,MappingGuide[[#This Row],[API]:[API_3]],'[1]Squirrel SQL Export 1'!$K:$N,[1]!Table1[[#This Row],[DG_required]])</f>
        <v>#REF!</v>
      </c>
      <c r="AF6" s="22">
        <v>20</v>
      </c>
      <c r="AG6" s="22"/>
      <c r="AH6" s="24" t="e" cm="1">
        <f t="array" ref="AH6">_xlfn.LET(_xlpm.r,_xlfn.XLOOKUP(1,MappingGuide[[#This Row],[API]:[API_3]],'[1]Squirrel SQL Export 1'!$K:$N,[1]!Table1[[#This Row],[Pending Items]]),IF(_xlpm.r=0,"",_xlpm.r))</f>
        <v>#REF!</v>
      </c>
      <c r="AI6" s="22" t="e" cm="1">
        <f t="array" ref="AI6">_xlfn.LET(_xlpm.r,_xlfn.XLOOKUP(1,MappingGuide[[#This Row],[API]:[API_3]],'[1]Squirrel SQL Export 1'!$K:$N,[1]!Table1[[#This Row],[Syndigo Name]]),IF(_xlpm.r=0,"",_xlpm.r))</f>
        <v>#REF!</v>
      </c>
      <c r="AJ6" s="17"/>
    </row>
    <row r="7" spans="1:36" ht="18" hidden="1">
      <c r="A7" s="17">
        <v>5</v>
      </c>
      <c r="B7" s="17" t="s">
        <v>40</v>
      </c>
      <c r="C7" s="17" t="s">
        <v>64</v>
      </c>
      <c r="D7" s="17" t="s">
        <v>65</v>
      </c>
      <c r="E7" s="17" t="s">
        <v>33</v>
      </c>
      <c r="F7" s="17" t="s">
        <v>34</v>
      </c>
      <c r="G7" s="17"/>
      <c r="H7" s="17"/>
      <c r="I7" s="17" t="s">
        <v>57</v>
      </c>
      <c r="J7" s="17" t="s">
        <v>58</v>
      </c>
      <c r="K7" s="17"/>
      <c r="L7" s="17" t="s">
        <v>35</v>
      </c>
      <c r="M7" s="17" t="s">
        <v>36</v>
      </c>
      <c r="N7" s="17" t="s">
        <v>66</v>
      </c>
      <c r="O7" s="17"/>
      <c r="P7" s="17" t="s">
        <v>67</v>
      </c>
      <c r="Q7" s="17"/>
      <c r="R7" s="17" t="s">
        <v>68</v>
      </c>
      <c r="S7" s="17" t="e" cm="1">
        <f t="array" ref="S7">_xlfn.LET(_xlpm.r,_xlfn.XLOOKUP(1,MappingGuide[[#This Row],[API]:[API_3]],'[1]Squirrel SQL Export 1'!$K:$N,[1]!Table1[[#This Row],[Responsible from HJ]]),IF(_xlpm.r=0,"",_xlpm.r))</f>
        <v>#REF!</v>
      </c>
      <c r="T7" s="17" t="s">
        <v>39</v>
      </c>
      <c r="U7" s="17" t="s">
        <v>1280</v>
      </c>
      <c r="V7" s="17" t="e" cm="1">
        <f t="array" ref="V7">_xlfn.LET(_xlpm.r,_xlfn.XLOOKUP(1,MappingGuide[[#This Row],[API]:[API_3]],'[1]Squirrel SQL Export 1'!$K:$N,[1]!Table1[[#This Row],[MDM Comments]]),IF(_xlpm.r=0,"",_xlpm.r))</f>
        <v>#REF!</v>
      </c>
      <c r="W7" s="17" t="e" cm="1">
        <f t="array" ref="W7">_xlfn.LET(_xlpm.r,_xlfn.XLOOKUP(1,MappingGuide[[#This Row],[API]:[API_3]],'[1]Squirrel SQL Export 1'!$K:$N,[1]!Table1[[#This Row],[Exists In Syndigo?]]),IF(_xlpm.r=0,"",_xlpm.r))</f>
        <v>#REF!</v>
      </c>
      <c r="X7" s="17" t="e" cm="1">
        <f t="array" ref="X7">_xlfn.LET(_xlpm.r,_xlfn.XLOOKUP(1,MappingGuide[[#This Row],[API]:[API_3]],'[1]Squirrel SQL Export 1'!$K:$N,[1]!Table1[[#This Row],[Syndigo Name]]),IF(_xlpm.r=0,"",_xlpm.r))</f>
        <v>#REF!</v>
      </c>
      <c r="Y7" s="17"/>
      <c r="Z7" s="17" t="s">
        <v>69</v>
      </c>
      <c r="AA7" s="17"/>
      <c r="AB7" s="17"/>
      <c r="AC7" s="17" t="e" cm="1">
        <f t="array" ref="AC7">_xlfn.XLOOKUP(1,MappingGuide[[#This Row],[API]:[API_3]],'[1]Squirrel SQL Export 1'!$K:$N,[1]!Table1[[#This Row],[Doppio Notes2]])</f>
        <v>#REF!</v>
      </c>
      <c r="AD7" s="17" t="s">
        <v>1279</v>
      </c>
      <c r="AE7" s="17" t="e" cm="1">
        <f t="array" ref="AE7">_xlfn.XLOOKUP(1,MappingGuide[[#This Row],[API]:[API_3]],'[1]Squirrel SQL Export 1'!$K:$N,[1]!Table1[[#This Row],[DG_required]])</f>
        <v>#REF!</v>
      </c>
      <c r="AF7" s="21" t="s">
        <v>1281</v>
      </c>
      <c r="AG7" s="21"/>
      <c r="AH7" s="24" t="e" cm="1">
        <f t="array" ref="AH7">_xlfn.LET(_xlpm.r,_xlfn.XLOOKUP(1,MappingGuide[[#This Row],[API]:[API_3]],'[1]Squirrel SQL Export 1'!$K:$N,[1]!Table1[[#This Row],[Pending Items]]),IF(_xlpm.r=0,"",_xlpm.r))</f>
        <v>#REF!</v>
      </c>
      <c r="AI7" s="22" t="e" cm="1">
        <f t="array" ref="AI7">_xlfn.LET(_xlpm.r,_xlfn.XLOOKUP(1,MappingGuide[[#This Row],[API]:[API_3]],'[1]Squirrel SQL Export 1'!$K:$N,[1]!Table1[[#This Row],[Syndigo Name]]),IF(_xlpm.r=0,"",_xlpm.r))</f>
        <v>#REF!</v>
      </c>
      <c r="AJ7" s="17"/>
    </row>
    <row r="8" spans="1:36" ht="54" hidden="1">
      <c r="A8" s="17">
        <v>6</v>
      </c>
      <c r="B8" s="17" t="s">
        <v>40</v>
      </c>
      <c r="C8" s="17" t="s">
        <v>70</v>
      </c>
      <c r="D8" s="17" t="s">
        <v>71</v>
      </c>
      <c r="E8" s="17" t="s">
        <v>33</v>
      </c>
      <c r="F8" s="17" t="s">
        <v>44</v>
      </c>
      <c r="G8" s="17"/>
      <c r="H8" s="17"/>
      <c r="I8" s="17" t="s">
        <v>57</v>
      </c>
      <c r="J8" s="17" t="s">
        <v>72</v>
      </c>
      <c r="K8" s="17"/>
      <c r="L8" s="17" t="s">
        <v>35</v>
      </c>
      <c r="M8" s="17" t="s">
        <v>73</v>
      </c>
      <c r="N8" s="17" t="s">
        <v>74</v>
      </c>
      <c r="O8" s="17"/>
      <c r="P8" s="17" t="s">
        <v>75</v>
      </c>
      <c r="Q8" s="17"/>
      <c r="R8" s="17"/>
      <c r="S8" s="17" t="e" cm="1">
        <f t="array" ref="S8">_xlfn.LET(_xlpm.r,_xlfn.XLOOKUP(1,MappingGuide[[#This Row],[API]:[API_3]],'[1]Squirrel SQL Export 1'!$K:$N,[1]!Table1[[#This Row],[Responsible from HJ]]),IF(_xlpm.r=0,"",_xlpm.r))</f>
        <v>#REF!</v>
      </c>
      <c r="T8" s="17"/>
      <c r="U8" s="17"/>
      <c r="V8" s="17" t="e" cm="1">
        <f t="array" ref="V8">_xlfn.LET(_xlpm.r,_xlfn.XLOOKUP(1,MappingGuide[[#This Row],[API]:[API_3]],'[1]Squirrel SQL Export 1'!$K:$N,[1]!Table1[[#This Row],[MDM Comments]]),IF(_xlpm.r=0,"",_xlpm.r))</f>
        <v>#REF!</v>
      </c>
      <c r="W8" s="17" t="e" cm="1">
        <f t="array" ref="W8">_xlfn.LET(_xlpm.r,_xlfn.XLOOKUP(1,MappingGuide[[#This Row],[API]:[API_3]],'[1]Squirrel SQL Export 1'!$K:$N,[1]!Table1[[#This Row],[Exists In Syndigo?]]),IF(_xlpm.r=0,"",_xlpm.r))</f>
        <v>#REF!</v>
      </c>
      <c r="X8" s="17" t="e" cm="1">
        <f t="array" ref="X8">_xlfn.LET(_xlpm.r,_xlfn.XLOOKUP(1,MappingGuide[[#This Row],[API]:[API_3]],'[1]Squirrel SQL Export 1'!$K:$N,[1]!Table1[[#This Row],[Syndigo Name]]),IF(_xlpm.r=0,"",_xlpm.r))</f>
        <v>#REF!</v>
      </c>
      <c r="Y8" s="17"/>
      <c r="Z8" s="17" t="s">
        <v>76</v>
      </c>
      <c r="AA8" s="17"/>
      <c r="AB8" s="17"/>
      <c r="AC8" s="17" t="e" cm="1">
        <f t="array" ref="AC8">_xlfn.XLOOKUP(1,MappingGuide[[#This Row],[API]:[API_3]],'[1]Squirrel SQL Export 1'!$K:$N,[1]!Table1[[#This Row],[Doppio Notes2]])</f>
        <v>#REF!</v>
      </c>
      <c r="AD8" s="17" t="s">
        <v>1279</v>
      </c>
      <c r="AE8" s="17" t="e" cm="1">
        <f t="array" ref="AE8">_xlfn.XLOOKUP(1,MappingGuide[[#This Row],[API]:[API_3]],'[1]Squirrel SQL Export 1'!$K:$N,[1]!Table1[[#This Row],[DG_required]])</f>
        <v>#REF!</v>
      </c>
      <c r="AF8" s="21" t="s">
        <v>77</v>
      </c>
      <c r="AG8" s="21"/>
      <c r="AH8" s="24" t="e" cm="1">
        <f t="array" ref="AH8">_xlfn.LET(_xlpm.r,_xlfn.XLOOKUP(1,MappingGuide[[#This Row],[API]:[API_3]],'[1]Squirrel SQL Export 1'!$K:$N,[1]!Table1[[#This Row],[Pending Items]]),IF(_xlpm.r=0,"",_xlpm.r))</f>
        <v>#REF!</v>
      </c>
      <c r="AI8" s="22" t="e" cm="1">
        <f t="array" ref="AI8">_xlfn.LET(_xlpm.r,_xlfn.XLOOKUP(1,MappingGuide[[#This Row],[API]:[API_3]],'[1]Squirrel SQL Export 1'!$K:$N,[1]!Table1[[#This Row],[Syndigo Name]]),IF(_xlpm.r=0,"",_xlpm.r))</f>
        <v>#REF!</v>
      </c>
      <c r="AJ8" s="17"/>
    </row>
    <row r="9" spans="1:36" ht="216" hidden="1">
      <c r="A9" s="17">
        <v>7</v>
      </c>
      <c r="B9" s="17" t="s">
        <v>40</v>
      </c>
      <c r="C9" s="17" t="s">
        <v>78</v>
      </c>
      <c r="D9" s="17" t="s">
        <v>79</v>
      </c>
      <c r="E9" s="17" t="s">
        <v>43</v>
      </c>
      <c r="F9" s="17" t="s">
        <v>80</v>
      </c>
      <c r="G9" s="17"/>
      <c r="H9" s="17"/>
      <c r="I9" s="17" t="s">
        <v>57</v>
      </c>
      <c r="J9" s="17" t="s">
        <v>58</v>
      </c>
      <c r="K9" s="17"/>
      <c r="L9" s="17" t="s">
        <v>35</v>
      </c>
      <c r="M9" s="17" t="s">
        <v>36</v>
      </c>
      <c r="N9" s="17" t="s">
        <v>81</v>
      </c>
      <c r="O9" s="17"/>
      <c r="P9" s="17" t="s">
        <v>82</v>
      </c>
      <c r="Q9" s="17"/>
      <c r="R9" s="17"/>
      <c r="S9" s="17" t="e" cm="1">
        <f t="array" ref="S9">_xlfn.LET(_xlpm.r,_xlfn.XLOOKUP(1,MappingGuide[[#This Row],[API]:[API_3]],'[1]Squirrel SQL Export 1'!$K:$N,[1]!Table1[[#This Row],[Responsible from HJ]]),IF(_xlpm.r=0,"",_xlpm.r))</f>
        <v>#REF!</v>
      </c>
      <c r="T9" s="17"/>
      <c r="U9" s="17"/>
      <c r="V9" s="17" t="e" cm="1">
        <f t="array" ref="V9">_xlfn.LET(_xlpm.r,_xlfn.XLOOKUP(1,MappingGuide[[#This Row],[API]:[API_3]],'[1]Squirrel SQL Export 1'!$K:$N,[1]!Table1[[#This Row],[MDM Comments]]),IF(_xlpm.r=0,"",_xlpm.r))</f>
        <v>#REF!</v>
      </c>
      <c r="W9" s="17" t="e" cm="1">
        <f t="array" ref="W9">_xlfn.LET(_xlpm.r,_xlfn.XLOOKUP(1,MappingGuide[[#This Row],[API]:[API_3]],'[1]Squirrel SQL Export 1'!$K:$N,[1]!Table1[[#This Row],[Exists In Syndigo?]]),IF(_xlpm.r=0,"",_xlpm.r))</f>
        <v>#REF!</v>
      </c>
      <c r="X9" s="17" t="e" cm="1">
        <f t="array" ref="X9">_xlfn.LET(_xlpm.r,_xlfn.XLOOKUP(1,MappingGuide[[#This Row],[API]:[API_3]],'[1]Squirrel SQL Export 1'!$K:$N,[1]!Table1[[#This Row],[Syndigo Name]]),IF(_xlpm.r=0,"",_xlpm.r))</f>
        <v>#REF!</v>
      </c>
      <c r="Y9" s="17"/>
      <c r="Z9" s="17" t="s">
        <v>83</v>
      </c>
      <c r="AA9" s="17" t="s">
        <v>84</v>
      </c>
      <c r="AB9" s="17"/>
      <c r="AC9" s="17" t="e" cm="1">
        <f t="array" ref="AC9">_xlfn.XLOOKUP(1,MappingGuide[[#This Row],[API]:[API_3]],'[1]Squirrel SQL Export 1'!$K:$N,[1]!Table1[[#This Row],[Doppio Notes2]])</f>
        <v>#REF!</v>
      </c>
      <c r="AD9" s="17" t="s">
        <v>1279</v>
      </c>
      <c r="AE9" s="17" t="e" cm="1">
        <f t="array" ref="AE9">_xlfn.XLOOKUP(1,MappingGuide[[#This Row],[API]:[API_3]],'[1]Squirrel SQL Export 1'!$K:$N,[1]!Table1[[#This Row],[DG_required]])</f>
        <v>#REF!</v>
      </c>
      <c r="AF9" s="21" t="s">
        <v>1290</v>
      </c>
      <c r="AG9" s="21"/>
      <c r="AH9" s="24" t="e" cm="1">
        <f t="array" ref="AH9">_xlfn.LET(_xlpm.r,_xlfn.XLOOKUP(1,MappingGuide[[#This Row],[API]:[API_3]],'[1]Squirrel SQL Export 1'!$K:$N,[1]!Table1[[#This Row],[Pending Items]]),IF(_xlpm.r=0,"",_xlpm.r))</f>
        <v>#REF!</v>
      </c>
      <c r="AI9" s="22" t="e" cm="1">
        <f t="array" ref="AI9">_xlfn.LET(_xlpm.r,_xlfn.XLOOKUP(1,MappingGuide[[#This Row],[API]:[API_3]],'[1]Squirrel SQL Export 1'!$K:$N,[1]!Table1[[#This Row],[Syndigo Name]]),IF(_xlpm.r=0,"",_xlpm.r))</f>
        <v>#REF!</v>
      </c>
      <c r="AJ9" s="17"/>
    </row>
    <row r="10" spans="1:36" ht="17" hidden="1">
      <c r="A10" s="17">
        <v>8</v>
      </c>
      <c r="B10" s="17" t="s">
        <v>40</v>
      </c>
      <c r="C10" s="17" t="s">
        <v>85</v>
      </c>
      <c r="D10" s="17" t="s">
        <v>86</v>
      </c>
      <c r="E10" s="17" t="s">
        <v>33</v>
      </c>
      <c r="F10" s="17" t="s">
        <v>34</v>
      </c>
      <c r="G10" s="17"/>
      <c r="H10" s="17"/>
      <c r="I10" s="17" t="s">
        <v>57</v>
      </c>
      <c r="J10" s="17" t="s">
        <v>58</v>
      </c>
      <c r="K10" s="17"/>
      <c r="L10" s="17" t="s">
        <v>35</v>
      </c>
      <c r="M10" s="17" t="s">
        <v>36</v>
      </c>
      <c r="N10" s="17" t="s">
        <v>87</v>
      </c>
      <c r="O10" s="17"/>
      <c r="P10" s="17"/>
      <c r="Q10" s="17"/>
      <c r="R10" s="17"/>
      <c r="S10" s="17" t="e" cm="1">
        <f t="array" ref="S10">_xlfn.LET(_xlpm.r,_xlfn.XLOOKUP(1,MappingGuide[[#This Row],[API]:[API_3]],'[1]Squirrel SQL Export 1'!$K:$N,[1]!Table1[[#This Row],[Responsible from HJ]]),IF(_xlpm.r=0,"",_xlpm.r))</f>
        <v>#REF!</v>
      </c>
      <c r="T10" s="17"/>
      <c r="U10" s="17"/>
      <c r="V10" s="17" t="e" cm="1">
        <f t="array" ref="V10">_xlfn.LET(_xlpm.r,_xlfn.XLOOKUP(1,MappingGuide[[#This Row],[API]:[API_3]],'[1]Squirrel SQL Export 1'!$K:$N,[1]!Table1[[#This Row],[MDM Comments]]),IF(_xlpm.r=0,"",_xlpm.r))</f>
        <v>#REF!</v>
      </c>
      <c r="W10" s="17" t="e" cm="1">
        <f t="array" ref="W10">_xlfn.LET(_xlpm.r,_xlfn.XLOOKUP(1,MappingGuide[[#This Row],[API]:[API_3]],'[1]Squirrel SQL Export 1'!$K:$N,[1]!Table1[[#This Row],[Exists In Syndigo?]]),IF(_xlpm.r=0,"",_xlpm.r))</f>
        <v>#REF!</v>
      </c>
      <c r="X10" s="17" t="e" cm="1">
        <f t="array" ref="X10">_xlfn.LET(_xlpm.r,_xlfn.XLOOKUP(1,MappingGuide[[#This Row],[API]:[API_3]],'[1]Squirrel SQL Export 1'!$K:$N,[1]!Table1[[#This Row],[Syndigo Name]]),IF(_xlpm.r=0,"",_xlpm.r))</f>
        <v>#REF!</v>
      </c>
      <c r="Y10" s="17"/>
      <c r="Z10" s="17" t="s">
        <v>88</v>
      </c>
      <c r="AA10" s="17"/>
      <c r="AB10" s="17"/>
      <c r="AC10" s="17" t="e" cm="1">
        <f t="array" ref="AC10">_xlfn.XLOOKUP(1,MappingGuide[[#This Row],[API]:[API_3]],'[1]Squirrel SQL Export 1'!$K:$N,[1]!Table1[[#This Row],[Doppio Notes2]])</f>
        <v>#REF!</v>
      </c>
      <c r="AD10" s="17"/>
      <c r="AE10" s="17" t="e" cm="1">
        <f t="array" ref="AE10">_xlfn.XLOOKUP(1,MappingGuide[[#This Row],[API]:[API_3]],'[1]Squirrel SQL Export 1'!$K:$N,[1]!Table1[[#This Row],[DG_required]])</f>
        <v>#REF!</v>
      </c>
      <c r="AF10" s="21" t="s">
        <v>1286</v>
      </c>
      <c r="AG10" s="21"/>
      <c r="AH10" s="22" t="e" cm="1">
        <f t="array" ref="AH10">_xlfn.LET(_xlpm.r,_xlfn.XLOOKUP(1,MappingGuide[[#This Row],[API]:[API_3]],'[1]Squirrel SQL Export 1'!$K:$N,[1]!Table1[[#This Row],[Pending Items]]),IF(_xlpm.r=0,"",_xlpm.r))</f>
        <v>#REF!</v>
      </c>
      <c r="AI10" s="22" t="e" cm="1">
        <f t="array" ref="AI10">_xlfn.LET(_xlpm.r,_xlfn.XLOOKUP(1,MappingGuide[[#This Row],[API]:[API_3]],'[1]Squirrel SQL Export 1'!$K:$N,[1]!Table1[[#This Row],[Syndigo Name]]),IF(_xlpm.r=0,"",_xlpm.r))</f>
        <v>#REF!</v>
      </c>
      <c r="AJ10" s="17"/>
    </row>
    <row r="11" spans="1:36" ht="18" hidden="1">
      <c r="A11" s="17">
        <v>9</v>
      </c>
      <c r="B11" s="17" t="s">
        <v>40</v>
      </c>
      <c r="C11" s="17" t="s">
        <v>89</v>
      </c>
      <c r="D11" s="17" t="s">
        <v>90</v>
      </c>
      <c r="E11" s="17" t="s">
        <v>33</v>
      </c>
      <c r="F11" s="17" t="s">
        <v>91</v>
      </c>
      <c r="G11" s="17"/>
      <c r="H11" s="17"/>
      <c r="I11" s="17" t="s">
        <v>57</v>
      </c>
      <c r="J11" s="17" t="s">
        <v>58</v>
      </c>
      <c r="K11" s="17"/>
      <c r="L11" s="17" t="s">
        <v>35</v>
      </c>
      <c r="M11" s="17" t="s">
        <v>36</v>
      </c>
      <c r="N11" s="17" t="s">
        <v>92</v>
      </c>
      <c r="O11" s="17"/>
      <c r="P11" s="17" t="s">
        <v>93</v>
      </c>
      <c r="Q11" s="17"/>
      <c r="R11" s="17" t="s">
        <v>94</v>
      </c>
      <c r="S11" s="17" t="e" cm="1">
        <f t="array" ref="S11">_xlfn.LET(_xlpm.r,_xlfn.XLOOKUP(1,MappingGuide[[#This Row],[API]:[API_3]],'[1]Squirrel SQL Export 1'!$K:$N,[1]!Table1[[#This Row],[Responsible from HJ]]),IF(_xlpm.r=0,"",_xlpm.r))</f>
        <v>#REF!</v>
      </c>
      <c r="T11" s="17" t="s">
        <v>39</v>
      </c>
      <c r="U11" s="17" t="s">
        <v>1282</v>
      </c>
      <c r="V11" s="17" t="e" cm="1">
        <f t="array" ref="V11">_xlfn.LET(_xlpm.r,_xlfn.XLOOKUP(1,MappingGuide[[#This Row],[API]:[API_3]],'[1]Squirrel SQL Export 1'!$K:$N,[1]!Table1[[#This Row],[MDM Comments]]),IF(_xlpm.r=0,"",_xlpm.r))</f>
        <v>#REF!</v>
      </c>
      <c r="W11" s="17" t="e" cm="1">
        <f t="array" ref="W11">_xlfn.LET(_xlpm.r,_xlfn.XLOOKUP(1,MappingGuide[[#This Row],[API]:[API_3]],'[1]Squirrel SQL Export 1'!$K:$N,[1]!Table1[[#This Row],[Exists In Syndigo?]]),IF(_xlpm.r=0,"",_xlpm.r))</f>
        <v>#REF!</v>
      </c>
      <c r="X11" s="17" t="e" cm="1">
        <f t="array" ref="X11">_xlfn.LET(_xlpm.r,_xlfn.XLOOKUP(1,MappingGuide[[#This Row],[API]:[API_3]],'[1]Squirrel SQL Export 1'!$K:$N,[1]!Table1[[#This Row],[Syndigo Name]]),IF(_xlpm.r=0,"",_xlpm.r))</f>
        <v>#REF!</v>
      </c>
      <c r="Y11" s="17"/>
      <c r="Z11" s="17" t="s">
        <v>95</v>
      </c>
      <c r="AA11" s="17"/>
      <c r="AB11" s="17"/>
      <c r="AC11" s="17" t="e" cm="1">
        <f t="array" ref="AC11">_xlfn.XLOOKUP(1,MappingGuide[[#This Row],[API]:[API_3]],'[1]Squirrel SQL Export 1'!$K:$N,[1]!Table1[[#This Row],[Doppio Notes2]])</f>
        <v>#REF!</v>
      </c>
      <c r="AD11" s="17" t="s">
        <v>1279</v>
      </c>
      <c r="AE11" s="17" t="e" cm="1">
        <f t="array" ref="AE11">_xlfn.XLOOKUP(1,MappingGuide[[#This Row],[API]:[API_3]],'[1]Squirrel SQL Export 1'!$K:$N,[1]!Table1[[#This Row],[DG_required]])</f>
        <v>#REF!</v>
      </c>
      <c r="AF11" s="21" t="s">
        <v>1291</v>
      </c>
      <c r="AG11" s="21"/>
      <c r="AH11" s="24" t="e" cm="1">
        <f t="array" ref="AH11">_xlfn.LET(_xlpm.r,_xlfn.XLOOKUP(1,MappingGuide[[#This Row],[API]:[API_3]],'[1]Squirrel SQL Export 1'!$K:$N,[1]!Table1[[#This Row],[Pending Items]]),IF(_xlpm.r=0,"",_xlpm.r))</f>
        <v>#REF!</v>
      </c>
      <c r="AI11" s="22" t="e" cm="1">
        <f t="array" ref="AI11">_xlfn.LET(_xlpm.r,_xlfn.XLOOKUP(1,MappingGuide[[#This Row],[API]:[API_3]],'[1]Squirrel SQL Export 1'!$K:$N,[1]!Table1[[#This Row],[Syndigo Name]]),IF(_xlpm.r=0,"",_xlpm.r))</f>
        <v>#REF!</v>
      </c>
      <c r="AJ11" s="17"/>
    </row>
    <row r="12" spans="1:36" ht="18" hidden="1">
      <c r="A12" s="17">
        <v>10</v>
      </c>
      <c r="B12" s="17" t="s">
        <v>40</v>
      </c>
      <c r="C12" s="17" t="s">
        <v>96</v>
      </c>
      <c r="D12" s="17" t="s">
        <v>97</v>
      </c>
      <c r="E12" s="17" t="s">
        <v>33</v>
      </c>
      <c r="F12" s="17" t="s">
        <v>91</v>
      </c>
      <c r="G12" s="17"/>
      <c r="H12" s="17"/>
      <c r="I12" s="17" t="s">
        <v>57</v>
      </c>
      <c r="J12" s="17" t="s">
        <v>58</v>
      </c>
      <c r="K12" s="17"/>
      <c r="L12" s="17" t="s">
        <v>35</v>
      </c>
      <c r="M12" s="17" t="s">
        <v>36</v>
      </c>
      <c r="N12" s="17" t="s">
        <v>98</v>
      </c>
      <c r="O12" s="17"/>
      <c r="P12" s="17" t="s">
        <v>99</v>
      </c>
      <c r="Q12" s="17"/>
      <c r="R12" s="17" t="s">
        <v>100</v>
      </c>
      <c r="S12" s="17" t="e" cm="1">
        <f t="array" ref="S12">_xlfn.LET(_xlpm.r,_xlfn.XLOOKUP(1,MappingGuide[[#This Row],[API]:[API_3]],'[1]Squirrel SQL Export 1'!$K:$N,[1]!Table1[[#This Row],[Responsible from HJ]]),IF(_xlpm.r=0,"",_xlpm.r))</f>
        <v>#REF!</v>
      </c>
      <c r="T12" s="17" t="s">
        <v>39</v>
      </c>
      <c r="U12" s="17" t="s">
        <v>1283</v>
      </c>
      <c r="V12" s="17" t="e" cm="1">
        <f t="array" ref="V12">_xlfn.LET(_xlpm.r,_xlfn.XLOOKUP(1,MappingGuide[[#This Row],[API]:[API_3]],'[1]Squirrel SQL Export 1'!$K:$N,[1]!Table1[[#This Row],[MDM Comments]]),IF(_xlpm.r=0,"",_xlpm.r))</f>
        <v>#REF!</v>
      </c>
      <c r="W12" s="17" t="e" cm="1">
        <f t="array" ref="W12">_xlfn.LET(_xlpm.r,_xlfn.XLOOKUP(1,MappingGuide[[#This Row],[API]:[API_3]],'[1]Squirrel SQL Export 1'!$K:$N,[1]!Table1[[#This Row],[Exists In Syndigo?]]),IF(_xlpm.r=0,"",_xlpm.r))</f>
        <v>#REF!</v>
      </c>
      <c r="X12" s="17" t="e" cm="1">
        <f t="array" ref="X12">_xlfn.LET(_xlpm.r,_xlfn.XLOOKUP(1,MappingGuide[[#This Row],[API]:[API_3]],'[1]Squirrel SQL Export 1'!$K:$N,[1]!Table1[[#This Row],[Syndigo Name]]),IF(_xlpm.r=0,"",_xlpm.r))</f>
        <v>#REF!</v>
      </c>
      <c r="Y12" s="17"/>
      <c r="Z12" s="17" t="s">
        <v>101</v>
      </c>
      <c r="AA12" s="17"/>
      <c r="AB12" s="17"/>
      <c r="AC12" s="17" t="e" cm="1">
        <f t="array" ref="AC12">_xlfn.XLOOKUP(1,MappingGuide[[#This Row],[API]:[API_3]],'[1]Squirrel SQL Export 1'!$K:$N,[1]!Table1[[#This Row],[Doppio Notes2]])</f>
        <v>#REF!</v>
      </c>
      <c r="AD12" s="17" t="s">
        <v>1279</v>
      </c>
      <c r="AE12" s="17" t="e" cm="1">
        <f t="array" ref="AE12">_xlfn.XLOOKUP(1,MappingGuide[[#This Row],[API]:[API_3]],'[1]Squirrel SQL Export 1'!$K:$N,[1]!Table1[[#This Row],[DG_required]])</f>
        <v>#REF!</v>
      </c>
      <c r="AF12" s="21" t="s">
        <v>1292</v>
      </c>
      <c r="AG12" s="21"/>
      <c r="AH12" s="24" t="e" cm="1">
        <f t="array" ref="AH12">_xlfn.LET(_xlpm.r,_xlfn.XLOOKUP(1,MappingGuide[[#This Row],[API]:[API_3]],'[1]Squirrel SQL Export 1'!$K:$N,[1]!Table1[[#This Row],[Pending Items]]),IF(_xlpm.r=0,"",_xlpm.r))</f>
        <v>#REF!</v>
      </c>
      <c r="AI12" s="22" t="e" cm="1">
        <f t="array" ref="AI12">_xlfn.LET(_xlpm.r,_xlfn.XLOOKUP(1,MappingGuide[[#This Row],[API]:[API_3]],'[1]Squirrel SQL Export 1'!$K:$N,[1]!Table1[[#This Row],[Syndigo Name]]),IF(_xlpm.r=0,"",_xlpm.r))</f>
        <v>#REF!</v>
      </c>
      <c r="AJ12" s="17"/>
    </row>
    <row r="13" spans="1:36" ht="18" hidden="1">
      <c r="A13" s="17">
        <v>11</v>
      </c>
      <c r="B13" s="17" t="s">
        <v>40</v>
      </c>
      <c r="C13" s="17" t="s">
        <v>102</v>
      </c>
      <c r="D13" s="17" t="s">
        <v>103</v>
      </c>
      <c r="E13" s="17" t="s">
        <v>33</v>
      </c>
      <c r="F13" s="17" t="s">
        <v>91</v>
      </c>
      <c r="G13" s="17"/>
      <c r="H13" s="17"/>
      <c r="I13" s="17" t="s">
        <v>57</v>
      </c>
      <c r="J13" s="17" t="s">
        <v>58</v>
      </c>
      <c r="K13" s="17"/>
      <c r="L13" s="17" t="s">
        <v>35</v>
      </c>
      <c r="M13" s="17" t="s">
        <v>36</v>
      </c>
      <c r="N13" s="17" t="s">
        <v>104</v>
      </c>
      <c r="O13" s="17"/>
      <c r="P13" s="17" t="s">
        <v>99</v>
      </c>
      <c r="Q13" s="17"/>
      <c r="R13" s="17" t="s">
        <v>105</v>
      </c>
      <c r="S13" s="17" t="e" cm="1">
        <f t="array" ref="S13">_xlfn.LET(_xlpm.r,_xlfn.XLOOKUP(1,MappingGuide[[#This Row],[API]:[API_3]],'[1]Squirrel SQL Export 1'!$K:$N,[1]!Table1[[#This Row],[Responsible from HJ]]),IF(_xlpm.r=0,"",_xlpm.r))</f>
        <v>#REF!</v>
      </c>
      <c r="T13" s="17" t="s">
        <v>39</v>
      </c>
      <c r="U13" s="17"/>
      <c r="V13" s="17" t="e" cm="1">
        <f t="array" ref="V13">_xlfn.LET(_xlpm.r,_xlfn.XLOOKUP(1,MappingGuide[[#This Row],[API]:[API_3]],'[1]Squirrel SQL Export 1'!$K:$N,[1]!Table1[[#This Row],[MDM Comments]]),IF(_xlpm.r=0,"",_xlpm.r))</f>
        <v>#REF!</v>
      </c>
      <c r="W13" s="17" t="e" cm="1">
        <f t="array" ref="W13">_xlfn.LET(_xlpm.r,_xlfn.XLOOKUP(1,MappingGuide[[#This Row],[API]:[API_3]],'[1]Squirrel SQL Export 1'!$K:$N,[1]!Table1[[#This Row],[Exists In Syndigo?]]),IF(_xlpm.r=0,"",_xlpm.r))</f>
        <v>#REF!</v>
      </c>
      <c r="X13" s="17" t="e" cm="1">
        <f t="array" ref="X13">_xlfn.LET(_xlpm.r,_xlfn.XLOOKUP(1,MappingGuide[[#This Row],[API]:[API_3]],'[1]Squirrel SQL Export 1'!$K:$N,[1]!Table1[[#This Row],[Syndigo Name]]),IF(_xlpm.r=0,"",_xlpm.r))</f>
        <v>#REF!</v>
      </c>
      <c r="Y13" s="17"/>
      <c r="Z13" s="17" t="s">
        <v>101</v>
      </c>
      <c r="AA13" s="17"/>
      <c r="AB13" s="17"/>
      <c r="AC13" s="17" t="e" cm="1">
        <f t="array" ref="AC13">_xlfn.XLOOKUP(1,MappingGuide[[#This Row],[API]:[API_3]],'[1]Squirrel SQL Export 1'!$K:$N,[1]!Table1[[#This Row],[Doppio Notes2]])</f>
        <v>#REF!</v>
      </c>
      <c r="AD13" s="17" t="s">
        <v>1279</v>
      </c>
      <c r="AE13" s="17" t="e" cm="1">
        <f t="array" ref="AE13">_xlfn.XLOOKUP(1,MappingGuide[[#This Row],[API]:[API_3]],'[1]Squirrel SQL Export 1'!$K:$N,[1]!Table1[[#This Row],[DG_required]])</f>
        <v>#REF!</v>
      </c>
      <c r="AF13" s="21" t="s">
        <v>1293</v>
      </c>
      <c r="AG13" s="21"/>
      <c r="AH13" s="24" t="e" cm="1">
        <f t="array" ref="AH13">_xlfn.LET(_xlpm.r,_xlfn.XLOOKUP(1,MappingGuide[[#This Row],[API]:[API_3]],'[1]Squirrel SQL Export 1'!$K:$N,[1]!Table1[[#This Row],[Pending Items]]),IF(_xlpm.r=0,"",_xlpm.r))</f>
        <v>#REF!</v>
      </c>
      <c r="AI13" s="22" t="e" cm="1">
        <f t="array" ref="AI13">_xlfn.LET(_xlpm.r,_xlfn.XLOOKUP(1,MappingGuide[[#This Row],[API]:[API_3]],'[1]Squirrel SQL Export 1'!$K:$N,[1]!Table1[[#This Row],[Syndigo Name]]),IF(_xlpm.r=0,"",_xlpm.r))</f>
        <v>#REF!</v>
      </c>
      <c r="AJ13" s="17"/>
    </row>
    <row r="14" spans="1:36" ht="17" hidden="1">
      <c r="A14" s="17">
        <v>12</v>
      </c>
      <c r="B14" s="17" t="s">
        <v>40</v>
      </c>
      <c r="C14" s="17" t="s">
        <v>106</v>
      </c>
      <c r="D14" s="17" t="s">
        <v>107</v>
      </c>
      <c r="E14" s="17" t="s">
        <v>33</v>
      </c>
      <c r="F14" s="17" t="s">
        <v>91</v>
      </c>
      <c r="G14" s="17"/>
      <c r="H14" s="17"/>
      <c r="I14" s="17" t="s">
        <v>57</v>
      </c>
      <c r="J14" s="17" t="s">
        <v>58</v>
      </c>
      <c r="K14" s="17"/>
      <c r="L14" s="17" t="s">
        <v>35</v>
      </c>
      <c r="M14" s="17" t="s">
        <v>36</v>
      </c>
      <c r="N14" s="17" t="s">
        <v>108</v>
      </c>
      <c r="O14" s="17"/>
      <c r="P14" s="17" t="s">
        <v>99</v>
      </c>
      <c r="Q14" s="17"/>
      <c r="R14" s="17" t="s">
        <v>109</v>
      </c>
      <c r="S14" s="17" t="e" cm="1">
        <f t="array" ref="S14">_xlfn.LET(_xlpm.r,_xlfn.XLOOKUP(1,MappingGuide[[#This Row],[API]:[API_3]],'[1]Squirrel SQL Export 1'!$K:$N,[1]!Table1[[#This Row],[Responsible from HJ]]),IF(_xlpm.r=0,"",_xlpm.r))</f>
        <v>#REF!</v>
      </c>
      <c r="T14" s="17"/>
      <c r="U14" s="17"/>
      <c r="V14" s="17" t="e" cm="1">
        <f t="array" ref="V14">_xlfn.LET(_xlpm.r,_xlfn.XLOOKUP(1,MappingGuide[[#This Row],[API]:[API_3]],'[1]Squirrel SQL Export 1'!$K:$N,[1]!Table1[[#This Row],[MDM Comments]]),IF(_xlpm.r=0,"",_xlpm.r))</f>
        <v>#REF!</v>
      </c>
      <c r="W14" s="17" t="e" cm="1">
        <f t="array" ref="W14">_xlfn.LET(_xlpm.r,_xlfn.XLOOKUP(1,MappingGuide[[#This Row],[API]:[API_3]],'[1]Squirrel SQL Export 1'!$K:$N,[1]!Table1[[#This Row],[Exists In Syndigo?]]),IF(_xlpm.r=0,"",_xlpm.r))</f>
        <v>#REF!</v>
      </c>
      <c r="X14" s="17" t="e" cm="1">
        <f t="array" ref="X14">_xlfn.LET(_xlpm.r,_xlfn.XLOOKUP(1,MappingGuide[[#This Row],[API]:[API_3]],'[1]Squirrel SQL Export 1'!$K:$N,[1]!Table1[[#This Row],[Syndigo Name]]),IF(_xlpm.r=0,"",_xlpm.r))</f>
        <v>#REF!</v>
      </c>
      <c r="Y14" s="17"/>
      <c r="Z14" s="17" t="s">
        <v>110</v>
      </c>
      <c r="AA14" s="17"/>
      <c r="AB14" s="17"/>
      <c r="AC14" s="17" t="e" cm="1">
        <f t="array" ref="AC14">_xlfn.XLOOKUP(1,MappingGuide[[#This Row],[API]:[API_3]],'[1]Squirrel SQL Export 1'!$K:$N,[1]!Table1[[#This Row],[Doppio Notes2]])</f>
        <v>#REF!</v>
      </c>
      <c r="AD14" s="17"/>
      <c r="AE14" s="17" t="e" cm="1">
        <f t="array" ref="AE14">_xlfn.XLOOKUP(1,MappingGuide[[#This Row],[API]:[API_3]],'[1]Squirrel SQL Export 1'!$K:$N,[1]!Table1[[#This Row],[DG_required]])</f>
        <v>#REF!</v>
      </c>
      <c r="AF14" s="21" t="s">
        <v>1294</v>
      </c>
      <c r="AG14" s="21"/>
      <c r="AH14" s="22" t="e" cm="1">
        <f t="array" ref="AH14">_xlfn.LET(_xlpm.r,_xlfn.XLOOKUP(1,MappingGuide[[#This Row],[API]:[API_3]],'[1]Squirrel SQL Export 1'!$K:$N,[1]!Table1[[#This Row],[Pending Items]]),IF(_xlpm.r=0,"",_xlpm.r))</f>
        <v>#REF!</v>
      </c>
      <c r="AI14" s="22" t="e" cm="1">
        <f t="array" ref="AI14">_xlfn.LET(_xlpm.r,_xlfn.XLOOKUP(1,MappingGuide[[#This Row],[API]:[API_3]],'[1]Squirrel SQL Export 1'!$K:$N,[1]!Table1[[#This Row],[Syndigo Name]]),IF(_xlpm.r=0,"",_xlpm.r))</f>
        <v>#REF!</v>
      </c>
      <c r="AJ14" s="17"/>
    </row>
    <row r="15" spans="1:36" ht="17" hidden="1">
      <c r="A15" s="17">
        <v>13</v>
      </c>
      <c r="B15" s="17" t="s">
        <v>40</v>
      </c>
      <c r="C15" s="17" t="s">
        <v>111</v>
      </c>
      <c r="D15" s="17" t="s">
        <v>112</v>
      </c>
      <c r="E15" s="17" t="s">
        <v>33</v>
      </c>
      <c r="F15" s="17" t="s">
        <v>91</v>
      </c>
      <c r="G15" s="17"/>
      <c r="H15" s="17"/>
      <c r="I15" s="17" t="s">
        <v>57</v>
      </c>
      <c r="J15" s="17" t="s">
        <v>58</v>
      </c>
      <c r="K15" s="17"/>
      <c r="L15" s="17" t="s">
        <v>35</v>
      </c>
      <c r="M15" s="17" t="s">
        <v>36</v>
      </c>
      <c r="N15" s="17" t="s">
        <v>113</v>
      </c>
      <c r="O15" s="17"/>
      <c r="P15" s="17" t="s">
        <v>99</v>
      </c>
      <c r="Q15" s="17"/>
      <c r="R15" s="17" t="s">
        <v>114</v>
      </c>
      <c r="S15" s="17" t="e" cm="1">
        <f t="array" ref="S15">_xlfn.LET(_xlpm.r,_xlfn.XLOOKUP(1,MappingGuide[[#This Row],[API]:[API_3]],'[1]Squirrel SQL Export 1'!$K:$N,[1]!Table1[[#This Row],[Responsible from HJ]]),IF(_xlpm.r=0,"",_xlpm.r))</f>
        <v>#REF!</v>
      </c>
      <c r="T15" s="17"/>
      <c r="U15" s="17"/>
      <c r="V15" s="17" t="e" cm="1">
        <f t="array" ref="V15">_xlfn.LET(_xlpm.r,_xlfn.XLOOKUP(1,MappingGuide[[#This Row],[API]:[API_3]],'[1]Squirrel SQL Export 1'!$K:$N,[1]!Table1[[#This Row],[MDM Comments]]),IF(_xlpm.r=0,"",_xlpm.r))</f>
        <v>#REF!</v>
      </c>
      <c r="W15" s="17" t="e" cm="1">
        <f t="array" ref="W15">_xlfn.LET(_xlpm.r,_xlfn.XLOOKUP(1,MappingGuide[[#This Row],[API]:[API_3]],'[1]Squirrel SQL Export 1'!$K:$N,[1]!Table1[[#This Row],[Exists In Syndigo?]]),IF(_xlpm.r=0,"",_xlpm.r))</f>
        <v>#REF!</v>
      </c>
      <c r="X15" s="17" t="e" cm="1">
        <f t="array" ref="X15">_xlfn.LET(_xlpm.r,_xlfn.XLOOKUP(1,MappingGuide[[#This Row],[API]:[API_3]],'[1]Squirrel SQL Export 1'!$K:$N,[1]!Table1[[#This Row],[Syndigo Name]]),IF(_xlpm.r=0,"",_xlpm.r))</f>
        <v>#REF!</v>
      </c>
      <c r="Y15" s="17"/>
      <c r="Z15" s="17" t="s">
        <v>110</v>
      </c>
      <c r="AA15" s="17"/>
      <c r="AB15" s="17"/>
      <c r="AC15" s="17" t="e" cm="1">
        <f t="array" ref="AC15">_xlfn.XLOOKUP(1,MappingGuide[[#This Row],[API]:[API_3]],'[1]Squirrel SQL Export 1'!$K:$N,[1]!Table1[[#This Row],[Doppio Notes2]])</f>
        <v>#REF!</v>
      </c>
      <c r="AD15" s="17"/>
      <c r="AE15" s="17" t="e" cm="1">
        <f t="array" ref="AE15">_xlfn.XLOOKUP(1,MappingGuide[[#This Row],[API]:[API_3]],'[1]Squirrel SQL Export 1'!$K:$N,[1]!Table1[[#This Row],[DG_required]])</f>
        <v>#REF!</v>
      </c>
      <c r="AF15" s="21" t="s">
        <v>115</v>
      </c>
      <c r="AG15" s="21"/>
      <c r="AH15" s="22" t="e" cm="1">
        <f t="array" ref="AH15">_xlfn.LET(_xlpm.r,_xlfn.XLOOKUP(1,MappingGuide[[#This Row],[API]:[API_3]],'[1]Squirrel SQL Export 1'!$K:$N,[1]!Table1[[#This Row],[Pending Items]]),IF(_xlpm.r=0,"",_xlpm.r))</f>
        <v>#REF!</v>
      </c>
      <c r="AI15" s="22" t="e" cm="1">
        <f t="array" ref="AI15">_xlfn.LET(_xlpm.r,_xlfn.XLOOKUP(1,MappingGuide[[#This Row],[API]:[API_3]],'[1]Squirrel SQL Export 1'!$K:$N,[1]!Table1[[#This Row],[Syndigo Name]]),IF(_xlpm.r=0,"",_xlpm.r))</f>
        <v>#REF!</v>
      </c>
      <c r="AJ15" s="17"/>
    </row>
    <row r="16" spans="1:36" ht="17" hidden="1">
      <c r="A16" s="17">
        <v>14</v>
      </c>
      <c r="B16" s="17" t="s">
        <v>40</v>
      </c>
      <c r="C16" s="17" t="s">
        <v>116</v>
      </c>
      <c r="D16" s="17" t="s">
        <v>117</v>
      </c>
      <c r="E16" s="17" t="s">
        <v>33</v>
      </c>
      <c r="F16" s="17" t="s">
        <v>118</v>
      </c>
      <c r="G16" s="17"/>
      <c r="H16" s="17"/>
      <c r="I16" s="17" t="s">
        <v>57</v>
      </c>
      <c r="J16" s="17" t="s">
        <v>119</v>
      </c>
      <c r="K16" s="17"/>
      <c r="L16" s="17" t="s">
        <v>35</v>
      </c>
      <c r="M16" s="17" t="s">
        <v>73</v>
      </c>
      <c r="N16" s="17" t="s">
        <v>120</v>
      </c>
      <c r="O16" s="17"/>
      <c r="P16" s="17"/>
      <c r="Q16" s="17"/>
      <c r="R16" s="17"/>
      <c r="S16" s="17" t="e" cm="1">
        <f t="array" ref="S16">_xlfn.LET(_xlpm.r,_xlfn.XLOOKUP(1,MappingGuide[[#This Row],[API]:[API_3]],'[1]Squirrel SQL Export 1'!$K:$N,[1]!Table1[[#This Row],[Responsible from HJ]]),IF(_xlpm.r=0,"",_xlpm.r))</f>
        <v>#REF!</v>
      </c>
      <c r="T16" s="17"/>
      <c r="U16" s="17"/>
      <c r="V16" s="17" t="e" cm="1">
        <f t="array" ref="V16">_xlfn.LET(_xlpm.r,_xlfn.XLOOKUP(1,MappingGuide[[#This Row],[API]:[API_3]],'[1]Squirrel SQL Export 1'!$K:$N,[1]!Table1[[#This Row],[MDM Comments]]),IF(_xlpm.r=0,"",_xlpm.r))</f>
        <v>#REF!</v>
      </c>
      <c r="W16" s="17" t="e" cm="1">
        <f t="array" ref="W16">_xlfn.LET(_xlpm.r,_xlfn.XLOOKUP(1,MappingGuide[[#This Row],[API]:[API_3]],'[1]Squirrel SQL Export 1'!$K:$N,[1]!Table1[[#This Row],[Exists In Syndigo?]]),IF(_xlpm.r=0,"",_xlpm.r))</f>
        <v>#REF!</v>
      </c>
      <c r="X16" s="17" t="e" cm="1">
        <f t="array" ref="X16">_xlfn.LET(_xlpm.r,_xlfn.XLOOKUP(1,MappingGuide[[#This Row],[API]:[API_3]],'[1]Squirrel SQL Export 1'!$K:$N,[1]!Table1[[#This Row],[Syndigo Name]]),IF(_xlpm.r=0,"",_xlpm.r))</f>
        <v>#REF!</v>
      </c>
      <c r="Y16" s="17"/>
      <c r="Z16" s="17" t="s">
        <v>121</v>
      </c>
      <c r="AA16" s="17"/>
      <c r="AB16" s="17"/>
      <c r="AC16" s="17" t="e" cm="1">
        <f t="array" ref="AC16">_xlfn.XLOOKUP(1,MappingGuide[[#This Row],[API]:[API_3]],'[1]Squirrel SQL Export 1'!$K:$N,[1]!Table1[[#This Row],[Doppio Notes2]])</f>
        <v>#REF!</v>
      </c>
      <c r="AD16" s="17"/>
      <c r="AE16" s="17" t="e" cm="1">
        <f t="array" ref="AE16">_xlfn.XLOOKUP(1,MappingGuide[[#This Row],[API]:[API_3]],'[1]Squirrel SQL Export 1'!$K:$N,[1]!Table1[[#This Row],[DG_required]])</f>
        <v>#REF!</v>
      </c>
      <c r="AF16" s="21" t="s">
        <v>1306</v>
      </c>
      <c r="AG16" s="21"/>
      <c r="AH16" s="22" t="e" cm="1">
        <f t="array" ref="AH16">_xlfn.LET(_xlpm.r,_xlfn.XLOOKUP(1,MappingGuide[[#This Row],[API]:[API_3]],'[1]Squirrel SQL Export 1'!$K:$N,[1]!Table1[[#This Row],[Pending Items]]),IF(_xlpm.r=0,"",_xlpm.r))</f>
        <v>#REF!</v>
      </c>
      <c r="AI16" s="22" t="e" cm="1">
        <f t="array" ref="AI16">_xlfn.LET(_xlpm.r,_xlfn.XLOOKUP(1,MappingGuide[[#This Row],[API]:[API_3]],'[1]Squirrel SQL Export 1'!$K:$N,[1]!Table1[[#This Row],[Syndigo Name]]),IF(_xlpm.r=0,"",_xlpm.r))</f>
        <v>#REF!</v>
      </c>
      <c r="AJ16" s="17"/>
    </row>
    <row r="17" spans="1:36" ht="18" hidden="1">
      <c r="A17" s="17">
        <v>15</v>
      </c>
      <c r="B17" s="17" t="s">
        <v>40</v>
      </c>
      <c r="C17" s="17" t="s">
        <v>122</v>
      </c>
      <c r="D17" s="17" t="s">
        <v>123</v>
      </c>
      <c r="E17" s="17" t="s">
        <v>43</v>
      </c>
      <c r="F17" s="17" t="s">
        <v>80</v>
      </c>
      <c r="G17" s="17"/>
      <c r="H17" s="17"/>
      <c r="I17" s="17" t="s">
        <v>57</v>
      </c>
      <c r="J17" s="17" t="s">
        <v>124</v>
      </c>
      <c r="K17" s="17"/>
      <c r="L17" s="17" t="s">
        <v>35</v>
      </c>
      <c r="M17" s="17" t="s">
        <v>73</v>
      </c>
      <c r="N17" s="17" t="s">
        <v>125</v>
      </c>
      <c r="O17" s="17"/>
      <c r="P17" s="17"/>
      <c r="Q17" s="17"/>
      <c r="R17" s="17"/>
      <c r="S17" s="17" t="e" cm="1">
        <f t="array" ref="S17">_xlfn.LET(_xlpm.r,_xlfn.XLOOKUP(1,MappingGuide[[#This Row],[API]:[API_3]],'[1]Squirrel SQL Export 1'!$K:$N,[1]!Table1[[#This Row],[Responsible from HJ]]),IF(_xlpm.r=0,"",_xlpm.r))</f>
        <v>#REF!</v>
      </c>
      <c r="T17" s="17"/>
      <c r="U17" s="17"/>
      <c r="V17" s="17" t="e" cm="1">
        <f t="array" ref="V17">_xlfn.LET(_xlpm.r,_xlfn.XLOOKUP(1,MappingGuide[[#This Row],[API]:[API_3]],'[1]Squirrel SQL Export 1'!$K:$N,[1]!Table1[[#This Row],[MDM Comments]]),IF(_xlpm.r=0,"",_xlpm.r))</f>
        <v>#REF!</v>
      </c>
      <c r="W17" s="17" t="e" cm="1">
        <f t="array" ref="W17">_xlfn.LET(_xlpm.r,_xlfn.XLOOKUP(1,MappingGuide[[#This Row],[API]:[API_3]],'[1]Squirrel SQL Export 1'!$K:$N,[1]!Table1[[#This Row],[Exists In Syndigo?]]),IF(_xlpm.r=0,"",_xlpm.r))</f>
        <v>#REF!</v>
      </c>
      <c r="X17" s="17" t="e" cm="1">
        <f t="array" ref="X17">_xlfn.LET(_xlpm.r,_xlfn.XLOOKUP(1,MappingGuide[[#This Row],[API]:[API_3]],'[1]Squirrel SQL Export 1'!$K:$N,[1]!Table1[[#This Row],[Syndigo Name]]),IF(_xlpm.r=0,"",_xlpm.r))</f>
        <v>#REF!</v>
      </c>
      <c r="Y17" s="17"/>
      <c r="Z17" s="17" t="s">
        <v>126</v>
      </c>
      <c r="AA17" s="17" t="s">
        <v>127</v>
      </c>
      <c r="AB17" s="17"/>
      <c r="AC17" s="17" t="e" cm="1">
        <f t="array" ref="AC17">_xlfn.XLOOKUP(1,MappingGuide[[#This Row],[API]:[API_3]],'[1]Squirrel SQL Export 1'!$K:$N,[1]!Table1[[#This Row],[Doppio Notes2]])</f>
        <v>#REF!</v>
      </c>
      <c r="AD17" s="17" t="s">
        <v>1279</v>
      </c>
      <c r="AE17" s="17" t="e" cm="1">
        <f t="array" ref="AE17">_xlfn.XLOOKUP(1,MappingGuide[[#This Row],[API]:[API_3]],'[1]Squirrel SQL Export 1'!$K:$N,[1]!Table1[[#This Row],[DG_required]])</f>
        <v>#REF!</v>
      </c>
      <c r="AF17" s="21" t="s">
        <v>1290</v>
      </c>
      <c r="AG17" s="21"/>
      <c r="AH17" s="24" t="e" cm="1">
        <f t="array" ref="AH17">_xlfn.LET(_xlpm.r,_xlfn.XLOOKUP(1,MappingGuide[[#This Row],[API]:[API_3]],'[1]Squirrel SQL Export 1'!$K:$N,[1]!Table1[[#This Row],[Pending Items]]),IF(_xlpm.r=0,"",_xlpm.r))</f>
        <v>#REF!</v>
      </c>
      <c r="AI17" s="22" t="e" cm="1">
        <f t="array" ref="AI17">_xlfn.LET(_xlpm.r,_xlfn.XLOOKUP(1,MappingGuide[[#This Row],[API]:[API_3]],'[1]Squirrel SQL Export 1'!$K:$N,[1]!Table1[[#This Row],[Syndigo Name]]),IF(_xlpm.r=0,"",_xlpm.r))</f>
        <v>#REF!</v>
      </c>
      <c r="AJ17" s="17"/>
    </row>
    <row r="18" spans="1:36" ht="18" hidden="1">
      <c r="A18" s="17">
        <v>16</v>
      </c>
      <c r="B18" s="17" t="s">
        <v>40</v>
      </c>
      <c r="C18" s="17" t="s">
        <v>128</v>
      </c>
      <c r="D18" s="17" t="s">
        <v>129</v>
      </c>
      <c r="E18" s="17" t="s">
        <v>33</v>
      </c>
      <c r="F18" s="17" t="s">
        <v>130</v>
      </c>
      <c r="G18" s="17"/>
      <c r="H18" s="17"/>
      <c r="I18" s="17" t="s">
        <v>57</v>
      </c>
      <c r="J18" s="17" t="s">
        <v>58</v>
      </c>
      <c r="K18" s="17"/>
      <c r="L18" s="17" t="s">
        <v>35</v>
      </c>
      <c r="M18" s="17" t="s">
        <v>36</v>
      </c>
      <c r="N18" s="17" t="s">
        <v>131</v>
      </c>
      <c r="O18" s="17"/>
      <c r="P18" s="17" t="s">
        <v>132</v>
      </c>
      <c r="Q18" s="17"/>
      <c r="R18" s="17"/>
      <c r="S18" s="17" t="e" cm="1">
        <f t="array" ref="S18">_xlfn.LET(_xlpm.r,_xlfn.XLOOKUP(1,MappingGuide[[#This Row],[API]:[API_3]],'[1]Squirrel SQL Export 1'!$K:$N,[1]!Table1[[#This Row],[Responsible from HJ]]),IF(_xlpm.r=0,"",_xlpm.r))</f>
        <v>#REF!</v>
      </c>
      <c r="T18" s="17"/>
      <c r="U18" s="17"/>
      <c r="V18" s="17" t="e" cm="1">
        <f t="array" ref="V18">_xlfn.LET(_xlpm.r,_xlfn.XLOOKUP(1,MappingGuide[[#This Row],[API]:[API_3]],'[1]Squirrel SQL Export 1'!$K:$N,[1]!Table1[[#This Row],[MDM Comments]]),IF(_xlpm.r=0,"",_xlpm.r))</f>
        <v>#REF!</v>
      </c>
      <c r="W18" s="17" t="e" cm="1">
        <f t="array" ref="W18">_xlfn.LET(_xlpm.r,_xlfn.XLOOKUP(1,MappingGuide[[#This Row],[API]:[API_3]],'[1]Squirrel SQL Export 1'!$K:$N,[1]!Table1[[#This Row],[Exists In Syndigo?]]),IF(_xlpm.r=0,"",_xlpm.r))</f>
        <v>#REF!</v>
      </c>
      <c r="X18" s="17" t="e" cm="1">
        <f t="array" ref="X18">_xlfn.LET(_xlpm.r,_xlfn.XLOOKUP(1,MappingGuide[[#This Row],[API]:[API_3]],'[1]Squirrel SQL Export 1'!$K:$N,[1]!Table1[[#This Row],[Syndigo Name]]),IF(_xlpm.r=0,"",_xlpm.r))</f>
        <v>#REF!</v>
      </c>
      <c r="Y18" s="17"/>
      <c r="Z18" s="17" t="s">
        <v>133</v>
      </c>
      <c r="AA18" s="17"/>
      <c r="AB18" s="17"/>
      <c r="AC18" s="17" t="e" cm="1">
        <f t="array" ref="AC18">_xlfn.XLOOKUP(1,MappingGuide[[#This Row],[API]:[API_3]],'[1]Squirrel SQL Export 1'!$K:$N,[1]!Table1[[#This Row],[Doppio Notes2]])</f>
        <v>#REF!</v>
      </c>
      <c r="AD18" s="17" t="s">
        <v>1279</v>
      </c>
      <c r="AE18" s="17" t="e" cm="1">
        <f t="array" ref="AE18">_xlfn.XLOOKUP(1,MappingGuide[[#This Row],[API]:[API_3]],'[1]Squirrel SQL Export 1'!$K:$N,[1]!Table1[[#This Row],[DG_required]])</f>
        <v>#REF!</v>
      </c>
      <c r="AF18" s="21" t="s">
        <v>1307</v>
      </c>
      <c r="AG18" s="21"/>
      <c r="AH18" s="24" t="e" cm="1">
        <f t="array" ref="AH18">_xlfn.LET(_xlpm.r,_xlfn.XLOOKUP(1,MappingGuide[[#This Row],[API]:[API_3]],'[1]Squirrel SQL Export 1'!$K:$N,[1]!Table1[[#This Row],[Pending Items]]),IF(_xlpm.r=0,"",_xlpm.r))</f>
        <v>#REF!</v>
      </c>
      <c r="AI18" s="22" t="e" cm="1">
        <f t="array" ref="AI18">_xlfn.LET(_xlpm.r,_xlfn.XLOOKUP(1,MappingGuide[[#This Row],[API]:[API_3]],'[1]Squirrel SQL Export 1'!$K:$N,[1]!Table1[[#This Row],[Syndigo Name]]),IF(_xlpm.r=0,"",_xlpm.r))</f>
        <v>#REF!</v>
      </c>
      <c r="AJ18" s="17"/>
    </row>
    <row r="19" spans="1:36" ht="18" hidden="1">
      <c r="A19" s="17">
        <v>17</v>
      </c>
      <c r="B19" s="17" t="s">
        <v>40</v>
      </c>
      <c r="C19" s="17" t="s">
        <v>134</v>
      </c>
      <c r="D19" s="17" t="s">
        <v>135</v>
      </c>
      <c r="E19" s="17" t="s">
        <v>33</v>
      </c>
      <c r="F19" s="17" t="s">
        <v>130</v>
      </c>
      <c r="G19" s="17"/>
      <c r="H19" s="17"/>
      <c r="I19" s="17" t="s">
        <v>57</v>
      </c>
      <c r="J19" s="17" t="s">
        <v>58</v>
      </c>
      <c r="K19" s="17"/>
      <c r="L19" s="17" t="s">
        <v>35</v>
      </c>
      <c r="M19" s="17" t="s">
        <v>36</v>
      </c>
      <c r="N19" s="17" t="s">
        <v>136</v>
      </c>
      <c r="O19" s="17"/>
      <c r="P19" s="17" t="s">
        <v>132</v>
      </c>
      <c r="Q19" s="17"/>
      <c r="R19" s="17"/>
      <c r="S19" s="17" t="e" cm="1">
        <f t="array" ref="S19">_xlfn.LET(_xlpm.r,_xlfn.XLOOKUP(1,MappingGuide[[#This Row],[API]:[API_3]],'[1]Squirrel SQL Export 1'!$K:$N,[1]!Table1[[#This Row],[Responsible from HJ]]),IF(_xlpm.r=0,"",_xlpm.r))</f>
        <v>#REF!</v>
      </c>
      <c r="T19" s="17"/>
      <c r="U19" s="17"/>
      <c r="V19" s="17" t="e" cm="1">
        <f t="array" ref="V19">_xlfn.LET(_xlpm.r,_xlfn.XLOOKUP(1,MappingGuide[[#This Row],[API]:[API_3]],'[1]Squirrel SQL Export 1'!$K:$N,[1]!Table1[[#This Row],[MDM Comments]]),IF(_xlpm.r=0,"",_xlpm.r))</f>
        <v>#REF!</v>
      </c>
      <c r="W19" s="17" t="e" cm="1">
        <f t="array" ref="W19">_xlfn.LET(_xlpm.r,_xlfn.XLOOKUP(1,MappingGuide[[#This Row],[API]:[API_3]],'[1]Squirrel SQL Export 1'!$K:$N,[1]!Table1[[#This Row],[Exists In Syndigo?]]),IF(_xlpm.r=0,"",_xlpm.r))</f>
        <v>#REF!</v>
      </c>
      <c r="X19" s="17" t="e" cm="1">
        <f t="array" ref="X19">_xlfn.LET(_xlpm.r,_xlfn.XLOOKUP(1,MappingGuide[[#This Row],[API]:[API_3]],'[1]Squirrel SQL Export 1'!$K:$N,[1]!Table1[[#This Row],[Syndigo Name]]),IF(_xlpm.r=0,"",_xlpm.r))</f>
        <v>#REF!</v>
      </c>
      <c r="Y19" s="17"/>
      <c r="Z19" s="17" t="s">
        <v>133</v>
      </c>
      <c r="AA19" s="17"/>
      <c r="AB19" s="17"/>
      <c r="AC19" s="17" t="e" cm="1">
        <f t="array" ref="AC19">_xlfn.XLOOKUP(1,MappingGuide[[#This Row],[API]:[API_3]],'[1]Squirrel SQL Export 1'!$K:$N,[1]!Table1[[#This Row],[Doppio Notes2]])</f>
        <v>#REF!</v>
      </c>
      <c r="AD19" s="17" t="s">
        <v>1279</v>
      </c>
      <c r="AE19" s="17" t="e" cm="1">
        <f t="array" ref="AE19">_xlfn.XLOOKUP(1,MappingGuide[[#This Row],[API]:[API_3]],'[1]Squirrel SQL Export 1'!$K:$N,[1]!Table1[[#This Row],[DG_required]])</f>
        <v>#REF!</v>
      </c>
      <c r="AF19" s="21" t="s">
        <v>1307</v>
      </c>
      <c r="AG19" s="21"/>
      <c r="AH19" s="24" t="e" cm="1">
        <f t="array" ref="AH19">_xlfn.LET(_xlpm.r,_xlfn.XLOOKUP(1,MappingGuide[[#This Row],[API]:[API_3]],'[1]Squirrel SQL Export 1'!$K:$N,[1]!Table1[[#This Row],[Pending Items]]),IF(_xlpm.r=0,"",_xlpm.r))</f>
        <v>#REF!</v>
      </c>
      <c r="AI19" s="22" t="e" cm="1">
        <f t="array" ref="AI19">_xlfn.LET(_xlpm.r,_xlfn.XLOOKUP(1,MappingGuide[[#This Row],[API]:[API_3]],'[1]Squirrel SQL Export 1'!$K:$N,[1]!Table1[[#This Row],[Syndigo Name]]),IF(_xlpm.r=0,"",_xlpm.r))</f>
        <v>#REF!</v>
      </c>
      <c r="AJ19" s="17"/>
    </row>
    <row r="20" spans="1:36" ht="18" hidden="1">
      <c r="A20" s="17">
        <v>18</v>
      </c>
      <c r="B20" s="17" t="s">
        <v>40</v>
      </c>
      <c r="C20" s="17" t="s">
        <v>137</v>
      </c>
      <c r="D20" s="17" t="s">
        <v>138</v>
      </c>
      <c r="E20" s="17" t="s">
        <v>33</v>
      </c>
      <c r="F20" s="17" t="s">
        <v>130</v>
      </c>
      <c r="G20" s="17"/>
      <c r="H20" s="17"/>
      <c r="I20" s="17" t="s">
        <v>57</v>
      </c>
      <c r="J20" s="17" t="s">
        <v>58</v>
      </c>
      <c r="K20" s="17"/>
      <c r="L20" s="17" t="s">
        <v>35</v>
      </c>
      <c r="M20" s="17" t="s">
        <v>36</v>
      </c>
      <c r="N20" s="17" t="s">
        <v>139</v>
      </c>
      <c r="O20" s="17"/>
      <c r="P20" s="17" t="s">
        <v>140</v>
      </c>
      <c r="Q20" s="17"/>
      <c r="R20" s="17"/>
      <c r="S20" s="17" t="e" cm="1">
        <f t="array" ref="S20">_xlfn.LET(_xlpm.r,_xlfn.XLOOKUP(1,MappingGuide[[#This Row],[API]:[API_3]],'[1]Squirrel SQL Export 1'!$K:$N,[1]!Table1[[#This Row],[Responsible from HJ]]),IF(_xlpm.r=0,"",_xlpm.r))</f>
        <v>#REF!</v>
      </c>
      <c r="T20" s="17"/>
      <c r="U20" s="17"/>
      <c r="V20" s="17" t="e" cm="1">
        <f t="array" ref="V20">_xlfn.LET(_xlpm.r,_xlfn.XLOOKUP(1,MappingGuide[[#This Row],[API]:[API_3]],'[1]Squirrel SQL Export 1'!$K:$N,[1]!Table1[[#This Row],[MDM Comments]]),IF(_xlpm.r=0,"",_xlpm.r))</f>
        <v>#REF!</v>
      </c>
      <c r="W20" s="17" t="e" cm="1">
        <f t="array" ref="W20">_xlfn.LET(_xlpm.r,_xlfn.XLOOKUP(1,MappingGuide[[#This Row],[API]:[API_3]],'[1]Squirrel SQL Export 1'!$K:$N,[1]!Table1[[#This Row],[Exists In Syndigo?]]),IF(_xlpm.r=0,"",_xlpm.r))</f>
        <v>#REF!</v>
      </c>
      <c r="X20" s="17" t="e" cm="1">
        <f t="array" ref="X20">_xlfn.LET(_xlpm.r,_xlfn.XLOOKUP(1,MappingGuide[[#This Row],[API]:[API_3]],'[1]Squirrel SQL Export 1'!$K:$N,[1]!Table1[[#This Row],[Syndigo Name]]),IF(_xlpm.r=0,"",_xlpm.r))</f>
        <v>#REF!</v>
      </c>
      <c r="Y20" s="17"/>
      <c r="Z20" s="17" t="s">
        <v>141</v>
      </c>
      <c r="AA20" s="17"/>
      <c r="AB20" s="17"/>
      <c r="AC20" s="17" t="e" cm="1">
        <f t="array" ref="AC20">_xlfn.XLOOKUP(1,MappingGuide[[#This Row],[API]:[API_3]],'[1]Squirrel SQL Export 1'!$K:$N,[1]!Table1[[#This Row],[Doppio Notes2]])</f>
        <v>#REF!</v>
      </c>
      <c r="AD20" s="17" t="s">
        <v>1279</v>
      </c>
      <c r="AE20" s="17" t="e" cm="1">
        <f t="array" ref="AE20">_xlfn.XLOOKUP(1,MappingGuide[[#This Row],[API]:[API_3]],'[1]Squirrel SQL Export 1'!$K:$N,[1]!Table1[[#This Row],[DG_required]])</f>
        <v>#REF!</v>
      </c>
      <c r="AF20" s="21" t="s">
        <v>1307</v>
      </c>
      <c r="AG20" s="21"/>
      <c r="AH20" s="24" t="e" cm="1">
        <f t="array" ref="AH20">_xlfn.LET(_xlpm.r,_xlfn.XLOOKUP(1,MappingGuide[[#This Row],[API]:[API_3]],'[1]Squirrel SQL Export 1'!$K:$N,[1]!Table1[[#This Row],[Pending Items]]),IF(_xlpm.r=0,"",_xlpm.r))</f>
        <v>#REF!</v>
      </c>
      <c r="AI20" s="22" t="e" cm="1">
        <f t="array" ref="AI20">_xlfn.LET(_xlpm.r,_xlfn.XLOOKUP(1,MappingGuide[[#This Row],[API]:[API_3]],'[1]Squirrel SQL Export 1'!$K:$N,[1]!Table1[[#This Row],[Syndigo Name]]),IF(_xlpm.r=0,"",_xlpm.r))</f>
        <v>#REF!</v>
      </c>
      <c r="AJ20" s="17"/>
    </row>
    <row r="21" spans="1:36" ht="17" hidden="1">
      <c r="A21" s="17">
        <v>19</v>
      </c>
      <c r="B21" s="17" t="s">
        <v>40</v>
      </c>
      <c r="C21" s="17" t="s">
        <v>142</v>
      </c>
      <c r="D21" s="17" t="s">
        <v>143</v>
      </c>
      <c r="E21" s="17" t="s">
        <v>33</v>
      </c>
      <c r="F21" s="17" t="s">
        <v>144</v>
      </c>
      <c r="G21" s="17"/>
      <c r="H21" s="17"/>
      <c r="I21" s="17" t="s">
        <v>57</v>
      </c>
      <c r="J21" s="17" t="s">
        <v>145</v>
      </c>
      <c r="K21" s="17"/>
      <c r="L21" s="17" t="s">
        <v>35</v>
      </c>
      <c r="M21" s="17" t="s">
        <v>146</v>
      </c>
      <c r="N21" s="17" t="s">
        <v>147</v>
      </c>
      <c r="O21" s="17"/>
      <c r="P21" s="17" t="s">
        <v>148</v>
      </c>
      <c r="Q21" s="17"/>
      <c r="R21" s="17"/>
      <c r="S21" s="17" t="e" cm="1">
        <f t="array" ref="S21">_xlfn.LET(_xlpm.r,_xlfn.XLOOKUP(1,MappingGuide[[#This Row],[API]:[API_3]],'[1]Squirrel SQL Export 1'!$K:$N,[1]!Table1[[#This Row],[Responsible from HJ]]),IF(_xlpm.r=0,"",_xlpm.r))</f>
        <v>#REF!</v>
      </c>
      <c r="T21" s="17"/>
      <c r="U21" s="17"/>
      <c r="V21" s="17" t="e" cm="1">
        <f t="array" ref="V21">_xlfn.LET(_xlpm.r,_xlfn.XLOOKUP(1,MappingGuide[[#This Row],[API]:[API_3]],'[1]Squirrel SQL Export 1'!$K:$N,[1]!Table1[[#This Row],[MDM Comments]]),IF(_xlpm.r=0,"",_xlpm.r))</f>
        <v>#REF!</v>
      </c>
      <c r="W21" s="17" t="e" cm="1">
        <f t="array" ref="W21">_xlfn.LET(_xlpm.r,_xlfn.XLOOKUP(1,MappingGuide[[#This Row],[API]:[API_3]],'[1]Squirrel SQL Export 1'!$K:$N,[1]!Table1[[#This Row],[Exists In Syndigo?]]),IF(_xlpm.r=0,"",_xlpm.r))</f>
        <v>#REF!</v>
      </c>
      <c r="X21" s="17" t="e" cm="1">
        <f t="array" ref="X21">_xlfn.LET(_xlpm.r,_xlfn.XLOOKUP(1,MappingGuide[[#This Row],[API]:[API_3]],'[1]Squirrel SQL Export 1'!$K:$N,[1]!Table1[[#This Row],[Syndigo Name]]),IF(_xlpm.r=0,"",_xlpm.r))</f>
        <v>#REF!</v>
      </c>
      <c r="Y21" s="17"/>
      <c r="Z21" s="17" t="s">
        <v>149</v>
      </c>
      <c r="AA21" s="17"/>
      <c r="AB21" s="17"/>
      <c r="AC21" s="17" t="e" cm="1">
        <f t="array" ref="AC21">_xlfn.XLOOKUP(1,MappingGuide[[#This Row],[API]:[API_3]],'[1]Squirrel SQL Export 1'!$K:$N,[1]!Table1[[#This Row],[Doppio Notes2]])</f>
        <v>#REF!</v>
      </c>
      <c r="AD21" s="17"/>
      <c r="AE21" s="17" t="e" cm="1">
        <f t="array" ref="AE21">_xlfn.XLOOKUP(1,MappingGuide[[#This Row],[API]:[API_3]],'[1]Squirrel SQL Export 1'!$K:$N,[1]!Table1[[#This Row],[DG_required]])</f>
        <v>#REF!</v>
      </c>
      <c r="AF21" s="21" t="s">
        <v>1306</v>
      </c>
      <c r="AG21" s="21"/>
      <c r="AH21" s="22" t="e" cm="1">
        <f t="array" ref="AH21">_xlfn.LET(_xlpm.r,_xlfn.XLOOKUP(1,MappingGuide[[#This Row],[API]:[API_3]],'[1]Squirrel SQL Export 1'!$K:$N,[1]!Table1[[#This Row],[Pending Items]]),IF(_xlpm.r=0,"",_xlpm.r))</f>
        <v>#REF!</v>
      </c>
      <c r="AI21" s="22" t="e" cm="1">
        <f t="array" ref="AI21">_xlfn.LET(_xlpm.r,_xlfn.XLOOKUP(1,MappingGuide[[#This Row],[API]:[API_3]],'[1]Squirrel SQL Export 1'!$K:$N,[1]!Table1[[#This Row],[Syndigo Name]]),IF(_xlpm.r=0,"",_xlpm.r))</f>
        <v>#REF!</v>
      </c>
      <c r="AJ21" s="17"/>
    </row>
    <row r="22" spans="1:36" ht="17" hidden="1">
      <c r="A22" s="17">
        <v>20</v>
      </c>
      <c r="B22" s="17" t="s">
        <v>40</v>
      </c>
      <c r="C22" s="17" t="s">
        <v>150</v>
      </c>
      <c r="D22" s="17" t="s">
        <v>151</v>
      </c>
      <c r="E22" s="17" t="s">
        <v>33</v>
      </c>
      <c r="F22" s="17" t="s">
        <v>144</v>
      </c>
      <c r="G22" s="17"/>
      <c r="H22" s="17"/>
      <c r="I22" s="17" t="s">
        <v>57</v>
      </c>
      <c r="J22" s="17" t="s">
        <v>145</v>
      </c>
      <c r="K22" s="17"/>
      <c r="L22" s="17" t="s">
        <v>35</v>
      </c>
      <c r="M22" s="17" t="s">
        <v>146</v>
      </c>
      <c r="N22" s="17" t="s">
        <v>152</v>
      </c>
      <c r="O22" s="17"/>
      <c r="P22" s="17" t="s">
        <v>153</v>
      </c>
      <c r="Q22" s="17"/>
      <c r="R22" s="17"/>
      <c r="S22" s="17" t="e" cm="1">
        <f t="array" ref="S22">_xlfn.LET(_xlpm.r,_xlfn.XLOOKUP(1,MappingGuide[[#This Row],[API]:[API_3]],'[1]Squirrel SQL Export 1'!$K:$N,[1]!Table1[[#This Row],[Responsible from HJ]]),IF(_xlpm.r=0,"",_xlpm.r))</f>
        <v>#REF!</v>
      </c>
      <c r="T22" s="17"/>
      <c r="U22" s="17"/>
      <c r="V22" s="17" t="e" cm="1">
        <f t="array" ref="V22">_xlfn.LET(_xlpm.r,_xlfn.XLOOKUP(1,MappingGuide[[#This Row],[API]:[API_3]],'[1]Squirrel SQL Export 1'!$K:$N,[1]!Table1[[#This Row],[MDM Comments]]),IF(_xlpm.r=0,"",_xlpm.r))</f>
        <v>#REF!</v>
      </c>
      <c r="W22" s="17" t="e" cm="1">
        <f t="array" ref="W22">_xlfn.LET(_xlpm.r,_xlfn.XLOOKUP(1,MappingGuide[[#This Row],[API]:[API_3]],'[1]Squirrel SQL Export 1'!$K:$N,[1]!Table1[[#This Row],[Exists In Syndigo?]]),IF(_xlpm.r=0,"",_xlpm.r))</f>
        <v>#REF!</v>
      </c>
      <c r="X22" s="17" t="e" cm="1">
        <f t="array" ref="X22">_xlfn.LET(_xlpm.r,_xlfn.XLOOKUP(1,MappingGuide[[#This Row],[API]:[API_3]],'[1]Squirrel SQL Export 1'!$K:$N,[1]!Table1[[#This Row],[Syndigo Name]]),IF(_xlpm.r=0,"",_xlpm.r))</f>
        <v>#REF!</v>
      </c>
      <c r="Y22" s="17"/>
      <c r="Z22" s="17" t="s">
        <v>154</v>
      </c>
      <c r="AA22" s="17"/>
      <c r="AB22" s="17"/>
      <c r="AC22" s="17" t="e" cm="1">
        <f t="array" ref="AC22">_xlfn.XLOOKUP(1,MappingGuide[[#This Row],[API]:[API_3]],'[1]Squirrel SQL Export 1'!$K:$N,[1]!Table1[[#This Row],[Doppio Notes2]])</f>
        <v>#REF!</v>
      </c>
      <c r="AD22" s="17"/>
      <c r="AE22" s="17" t="e" cm="1">
        <f t="array" ref="AE22">_xlfn.XLOOKUP(1,MappingGuide[[#This Row],[API]:[API_3]],'[1]Squirrel SQL Export 1'!$K:$N,[1]!Table1[[#This Row],[DG_required]])</f>
        <v>#REF!</v>
      </c>
      <c r="AF22" s="21" t="s">
        <v>1306</v>
      </c>
      <c r="AG22" s="21"/>
      <c r="AH22" s="22" t="e" cm="1">
        <f t="array" ref="AH22">_xlfn.LET(_xlpm.r,_xlfn.XLOOKUP(1,MappingGuide[[#This Row],[API]:[API_3]],'[1]Squirrel SQL Export 1'!$K:$N,[1]!Table1[[#This Row],[Pending Items]]),IF(_xlpm.r=0,"",_xlpm.r))</f>
        <v>#REF!</v>
      </c>
      <c r="AI22" s="22" t="e" cm="1">
        <f t="array" ref="AI22">_xlfn.LET(_xlpm.r,_xlfn.XLOOKUP(1,MappingGuide[[#This Row],[API]:[API_3]],'[1]Squirrel SQL Export 1'!$K:$N,[1]!Table1[[#This Row],[Syndigo Name]]),IF(_xlpm.r=0,"",_xlpm.r))</f>
        <v>#REF!</v>
      </c>
      <c r="AJ22" s="17"/>
    </row>
    <row r="23" spans="1:36" ht="17" hidden="1">
      <c r="A23" s="17">
        <v>21</v>
      </c>
      <c r="B23" s="17" t="s">
        <v>40</v>
      </c>
      <c r="C23" s="17" t="s">
        <v>155</v>
      </c>
      <c r="D23" s="17" t="s">
        <v>156</v>
      </c>
      <c r="E23" s="17" t="s">
        <v>33</v>
      </c>
      <c r="F23" s="17" t="s">
        <v>157</v>
      </c>
      <c r="G23" s="17"/>
      <c r="H23" s="17"/>
      <c r="I23" s="17" t="s">
        <v>57</v>
      </c>
      <c r="J23" s="17" t="s">
        <v>58</v>
      </c>
      <c r="K23" s="17"/>
      <c r="L23" s="17" t="s">
        <v>35</v>
      </c>
      <c r="M23" s="17" t="s">
        <v>36</v>
      </c>
      <c r="N23" s="17" t="s">
        <v>158</v>
      </c>
      <c r="O23" s="17"/>
      <c r="P23" s="17" t="s">
        <v>159</v>
      </c>
      <c r="Q23" s="17"/>
      <c r="R23" s="17"/>
      <c r="S23" s="17" t="e" cm="1">
        <f t="array" ref="S23">_xlfn.LET(_xlpm.r,_xlfn.XLOOKUP(1,MappingGuide[[#This Row],[API]:[API_3]],'[1]Squirrel SQL Export 1'!$K:$N,[1]!Table1[[#This Row],[Responsible from HJ]]),IF(_xlpm.r=0,"",_xlpm.r))</f>
        <v>#REF!</v>
      </c>
      <c r="T23" s="17"/>
      <c r="U23" s="17"/>
      <c r="V23" s="17" t="e" cm="1">
        <f t="array" ref="V23">_xlfn.LET(_xlpm.r,_xlfn.XLOOKUP(1,MappingGuide[[#This Row],[API]:[API_3]],'[1]Squirrel SQL Export 1'!$K:$N,[1]!Table1[[#This Row],[MDM Comments]]),IF(_xlpm.r=0,"",_xlpm.r))</f>
        <v>#REF!</v>
      </c>
      <c r="W23" s="17" t="e" cm="1">
        <f t="array" ref="W23">_xlfn.LET(_xlpm.r,_xlfn.XLOOKUP(1,MappingGuide[[#This Row],[API]:[API_3]],'[1]Squirrel SQL Export 1'!$K:$N,[1]!Table1[[#This Row],[Exists In Syndigo?]]),IF(_xlpm.r=0,"",_xlpm.r))</f>
        <v>#REF!</v>
      </c>
      <c r="X23" s="17" t="e" cm="1">
        <f t="array" ref="X23">_xlfn.LET(_xlpm.r,_xlfn.XLOOKUP(1,MappingGuide[[#This Row],[API]:[API_3]],'[1]Squirrel SQL Export 1'!$K:$N,[1]!Table1[[#This Row],[Syndigo Name]]),IF(_xlpm.r=0,"",_xlpm.r))</f>
        <v>#REF!</v>
      </c>
      <c r="Y23" s="17"/>
      <c r="Z23" s="17" t="s">
        <v>160</v>
      </c>
      <c r="AA23" s="17"/>
      <c r="AB23" s="17"/>
      <c r="AC23" s="17" t="e" cm="1">
        <f t="array" ref="AC23">_xlfn.XLOOKUP(1,MappingGuide[[#This Row],[API]:[API_3]],'[1]Squirrel SQL Export 1'!$K:$N,[1]!Table1[[#This Row],[Doppio Notes2]])</f>
        <v>#REF!</v>
      </c>
      <c r="AD23" s="17" t="s">
        <v>1279</v>
      </c>
      <c r="AE23" s="17" t="e" cm="1">
        <f t="array" ref="AE23">_xlfn.XLOOKUP(1,MappingGuide[[#This Row],[API]:[API_3]],'[1]Squirrel SQL Export 1'!$K:$N,[1]!Table1[[#This Row],[DG_required]])</f>
        <v>#REF!</v>
      </c>
      <c r="AF23" s="21" t="s">
        <v>1287</v>
      </c>
      <c r="AG23" s="21"/>
      <c r="AH23" s="22" t="e" cm="1">
        <f t="array" ref="AH23">_xlfn.LET(_xlpm.r,_xlfn.XLOOKUP(1,MappingGuide[[#This Row],[API]:[API_3]],'[1]Squirrel SQL Export 1'!$K:$N,[1]!Table1[[#This Row],[Pending Items]]),IF(_xlpm.r=0,"",_xlpm.r))</f>
        <v>#REF!</v>
      </c>
      <c r="AI23" s="22" t="e" cm="1">
        <f t="array" ref="AI23">_xlfn.LET(_xlpm.r,_xlfn.XLOOKUP(1,MappingGuide[[#This Row],[API]:[API_3]],'[1]Squirrel SQL Export 1'!$K:$N,[1]!Table1[[#This Row],[Syndigo Name]]),IF(_xlpm.r=0,"",_xlpm.r))</f>
        <v>#REF!</v>
      </c>
      <c r="AJ23" s="17"/>
    </row>
    <row r="24" spans="1:36" ht="17" hidden="1">
      <c r="A24" s="17">
        <v>22</v>
      </c>
      <c r="B24" s="17" t="s">
        <v>40</v>
      </c>
      <c r="C24" s="17" t="s">
        <v>161</v>
      </c>
      <c r="D24" s="17" t="s">
        <v>162</v>
      </c>
      <c r="E24" s="17" t="s">
        <v>33</v>
      </c>
      <c r="F24" s="17" t="s">
        <v>157</v>
      </c>
      <c r="G24" s="17"/>
      <c r="H24" s="17"/>
      <c r="I24" s="17" t="s">
        <v>57</v>
      </c>
      <c r="J24" s="17" t="s">
        <v>58</v>
      </c>
      <c r="K24" s="17"/>
      <c r="L24" s="17" t="s">
        <v>35</v>
      </c>
      <c r="M24" s="17" t="s">
        <v>36</v>
      </c>
      <c r="N24" s="17" t="s">
        <v>163</v>
      </c>
      <c r="O24" s="17"/>
      <c r="P24" s="17"/>
      <c r="Q24" s="17"/>
      <c r="R24" s="17"/>
      <c r="S24" s="17" t="e" cm="1">
        <f t="array" ref="S24">_xlfn.LET(_xlpm.r,_xlfn.XLOOKUP(1,MappingGuide[[#This Row],[API]:[API_3]],'[1]Squirrel SQL Export 1'!$K:$N,[1]!Table1[[#This Row],[Responsible from HJ]]),IF(_xlpm.r=0,"",_xlpm.r))</f>
        <v>#REF!</v>
      </c>
      <c r="T24" s="17"/>
      <c r="U24" s="17"/>
      <c r="V24" s="17" t="e" cm="1">
        <f t="array" ref="V24">_xlfn.LET(_xlpm.r,_xlfn.XLOOKUP(1,MappingGuide[[#This Row],[API]:[API_3]],'[1]Squirrel SQL Export 1'!$K:$N,[1]!Table1[[#This Row],[MDM Comments]]),IF(_xlpm.r=0,"",_xlpm.r))</f>
        <v>#REF!</v>
      </c>
      <c r="W24" s="17" t="e" cm="1">
        <f t="array" ref="W24">_xlfn.LET(_xlpm.r,_xlfn.XLOOKUP(1,MappingGuide[[#This Row],[API]:[API_3]],'[1]Squirrel SQL Export 1'!$K:$N,[1]!Table1[[#This Row],[Exists In Syndigo?]]),IF(_xlpm.r=0,"",_xlpm.r))</f>
        <v>#REF!</v>
      </c>
      <c r="X24" s="17" t="e" cm="1">
        <f t="array" ref="X24">_xlfn.LET(_xlpm.r,_xlfn.XLOOKUP(1,MappingGuide[[#This Row],[API]:[API_3]],'[1]Squirrel SQL Export 1'!$K:$N,[1]!Table1[[#This Row],[Syndigo Name]]),IF(_xlpm.r=0,"",_xlpm.r))</f>
        <v>#REF!</v>
      </c>
      <c r="Y24" s="17"/>
      <c r="Z24" s="17" t="s">
        <v>160</v>
      </c>
      <c r="AA24" s="17"/>
      <c r="AB24" s="17"/>
      <c r="AC24" s="17" t="e" cm="1">
        <f t="array" ref="AC24">_xlfn.XLOOKUP(1,MappingGuide[[#This Row],[API]:[API_3]],'[1]Squirrel SQL Export 1'!$K:$N,[1]!Table1[[#This Row],[Doppio Notes2]])</f>
        <v>#REF!</v>
      </c>
      <c r="AD24" s="17" t="s">
        <v>1279</v>
      </c>
      <c r="AE24" s="17" t="e" cm="1">
        <f t="array" ref="AE24">_xlfn.XLOOKUP(1,MappingGuide[[#This Row],[API]:[API_3]],'[1]Squirrel SQL Export 1'!$K:$N,[1]!Table1[[#This Row],[DG_required]])</f>
        <v>#REF!</v>
      </c>
      <c r="AF24" s="21" t="s">
        <v>1287</v>
      </c>
      <c r="AG24" s="21"/>
      <c r="AH24" s="22" t="e" cm="1">
        <f t="array" ref="AH24">_xlfn.LET(_xlpm.r,_xlfn.XLOOKUP(1,MappingGuide[[#This Row],[API]:[API_3]],'[1]Squirrel SQL Export 1'!$K:$N,[1]!Table1[[#This Row],[Pending Items]]),IF(_xlpm.r=0,"",_xlpm.r))</f>
        <v>#REF!</v>
      </c>
      <c r="AI24" s="22" t="e" cm="1">
        <f t="array" ref="AI24">_xlfn.LET(_xlpm.r,_xlfn.XLOOKUP(1,MappingGuide[[#This Row],[API]:[API_3]],'[1]Squirrel SQL Export 1'!$K:$N,[1]!Table1[[#This Row],[Syndigo Name]]),IF(_xlpm.r=0,"",_xlpm.r))</f>
        <v>#REF!</v>
      </c>
      <c r="AJ24" s="17"/>
    </row>
    <row r="25" spans="1:36" ht="17" hidden="1">
      <c r="A25" s="17">
        <v>23</v>
      </c>
      <c r="B25" s="17" t="s">
        <v>40</v>
      </c>
      <c r="C25" s="17" t="s">
        <v>164</v>
      </c>
      <c r="D25" s="17" t="s">
        <v>165</v>
      </c>
      <c r="E25" s="17" t="s">
        <v>33</v>
      </c>
      <c r="F25" s="17" t="s">
        <v>157</v>
      </c>
      <c r="G25" s="17"/>
      <c r="H25" s="17"/>
      <c r="I25" s="17" t="s">
        <v>57</v>
      </c>
      <c r="J25" s="17" t="s">
        <v>72</v>
      </c>
      <c r="K25" s="17"/>
      <c r="L25" s="17" t="s">
        <v>35</v>
      </c>
      <c r="M25" s="17" t="s">
        <v>73</v>
      </c>
      <c r="N25" s="17" t="s">
        <v>166</v>
      </c>
      <c r="O25" s="17"/>
      <c r="P25" s="17"/>
      <c r="Q25" s="17"/>
      <c r="R25" s="17"/>
      <c r="S25" s="17" t="e" cm="1">
        <f t="array" ref="S25">_xlfn.LET(_xlpm.r,_xlfn.XLOOKUP(1,MappingGuide[[#This Row],[API]:[API_3]],'[1]Squirrel SQL Export 1'!$K:$N,[1]!Table1[[#This Row],[Responsible from HJ]]),IF(_xlpm.r=0,"",_xlpm.r))</f>
        <v>#REF!</v>
      </c>
      <c r="T25" s="17"/>
      <c r="U25" s="17"/>
      <c r="V25" s="17" t="e" cm="1">
        <f t="array" ref="V25">_xlfn.LET(_xlpm.r,_xlfn.XLOOKUP(1,MappingGuide[[#This Row],[API]:[API_3]],'[1]Squirrel SQL Export 1'!$K:$N,[1]!Table1[[#This Row],[MDM Comments]]),IF(_xlpm.r=0,"",_xlpm.r))</f>
        <v>#REF!</v>
      </c>
      <c r="W25" s="17" t="e" cm="1">
        <f t="array" ref="W25">_xlfn.LET(_xlpm.r,_xlfn.XLOOKUP(1,MappingGuide[[#This Row],[API]:[API_3]],'[1]Squirrel SQL Export 1'!$K:$N,[1]!Table1[[#This Row],[Exists In Syndigo?]]),IF(_xlpm.r=0,"",_xlpm.r))</f>
        <v>#REF!</v>
      </c>
      <c r="X25" s="17" t="e" cm="1">
        <f t="array" ref="X25">_xlfn.LET(_xlpm.r,_xlfn.XLOOKUP(1,MappingGuide[[#This Row],[API]:[API_3]],'[1]Squirrel SQL Export 1'!$K:$N,[1]!Table1[[#This Row],[Syndigo Name]]),IF(_xlpm.r=0,"",_xlpm.r))</f>
        <v>#REF!</v>
      </c>
      <c r="Y25" s="17"/>
      <c r="Z25" s="17" t="s">
        <v>167</v>
      </c>
      <c r="AA25" s="17"/>
      <c r="AB25" s="17"/>
      <c r="AC25" s="17" t="e" cm="1">
        <f t="array" ref="AC25">_xlfn.XLOOKUP(1,MappingGuide[[#This Row],[API]:[API_3]],'[1]Squirrel SQL Export 1'!$K:$N,[1]!Table1[[#This Row],[Doppio Notes2]])</f>
        <v>#REF!</v>
      </c>
      <c r="AD25" s="17" t="s">
        <v>1279</v>
      </c>
      <c r="AE25" s="17" t="e" cm="1">
        <f t="array" ref="AE25">_xlfn.XLOOKUP(1,MappingGuide[[#This Row],[API]:[API_3]],'[1]Squirrel SQL Export 1'!$K:$N,[1]!Table1[[#This Row],[DG_required]])</f>
        <v>#REF!</v>
      </c>
      <c r="AF25" s="21" t="s">
        <v>1306</v>
      </c>
      <c r="AG25" s="21"/>
      <c r="AH25" s="22" t="e" cm="1">
        <f t="array" ref="AH25">_xlfn.LET(_xlpm.r,_xlfn.XLOOKUP(1,MappingGuide[[#This Row],[API]:[API_3]],'[1]Squirrel SQL Export 1'!$K:$N,[1]!Table1[[#This Row],[Pending Items]]),IF(_xlpm.r=0,"",_xlpm.r))</f>
        <v>#REF!</v>
      </c>
      <c r="AI25" s="22" t="e" cm="1">
        <f t="array" ref="AI25">_xlfn.LET(_xlpm.r,_xlfn.XLOOKUP(1,MappingGuide[[#This Row],[API]:[API_3]],'[1]Squirrel SQL Export 1'!$K:$N,[1]!Table1[[#This Row],[Syndigo Name]]),IF(_xlpm.r=0,"",_xlpm.r))</f>
        <v>#REF!</v>
      </c>
      <c r="AJ25" s="17"/>
    </row>
    <row r="26" spans="1:36" ht="17" hidden="1">
      <c r="A26" s="17">
        <v>24</v>
      </c>
      <c r="B26" s="17" t="s">
        <v>40</v>
      </c>
      <c r="C26" s="17" t="s">
        <v>168</v>
      </c>
      <c r="D26" s="17" t="s">
        <v>169</v>
      </c>
      <c r="E26" s="17" t="s">
        <v>33</v>
      </c>
      <c r="F26" s="17" t="s">
        <v>34</v>
      </c>
      <c r="G26" s="17"/>
      <c r="H26" s="17"/>
      <c r="I26" s="17" t="s">
        <v>57</v>
      </c>
      <c r="J26" s="17" t="s">
        <v>58</v>
      </c>
      <c r="K26" s="17"/>
      <c r="L26" s="17" t="s">
        <v>35</v>
      </c>
      <c r="M26" s="17" t="s">
        <v>36</v>
      </c>
      <c r="N26" s="17" t="s">
        <v>170</v>
      </c>
      <c r="O26" s="17"/>
      <c r="P26" s="17"/>
      <c r="Q26" s="17"/>
      <c r="R26" s="17"/>
      <c r="S26" s="17" t="e" cm="1">
        <f t="array" ref="S26">_xlfn.LET(_xlpm.r,_xlfn.XLOOKUP(1,MappingGuide[[#This Row],[API]:[API_3]],'[1]Squirrel SQL Export 1'!$K:$N,[1]!Table1[[#This Row],[Responsible from HJ]]),IF(_xlpm.r=0,"",_xlpm.r))</f>
        <v>#REF!</v>
      </c>
      <c r="T26" s="17"/>
      <c r="U26" s="17"/>
      <c r="V26" s="17" t="e" cm="1">
        <f t="array" ref="V26">_xlfn.LET(_xlpm.r,_xlfn.XLOOKUP(1,MappingGuide[[#This Row],[API]:[API_3]],'[1]Squirrel SQL Export 1'!$K:$N,[1]!Table1[[#This Row],[MDM Comments]]),IF(_xlpm.r=0,"",_xlpm.r))</f>
        <v>#REF!</v>
      </c>
      <c r="W26" s="17" t="e" cm="1">
        <f t="array" ref="W26">_xlfn.LET(_xlpm.r,_xlfn.XLOOKUP(1,MappingGuide[[#This Row],[API]:[API_3]],'[1]Squirrel SQL Export 1'!$K:$N,[1]!Table1[[#This Row],[Exists In Syndigo?]]),IF(_xlpm.r=0,"",_xlpm.r))</f>
        <v>#REF!</v>
      </c>
      <c r="X26" s="17" t="e" cm="1">
        <f t="array" ref="X26">_xlfn.LET(_xlpm.r,_xlfn.XLOOKUP(1,MappingGuide[[#This Row],[API]:[API_3]],'[1]Squirrel SQL Export 1'!$K:$N,[1]!Table1[[#This Row],[Syndigo Name]]),IF(_xlpm.r=0,"",_xlpm.r))</f>
        <v>#REF!</v>
      </c>
      <c r="Y26" s="17"/>
      <c r="Z26" s="17" t="s">
        <v>171</v>
      </c>
      <c r="AA26" s="17"/>
      <c r="AB26" s="17"/>
      <c r="AC26" s="17" t="e" cm="1">
        <f t="array" ref="AC26">_xlfn.XLOOKUP(1,MappingGuide[[#This Row],[API]:[API_3]],'[1]Squirrel SQL Export 1'!$K:$N,[1]!Table1[[#This Row],[Doppio Notes2]])</f>
        <v>#REF!</v>
      </c>
      <c r="AD26" s="17"/>
      <c r="AE26" s="17" t="e" cm="1">
        <f t="array" ref="AE26">_xlfn.XLOOKUP(1,MappingGuide[[#This Row],[API]:[API_3]],'[1]Squirrel SQL Export 1'!$K:$N,[1]!Table1[[#This Row],[DG_required]])</f>
        <v>#REF!</v>
      </c>
      <c r="AF26" s="21" t="s">
        <v>1306</v>
      </c>
      <c r="AG26" s="21"/>
      <c r="AH26" s="22" t="e" cm="1">
        <f t="array" ref="AH26">_xlfn.LET(_xlpm.r,_xlfn.XLOOKUP(1,MappingGuide[[#This Row],[API]:[API_3]],'[1]Squirrel SQL Export 1'!$K:$N,[1]!Table1[[#This Row],[Pending Items]]),IF(_xlpm.r=0,"",_xlpm.r))</f>
        <v>#REF!</v>
      </c>
      <c r="AI26" s="22" t="e" cm="1">
        <f t="array" ref="AI26">_xlfn.LET(_xlpm.r,_xlfn.XLOOKUP(1,MappingGuide[[#This Row],[API]:[API_3]],'[1]Squirrel SQL Export 1'!$K:$N,[1]!Table1[[#This Row],[Syndigo Name]]),IF(_xlpm.r=0,"",_xlpm.r))</f>
        <v>#REF!</v>
      </c>
      <c r="AJ26" s="17"/>
    </row>
    <row r="27" spans="1:36" ht="17" hidden="1">
      <c r="A27" s="17">
        <v>25</v>
      </c>
      <c r="B27" s="17" t="s">
        <v>40</v>
      </c>
      <c r="C27" s="17" t="s">
        <v>172</v>
      </c>
      <c r="D27" s="17" t="s">
        <v>173</v>
      </c>
      <c r="E27" s="17" t="s">
        <v>33</v>
      </c>
      <c r="F27" s="17" t="s">
        <v>56</v>
      </c>
      <c r="G27" s="17"/>
      <c r="H27" s="17"/>
      <c r="I27" s="17" t="s">
        <v>57</v>
      </c>
      <c r="J27" s="17" t="s">
        <v>72</v>
      </c>
      <c r="K27" s="17"/>
      <c r="L27" s="17" t="s">
        <v>35</v>
      </c>
      <c r="M27" s="17" t="s">
        <v>73</v>
      </c>
      <c r="N27" s="17" t="s">
        <v>174</v>
      </c>
      <c r="O27" s="17"/>
      <c r="P27" s="17"/>
      <c r="Q27" s="17"/>
      <c r="R27" s="17"/>
      <c r="S27" s="17" t="e" cm="1">
        <f t="array" ref="S27">_xlfn.LET(_xlpm.r,_xlfn.XLOOKUP(1,MappingGuide[[#This Row],[API]:[API_3]],'[1]Squirrel SQL Export 1'!$K:$N,[1]!Table1[[#This Row],[Responsible from HJ]]),IF(_xlpm.r=0,"",_xlpm.r))</f>
        <v>#REF!</v>
      </c>
      <c r="T27" s="17"/>
      <c r="U27" s="17"/>
      <c r="V27" s="17" t="e" cm="1">
        <f t="array" ref="V27">_xlfn.LET(_xlpm.r,_xlfn.XLOOKUP(1,MappingGuide[[#This Row],[API]:[API_3]],'[1]Squirrel SQL Export 1'!$K:$N,[1]!Table1[[#This Row],[MDM Comments]]),IF(_xlpm.r=0,"",_xlpm.r))</f>
        <v>#REF!</v>
      </c>
      <c r="W27" s="17" t="e" cm="1">
        <f t="array" ref="W27">_xlfn.LET(_xlpm.r,_xlfn.XLOOKUP(1,MappingGuide[[#This Row],[API]:[API_3]],'[1]Squirrel SQL Export 1'!$K:$N,[1]!Table1[[#This Row],[Exists In Syndigo?]]),IF(_xlpm.r=0,"",_xlpm.r))</f>
        <v>#REF!</v>
      </c>
      <c r="X27" s="17" t="e" cm="1">
        <f t="array" ref="X27">_xlfn.LET(_xlpm.r,_xlfn.XLOOKUP(1,MappingGuide[[#This Row],[API]:[API_3]],'[1]Squirrel SQL Export 1'!$K:$N,[1]!Table1[[#This Row],[Syndigo Name]]),IF(_xlpm.r=0,"",_xlpm.r))</f>
        <v>#REF!</v>
      </c>
      <c r="Y27" s="17"/>
      <c r="Z27" s="17" t="s">
        <v>175</v>
      </c>
      <c r="AA27" s="17"/>
      <c r="AB27" s="17"/>
      <c r="AC27" s="17" t="e" cm="1">
        <f t="array" ref="AC27">_xlfn.XLOOKUP(1,MappingGuide[[#This Row],[API]:[API_3]],'[1]Squirrel SQL Export 1'!$K:$N,[1]!Table1[[#This Row],[Doppio Notes2]])</f>
        <v>#REF!</v>
      </c>
      <c r="AD27" s="17"/>
      <c r="AE27" s="17" t="e" cm="1">
        <f t="array" ref="AE27">_xlfn.XLOOKUP(1,MappingGuide[[#This Row],[API]:[API_3]],'[1]Squirrel SQL Export 1'!$K:$N,[1]!Table1[[#This Row],[DG_required]])</f>
        <v>#REF!</v>
      </c>
      <c r="AF27" s="21" t="s">
        <v>1306</v>
      </c>
      <c r="AG27" s="21"/>
      <c r="AH27" s="22" t="e" cm="1">
        <f t="array" ref="AH27">_xlfn.LET(_xlpm.r,_xlfn.XLOOKUP(1,MappingGuide[[#This Row],[API]:[API_3]],'[1]Squirrel SQL Export 1'!$K:$N,[1]!Table1[[#This Row],[Pending Items]]),IF(_xlpm.r=0,"",_xlpm.r))</f>
        <v>#REF!</v>
      </c>
      <c r="AI27" s="22" t="e" cm="1">
        <f t="array" ref="AI27">_xlfn.LET(_xlpm.r,_xlfn.XLOOKUP(1,MappingGuide[[#This Row],[API]:[API_3]],'[1]Squirrel SQL Export 1'!$K:$N,[1]!Table1[[#This Row],[Syndigo Name]]),IF(_xlpm.r=0,"",_xlpm.r))</f>
        <v>#REF!</v>
      </c>
      <c r="AJ27" s="17"/>
    </row>
    <row r="28" spans="1:36" ht="54" hidden="1">
      <c r="A28" s="17">
        <v>26</v>
      </c>
      <c r="B28" s="17" t="s">
        <v>40</v>
      </c>
      <c r="C28" s="17" t="s">
        <v>176</v>
      </c>
      <c r="D28" s="17" t="s">
        <v>177</v>
      </c>
      <c r="E28" s="17" t="s">
        <v>33</v>
      </c>
      <c r="F28" s="17" t="s">
        <v>44</v>
      </c>
      <c r="G28" s="17"/>
      <c r="H28" s="17"/>
      <c r="I28" s="17" t="s">
        <v>57</v>
      </c>
      <c r="J28" s="17" t="s">
        <v>145</v>
      </c>
      <c r="K28" s="17"/>
      <c r="L28" s="17" t="s">
        <v>35</v>
      </c>
      <c r="M28" s="17" t="s">
        <v>73</v>
      </c>
      <c r="N28" s="17" t="s">
        <v>178</v>
      </c>
      <c r="O28" s="17"/>
      <c r="P28" s="17" t="s">
        <v>179</v>
      </c>
      <c r="Q28" s="17"/>
      <c r="R28" s="17"/>
      <c r="S28" s="17" t="e" cm="1">
        <f t="array" ref="S28">_xlfn.LET(_xlpm.r,_xlfn.XLOOKUP(1,MappingGuide[[#This Row],[API]:[API_3]],'[1]Squirrel SQL Export 1'!$K:$N,[1]!Table1[[#This Row],[Responsible from HJ]]),IF(_xlpm.r=0,"",_xlpm.r))</f>
        <v>#REF!</v>
      </c>
      <c r="T28" s="17"/>
      <c r="U28" s="17"/>
      <c r="V28" s="17" t="e" cm="1">
        <f t="array" ref="V28">_xlfn.LET(_xlpm.r,_xlfn.XLOOKUP(1,MappingGuide[[#This Row],[API]:[API_3]],'[1]Squirrel SQL Export 1'!$K:$N,[1]!Table1[[#This Row],[MDM Comments]]),IF(_xlpm.r=0,"",_xlpm.r))</f>
        <v>#REF!</v>
      </c>
      <c r="W28" s="17" t="e" cm="1">
        <f t="array" ref="W28">_xlfn.LET(_xlpm.r,_xlfn.XLOOKUP(1,MappingGuide[[#This Row],[API]:[API_3]],'[1]Squirrel SQL Export 1'!$K:$N,[1]!Table1[[#This Row],[Exists In Syndigo?]]),IF(_xlpm.r=0,"",_xlpm.r))</f>
        <v>#REF!</v>
      </c>
      <c r="X28" s="17" t="e" cm="1">
        <f t="array" ref="X28">_xlfn.LET(_xlpm.r,_xlfn.XLOOKUP(1,MappingGuide[[#This Row],[API]:[API_3]],'[1]Squirrel SQL Export 1'!$K:$N,[1]!Table1[[#This Row],[Syndigo Name]]),IF(_xlpm.r=0,"",_xlpm.r))</f>
        <v>#REF!</v>
      </c>
      <c r="Y28" s="17"/>
      <c r="Z28" s="17" t="s">
        <v>180</v>
      </c>
      <c r="AA28" s="17"/>
      <c r="AB28" s="17"/>
      <c r="AC28" s="17" t="e" cm="1">
        <f t="array" ref="AC28">_xlfn.XLOOKUP(1,MappingGuide[[#This Row],[API]:[API_3]],'[1]Squirrel SQL Export 1'!$K:$N,[1]!Table1[[#This Row],[Doppio Notes2]])</f>
        <v>#REF!</v>
      </c>
      <c r="AD28" s="17" t="s">
        <v>1279</v>
      </c>
      <c r="AE28" s="17" t="e" cm="1">
        <f t="array" ref="AE28">_xlfn.XLOOKUP(1,MappingGuide[[#This Row],[API]:[API_3]],'[1]Squirrel SQL Export 1'!$K:$N,[1]!Table1[[#This Row],[DG_required]])</f>
        <v>#REF!</v>
      </c>
      <c r="AF28" s="21" t="s">
        <v>181</v>
      </c>
      <c r="AG28" s="21"/>
      <c r="AH28" s="24" t="e" cm="1">
        <f t="array" ref="AH28">_xlfn.LET(_xlpm.r,_xlfn.XLOOKUP(1,MappingGuide[[#This Row],[API]:[API_3]],'[1]Squirrel SQL Export 1'!$K:$N,[1]!Table1[[#This Row],[Pending Items]]),IF(_xlpm.r=0,"",_xlpm.r))</f>
        <v>#REF!</v>
      </c>
      <c r="AI28" s="22" t="e" cm="1">
        <f t="array" ref="AI28">_xlfn.LET(_xlpm.r,_xlfn.XLOOKUP(1,MappingGuide[[#This Row],[API]:[API_3]],'[1]Squirrel SQL Export 1'!$K:$N,[1]!Table1[[#This Row],[Syndigo Name]]),IF(_xlpm.r=0,"",_xlpm.r))</f>
        <v>#REF!</v>
      </c>
      <c r="AJ28" s="17"/>
    </row>
    <row r="29" spans="1:36" ht="17" hidden="1">
      <c r="A29" s="17">
        <v>27</v>
      </c>
      <c r="B29" s="17" t="s">
        <v>40</v>
      </c>
      <c r="C29" s="17" t="s">
        <v>182</v>
      </c>
      <c r="D29" s="17" t="s">
        <v>183</v>
      </c>
      <c r="E29" s="17" t="s">
        <v>43</v>
      </c>
      <c r="F29" s="17" t="s">
        <v>80</v>
      </c>
      <c r="G29" s="17"/>
      <c r="H29" s="17"/>
      <c r="I29" s="17" t="s">
        <v>57</v>
      </c>
      <c r="J29" s="17" t="s">
        <v>124</v>
      </c>
      <c r="K29" s="17"/>
      <c r="L29" s="17"/>
      <c r="M29" s="17"/>
      <c r="N29" s="17" t="s">
        <v>184</v>
      </c>
      <c r="O29" s="17"/>
      <c r="P29" s="17"/>
      <c r="Q29" s="17"/>
      <c r="R29" s="17"/>
      <c r="S29" s="17" t="e" cm="1">
        <f t="array" ref="S29">_xlfn.LET(_xlpm.r,_xlfn.XLOOKUP(1,MappingGuide[[#This Row],[API]:[API_3]],'[1]Squirrel SQL Export 1'!$K:$N,[1]!Table1[[#This Row],[Responsible from HJ]]),IF(_xlpm.r=0,"",_xlpm.r))</f>
        <v>#REF!</v>
      </c>
      <c r="T29" s="17"/>
      <c r="U29" s="17"/>
      <c r="V29" s="17" t="e" cm="1">
        <f t="array" ref="V29">_xlfn.LET(_xlpm.r,_xlfn.XLOOKUP(1,MappingGuide[[#This Row],[API]:[API_3]],'[1]Squirrel SQL Export 1'!$K:$N,[1]!Table1[[#This Row],[MDM Comments]]),IF(_xlpm.r=0,"",_xlpm.r))</f>
        <v>#REF!</v>
      </c>
      <c r="W29" s="17" t="e" cm="1">
        <f t="array" ref="W29">_xlfn.LET(_xlpm.r,_xlfn.XLOOKUP(1,MappingGuide[[#This Row],[API]:[API_3]],'[1]Squirrel SQL Export 1'!$K:$N,[1]!Table1[[#This Row],[Exists In Syndigo?]]),IF(_xlpm.r=0,"",_xlpm.r))</f>
        <v>#REF!</v>
      </c>
      <c r="X29" s="17" t="e" cm="1">
        <f t="array" ref="X29">_xlfn.LET(_xlpm.r,_xlfn.XLOOKUP(1,MappingGuide[[#This Row],[API]:[API_3]],'[1]Squirrel SQL Export 1'!$K:$N,[1]!Table1[[#This Row],[Syndigo Name]]),IF(_xlpm.r=0,"",_xlpm.r))</f>
        <v>#REF!</v>
      </c>
      <c r="Y29" s="17"/>
      <c r="Z29" s="17" t="s">
        <v>185</v>
      </c>
      <c r="AA29" s="17"/>
      <c r="AB29" s="17"/>
      <c r="AC29" s="17" t="e" cm="1">
        <f t="array" ref="AC29">_xlfn.XLOOKUP(1,MappingGuide[[#This Row],[API]:[API_3]],'[1]Squirrel SQL Export 1'!$K:$N,[1]!Table1[[#This Row],[Doppio Notes2]])</f>
        <v>#REF!</v>
      </c>
      <c r="AD29" s="17"/>
      <c r="AE29" s="17" t="e" cm="1">
        <f t="array" ref="AE29">_xlfn.XLOOKUP(1,MappingGuide[[#This Row],[API]:[API_3]],'[1]Squirrel SQL Export 1'!$K:$N,[1]!Table1[[#This Row],[DG_required]])</f>
        <v>#REF!</v>
      </c>
      <c r="AF29" s="21" t="s">
        <v>1290</v>
      </c>
      <c r="AG29" s="21"/>
      <c r="AH29" s="22" t="e" cm="1">
        <f t="array" ref="AH29">_xlfn.LET(_xlpm.r,_xlfn.XLOOKUP(1,MappingGuide[[#This Row],[API]:[API_3]],'[1]Squirrel SQL Export 1'!$K:$N,[1]!Table1[[#This Row],[Pending Items]]),IF(_xlpm.r=0,"",_xlpm.r))</f>
        <v>#REF!</v>
      </c>
      <c r="AI29" s="22" t="e" cm="1">
        <f t="array" ref="AI29">_xlfn.LET(_xlpm.r,_xlfn.XLOOKUP(1,MappingGuide[[#This Row],[API]:[API_3]],'[1]Squirrel SQL Export 1'!$K:$N,[1]!Table1[[#This Row],[Syndigo Name]]),IF(_xlpm.r=0,"",_xlpm.r))</f>
        <v>#REF!</v>
      </c>
      <c r="AJ29" s="17"/>
    </row>
    <row r="30" spans="1:36" ht="17" hidden="1">
      <c r="A30" s="17">
        <v>28</v>
      </c>
      <c r="B30" s="17" t="s">
        <v>40</v>
      </c>
      <c r="C30" s="17" t="s">
        <v>186</v>
      </c>
      <c r="D30" s="17" t="s">
        <v>187</v>
      </c>
      <c r="E30" s="17" t="s">
        <v>33</v>
      </c>
      <c r="F30" s="17" t="s">
        <v>44</v>
      </c>
      <c r="G30" s="17"/>
      <c r="H30" s="17"/>
      <c r="I30" s="17" t="s">
        <v>57</v>
      </c>
      <c r="J30" s="17" t="s">
        <v>145</v>
      </c>
      <c r="K30" s="17"/>
      <c r="L30" s="17" t="s">
        <v>35</v>
      </c>
      <c r="M30" s="17" t="s">
        <v>146</v>
      </c>
      <c r="N30" s="17" t="s">
        <v>188</v>
      </c>
      <c r="O30" s="17"/>
      <c r="P30" s="17"/>
      <c r="Q30" s="17"/>
      <c r="R30" s="17"/>
      <c r="S30" s="17" t="e" cm="1">
        <f t="array" ref="S30">_xlfn.LET(_xlpm.r,_xlfn.XLOOKUP(1,MappingGuide[[#This Row],[API]:[API_3]],'[1]Squirrel SQL Export 1'!$K:$N,[1]!Table1[[#This Row],[Responsible from HJ]]),IF(_xlpm.r=0,"",_xlpm.r))</f>
        <v>#REF!</v>
      </c>
      <c r="T30" s="17"/>
      <c r="U30" s="17"/>
      <c r="V30" s="17" t="e" cm="1">
        <f t="array" ref="V30">_xlfn.LET(_xlpm.r,_xlfn.XLOOKUP(1,MappingGuide[[#This Row],[API]:[API_3]],'[1]Squirrel SQL Export 1'!$K:$N,[1]!Table1[[#This Row],[MDM Comments]]),IF(_xlpm.r=0,"",_xlpm.r))</f>
        <v>#REF!</v>
      </c>
      <c r="W30" s="17" t="e" cm="1">
        <f t="array" ref="W30">_xlfn.LET(_xlpm.r,_xlfn.XLOOKUP(1,MappingGuide[[#This Row],[API]:[API_3]],'[1]Squirrel SQL Export 1'!$K:$N,[1]!Table1[[#This Row],[Exists In Syndigo?]]),IF(_xlpm.r=0,"",_xlpm.r))</f>
        <v>#REF!</v>
      </c>
      <c r="X30" s="17" t="e" cm="1">
        <f t="array" ref="X30">_xlfn.LET(_xlpm.r,_xlfn.XLOOKUP(1,MappingGuide[[#This Row],[API]:[API_3]],'[1]Squirrel SQL Export 1'!$K:$N,[1]!Table1[[#This Row],[Syndigo Name]]),IF(_xlpm.r=0,"",_xlpm.r))</f>
        <v>#REF!</v>
      </c>
      <c r="Y30" s="17"/>
      <c r="Z30" s="17" t="s">
        <v>189</v>
      </c>
      <c r="AA30" s="17"/>
      <c r="AB30" s="17"/>
      <c r="AC30" s="17" t="e" cm="1">
        <f t="array" ref="AC30">_xlfn.XLOOKUP(1,MappingGuide[[#This Row],[API]:[API_3]],'[1]Squirrel SQL Export 1'!$K:$N,[1]!Table1[[#This Row],[Doppio Notes2]])</f>
        <v>#REF!</v>
      </c>
      <c r="AD30" s="17"/>
      <c r="AE30" s="17" t="e" cm="1">
        <f t="array" ref="AE30">_xlfn.XLOOKUP(1,MappingGuide[[#This Row],[API]:[API_3]],'[1]Squirrel SQL Export 1'!$K:$N,[1]!Table1[[#This Row],[DG_required]])</f>
        <v>#REF!</v>
      </c>
      <c r="AF30" s="21" t="s">
        <v>1306</v>
      </c>
      <c r="AG30" s="21"/>
      <c r="AH30" s="22" t="e" cm="1">
        <f t="array" ref="AH30">_xlfn.LET(_xlpm.r,_xlfn.XLOOKUP(1,MappingGuide[[#This Row],[API]:[API_3]],'[1]Squirrel SQL Export 1'!$K:$N,[1]!Table1[[#This Row],[Pending Items]]),IF(_xlpm.r=0,"",_xlpm.r))</f>
        <v>#REF!</v>
      </c>
      <c r="AI30" s="22" t="e" cm="1">
        <f t="array" ref="AI30">_xlfn.LET(_xlpm.r,_xlfn.XLOOKUP(1,MappingGuide[[#This Row],[API]:[API_3]],'[1]Squirrel SQL Export 1'!$K:$N,[1]!Table1[[#This Row],[Syndigo Name]]),IF(_xlpm.r=0,"",_xlpm.r))</f>
        <v>#REF!</v>
      </c>
      <c r="AJ30" s="17"/>
    </row>
    <row r="31" spans="1:36" ht="54" hidden="1">
      <c r="A31" s="17">
        <v>29</v>
      </c>
      <c r="B31" s="17" t="s">
        <v>40</v>
      </c>
      <c r="C31" s="17" t="s">
        <v>190</v>
      </c>
      <c r="D31" s="17" t="s">
        <v>191</v>
      </c>
      <c r="E31" s="17" t="s">
        <v>33</v>
      </c>
      <c r="F31" s="17" t="s">
        <v>44</v>
      </c>
      <c r="G31" s="17"/>
      <c r="H31" s="17"/>
      <c r="I31" s="17" t="s">
        <v>57</v>
      </c>
      <c r="J31" s="17" t="s">
        <v>119</v>
      </c>
      <c r="K31" s="17"/>
      <c r="L31" s="17" t="s">
        <v>35</v>
      </c>
      <c r="M31" s="17" t="s">
        <v>73</v>
      </c>
      <c r="N31" s="17" t="s">
        <v>192</v>
      </c>
      <c r="O31" s="17"/>
      <c r="P31" s="17"/>
      <c r="Q31" s="17"/>
      <c r="R31" s="17"/>
      <c r="S31" s="17" t="e" cm="1">
        <f t="array" ref="S31">_xlfn.LET(_xlpm.r,_xlfn.XLOOKUP(1,MappingGuide[[#This Row],[API]:[API_3]],'[1]Squirrel SQL Export 1'!$K:$N,[1]!Table1[[#This Row],[Responsible from HJ]]),IF(_xlpm.r=0,"",_xlpm.r))</f>
        <v>#REF!</v>
      </c>
      <c r="T31" s="17"/>
      <c r="U31" s="17"/>
      <c r="V31" s="17" t="e" cm="1">
        <f t="array" ref="V31">_xlfn.LET(_xlpm.r,_xlfn.XLOOKUP(1,MappingGuide[[#This Row],[API]:[API_3]],'[1]Squirrel SQL Export 1'!$K:$N,[1]!Table1[[#This Row],[MDM Comments]]),IF(_xlpm.r=0,"",_xlpm.r))</f>
        <v>#REF!</v>
      </c>
      <c r="W31" s="17" t="e" cm="1">
        <f t="array" ref="W31">_xlfn.LET(_xlpm.r,_xlfn.XLOOKUP(1,MappingGuide[[#This Row],[API]:[API_3]],'[1]Squirrel SQL Export 1'!$K:$N,[1]!Table1[[#This Row],[Exists In Syndigo?]]),IF(_xlpm.r=0,"",_xlpm.r))</f>
        <v>#REF!</v>
      </c>
      <c r="X31" s="17" t="e" cm="1">
        <f t="array" ref="X31">_xlfn.LET(_xlpm.r,_xlfn.XLOOKUP(1,MappingGuide[[#This Row],[API]:[API_3]],'[1]Squirrel SQL Export 1'!$K:$N,[1]!Table1[[#This Row],[Syndigo Name]]),IF(_xlpm.r=0,"",_xlpm.r))</f>
        <v>#REF!</v>
      </c>
      <c r="Y31" s="17"/>
      <c r="Z31" s="17" t="s">
        <v>193</v>
      </c>
      <c r="AA31" s="17"/>
      <c r="AB31" s="17"/>
      <c r="AC31" s="17" t="e" cm="1">
        <f t="array" ref="AC31">_xlfn.XLOOKUP(1,MappingGuide[[#This Row],[API]:[API_3]],'[1]Squirrel SQL Export 1'!$K:$N,[1]!Table1[[#This Row],[Doppio Notes2]])</f>
        <v>#REF!</v>
      </c>
      <c r="AD31" s="17" t="s">
        <v>1279</v>
      </c>
      <c r="AE31" s="17" t="e" cm="1">
        <f t="array" ref="AE31">_xlfn.XLOOKUP(1,MappingGuide[[#This Row],[API]:[API_3]],'[1]Squirrel SQL Export 1'!$K:$N,[1]!Table1[[#This Row],[DG_required]])</f>
        <v>#REF!</v>
      </c>
      <c r="AF31" s="21" t="s">
        <v>194</v>
      </c>
      <c r="AG31" s="21"/>
      <c r="AH31" s="24" t="e" cm="1">
        <f t="array" ref="AH31">_xlfn.LET(_xlpm.r,_xlfn.XLOOKUP(1,MappingGuide[[#This Row],[API]:[API_3]],'[1]Squirrel SQL Export 1'!$K:$N,[1]!Table1[[#This Row],[Pending Items]]),IF(_xlpm.r=0,"",_xlpm.r))</f>
        <v>#REF!</v>
      </c>
      <c r="AI31" s="22" t="e" cm="1">
        <f t="array" ref="AI31">_xlfn.LET(_xlpm.r,_xlfn.XLOOKUP(1,MappingGuide[[#This Row],[API]:[API_3]],'[1]Squirrel SQL Export 1'!$K:$N,[1]!Table1[[#This Row],[Syndigo Name]]),IF(_xlpm.r=0,"",_xlpm.r))</f>
        <v>#REF!</v>
      </c>
      <c r="AJ31" s="17"/>
    </row>
    <row r="32" spans="1:36" ht="17" hidden="1">
      <c r="A32" s="17">
        <v>30</v>
      </c>
      <c r="B32" s="17" t="s">
        <v>40</v>
      </c>
      <c r="C32" s="17" t="s">
        <v>195</v>
      </c>
      <c r="D32" s="17" t="s">
        <v>196</v>
      </c>
      <c r="E32" s="17" t="s">
        <v>33</v>
      </c>
      <c r="F32" s="17" t="s">
        <v>44</v>
      </c>
      <c r="G32" s="17"/>
      <c r="H32" s="17"/>
      <c r="I32" s="17" t="s">
        <v>57</v>
      </c>
      <c r="J32" s="17" t="s">
        <v>119</v>
      </c>
      <c r="K32" s="17"/>
      <c r="L32" s="17" t="s">
        <v>35</v>
      </c>
      <c r="M32" s="17" t="s">
        <v>73</v>
      </c>
      <c r="N32" s="17" t="s">
        <v>197</v>
      </c>
      <c r="O32" s="17"/>
      <c r="P32" s="17"/>
      <c r="Q32" s="17"/>
      <c r="R32" s="17"/>
      <c r="S32" s="17" t="e" cm="1">
        <f t="array" ref="S32">_xlfn.LET(_xlpm.r,_xlfn.XLOOKUP(1,MappingGuide[[#This Row],[API]:[API_3]],'[1]Squirrel SQL Export 1'!$K:$N,[1]!Table1[[#This Row],[Responsible from HJ]]),IF(_xlpm.r=0,"",_xlpm.r))</f>
        <v>#REF!</v>
      </c>
      <c r="T32" s="17"/>
      <c r="U32" s="17"/>
      <c r="V32" s="17" t="e" cm="1">
        <f t="array" ref="V32">_xlfn.LET(_xlpm.r,_xlfn.XLOOKUP(1,MappingGuide[[#This Row],[API]:[API_3]],'[1]Squirrel SQL Export 1'!$K:$N,[1]!Table1[[#This Row],[MDM Comments]]),IF(_xlpm.r=0,"",_xlpm.r))</f>
        <v>#REF!</v>
      </c>
      <c r="W32" s="17" t="e" cm="1">
        <f t="array" ref="W32">_xlfn.LET(_xlpm.r,_xlfn.XLOOKUP(1,MappingGuide[[#This Row],[API]:[API_3]],'[1]Squirrel SQL Export 1'!$K:$N,[1]!Table1[[#This Row],[Exists In Syndigo?]]),IF(_xlpm.r=0,"",_xlpm.r))</f>
        <v>#REF!</v>
      </c>
      <c r="X32" s="17" t="e" cm="1">
        <f t="array" ref="X32">_xlfn.LET(_xlpm.r,_xlfn.XLOOKUP(1,MappingGuide[[#This Row],[API]:[API_3]],'[1]Squirrel SQL Export 1'!$K:$N,[1]!Table1[[#This Row],[Syndigo Name]]),IF(_xlpm.r=0,"",_xlpm.r))</f>
        <v>#REF!</v>
      </c>
      <c r="Y32" s="17"/>
      <c r="Z32" s="17" t="s">
        <v>198</v>
      </c>
      <c r="AA32" s="17"/>
      <c r="AB32" s="17"/>
      <c r="AC32" s="17" t="e" cm="1">
        <f t="array" ref="AC32">_xlfn.XLOOKUP(1,MappingGuide[[#This Row],[API]:[API_3]],'[1]Squirrel SQL Export 1'!$K:$N,[1]!Table1[[#This Row],[Doppio Notes2]])</f>
        <v>#REF!</v>
      </c>
      <c r="AD32" s="17"/>
      <c r="AE32" s="17" t="e" cm="1">
        <f t="array" ref="AE32">_xlfn.XLOOKUP(1,MappingGuide[[#This Row],[API]:[API_3]],'[1]Squirrel SQL Export 1'!$K:$N,[1]!Table1[[#This Row],[DG_required]])</f>
        <v>#REF!</v>
      </c>
      <c r="AF32" s="21" t="s">
        <v>1288</v>
      </c>
      <c r="AG32" s="21"/>
      <c r="AH32" s="22" t="e" cm="1">
        <f t="array" ref="AH32">_xlfn.LET(_xlpm.r,_xlfn.XLOOKUP(1,MappingGuide[[#This Row],[API]:[API_3]],'[1]Squirrel SQL Export 1'!$K:$N,[1]!Table1[[#This Row],[Pending Items]]),IF(_xlpm.r=0,"",_xlpm.r))</f>
        <v>#REF!</v>
      </c>
      <c r="AI32" s="22" t="e" cm="1">
        <f t="array" ref="AI32">_xlfn.LET(_xlpm.r,_xlfn.XLOOKUP(1,MappingGuide[[#This Row],[API]:[API_3]],'[1]Squirrel SQL Export 1'!$K:$N,[1]!Table1[[#This Row],[Syndigo Name]]),IF(_xlpm.r=0,"",_xlpm.r))</f>
        <v>#REF!</v>
      </c>
      <c r="AJ32" s="17"/>
    </row>
    <row r="33" spans="1:36" ht="108" hidden="1">
      <c r="A33" s="17">
        <v>31</v>
      </c>
      <c r="B33" s="17" t="s">
        <v>40</v>
      </c>
      <c r="C33" s="17" t="s">
        <v>199</v>
      </c>
      <c r="D33" s="17" t="s">
        <v>200</v>
      </c>
      <c r="E33" s="17" t="s">
        <v>33</v>
      </c>
      <c r="F33" s="17" t="s">
        <v>34</v>
      </c>
      <c r="G33" s="17"/>
      <c r="H33" s="17"/>
      <c r="I33" s="17" t="s">
        <v>57</v>
      </c>
      <c r="J33" s="17" t="s">
        <v>72</v>
      </c>
      <c r="K33" s="17"/>
      <c r="L33" s="17" t="s">
        <v>35</v>
      </c>
      <c r="M33" s="17" t="s">
        <v>73</v>
      </c>
      <c r="N33" s="17" t="s">
        <v>201</v>
      </c>
      <c r="O33" s="17"/>
      <c r="P33" s="17"/>
      <c r="Q33" s="17"/>
      <c r="R33" s="17" t="s">
        <v>202</v>
      </c>
      <c r="S33" s="17" t="e" cm="1">
        <f t="array" ref="S33">_xlfn.LET(_xlpm.r,_xlfn.XLOOKUP(1,MappingGuide[[#This Row],[API]:[API_3]],'[1]Squirrel SQL Export 1'!$K:$N,[1]!Table1[[#This Row],[Responsible from HJ]]),IF(_xlpm.r=0,"",_xlpm.r))</f>
        <v>#REF!</v>
      </c>
      <c r="T33" s="17"/>
      <c r="U33" s="17"/>
      <c r="V33" s="17" t="e" cm="1">
        <f t="array" ref="V33">_xlfn.LET(_xlpm.r,_xlfn.XLOOKUP(1,MappingGuide[[#This Row],[API]:[API_3]],'[1]Squirrel SQL Export 1'!$K:$N,[1]!Table1[[#This Row],[MDM Comments]]),IF(_xlpm.r=0,"",_xlpm.r))</f>
        <v>#REF!</v>
      </c>
      <c r="W33" s="17" t="e" cm="1">
        <f t="array" ref="W33">_xlfn.LET(_xlpm.r,_xlfn.XLOOKUP(1,MappingGuide[[#This Row],[API]:[API_3]],'[1]Squirrel SQL Export 1'!$K:$N,[1]!Table1[[#This Row],[Exists In Syndigo?]]),IF(_xlpm.r=0,"",_xlpm.r))</f>
        <v>#REF!</v>
      </c>
      <c r="X33" s="17" t="e" cm="1">
        <f t="array" ref="X33">_xlfn.LET(_xlpm.r,_xlfn.XLOOKUP(1,MappingGuide[[#This Row],[API]:[API_3]],'[1]Squirrel SQL Export 1'!$K:$N,[1]!Table1[[#This Row],[Syndigo Name]]),IF(_xlpm.r=0,"",_xlpm.r))</f>
        <v>#REF!</v>
      </c>
      <c r="Y33" s="17"/>
      <c r="Z33" s="17" t="s">
        <v>203</v>
      </c>
      <c r="AA33" s="17"/>
      <c r="AB33" s="17"/>
      <c r="AC33" s="17" t="e" cm="1">
        <f t="array" ref="AC33">_xlfn.XLOOKUP(1,MappingGuide[[#This Row],[API]:[API_3]],'[1]Squirrel SQL Export 1'!$K:$N,[1]!Table1[[#This Row],[Doppio Notes2]])</f>
        <v>#REF!</v>
      </c>
      <c r="AD33" s="17" t="s">
        <v>1279</v>
      </c>
      <c r="AE33" s="17" t="e" cm="1">
        <f t="array" ref="AE33">_xlfn.XLOOKUP(1,MappingGuide[[#This Row],[API]:[API_3]],'[1]Squirrel SQL Export 1'!$K:$N,[1]!Table1[[#This Row],[DG_required]])</f>
        <v>#REF!</v>
      </c>
      <c r="AF33" s="21" t="s">
        <v>1286</v>
      </c>
      <c r="AG33" s="21"/>
      <c r="AH33" s="24" t="e" cm="1">
        <f t="array" ref="AH33">_xlfn.LET(_xlpm.r,_xlfn.XLOOKUP(1,MappingGuide[[#This Row],[API]:[API_3]],'[1]Squirrel SQL Export 1'!$K:$N,[1]!Table1[[#This Row],[Pending Items]]),IF(_xlpm.r=0,"",_xlpm.r))</f>
        <v>#REF!</v>
      </c>
      <c r="AI33" s="22" t="e" cm="1">
        <f t="array" ref="AI33">_xlfn.LET(_xlpm.r,_xlfn.XLOOKUP(1,MappingGuide[[#This Row],[API]:[API_3]],'[1]Squirrel SQL Export 1'!$K:$N,[1]!Table1[[#This Row],[Syndigo Name]]),IF(_xlpm.r=0,"",_xlpm.r))</f>
        <v>#REF!</v>
      </c>
      <c r="AJ33" s="17"/>
    </row>
    <row r="34" spans="1:36" ht="72" hidden="1">
      <c r="A34" s="17">
        <v>32</v>
      </c>
      <c r="B34" s="17" t="s">
        <v>40</v>
      </c>
      <c r="C34" s="17" t="s">
        <v>204</v>
      </c>
      <c r="D34" s="17" t="s">
        <v>22</v>
      </c>
      <c r="E34" s="17" t="s">
        <v>33</v>
      </c>
      <c r="F34" s="17" t="s">
        <v>34</v>
      </c>
      <c r="G34" s="17"/>
      <c r="H34" s="17"/>
      <c r="I34" s="17" t="s">
        <v>57</v>
      </c>
      <c r="J34" s="17" t="s">
        <v>72</v>
      </c>
      <c r="K34" s="17"/>
      <c r="L34" s="17" t="s">
        <v>35</v>
      </c>
      <c r="M34" s="17" t="s">
        <v>73</v>
      </c>
      <c r="N34" s="17" t="s">
        <v>205</v>
      </c>
      <c r="O34" s="17"/>
      <c r="P34" s="17"/>
      <c r="Q34" s="17"/>
      <c r="R34" s="17"/>
      <c r="S34" s="17" t="e" cm="1">
        <f t="array" ref="S34">_xlfn.LET(_xlpm.r,_xlfn.XLOOKUP(1,MappingGuide[[#This Row],[API]:[API_3]],'[1]Squirrel SQL Export 1'!$K:$N,[1]!Table1[[#This Row],[Responsible from HJ]]),IF(_xlpm.r=0,"",_xlpm.r))</f>
        <v>#REF!</v>
      </c>
      <c r="T34" s="17"/>
      <c r="U34" s="17"/>
      <c r="V34" s="17" t="e" cm="1">
        <f t="array" ref="V34">_xlfn.LET(_xlpm.r,_xlfn.XLOOKUP(1,MappingGuide[[#This Row],[API]:[API_3]],'[1]Squirrel SQL Export 1'!$K:$N,[1]!Table1[[#This Row],[MDM Comments]]),IF(_xlpm.r=0,"",_xlpm.r))</f>
        <v>#REF!</v>
      </c>
      <c r="W34" s="17" t="e" cm="1">
        <f t="array" ref="W34">_xlfn.LET(_xlpm.r,_xlfn.XLOOKUP(1,MappingGuide[[#This Row],[API]:[API_3]],'[1]Squirrel SQL Export 1'!$K:$N,[1]!Table1[[#This Row],[Exists In Syndigo?]]),IF(_xlpm.r=0,"",_xlpm.r))</f>
        <v>#REF!</v>
      </c>
      <c r="X34" s="17" t="e" cm="1">
        <f t="array" ref="X34">_xlfn.LET(_xlpm.r,_xlfn.XLOOKUP(1,MappingGuide[[#This Row],[API]:[API_3]],'[1]Squirrel SQL Export 1'!$K:$N,[1]!Table1[[#This Row],[Syndigo Name]]),IF(_xlpm.r=0,"",_xlpm.r))</f>
        <v>#REF!</v>
      </c>
      <c r="Y34" s="17"/>
      <c r="Z34" s="17" t="s">
        <v>206</v>
      </c>
      <c r="AA34" s="17"/>
      <c r="AB34" s="17"/>
      <c r="AC34" s="17" t="e" cm="1">
        <f t="array" ref="AC34">_xlfn.XLOOKUP(1,MappingGuide[[#This Row],[API]:[API_3]],'[1]Squirrel SQL Export 1'!$K:$N,[1]!Table1[[#This Row],[Doppio Notes2]])</f>
        <v>#REF!</v>
      </c>
      <c r="AD34" s="17" t="s">
        <v>1279</v>
      </c>
      <c r="AE34" s="17" t="e" cm="1">
        <f t="array" ref="AE34">_xlfn.XLOOKUP(1,MappingGuide[[#This Row],[API]:[API_3]],'[1]Squirrel SQL Export 1'!$K:$N,[1]!Table1[[#This Row],[DG_required]])</f>
        <v>#REF!</v>
      </c>
      <c r="AF34" s="21" t="s">
        <v>1286</v>
      </c>
      <c r="AG34" s="21"/>
      <c r="AH34" s="24" t="e" cm="1">
        <f t="array" ref="AH34">_xlfn.LET(_xlpm.r,_xlfn.XLOOKUP(1,MappingGuide[[#This Row],[API]:[API_3]],'[1]Squirrel SQL Export 1'!$K:$N,[1]!Table1[[#This Row],[Pending Items]]),IF(_xlpm.r=0,"",_xlpm.r))</f>
        <v>#REF!</v>
      </c>
      <c r="AI34" s="22" t="e" cm="1">
        <f t="array" ref="AI34">_xlfn.LET(_xlpm.r,_xlfn.XLOOKUP(1,MappingGuide[[#This Row],[API]:[API_3]],'[1]Squirrel SQL Export 1'!$K:$N,[1]!Table1[[#This Row],[Syndigo Name]]),IF(_xlpm.r=0,"",_xlpm.r))</f>
        <v>#REF!</v>
      </c>
      <c r="AJ34" s="17"/>
    </row>
    <row r="35" spans="1:36" ht="17" hidden="1">
      <c r="A35" s="17">
        <v>33</v>
      </c>
      <c r="B35" s="17" t="s">
        <v>40</v>
      </c>
      <c r="C35" s="17" t="s">
        <v>207</v>
      </c>
      <c r="D35" s="17" t="s">
        <v>208</v>
      </c>
      <c r="E35" s="17" t="s">
        <v>33</v>
      </c>
      <c r="F35" s="17" t="s">
        <v>44</v>
      </c>
      <c r="G35" s="17"/>
      <c r="H35" s="17"/>
      <c r="I35" s="17"/>
      <c r="J35" s="17"/>
      <c r="K35" s="17"/>
      <c r="L35" s="17"/>
      <c r="M35" s="17"/>
      <c r="N35" s="17" t="s">
        <v>209</v>
      </c>
      <c r="O35" s="17"/>
      <c r="P35" s="17"/>
      <c r="Q35" s="17"/>
      <c r="R35" s="17"/>
      <c r="S35" s="17" t="e" cm="1">
        <f t="array" ref="S35">_xlfn.LET(_xlpm.r,_xlfn.XLOOKUP(1,MappingGuide[[#This Row],[API]:[API_3]],'[1]Squirrel SQL Export 1'!$K:$N,[1]!Table1[[#This Row],[Responsible from HJ]]),IF(_xlpm.r=0,"",_xlpm.r))</f>
        <v>#REF!</v>
      </c>
      <c r="T35" s="17"/>
      <c r="U35" s="17"/>
      <c r="V35" s="17" t="e" cm="1">
        <f t="array" ref="V35">_xlfn.LET(_xlpm.r,_xlfn.XLOOKUP(1,MappingGuide[[#This Row],[API]:[API_3]],'[1]Squirrel SQL Export 1'!$K:$N,[1]!Table1[[#This Row],[MDM Comments]]),IF(_xlpm.r=0,"",_xlpm.r))</f>
        <v>#REF!</v>
      </c>
      <c r="W35" s="17" t="e" cm="1">
        <f t="array" ref="W35">_xlfn.LET(_xlpm.r,_xlfn.XLOOKUP(1,MappingGuide[[#This Row],[API]:[API_3]],'[1]Squirrel SQL Export 1'!$K:$N,[1]!Table1[[#This Row],[Exists In Syndigo?]]),IF(_xlpm.r=0,"",_xlpm.r))</f>
        <v>#REF!</v>
      </c>
      <c r="X35" s="17" t="e" cm="1">
        <f t="array" ref="X35">_xlfn.LET(_xlpm.r,_xlfn.XLOOKUP(1,MappingGuide[[#This Row],[API]:[API_3]],'[1]Squirrel SQL Export 1'!$K:$N,[1]!Table1[[#This Row],[Syndigo Name]]),IF(_xlpm.r=0,"",_xlpm.r))</f>
        <v>#REF!</v>
      </c>
      <c r="Y35" s="17"/>
      <c r="Z35" s="17" t="s">
        <v>210</v>
      </c>
      <c r="AA35" s="17"/>
      <c r="AB35" s="17"/>
      <c r="AC35" s="17" t="e" cm="1">
        <f t="array" ref="AC35">_xlfn.XLOOKUP(1,MappingGuide[[#This Row],[API]:[API_3]],'[1]Squirrel SQL Export 1'!$K:$N,[1]!Table1[[#This Row],[Doppio Notes2]])</f>
        <v>#REF!</v>
      </c>
      <c r="AD35" s="17"/>
      <c r="AE35" s="17" t="e" cm="1">
        <f t="array" ref="AE35">_xlfn.XLOOKUP(1,MappingGuide[[#This Row],[API]:[API_3]],'[1]Squirrel SQL Export 1'!$K:$N,[1]!Table1[[#This Row],[DG_required]])</f>
        <v>#REF!</v>
      </c>
      <c r="AF35" s="21" t="s">
        <v>1306</v>
      </c>
      <c r="AG35" s="21"/>
      <c r="AH35" s="22" t="e" cm="1">
        <f t="array" ref="AH35">_xlfn.LET(_xlpm.r,_xlfn.XLOOKUP(1,MappingGuide[[#This Row],[API]:[API_3]],'[1]Squirrel SQL Export 1'!$K:$N,[1]!Table1[[#This Row],[Pending Items]]),IF(_xlpm.r=0,"",_xlpm.r))</f>
        <v>#REF!</v>
      </c>
      <c r="AI35" s="22" t="e" cm="1">
        <f t="array" ref="AI35">_xlfn.LET(_xlpm.r,_xlfn.XLOOKUP(1,MappingGuide[[#This Row],[API]:[API_3]],'[1]Squirrel SQL Export 1'!$K:$N,[1]!Table1[[#This Row],[Syndigo Name]]),IF(_xlpm.r=0,"",_xlpm.r))</f>
        <v>#REF!</v>
      </c>
      <c r="AJ35" s="17"/>
    </row>
    <row r="36" spans="1:36" ht="17" hidden="1">
      <c r="A36" s="17">
        <v>34</v>
      </c>
      <c r="B36" s="17" t="s">
        <v>40</v>
      </c>
      <c r="C36" s="17" t="s">
        <v>211</v>
      </c>
      <c r="D36" s="17" t="s">
        <v>212</v>
      </c>
      <c r="E36" s="17" t="s">
        <v>43</v>
      </c>
      <c r="F36" s="17" t="s">
        <v>213</v>
      </c>
      <c r="G36" s="17" t="s">
        <v>56</v>
      </c>
      <c r="H36" s="17"/>
      <c r="I36" s="17"/>
      <c r="J36" s="17"/>
      <c r="K36" s="17"/>
      <c r="L36" s="17" t="s">
        <v>35</v>
      </c>
      <c r="M36" s="17" t="s">
        <v>73</v>
      </c>
      <c r="N36" s="17" t="s">
        <v>214</v>
      </c>
      <c r="O36" s="17"/>
      <c r="P36" s="17"/>
      <c r="Q36" s="17"/>
      <c r="R36" s="17"/>
      <c r="S36" s="17" t="e" cm="1">
        <f t="array" ref="S36">_xlfn.LET(_xlpm.r,_xlfn.XLOOKUP(1,MappingGuide[[#This Row],[API]:[API_3]],'[1]Squirrel SQL Export 1'!$K:$N,[1]!Table1[[#This Row],[Responsible from HJ]]),IF(_xlpm.r=0,"",_xlpm.r))</f>
        <v>#REF!</v>
      </c>
      <c r="T36" s="17"/>
      <c r="U36" s="17"/>
      <c r="V36" s="17" t="e" cm="1">
        <f t="array" ref="V36">_xlfn.LET(_xlpm.r,_xlfn.XLOOKUP(1,MappingGuide[[#This Row],[API]:[API_3]],'[1]Squirrel SQL Export 1'!$K:$N,[1]!Table1[[#This Row],[MDM Comments]]),IF(_xlpm.r=0,"",_xlpm.r))</f>
        <v>#REF!</v>
      </c>
      <c r="W36" s="17" t="e" cm="1">
        <f t="array" ref="W36">_xlfn.LET(_xlpm.r,_xlfn.XLOOKUP(1,MappingGuide[[#This Row],[API]:[API_3]],'[1]Squirrel SQL Export 1'!$K:$N,[1]!Table1[[#This Row],[Exists In Syndigo?]]),IF(_xlpm.r=0,"",_xlpm.r))</f>
        <v>#REF!</v>
      </c>
      <c r="X36" s="17" t="e" cm="1">
        <f t="array" ref="X36">_xlfn.LET(_xlpm.r,_xlfn.XLOOKUP(1,MappingGuide[[#This Row],[API]:[API_3]],'[1]Squirrel SQL Export 1'!$K:$N,[1]!Table1[[#This Row],[Syndigo Name]]),IF(_xlpm.r=0,"",_xlpm.r))</f>
        <v>#REF!</v>
      </c>
      <c r="Y36" s="17"/>
      <c r="Z36" s="17" t="s">
        <v>215</v>
      </c>
      <c r="AA36" s="17"/>
      <c r="AB36" s="17"/>
      <c r="AC36" s="17" t="e" cm="1">
        <f t="array" ref="AC36">_xlfn.XLOOKUP(1,MappingGuide[[#This Row],[API]:[API_3]],'[1]Squirrel SQL Export 1'!$K:$N,[1]!Table1[[#This Row],[Doppio Notes2]])</f>
        <v>#REF!</v>
      </c>
      <c r="AD36" s="17"/>
      <c r="AE36" s="17" t="e" cm="1">
        <f t="array" ref="AE36">_xlfn.XLOOKUP(1,MappingGuide[[#This Row],[API]:[API_3]],'[1]Squirrel SQL Export 1'!$K:$N,[1]!Table1[[#This Row],[DG_required]])</f>
        <v>#REF!</v>
      </c>
      <c r="AF36" s="21" t="s">
        <v>1295</v>
      </c>
      <c r="AG36" s="21"/>
      <c r="AH36" s="22" t="e" cm="1">
        <f t="array" ref="AH36">_xlfn.LET(_xlpm.r,_xlfn.XLOOKUP(1,MappingGuide[[#This Row],[API]:[API_3]],'[1]Squirrel SQL Export 1'!$K:$N,[1]!Table1[[#This Row],[Pending Items]]),IF(_xlpm.r=0,"",_xlpm.r))</f>
        <v>#REF!</v>
      </c>
      <c r="AI36" s="22" t="e" cm="1">
        <f t="array" ref="AI36">_xlfn.LET(_xlpm.r,_xlfn.XLOOKUP(1,MappingGuide[[#This Row],[API]:[API_3]],'[1]Squirrel SQL Export 1'!$K:$N,[1]!Table1[[#This Row],[Syndigo Name]]),IF(_xlpm.r=0,"",_xlpm.r))</f>
        <v>#REF!</v>
      </c>
      <c r="AJ36" s="17"/>
    </row>
    <row r="37" spans="1:36" ht="17" hidden="1">
      <c r="A37" s="17">
        <v>35</v>
      </c>
      <c r="B37" s="17" t="s">
        <v>40</v>
      </c>
      <c r="C37" s="17" t="s">
        <v>216</v>
      </c>
      <c r="D37" s="17" t="s">
        <v>217</v>
      </c>
      <c r="E37" s="17" t="s">
        <v>33</v>
      </c>
      <c r="F37" s="17" t="s">
        <v>34</v>
      </c>
      <c r="G37" s="17"/>
      <c r="H37" s="17"/>
      <c r="I37" s="17" t="s">
        <v>57</v>
      </c>
      <c r="J37" s="17" t="s">
        <v>119</v>
      </c>
      <c r="K37" s="17"/>
      <c r="L37" s="17" t="s">
        <v>35</v>
      </c>
      <c r="M37" s="17" t="s">
        <v>73</v>
      </c>
      <c r="N37" s="17" t="s">
        <v>218</v>
      </c>
      <c r="O37" s="17"/>
      <c r="P37" s="17"/>
      <c r="Q37" s="17"/>
      <c r="R37" s="17"/>
      <c r="S37" s="17" t="e" cm="1">
        <f t="array" ref="S37">_xlfn.LET(_xlpm.r,_xlfn.XLOOKUP(1,MappingGuide[[#This Row],[API]:[API_3]],'[1]Squirrel SQL Export 1'!$K:$N,[1]!Table1[[#This Row],[Responsible from HJ]]),IF(_xlpm.r=0,"",_xlpm.r))</f>
        <v>#REF!</v>
      </c>
      <c r="T37" s="17"/>
      <c r="U37" s="17"/>
      <c r="V37" s="17" t="e" cm="1">
        <f t="array" ref="V37">_xlfn.LET(_xlpm.r,_xlfn.XLOOKUP(1,MappingGuide[[#This Row],[API]:[API_3]],'[1]Squirrel SQL Export 1'!$K:$N,[1]!Table1[[#This Row],[MDM Comments]]),IF(_xlpm.r=0,"",_xlpm.r))</f>
        <v>#REF!</v>
      </c>
      <c r="W37" s="17" t="e" cm="1">
        <f t="array" ref="W37">_xlfn.LET(_xlpm.r,_xlfn.XLOOKUP(1,MappingGuide[[#This Row],[API]:[API_3]],'[1]Squirrel SQL Export 1'!$K:$N,[1]!Table1[[#This Row],[Exists In Syndigo?]]),IF(_xlpm.r=0,"",_xlpm.r))</f>
        <v>#REF!</v>
      </c>
      <c r="X37" s="17" t="e" cm="1">
        <f t="array" ref="X37">_xlfn.LET(_xlpm.r,_xlfn.XLOOKUP(1,MappingGuide[[#This Row],[API]:[API_3]],'[1]Squirrel SQL Export 1'!$K:$N,[1]!Table1[[#This Row],[Syndigo Name]]),IF(_xlpm.r=0,"",_xlpm.r))</f>
        <v>#REF!</v>
      </c>
      <c r="Y37" s="17"/>
      <c r="Z37" s="17" t="s">
        <v>219</v>
      </c>
      <c r="AA37" s="17"/>
      <c r="AB37" s="17"/>
      <c r="AC37" s="17" t="e" cm="1">
        <f t="array" ref="AC37">_xlfn.XLOOKUP(1,MappingGuide[[#This Row],[API]:[API_3]],'[1]Squirrel SQL Export 1'!$K:$N,[1]!Table1[[#This Row],[Doppio Notes2]])</f>
        <v>#REF!</v>
      </c>
      <c r="AD37" s="17"/>
      <c r="AE37" s="17" t="e" cm="1">
        <f t="array" ref="AE37">_xlfn.XLOOKUP(1,MappingGuide[[#This Row],[API]:[API_3]],'[1]Squirrel SQL Export 1'!$K:$N,[1]!Table1[[#This Row],[DG_required]])</f>
        <v>#REF!</v>
      </c>
      <c r="AF37" s="21" t="s">
        <v>1306</v>
      </c>
      <c r="AG37" s="21"/>
      <c r="AH37" s="22" t="e" cm="1">
        <f t="array" ref="AH37">_xlfn.LET(_xlpm.r,_xlfn.XLOOKUP(1,MappingGuide[[#This Row],[API]:[API_3]],'[1]Squirrel SQL Export 1'!$K:$N,[1]!Table1[[#This Row],[Pending Items]]),IF(_xlpm.r=0,"",_xlpm.r))</f>
        <v>#REF!</v>
      </c>
      <c r="AI37" s="22" t="e" cm="1">
        <f t="array" ref="AI37">_xlfn.LET(_xlpm.r,_xlfn.XLOOKUP(1,MappingGuide[[#This Row],[API]:[API_3]],'[1]Squirrel SQL Export 1'!$K:$N,[1]!Table1[[#This Row],[Syndigo Name]]),IF(_xlpm.r=0,"",_xlpm.r))</f>
        <v>#REF!</v>
      </c>
      <c r="AJ37" s="17"/>
    </row>
    <row r="38" spans="1:36" ht="17" hidden="1">
      <c r="A38" s="17">
        <v>36</v>
      </c>
      <c r="B38" s="17" t="s">
        <v>40</v>
      </c>
      <c r="C38" s="17" t="s">
        <v>220</v>
      </c>
      <c r="D38" s="17" t="s">
        <v>221</v>
      </c>
      <c r="E38" s="17" t="s">
        <v>33</v>
      </c>
      <c r="F38" s="17" t="s">
        <v>56</v>
      </c>
      <c r="G38" s="17"/>
      <c r="H38" s="17"/>
      <c r="I38" s="17" t="s">
        <v>57</v>
      </c>
      <c r="J38" s="17" t="s">
        <v>119</v>
      </c>
      <c r="K38" s="17"/>
      <c r="L38" s="17" t="s">
        <v>35</v>
      </c>
      <c r="M38" s="17" t="s">
        <v>73</v>
      </c>
      <c r="N38" s="17" t="s">
        <v>222</v>
      </c>
      <c r="O38" s="17"/>
      <c r="P38" s="17"/>
      <c r="Q38" s="17"/>
      <c r="R38" s="17"/>
      <c r="S38" s="17" t="e" cm="1">
        <f t="array" ref="S38">_xlfn.LET(_xlpm.r,_xlfn.XLOOKUP(1,MappingGuide[[#This Row],[API]:[API_3]],'[1]Squirrel SQL Export 1'!$K:$N,[1]!Table1[[#This Row],[Responsible from HJ]]),IF(_xlpm.r=0,"",_xlpm.r))</f>
        <v>#REF!</v>
      </c>
      <c r="T38" s="17"/>
      <c r="U38" s="17"/>
      <c r="V38" s="17" t="e" cm="1">
        <f t="array" ref="V38">_xlfn.LET(_xlpm.r,_xlfn.XLOOKUP(1,MappingGuide[[#This Row],[API]:[API_3]],'[1]Squirrel SQL Export 1'!$K:$N,[1]!Table1[[#This Row],[MDM Comments]]),IF(_xlpm.r=0,"",_xlpm.r))</f>
        <v>#REF!</v>
      </c>
      <c r="W38" s="17" t="e" cm="1">
        <f t="array" ref="W38">_xlfn.LET(_xlpm.r,_xlfn.XLOOKUP(1,MappingGuide[[#This Row],[API]:[API_3]],'[1]Squirrel SQL Export 1'!$K:$N,[1]!Table1[[#This Row],[Exists In Syndigo?]]),IF(_xlpm.r=0,"",_xlpm.r))</f>
        <v>#REF!</v>
      </c>
      <c r="X38" s="17" t="e" cm="1">
        <f t="array" ref="X38">_xlfn.LET(_xlpm.r,_xlfn.XLOOKUP(1,MappingGuide[[#This Row],[API]:[API_3]],'[1]Squirrel SQL Export 1'!$K:$N,[1]!Table1[[#This Row],[Syndigo Name]]),IF(_xlpm.r=0,"",_xlpm.r))</f>
        <v>#REF!</v>
      </c>
      <c r="Y38" s="17"/>
      <c r="Z38" s="17" t="s">
        <v>223</v>
      </c>
      <c r="AA38" s="17"/>
      <c r="AB38" s="17"/>
      <c r="AC38" s="17" t="e" cm="1">
        <f t="array" ref="AC38">_xlfn.XLOOKUP(1,MappingGuide[[#This Row],[API]:[API_3]],'[1]Squirrel SQL Export 1'!$K:$N,[1]!Table1[[#This Row],[Doppio Notes2]])</f>
        <v>#REF!</v>
      </c>
      <c r="AD38" s="17"/>
      <c r="AE38" s="17" t="e" cm="1">
        <f t="array" ref="AE38">_xlfn.XLOOKUP(1,MappingGuide[[#This Row],[API]:[API_3]],'[1]Squirrel SQL Export 1'!$K:$N,[1]!Table1[[#This Row],[DG_required]])</f>
        <v>#REF!</v>
      </c>
      <c r="AF38" s="21" t="s">
        <v>1306</v>
      </c>
      <c r="AG38" s="21"/>
      <c r="AH38" s="22" t="e" cm="1">
        <f t="array" ref="AH38">_xlfn.LET(_xlpm.r,_xlfn.XLOOKUP(1,MappingGuide[[#This Row],[API]:[API_3]],'[1]Squirrel SQL Export 1'!$K:$N,[1]!Table1[[#This Row],[Pending Items]]),IF(_xlpm.r=0,"",_xlpm.r))</f>
        <v>#REF!</v>
      </c>
      <c r="AI38" s="22" t="e" cm="1">
        <f t="array" ref="AI38">_xlfn.LET(_xlpm.r,_xlfn.XLOOKUP(1,MappingGuide[[#This Row],[API]:[API_3]],'[1]Squirrel SQL Export 1'!$K:$N,[1]!Table1[[#This Row],[Syndigo Name]]),IF(_xlpm.r=0,"",_xlpm.r))</f>
        <v>#REF!</v>
      </c>
      <c r="AJ38" s="17"/>
    </row>
    <row r="39" spans="1:36" ht="17" hidden="1">
      <c r="A39" s="17">
        <v>37</v>
      </c>
      <c r="B39" s="17" t="s">
        <v>40</v>
      </c>
      <c r="C39" s="17" t="s">
        <v>224</v>
      </c>
      <c r="D39" s="17" t="s">
        <v>225</v>
      </c>
      <c r="E39" s="17" t="s">
        <v>43</v>
      </c>
      <c r="F39" s="17" t="s">
        <v>56</v>
      </c>
      <c r="G39" s="17"/>
      <c r="H39" s="17"/>
      <c r="I39" s="17" t="s">
        <v>57</v>
      </c>
      <c r="J39" s="17" t="s">
        <v>145</v>
      </c>
      <c r="K39" s="17"/>
      <c r="L39" s="17" t="s">
        <v>35</v>
      </c>
      <c r="M39" s="17" t="s">
        <v>146</v>
      </c>
      <c r="N39" s="17" t="s">
        <v>226</v>
      </c>
      <c r="O39" s="17"/>
      <c r="P39" s="17" t="s">
        <v>227</v>
      </c>
      <c r="Q39" s="17"/>
      <c r="R39" s="17"/>
      <c r="S39" s="17" t="e" cm="1">
        <f t="array" ref="S39">_xlfn.LET(_xlpm.r,_xlfn.XLOOKUP(1,MappingGuide[[#This Row],[API]:[API_3]],'[1]Squirrel SQL Export 1'!$K:$N,[1]!Table1[[#This Row],[Responsible from HJ]]),IF(_xlpm.r=0,"",_xlpm.r))</f>
        <v>#REF!</v>
      </c>
      <c r="T39" s="17"/>
      <c r="U39" s="17"/>
      <c r="V39" s="17" t="e" cm="1">
        <f t="array" ref="V39">_xlfn.LET(_xlpm.r,_xlfn.XLOOKUP(1,MappingGuide[[#This Row],[API]:[API_3]],'[1]Squirrel SQL Export 1'!$K:$N,[1]!Table1[[#This Row],[MDM Comments]]),IF(_xlpm.r=0,"",_xlpm.r))</f>
        <v>#REF!</v>
      </c>
      <c r="W39" s="17" t="e" cm="1">
        <f t="array" ref="W39">_xlfn.LET(_xlpm.r,_xlfn.XLOOKUP(1,MappingGuide[[#This Row],[API]:[API_3]],'[1]Squirrel SQL Export 1'!$K:$N,[1]!Table1[[#This Row],[Exists In Syndigo?]]),IF(_xlpm.r=0,"",_xlpm.r))</f>
        <v>#REF!</v>
      </c>
      <c r="X39" s="17" t="e" cm="1">
        <f t="array" ref="X39">_xlfn.LET(_xlpm.r,_xlfn.XLOOKUP(1,MappingGuide[[#This Row],[API]:[API_3]],'[1]Squirrel SQL Export 1'!$K:$N,[1]!Table1[[#This Row],[Syndigo Name]]),IF(_xlpm.r=0,"",_xlpm.r))</f>
        <v>#REF!</v>
      </c>
      <c r="Y39" s="17"/>
      <c r="Z39" s="17" t="s">
        <v>228</v>
      </c>
      <c r="AA39" s="17"/>
      <c r="AB39" s="17"/>
      <c r="AC39" s="17" t="e" cm="1">
        <f t="array" ref="AC39">_xlfn.XLOOKUP(1,MappingGuide[[#This Row],[API]:[API_3]],'[1]Squirrel SQL Export 1'!$K:$N,[1]!Table1[[#This Row],[Doppio Notes2]])</f>
        <v>#REF!</v>
      </c>
      <c r="AD39" s="17"/>
      <c r="AE39" s="17" t="e" cm="1">
        <f t="array" ref="AE39">_xlfn.XLOOKUP(1,MappingGuide[[#This Row],[API]:[API_3]],'[1]Squirrel SQL Export 1'!$K:$N,[1]!Table1[[#This Row],[DG_required]])</f>
        <v>#REF!</v>
      </c>
      <c r="AF39" s="21" t="s">
        <v>229</v>
      </c>
      <c r="AG39" s="21"/>
      <c r="AH39" s="22" t="e" cm="1">
        <f t="array" ref="AH39">_xlfn.LET(_xlpm.r,_xlfn.XLOOKUP(1,MappingGuide[[#This Row],[API]:[API_3]],'[1]Squirrel SQL Export 1'!$K:$N,[1]!Table1[[#This Row],[Pending Items]]),IF(_xlpm.r=0,"",_xlpm.r))</f>
        <v>#REF!</v>
      </c>
      <c r="AI39" s="22" t="e" cm="1">
        <f t="array" ref="AI39">_xlfn.LET(_xlpm.r,_xlfn.XLOOKUP(1,MappingGuide[[#This Row],[API]:[API_3]],'[1]Squirrel SQL Export 1'!$K:$N,[1]!Table1[[#This Row],[Syndigo Name]]),IF(_xlpm.r=0,"",_xlpm.r))</f>
        <v>#REF!</v>
      </c>
      <c r="AJ39" s="17"/>
    </row>
    <row r="40" spans="1:36" ht="18" hidden="1">
      <c r="A40" s="17">
        <v>38</v>
      </c>
      <c r="B40" s="17" t="s">
        <v>40</v>
      </c>
      <c r="C40" s="17" t="s">
        <v>230</v>
      </c>
      <c r="D40" s="17" t="s">
        <v>231</v>
      </c>
      <c r="E40" s="17" t="s">
        <v>43</v>
      </c>
      <c r="F40" s="17" t="s">
        <v>80</v>
      </c>
      <c r="G40" s="17"/>
      <c r="H40" s="17"/>
      <c r="I40" s="17" t="s">
        <v>57</v>
      </c>
      <c r="J40" s="17" t="s">
        <v>145</v>
      </c>
      <c r="K40" s="17"/>
      <c r="L40" s="17" t="s">
        <v>35</v>
      </c>
      <c r="M40" s="17" t="s">
        <v>146</v>
      </c>
      <c r="N40" s="17" t="s">
        <v>232</v>
      </c>
      <c r="O40" s="17"/>
      <c r="P40" s="17" t="s">
        <v>233</v>
      </c>
      <c r="Q40" s="17"/>
      <c r="R40" s="17"/>
      <c r="S40" s="17" t="e" cm="1">
        <f t="array" ref="S40">_xlfn.LET(_xlpm.r,_xlfn.XLOOKUP(1,MappingGuide[[#This Row],[API]:[API_3]],'[1]Squirrel SQL Export 1'!$K:$N,[1]!Table1[[#This Row],[Responsible from HJ]]),IF(_xlpm.r=0,"",_xlpm.r))</f>
        <v>#REF!</v>
      </c>
      <c r="T40" s="17"/>
      <c r="U40" s="17"/>
      <c r="V40" s="17" t="e" cm="1">
        <f t="array" ref="V40">_xlfn.LET(_xlpm.r,_xlfn.XLOOKUP(1,MappingGuide[[#This Row],[API]:[API_3]],'[1]Squirrel SQL Export 1'!$K:$N,[1]!Table1[[#This Row],[MDM Comments]]),IF(_xlpm.r=0,"",_xlpm.r))</f>
        <v>#REF!</v>
      </c>
      <c r="W40" s="17" t="e" cm="1">
        <f t="array" ref="W40">_xlfn.LET(_xlpm.r,_xlfn.XLOOKUP(1,MappingGuide[[#This Row],[API]:[API_3]],'[1]Squirrel SQL Export 1'!$K:$N,[1]!Table1[[#This Row],[Exists In Syndigo?]]),IF(_xlpm.r=0,"",_xlpm.r))</f>
        <v>#REF!</v>
      </c>
      <c r="X40" s="17" t="e" cm="1">
        <f t="array" ref="X40">_xlfn.LET(_xlpm.r,_xlfn.XLOOKUP(1,MappingGuide[[#This Row],[API]:[API_3]],'[1]Squirrel SQL Export 1'!$K:$N,[1]!Table1[[#This Row],[Syndigo Name]]),IF(_xlpm.r=0,"",_xlpm.r))</f>
        <v>#REF!</v>
      </c>
      <c r="Y40" s="17"/>
      <c r="Z40" s="17" t="s">
        <v>234</v>
      </c>
      <c r="AA40" s="17" t="s">
        <v>235</v>
      </c>
      <c r="AB40" s="17"/>
      <c r="AC40" s="17" t="e" cm="1">
        <f t="array" ref="AC40">_xlfn.XLOOKUP(1,MappingGuide[[#This Row],[API]:[API_3]],'[1]Squirrel SQL Export 1'!$K:$N,[1]!Table1[[#This Row],[Doppio Notes2]])</f>
        <v>#REF!</v>
      </c>
      <c r="AD40" s="17" t="s">
        <v>1279</v>
      </c>
      <c r="AE40" s="17" t="e" cm="1">
        <f t="array" ref="AE40">_xlfn.XLOOKUP(1,MappingGuide[[#This Row],[API]:[API_3]],'[1]Squirrel SQL Export 1'!$K:$N,[1]!Table1[[#This Row],[DG_required]])</f>
        <v>#REF!</v>
      </c>
      <c r="AF40" s="21" t="s">
        <v>80</v>
      </c>
      <c r="AG40" s="21"/>
      <c r="AH40" s="24" t="e" cm="1">
        <f t="array" ref="AH40">_xlfn.LET(_xlpm.r,_xlfn.XLOOKUP(1,MappingGuide[[#This Row],[API]:[API_3]],'[1]Squirrel SQL Export 1'!$K:$N,[1]!Table1[[#This Row],[Pending Items]]),IF(_xlpm.r=0,"",_xlpm.r))</f>
        <v>#REF!</v>
      </c>
      <c r="AI40" s="22" t="e" cm="1">
        <f t="array" ref="AI40">_xlfn.LET(_xlpm.r,_xlfn.XLOOKUP(1,MappingGuide[[#This Row],[API]:[API_3]],'[1]Squirrel SQL Export 1'!$K:$N,[1]!Table1[[#This Row],[Syndigo Name]]),IF(_xlpm.r=0,"",_xlpm.r))</f>
        <v>#REF!</v>
      </c>
      <c r="AJ40" s="17"/>
    </row>
    <row r="41" spans="1:36" ht="18" hidden="1">
      <c r="A41" s="17">
        <v>39</v>
      </c>
      <c r="B41" s="17" t="s">
        <v>40</v>
      </c>
      <c r="C41" s="17" t="s">
        <v>236</v>
      </c>
      <c r="D41" s="17" t="s">
        <v>237</v>
      </c>
      <c r="E41" s="17" t="s">
        <v>33</v>
      </c>
      <c r="F41" s="17" t="s">
        <v>44</v>
      </c>
      <c r="G41" s="17"/>
      <c r="H41" s="17"/>
      <c r="I41" s="17" t="s">
        <v>57</v>
      </c>
      <c r="J41" s="17" t="s">
        <v>145</v>
      </c>
      <c r="K41" s="17"/>
      <c r="L41" s="17" t="s">
        <v>35</v>
      </c>
      <c r="M41" s="17" t="s">
        <v>146</v>
      </c>
      <c r="N41" s="17" t="s">
        <v>238</v>
      </c>
      <c r="O41" s="17"/>
      <c r="P41" s="17"/>
      <c r="Q41" s="17"/>
      <c r="R41" s="17"/>
      <c r="S41" s="17" t="e" cm="1">
        <f t="array" ref="S41">_xlfn.LET(_xlpm.r,_xlfn.XLOOKUP(1,MappingGuide[[#This Row],[API]:[API_3]],'[1]Squirrel SQL Export 1'!$K:$N,[1]!Table1[[#This Row],[Responsible from HJ]]),IF(_xlpm.r=0,"",_xlpm.r))</f>
        <v>#REF!</v>
      </c>
      <c r="T41" s="17"/>
      <c r="U41" s="17"/>
      <c r="V41" s="17" t="e" cm="1">
        <f t="array" ref="V41">_xlfn.LET(_xlpm.r,_xlfn.XLOOKUP(1,MappingGuide[[#This Row],[API]:[API_3]],'[1]Squirrel SQL Export 1'!$K:$N,[1]!Table1[[#This Row],[MDM Comments]]),IF(_xlpm.r=0,"",_xlpm.r))</f>
        <v>#REF!</v>
      </c>
      <c r="W41" s="17" t="e" cm="1">
        <f t="array" ref="W41">_xlfn.LET(_xlpm.r,_xlfn.XLOOKUP(1,MappingGuide[[#This Row],[API]:[API_3]],'[1]Squirrel SQL Export 1'!$K:$N,[1]!Table1[[#This Row],[Exists In Syndigo?]]),IF(_xlpm.r=0,"",_xlpm.r))</f>
        <v>#REF!</v>
      </c>
      <c r="X41" s="17" t="e" cm="1">
        <f t="array" ref="X41">_xlfn.LET(_xlpm.r,_xlfn.XLOOKUP(1,MappingGuide[[#This Row],[API]:[API_3]],'[1]Squirrel SQL Export 1'!$K:$N,[1]!Table1[[#This Row],[Syndigo Name]]),IF(_xlpm.r=0,"",_xlpm.r))</f>
        <v>#REF!</v>
      </c>
      <c r="Y41" s="17"/>
      <c r="Z41" s="17" t="s">
        <v>239</v>
      </c>
      <c r="AA41" s="17"/>
      <c r="AB41" s="17"/>
      <c r="AC41" s="17" t="e" cm="1">
        <f t="array" ref="AC41">_xlfn.XLOOKUP(1,MappingGuide[[#This Row],[API]:[API_3]],'[1]Squirrel SQL Export 1'!$K:$N,[1]!Table1[[#This Row],[Doppio Notes2]])</f>
        <v>#REF!</v>
      </c>
      <c r="AD41" s="17" t="s">
        <v>1279</v>
      </c>
      <c r="AE41" s="17" t="e" cm="1">
        <f t="array" ref="AE41">_xlfn.XLOOKUP(1,MappingGuide[[#This Row],[API]:[API_3]],'[1]Squirrel SQL Export 1'!$K:$N,[1]!Table1[[#This Row],[DG_required]])</f>
        <v>#REF!</v>
      </c>
      <c r="AF41" s="21" t="s">
        <v>240</v>
      </c>
      <c r="AG41" s="21"/>
      <c r="AH41" s="24" t="e" cm="1">
        <f t="array" ref="AH41">_xlfn.LET(_xlpm.r,_xlfn.XLOOKUP(1,MappingGuide[[#This Row],[API]:[API_3]],'[1]Squirrel SQL Export 1'!$K:$N,[1]!Table1[[#This Row],[Pending Items]]),IF(_xlpm.r=0,"",_xlpm.r))</f>
        <v>#REF!</v>
      </c>
      <c r="AI41" s="22" t="e" cm="1">
        <f t="array" ref="AI41">_xlfn.LET(_xlpm.r,_xlfn.XLOOKUP(1,MappingGuide[[#This Row],[API]:[API_3]],'[1]Squirrel SQL Export 1'!$K:$N,[1]!Table1[[#This Row],[Syndigo Name]]),IF(_xlpm.r=0,"",_xlpm.r))</f>
        <v>#REF!</v>
      </c>
      <c r="AJ41" s="17"/>
    </row>
    <row r="42" spans="1:36" ht="17" hidden="1">
      <c r="A42" s="17">
        <v>40</v>
      </c>
      <c r="B42" s="17" t="s">
        <v>40</v>
      </c>
      <c r="C42" s="17" t="s">
        <v>241</v>
      </c>
      <c r="D42" s="17" t="s">
        <v>242</v>
      </c>
      <c r="E42" s="17" t="s">
        <v>43</v>
      </c>
      <c r="F42" s="17" t="s">
        <v>56</v>
      </c>
      <c r="G42" s="17"/>
      <c r="H42" s="17"/>
      <c r="I42" s="17" t="s">
        <v>57</v>
      </c>
      <c r="J42" s="17" t="s">
        <v>145</v>
      </c>
      <c r="K42" s="17"/>
      <c r="L42" s="17" t="s">
        <v>35</v>
      </c>
      <c r="M42" s="17" t="s">
        <v>146</v>
      </c>
      <c r="N42" s="17" t="s">
        <v>243</v>
      </c>
      <c r="O42" s="17"/>
      <c r="P42" s="17"/>
      <c r="Q42" s="17"/>
      <c r="R42" s="17"/>
      <c r="S42" s="17" t="e" cm="1">
        <f t="array" ref="S42">_xlfn.LET(_xlpm.r,_xlfn.XLOOKUP(1,MappingGuide[[#This Row],[API]:[API_3]],'[1]Squirrel SQL Export 1'!$K:$N,[1]!Table1[[#This Row],[Responsible from HJ]]),IF(_xlpm.r=0,"",_xlpm.r))</f>
        <v>#REF!</v>
      </c>
      <c r="T42" s="17"/>
      <c r="U42" s="17"/>
      <c r="V42" s="17" t="e" cm="1">
        <f t="array" ref="V42">_xlfn.LET(_xlpm.r,_xlfn.XLOOKUP(1,MappingGuide[[#This Row],[API]:[API_3]],'[1]Squirrel SQL Export 1'!$K:$N,[1]!Table1[[#This Row],[MDM Comments]]),IF(_xlpm.r=0,"",_xlpm.r))</f>
        <v>#REF!</v>
      </c>
      <c r="W42" s="17" t="e" cm="1">
        <f t="array" ref="W42">_xlfn.LET(_xlpm.r,_xlfn.XLOOKUP(1,MappingGuide[[#This Row],[API]:[API_3]],'[1]Squirrel SQL Export 1'!$K:$N,[1]!Table1[[#This Row],[Exists In Syndigo?]]),IF(_xlpm.r=0,"",_xlpm.r))</f>
        <v>#REF!</v>
      </c>
      <c r="X42" s="17" t="e" cm="1">
        <f t="array" ref="X42">_xlfn.LET(_xlpm.r,_xlfn.XLOOKUP(1,MappingGuide[[#This Row],[API]:[API_3]],'[1]Squirrel SQL Export 1'!$K:$N,[1]!Table1[[#This Row],[Syndigo Name]]),IF(_xlpm.r=0,"",_xlpm.r))</f>
        <v>#REF!</v>
      </c>
      <c r="Y42" s="17"/>
      <c r="Z42" s="17" t="s">
        <v>244</v>
      </c>
      <c r="AA42" s="17" t="s">
        <v>245</v>
      </c>
      <c r="AB42" s="17"/>
      <c r="AC42" s="17" t="e" cm="1">
        <f t="array" ref="AC42">_xlfn.XLOOKUP(1,MappingGuide[[#This Row],[API]:[API_3]],'[1]Squirrel SQL Export 1'!$K:$N,[1]!Table1[[#This Row],[Doppio Notes2]])</f>
        <v>#REF!</v>
      </c>
      <c r="AD42" s="17"/>
      <c r="AE42" s="17" t="e" cm="1">
        <f t="array" ref="AE42">_xlfn.XLOOKUP(1,MappingGuide[[#This Row],[API]:[API_3]],'[1]Squirrel SQL Export 1'!$K:$N,[1]!Table1[[#This Row],[DG_required]])</f>
        <v>#REF!</v>
      </c>
      <c r="AF42" s="21" t="s">
        <v>80</v>
      </c>
      <c r="AG42" s="21"/>
      <c r="AH42" s="22" t="e" cm="1">
        <f t="array" ref="AH42">_xlfn.LET(_xlpm.r,_xlfn.XLOOKUP(1,MappingGuide[[#This Row],[API]:[API_3]],'[1]Squirrel SQL Export 1'!$K:$N,[1]!Table1[[#This Row],[Pending Items]]),IF(_xlpm.r=0,"",_xlpm.r))</f>
        <v>#REF!</v>
      </c>
      <c r="AI42" s="22" t="e" cm="1">
        <f t="array" ref="AI42">_xlfn.LET(_xlpm.r,_xlfn.XLOOKUP(1,MappingGuide[[#This Row],[API]:[API_3]],'[1]Squirrel SQL Export 1'!$K:$N,[1]!Table1[[#This Row],[Syndigo Name]]),IF(_xlpm.r=0,"",_xlpm.r))</f>
        <v>#REF!</v>
      </c>
      <c r="AJ42" s="17"/>
    </row>
    <row r="43" spans="1:36" ht="17" hidden="1">
      <c r="A43" s="17">
        <v>41</v>
      </c>
      <c r="B43" s="17" t="s">
        <v>40</v>
      </c>
      <c r="C43" s="17" t="s">
        <v>246</v>
      </c>
      <c r="D43" s="17" t="s">
        <v>247</v>
      </c>
      <c r="E43" s="17" t="s">
        <v>33</v>
      </c>
      <c r="F43" s="17" t="s">
        <v>34</v>
      </c>
      <c r="G43" s="17"/>
      <c r="H43" s="17"/>
      <c r="I43" s="17" t="s">
        <v>57</v>
      </c>
      <c r="J43" s="17" t="s">
        <v>119</v>
      </c>
      <c r="K43" s="17"/>
      <c r="L43" s="17" t="s">
        <v>35</v>
      </c>
      <c r="M43" s="17" t="s">
        <v>73</v>
      </c>
      <c r="N43" s="17" t="s">
        <v>248</v>
      </c>
      <c r="O43" s="17"/>
      <c r="P43" s="17"/>
      <c r="Q43" s="17"/>
      <c r="R43" s="17"/>
      <c r="S43" s="17" t="e" cm="1">
        <f t="array" ref="S43">_xlfn.LET(_xlpm.r,_xlfn.XLOOKUP(1,MappingGuide[[#This Row],[API]:[API_3]],'[1]Squirrel SQL Export 1'!$K:$N,[1]!Table1[[#This Row],[Responsible from HJ]]),IF(_xlpm.r=0,"",_xlpm.r))</f>
        <v>#REF!</v>
      </c>
      <c r="T43" s="17"/>
      <c r="U43" s="17"/>
      <c r="V43" s="17" t="e" cm="1">
        <f t="array" ref="V43">_xlfn.LET(_xlpm.r,_xlfn.XLOOKUP(1,MappingGuide[[#This Row],[API]:[API_3]],'[1]Squirrel SQL Export 1'!$K:$N,[1]!Table1[[#This Row],[MDM Comments]]),IF(_xlpm.r=0,"",_xlpm.r))</f>
        <v>#REF!</v>
      </c>
      <c r="W43" s="17" t="e" cm="1">
        <f t="array" ref="W43">_xlfn.LET(_xlpm.r,_xlfn.XLOOKUP(1,MappingGuide[[#This Row],[API]:[API_3]],'[1]Squirrel SQL Export 1'!$K:$N,[1]!Table1[[#This Row],[Exists In Syndigo?]]),IF(_xlpm.r=0,"",_xlpm.r))</f>
        <v>#REF!</v>
      </c>
      <c r="X43" s="17" t="e" cm="1">
        <f t="array" ref="X43">_xlfn.LET(_xlpm.r,_xlfn.XLOOKUP(1,MappingGuide[[#This Row],[API]:[API_3]],'[1]Squirrel SQL Export 1'!$K:$N,[1]!Table1[[#This Row],[Syndigo Name]]),IF(_xlpm.r=0,"",_xlpm.r))</f>
        <v>#REF!</v>
      </c>
      <c r="Y43" s="17"/>
      <c r="Z43" s="17" t="s">
        <v>249</v>
      </c>
      <c r="AA43" s="17"/>
      <c r="AB43" s="17"/>
      <c r="AC43" s="17" t="e" cm="1">
        <f t="array" ref="AC43">_xlfn.XLOOKUP(1,MappingGuide[[#This Row],[API]:[API_3]],'[1]Squirrel SQL Export 1'!$K:$N,[1]!Table1[[#This Row],[Doppio Notes2]])</f>
        <v>#REF!</v>
      </c>
      <c r="AD43" s="17"/>
      <c r="AE43" s="17" t="e" cm="1">
        <f t="array" ref="AE43">_xlfn.XLOOKUP(1,MappingGuide[[#This Row],[API]:[API_3]],'[1]Squirrel SQL Export 1'!$K:$N,[1]!Table1[[#This Row],[DG_required]])</f>
        <v>#REF!</v>
      </c>
      <c r="AF43" s="21" t="s">
        <v>1306</v>
      </c>
      <c r="AG43" s="21"/>
      <c r="AH43" s="22" t="e" cm="1">
        <f t="array" ref="AH43">_xlfn.LET(_xlpm.r,_xlfn.XLOOKUP(1,MappingGuide[[#This Row],[API]:[API_3]],'[1]Squirrel SQL Export 1'!$K:$N,[1]!Table1[[#This Row],[Pending Items]]),IF(_xlpm.r=0,"",_xlpm.r))</f>
        <v>#REF!</v>
      </c>
      <c r="AI43" s="22" t="e" cm="1">
        <f t="array" ref="AI43">_xlfn.LET(_xlpm.r,_xlfn.XLOOKUP(1,MappingGuide[[#This Row],[API]:[API_3]],'[1]Squirrel SQL Export 1'!$K:$N,[1]!Table1[[#This Row],[Syndigo Name]]),IF(_xlpm.r=0,"",_xlpm.r))</f>
        <v>#REF!</v>
      </c>
      <c r="AJ43" s="17"/>
    </row>
    <row r="44" spans="1:36" ht="17" hidden="1">
      <c r="A44" s="17">
        <v>42</v>
      </c>
      <c r="B44" s="17" t="s">
        <v>40</v>
      </c>
      <c r="C44" s="17" t="s">
        <v>250</v>
      </c>
      <c r="D44" s="17" t="s">
        <v>251</v>
      </c>
      <c r="E44" s="17" t="s">
        <v>33</v>
      </c>
      <c r="F44" s="17" t="s">
        <v>56</v>
      </c>
      <c r="G44" s="17"/>
      <c r="H44" s="17"/>
      <c r="I44" s="17" t="s">
        <v>57</v>
      </c>
      <c r="J44" s="17" t="s">
        <v>124</v>
      </c>
      <c r="K44" s="17"/>
      <c r="L44" s="17" t="s">
        <v>35</v>
      </c>
      <c r="M44" s="17" t="s">
        <v>73</v>
      </c>
      <c r="N44" s="17" t="s">
        <v>252</v>
      </c>
      <c r="O44" s="17"/>
      <c r="P44" s="17"/>
      <c r="Q44" s="17"/>
      <c r="R44" s="17"/>
      <c r="S44" s="17" t="e" cm="1">
        <f t="array" ref="S44">_xlfn.LET(_xlpm.r,_xlfn.XLOOKUP(1,MappingGuide[[#This Row],[API]:[API_3]],'[1]Squirrel SQL Export 1'!$K:$N,[1]!Table1[[#This Row],[Responsible from HJ]]),IF(_xlpm.r=0,"",_xlpm.r))</f>
        <v>#REF!</v>
      </c>
      <c r="T44" s="17"/>
      <c r="U44" s="17"/>
      <c r="V44" s="17" t="e" cm="1">
        <f t="array" ref="V44">_xlfn.LET(_xlpm.r,_xlfn.XLOOKUP(1,MappingGuide[[#This Row],[API]:[API_3]],'[1]Squirrel SQL Export 1'!$K:$N,[1]!Table1[[#This Row],[MDM Comments]]),IF(_xlpm.r=0,"",_xlpm.r))</f>
        <v>#REF!</v>
      </c>
      <c r="W44" s="17" t="e" cm="1">
        <f t="array" ref="W44">_xlfn.LET(_xlpm.r,_xlfn.XLOOKUP(1,MappingGuide[[#This Row],[API]:[API_3]],'[1]Squirrel SQL Export 1'!$K:$N,[1]!Table1[[#This Row],[Exists In Syndigo?]]),IF(_xlpm.r=0,"",_xlpm.r))</f>
        <v>#REF!</v>
      </c>
      <c r="X44" s="17" t="e" cm="1">
        <f t="array" ref="X44">_xlfn.LET(_xlpm.r,_xlfn.XLOOKUP(1,MappingGuide[[#This Row],[API]:[API_3]],'[1]Squirrel SQL Export 1'!$K:$N,[1]!Table1[[#This Row],[Syndigo Name]]),IF(_xlpm.r=0,"",_xlpm.r))</f>
        <v>#REF!</v>
      </c>
      <c r="Y44" s="17"/>
      <c r="Z44" s="17" t="s">
        <v>253</v>
      </c>
      <c r="AA44" s="17"/>
      <c r="AB44" s="17"/>
      <c r="AC44" s="17" t="e" cm="1">
        <f t="array" ref="AC44">_xlfn.XLOOKUP(1,MappingGuide[[#This Row],[API]:[API_3]],'[1]Squirrel SQL Export 1'!$K:$N,[1]!Table1[[#This Row],[Doppio Notes2]])</f>
        <v>#REF!</v>
      </c>
      <c r="AD44" s="17"/>
      <c r="AE44" s="17" t="e" cm="1">
        <f t="array" ref="AE44">_xlfn.XLOOKUP(1,MappingGuide[[#This Row],[API]:[API_3]],'[1]Squirrel SQL Export 1'!$K:$N,[1]!Table1[[#This Row],[DG_required]])</f>
        <v>#REF!</v>
      </c>
      <c r="AF44" s="21" t="s">
        <v>1306</v>
      </c>
      <c r="AG44" s="21"/>
      <c r="AH44" s="22" t="e" cm="1">
        <f t="array" ref="AH44">_xlfn.LET(_xlpm.r,_xlfn.XLOOKUP(1,MappingGuide[[#This Row],[API]:[API_3]],'[1]Squirrel SQL Export 1'!$K:$N,[1]!Table1[[#This Row],[Pending Items]]),IF(_xlpm.r=0,"",_xlpm.r))</f>
        <v>#REF!</v>
      </c>
      <c r="AI44" s="22" t="e" cm="1">
        <f t="array" ref="AI44">_xlfn.LET(_xlpm.r,_xlfn.XLOOKUP(1,MappingGuide[[#This Row],[API]:[API_3]],'[1]Squirrel SQL Export 1'!$K:$N,[1]!Table1[[#This Row],[Syndigo Name]]),IF(_xlpm.r=0,"",_xlpm.r))</f>
        <v>#REF!</v>
      </c>
      <c r="AJ44" s="17"/>
    </row>
    <row r="45" spans="1:36" ht="17" hidden="1">
      <c r="A45" s="17">
        <v>43</v>
      </c>
      <c r="B45" s="17" t="s">
        <v>40</v>
      </c>
      <c r="C45" s="17" t="s">
        <v>254</v>
      </c>
      <c r="D45" s="17" t="s">
        <v>255</v>
      </c>
      <c r="E45" s="17" t="s">
        <v>33</v>
      </c>
      <c r="F45" s="17" t="s">
        <v>34</v>
      </c>
      <c r="G45" s="17"/>
      <c r="H45" s="17"/>
      <c r="I45" s="17"/>
      <c r="J45" s="17"/>
      <c r="K45" s="17"/>
      <c r="L45" s="17"/>
      <c r="M45" s="17"/>
      <c r="N45" s="17" t="s">
        <v>256</v>
      </c>
      <c r="O45" s="17"/>
      <c r="P45" s="17"/>
      <c r="Q45" s="17"/>
      <c r="R45" s="17"/>
      <c r="S45" s="17" t="e" cm="1">
        <f t="array" ref="S45">_xlfn.LET(_xlpm.r,_xlfn.XLOOKUP(1,MappingGuide[[#This Row],[API]:[API_3]],'[1]Squirrel SQL Export 1'!$K:$N,[1]!Table1[[#This Row],[Responsible from HJ]]),IF(_xlpm.r=0,"",_xlpm.r))</f>
        <v>#REF!</v>
      </c>
      <c r="T45" s="17"/>
      <c r="U45" s="17"/>
      <c r="V45" s="17" t="e" cm="1">
        <f t="array" ref="V45">_xlfn.LET(_xlpm.r,_xlfn.XLOOKUP(1,MappingGuide[[#This Row],[API]:[API_3]],'[1]Squirrel SQL Export 1'!$K:$N,[1]!Table1[[#This Row],[MDM Comments]]),IF(_xlpm.r=0,"",_xlpm.r))</f>
        <v>#REF!</v>
      </c>
      <c r="W45" s="17" t="e" cm="1">
        <f t="array" ref="W45">_xlfn.LET(_xlpm.r,_xlfn.XLOOKUP(1,MappingGuide[[#This Row],[API]:[API_3]],'[1]Squirrel SQL Export 1'!$K:$N,[1]!Table1[[#This Row],[Exists In Syndigo?]]),IF(_xlpm.r=0,"",_xlpm.r))</f>
        <v>#REF!</v>
      </c>
      <c r="X45" s="17" t="e" cm="1">
        <f t="array" ref="X45">_xlfn.LET(_xlpm.r,_xlfn.XLOOKUP(1,MappingGuide[[#This Row],[API]:[API_3]],'[1]Squirrel SQL Export 1'!$K:$N,[1]!Table1[[#This Row],[Syndigo Name]]),IF(_xlpm.r=0,"",_xlpm.r))</f>
        <v>#REF!</v>
      </c>
      <c r="Y45" s="17"/>
      <c r="Z45" s="17" t="s">
        <v>257</v>
      </c>
      <c r="AA45" s="17"/>
      <c r="AB45" s="17"/>
      <c r="AC45" s="17" t="e" cm="1">
        <f t="array" ref="AC45">_xlfn.XLOOKUP(1,MappingGuide[[#This Row],[API]:[API_3]],'[1]Squirrel SQL Export 1'!$K:$N,[1]!Table1[[#This Row],[Doppio Notes2]])</f>
        <v>#REF!</v>
      </c>
      <c r="AD45" s="17"/>
      <c r="AE45" s="17" t="e" cm="1">
        <f t="array" ref="AE45">_xlfn.XLOOKUP(1,MappingGuide[[#This Row],[API]:[API_3]],'[1]Squirrel SQL Export 1'!$K:$N,[1]!Table1[[#This Row],[DG_required]])</f>
        <v>#REF!</v>
      </c>
      <c r="AF45" s="21" t="s">
        <v>1306</v>
      </c>
      <c r="AG45" s="21"/>
      <c r="AH45" s="22" t="e" cm="1">
        <f t="array" ref="AH45">_xlfn.LET(_xlpm.r,_xlfn.XLOOKUP(1,MappingGuide[[#This Row],[API]:[API_3]],'[1]Squirrel SQL Export 1'!$K:$N,[1]!Table1[[#This Row],[Pending Items]]),IF(_xlpm.r=0,"",_xlpm.r))</f>
        <v>#REF!</v>
      </c>
      <c r="AI45" s="22" t="e" cm="1">
        <f t="array" ref="AI45">_xlfn.LET(_xlpm.r,_xlfn.XLOOKUP(1,MappingGuide[[#This Row],[API]:[API_3]],'[1]Squirrel SQL Export 1'!$K:$N,[1]!Table1[[#This Row],[Syndigo Name]]),IF(_xlpm.r=0,"",_xlpm.r))</f>
        <v>#REF!</v>
      </c>
      <c r="AJ45" s="17"/>
    </row>
    <row r="46" spans="1:36" ht="17" hidden="1">
      <c r="A46" s="17">
        <v>44</v>
      </c>
      <c r="B46" s="17" t="s">
        <v>40</v>
      </c>
      <c r="C46" s="17" t="s">
        <v>258</v>
      </c>
      <c r="D46" s="17" t="s">
        <v>259</v>
      </c>
      <c r="E46" s="17" t="s">
        <v>33</v>
      </c>
      <c r="F46" s="17" t="s">
        <v>44</v>
      </c>
      <c r="G46" s="17"/>
      <c r="H46" s="17"/>
      <c r="I46" s="17" t="s">
        <v>57</v>
      </c>
      <c r="J46" s="17" t="s">
        <v>124</v>
      </c>
      <c r="K46" s="17"/>
      <c r="L46" s="17" t="s">
        <v>35</v>
      </c>
      <c r="M46" s="17" t="s">
        <v>73</v>
      </c>
      <c r="N46" s="17" t="s">
        <v>260</v>
      </c>
      <c r="O46" s="17"/>
      <c r="P46" s="17"/>
      <c r="Q46" s="17"/>
      <c r="R46" s="17"/>
      <c r="S46" s="17" t="e" cm="1">
        <f t="array" ref="S46">_xlfn.LET(_xlpm.r,_xlfn.XLOOKUP(1,MappingGuide[[#This Row],[API]:[API_3]],'[1]Squirrel SQL Export 1'!$K:$N,[1]!Table1[[#This Row],[Responsible from HJ]]),IF(_xlpm.r=0,"",_xlpm.r))</f>
        <v>#REF!</v>
      </c>
      <c r="T46" s="17"/>
      <c r="U46" s="17"/>
      <c r="V46" s="17" t="e" cm="1">
        <f t="array" ref="V46">_xlfn.LET(_xlpm.r,_xlfn.XLOOKUP(1,MappingGuide[[#This Row],[API]:[API_3]],'[1]Squirrel SQL Export 1'!$K:$N,[1]!Table1[[#This Row],[MDM Comments]]),IF(_xlpm.r=0,"",_xlpm.r))</f>
        <v>#REF!</v>
      </c>
      <c r="W46" s="17" t="e" cm="1">
        <f t="array" ref="W46">_xlfn.LET(_xlpm.r,_xlfn.XLOOKUP(1,MappingGuide[[#This Row],[API]:[API_3]],'[1]Squirrel SQL Export 1'!$K:$N,[1]!Table1[[#This Row],[Exists In Syndigo?]]),IF(_xlpm.r=0,"",_xlpm.r))</f>
        <v>#REF!</v>
      </c>
      <c r="X46" s="17" t="e" cm="1">
        <f t="array" ref="X46">_xlfn.LET(_xlpm.r,_xlfn.XLOOKUP(1,MappingGuide[[#This Row],[API]:[API_3]],'[1]Squirrel SQL Export 1'!$K:$N,[1]!Table1[[#This Row],[Syndigo Name]]),IF(_xlpm.r=0,"",_xlpm.r))</f>
        <v>#REF!</v>
      </c>
      <c r="Y46" s="17"/>
      <c r="Z46" s="17" t="s">
        <v>261</v>
      </c>
      <c r="AA46" s="17" t="s">
        <v>262</v>
      </c>
      <c r="AB46" s="17"/>
      <c r="AC46" s="17" t="e" cm="1">
        <f t="array" ref="AC46">_xlfn.XLOOKUP(1,MappingGuide[[#This Row],[API]:[API_3]],'[1]Squirrel SQL Export 1'!$K:$N,[1]!Table1[[#This Row],[Doppio Notes2]])</f>
        <v>#REF!</v>
      </c>
      <c r="AD46" s="17"/>
      <c r="AE46" s="17" t="e" cm="1">
        <f t="array" ref="AE46">_xlfn.XLOOKUP(1,MappingGuide[[#This Row],[API]:[API_3]],'[1]Squirrel SQL Export 1'!$K:$N,[1]!Table1[[#This Row],[DG_required]])</f>
        <v>#REF!</v>
      </c>
      <c r="AF46" s="21" t="s">
        <v>263</v>
      </c>
      <c r="AG46" s="21"/>
      <c r="AH46" s="22" t="e" cm="1">
        <f t="array" ref="AH46">_xlfn.LET(_xlpm.r,_xlfn.XLOOKUP(1,MappingGuide[[#This Row],[API]:[API_3]],'[1]Squirrel SQL Export 1'!$K:$N,[1]!Table1[[#This Row],[Pending Items]]),IF(_xlpm.r=0,"",_xlpm.r))</f>
        <v>#REF!</v>
      </c>
      <c r="AI46" s="22" t="e" cm="1">
        <f t="array" ref="AI46">_xlfn.LET(_xlpm.r,_xlfn.XLOOKUP(1,MappingGuide[[#This Row],[API]:[API_3]],'[1]Squirrel SQL Export 1'!$K:$N,[1]!Table1[[#This Row],[Syndigo Name]]),IF(_xlpm.r=0,"",_xlpm.r))</f>
        <v>#REF!</v>
      </c>
      <c r="AJ46" s="17"/>
    </row>
    <row r="47" spans="1:36" ht="17" hidden="1">
      <c r="A47" s="17">
        <v>45</v>
      </c>
      <c r="B47" s="17" t="s">
        <v>40</v>
      </c>
      <c r="C47" s="17" t="s">
        <v>264</v>
      </c>
      <c r="D47" s="17" t="s">
        <v>265</v>
      </c>
      <c r="E47" s="17" t="s">
        <v>33</v>
      </c>
      <c r="F47" s="17" t="s">
        <v>80</v>
      </c>
      <c r="G47" s="17"/>
      <c r="H47" s="17"/>
      <c r="I47" s="17" t="s">
        <v>57</v>
      </c>
      <c r="J47" s="17" t="s">
        <v>124</v>
      </c>
      <c r="K47" s="17"/>
      <c r="L47" s="17" t="s">
        <v>35</v>
      </c>
      <c r="M47" s="17" t="s">
        <v>73</v>
      </c>
      <c r="N47" s="17" t="s">
        <v>266</v>
      </c>
      <c r="O47" s="17"/>
      <c r="P47" s="17"/>
      <c r="Q47" s="17"/>
      <c r="R47" s="17"/>
      <c r="S47" s="17" t="e" cm="1">
        <f t="array" ref="S47">_xlfn.LET(_xlpm.r,_xlfn.XLOOKUP(1,MappingGuide[[#This Row],[API]:[API_3]],'[1]Squirrel SQL Export 1'!$K:$N,[1]!Table1[[#This Row],[Responsible from HJ]]),IF(_xlpm.r=0,"",_xlpm.r))</f>
        <v>#REF!</v>
      </c>
      <c r="T47" s="17"/>
      <c r="U47" s="17"/>
      <c r="V47" s="17" t="e" cm="1">
        <f t="array" ref="V47">_xlfn.LET(_xlpm.r,_xlfn.XLOOKUP(1,MappingGuide[[#This Row],[API]:[API_3]],'[1]Squirrel SQL Export 1'!$K:$N,[1]!Table1[[#This Row],[MDM Comments]]),IF(_xlpm.r=0,"",_xlpm.r))</f>
        <v>#REF!</v>
      </c>
      <c r="W47" s="17" t="e" cm="1">
        <f t="array" ref="W47">_xlfn.LET(_xlpm.r,_xlfn.XLOOKUP(1,MappingGuide[[#This Row],[API]:[API_3]],'[1]Squirrel SQL Export 1'!$K:$N,[1]!Table1[[#This Row],[Exists In Syndigo?]]),IF(_xlpm.r=0,"",_xlpm.r))</f>
        <v>#REF!</v>
      </c>
      <c r="X47" s="17" t="e" cm="1">
        <f t="array" ref="X47">_xlfn.LET(_xlpm.r,_xlfn.XLOOKUP(1,MappingGuide[[#This Row],[API]:[API_3]],'[1]Squirrel SQL Export 1'!$K:$N,[1]!Table1[[#This Row],[Syndigo Name]]),IF(_xlpm.r=0,"",_xlpm.r))</f>
        <v>#REF!</v>
      </c>
      <c r="Y47" s="17"/>
      <c r="Z47" s="17" t="s">
        <v>267</v>
      </c>
      <c r="AA47" s="17" t="s">
        <v>268</v>
      </c>
      <c r="AB47" s="17"/>
      <c r="AC47" s="17" t="e" cm="1">
        <f t="array" ref="AC47">_xlfn.XLOOKUP(1,MappingGuide[[#This Row],[API]:[API_3]],'[1]Squirrel SQL Export 1'!$K:$N,[1]!Table1[[#This Row],[Doppio Notes2]])</f>
        <v>#REF!</v>
      </c>
      <c r="AD47" s="17"/>
      <c r="AE47" s="17" t="e" cm="1">
        <f t="array" ref="AE47">_xlfn.XLOOKUP(1,MappingGuide[[#This Row],[API]:[API_3]],'[1]Squirrel SQL Export 1'!$K:$N,[1]!Table1[[#This Row],[DG_required]])</f>
        <v>#REF!</v>
      </c>
      <c r="AF47" s="21" t="s">
        <v>269</v>
      </c>
      <c r="AG47" s="21"/>
      <c r="AH47" s="22" t="e" cm="1">
        <f t="array" ref="AH47">_xlfn.LET(_xlpm.r,_xlfn.XLOOKUP(1,MappingGuide[[#This Row],[API]:[API_3]],'[1]Squirrel SQL Export 1'!$K:$N,[1]!Table1[[#This Row],[Pending Items]]),IF(_xlpm.r=0,"",_xlpm.r))</f>
        <v>#REF!</v>
      </c>
      <c r="AI47" s="22" t="e" cm="1">
        <f t="array" ref="AI47">_xlfn.LET(_xlpm.r,_xlfn.XLOOKUP(1,MappingGuide[[#This Row],[API]:[API_3]],'[1]Squirrel SQL Export 1'!$K:$N,[1]!Table1[[#This Row],[Syndigo Name]]),IF(_xlpm.r=0,"",_xlpm.r))</f>
        <v>#REF!</v>
      </c>
      <c r="AJ47" s="17"/>
    </row>
    <row r="48" spans="1:36" ht="17" hidden="1">
      <c r="A48" s="17">
        <v>46</v>
      </c>
      <c r="B48" s="17" t="s">
        <v>40</v>
      </c>
      <c r="C48" s="17" t="s">
        <v>270</v>
      </c>
      <c r="D48" s="17" t="s">
        <v>271</v>
      </c>
      <c r="E48" s="17" t="s">
        <v>33</v>
      </c>
      <c r="F48" s="17" t="s">
        <v>44</v>
      </c>
      <c r="G48" s="17"/>
      <c r="H48" s="17"/>
      <c r="I48" s="17" t="s">
        <v>57</v>
      </c>
      <c r="J48" s="17" t="s">
        <v>72</v>
      </c>
      <c r="K48" s="17"/>
      <c r="L48" s="17" t="s">
        <v>35</v>
      </c>
      <c r="M48" s="17" t="s">
        <v>73</v>
      </c>
      <c r="N48" s="17" t="s">
        <v>272</v>
      </c>
      <c r="O48" s="17"/>
      <c r="P48" s="17"/>
      <c r="Q48" s="17"/>
      <c r="R48" s="17"/>
      <c r="S48" s="17" t="e" cm="1">
        <f t="array" ref="S48">_xlfn.LET(_xlpm.r,_xlfn.XLOOKUP(1,MappingGuide[[#This Row],[API]:[API_3]],'[1]Squirrel SQL Export 1'!$K:$N,[1]!Table1[[#This Row],[Responsible from HJ]]),IF(_xlpm.r=0,"",_xlpm.r))</f>
        <v>#REF!</v>
      </c>
      <c r="T48" s="17"/>
      <c r="U48" s="17"/>
      <c r="V48" s="17" t="e" cm="1">
        <f t="array" ref="V48">_xlfn.LET(_xlpm.r,_xlfn.XLOOKUP(1,MappingGuide[[#This Row],[API]:[API_3]],'[1]Squirrel SQL Export 1'!$K:$N,[1]!Table1[[#This Row],[MDM Comments]]),IF(_xlpm.r=0,"",_xlpm.r))</f>
        <v>#REF!</v>
      </c>
      <c r="W48" s="17" t="e" cm="1">
        <f t="array" ref="W48">_xlfn.LET(_xlpm.r,_xlfn.XLOOKUP(1,MappingGuide[[#This Row],[API]:[API_3]],'[1]Squirrel SQL Export 1'!$K:$N,[1]!Table1[[#This Row],[Exists In Syndigo?]]),IF(_xlpm.r=0,"",_xlpm.r))</f>
        <v>#REF!</v>
      </c>
      <c r="X48" s="17" t="e" cm="1">
        <f t="array" ref="X48">_xlfn.LET(_xlpm.r,_xlfn.XLOOKUP(1,MappingGuide[[#This Row],[API]:[API_3]],'[1]Squirrel SQL Export 1'!$K:$N,[1]!Table1[[#This Row],[Syndigo Name]]),IF(_xlpm.r=0,"",_xlpm.r))</f>
        <v>#REF!</v>
      </c>
      <c r="Y48" s="17"/>
      <c r="Z48" s="17" t="s">
        <v>273</v>
      </c>
      <c r="AA48" s="17"/>
      <c r="AB48" s="17"/>
      <c r="AC48" s="17" t="e" cm="1">
        <f t="array" ref="AC48">_xlfn.XLOOKUP(1,MappingGuide[[#This Row],[API]:[API_3]],'[1]Squirrel SQL Export 1'!$K:$N,[1]!Table1[[#This Row],[Doppio Notes2]])</f>
        <v>#REF!</v>
      </c>
      <c r="AD48" s="17"/>
      <c r="AE48" s="17" t="e" cm="1">
        <f t="array" ref="AE48">_xlfn.XLOOKUP(1,MappingGuide[[#This Row],[API]:[API_3]],'[1]Squirrel SQL Export 1'!$K:$N,[1]!Table1[[#This Row],[DG_required]])</f>
        <v>#REF!</v>
      </c>
      <c r="AF48" s="21" t="s">
        <v>274</v>
      </c>
      <c r="AG48" s="21"/>
      <c r="AH48" s="22" t="e" cm="1">
        <f t="array" ref="AH48">_xlfn.LET(_xlpm.r,_xlfn.XLOOKUP(1,MappingGuide[[#This Row],[API]:[API_3]],'[1]Squirrel SQL Export 1'!$K:$N,[1]!Table1[[#This Row],[Pending Items]]),IF(_xlpm.r=0,"",_xlpm.r))</f>
        <v>#REF!</v>
      </c>
      <c r="AI48" s="22" t="e" cm="1">
        <f t="array" ref="AI48">_xlfn.LET(_xlpm.r,_xlfn.XLOOKUP(1,MappingGuide[[#This Row],[API]:[API_3]],'[1]Squirrel SQL Export 1'!$K:$N,[1]!Table1[[#This Row],[Syndigo Name]]),IF(_xlpm.r=0,"",_xlpm.r))</f>
        <v>#REF!</v>
      </c>
      <c r="AJ48" s="17"/>
    </row>
    <row r="49" spans="1:36" ht="17" hidden="1">
      <c r="A49" s="17">
        <v>47</v>
      </c>
      <c r="B49" s="17" t="s">
        <v>40</v>
      </c>
      <c r="C49" s="17" t="s">
        <v>275</v>
      </c>
      <c r="D49" s="17" t="s">
        <v>276</v>
      </c>
      <c r="E49" s="17" t="s">
        <v>33</v>
      </c>
      <c r="F49" s="17" t="s">
        <v>44</v>
      </c>
      <c r="G49" s="17"/>
      <c r="H49" s="17"/>
      <c r="I49" s="17" t="s">
        <v>57</v>
      </c>
      <c r="J49" s="17" t="s">
        <v>119</v>
      </c>
      <c r="K49" s="17"/>
      <c r="L49" s="17" t="s">
        <v>35</v>
      </c>
      <c r="M49" s="17" t="s">
        <v>73</v>
      </c>
      <c r="N49" s="17" t="s">
        <v>277</v>
      </c>
      <c r="O49" s="17"/>
      <c r="P49" s="17"/>
      <c r="Q49" s="17"/>
      <c r="R49" s="17"/>
      <c r="S49" s="17" t="e" cm="1">
        <f t="array" ref="S49">_xlfn.LET(_xlpm.r,_xlfn.XLOOKUP(1,MappingGuide[[#This Row],[API]:[API_3]],'[1]Squirrel SQL Export 1'!$K:$N,[1]!Table1[[#This Row],[Responsible from HJ]]),IF(_xlpm.r=0,"",_xlpm.r))</f>
        <v>#REF!</v>
      </c>
      <c r="T49" s="17"/>
      <c r="U49" s="17"/>
      <c r="V49" s="17" t="e" cm="1">
        <f t="array" ref="V49">_xlfn.LET(_xlpm.r,_xlfn.XLOOKUP(1,MappingGuide[[#This Row],[API]:[API_3]],'[1]Squirrel SQL Export 1'!$K:$N,[1]!Table1[[#This Row],[MDM Comments]]),IF(_xlpm.r=0,"",_xlpm.r))</f>
        <v>#REF!</v>
      </c>
      <c r="W49" s="17" t="e" cm="1">
        <f t="array" ref="W49">_xlfn.LET(_xlpm.r,_xlfn.XLOOKUP(1,MappingGuide[[#This Row],[API]:[API_3]],'[1]Squirrel SQL Export 1'!$K:$N,[1]!Table1[[#This Row],[Exists In Syndigo?]]),IF(_xlpm.r=0,"",_xlpm.r))</f>
        <v>#REF!</v>
      </c>
      <c r="X49" s="17" t="e" cm="1">
        <f t="array" ref="X49">_xlfn.LET(_xlpm.r,_xlfn.XLOOKUP(1,MappingGuide[[#This Row],[API]:[API_3]],'[1]Squirrel SQL Export 1'!$K:$N,[1]!Table1[[#This Row],[Syndigo Name]]),IF(_xlpm.r=0,"",_xlpm.r))</f>
        <v>#REF!</v>
      </c>
      <c r="Y49" s="17"/>
      <c r="Z49" s="17" t="s">
        <v>278</v>
      </c>
      <c r="AA49" s="17"/>
      <c r="AB49" s="17"/>
      <c r="AC49" s="17" t="e" cm="1">
        <f t="array" ref="AC49">_xlfn.XLOOKUP(1,MappingGuide[[#This Row],[API]:[API_3]],'[1]Squirrel SQL Export 1'!$K:$N,[1]!Table1[[#This Row],[Doppio Notes2]])</f>
        <v>#REF!</v>
      </c>
      <c r="AD49" s="17"/>
      <c r="AE49" s="17" t="e" cm="1">
        <f t="array" ref="AE49">_xlfn.XLOOKUP(1,MappingGuide[[#This Row],[API]:[API_3]],'[1]Squirrel SQL Export 1'!$K:$N,[1]!Table1[[#This Row],[DG_required]])</f>
        <v>#REF!</v>
      </c>
      <c r="AF49" s="21" t="s">
        <v>1289</v>
      </c>
      <c r="AG49" s="21"/>
      <c r="AH49" s="22" t="e" cm="1">
        <f t="array" ref="AH49">_xlfn.LET(_xlpm.r,_xlfn.XLOOKUP(1,MappingGuide[[#This Row],[API]:[API_3]],'[1]Squirrel SQL Export 1'!$K:$N,[1]!Table1[[#This Row],[Pending Items]]),IF(_xlpm.r=0,"",_xlpm.r))</f>
        <v>#REF!</v>
      </c>
      <c r="AI49" s="22" t="e" cm="1">
        <f t="array" ref="AI49">_xlfn.LET(_xlpm.r,_xlfn.XLOOKUP(1,MappingGuide[[#This Row],[API]:[API_3]],'[1]Squirrel SQL Export 1'!$K:$N,[1]!Table1[[#This Row],[Syndigo Name]]),IF(_xlpm.r=0,"",_xlpm.r))</f>
        <v>#REF!</v>
      </c>
      <c r="AJ49" s="17"/>
    </row>
    <row r="50" spans="1:36" ht="17" hidden="1">
      <c r="A50" s="17">
        <v>48</v>
      </c>
      <c r="B50" s="17" t="s">
        <v>40</v>
      </c>
      <c r="C50" s="17" t="s">
        <v>279</v>
      </c>
      <c r="D50" s="17" t="s">
        <v>280</v>
      </c>
      <c r="E50" s="17" t="s">
        <v>43</v>
      </c>
      <c r="F50" s="17" t="s">
        <v>80</v>
      </c>
      <c r="G50" s="17"/>
      <c r="H50" s="17"/>
      <c r="I50" s="17" t="s">
        <v>57</v>
      </c>
      <c r="J50" s="17" t="s">
        <v>124</v>
      </c>
      <c r="K50" s="17"/>
      <c r="L50" s="17" t="s">
        <v>35</v>
      </c>
      <c r="M50" s="17" t="s">
        <v>73</v>
      </c>
      <c r="N50" s="17" t="s">
        <v>281</v>
      </c>
      <c r="O50" s="17"/>
      <c r="P50" s="17"/>
      <c r="Q50" s="17"/>
      <c r="R50" s="17"/>
      <c r="S50" s="17" t="e" cm="1">
        <f t="array" ref="S50">_xlfn.LET(_xlpm.r,_xlfn.XLOOKUP(1,MappingGuide[[#This Row],[API]:[API_3]],'[1]Squirrel SQL Export 1'!$K:$N,[1]!Table1[[#This Row],[Responsible from HJ]]),IF(_xlpm.r=0,"",_xlpm.r))</f>
        <v>#REF!</v>
      </c>
      <c r="T50" s="17"/>
      <c r="U50" s="17"/>
      <c r="V50" s="17" t="e" cm="1">
        <f t="array" ref="V50">_xlfn.LET(_xlpm.r,_xlfn.XLOOKUP(1,MappingGuide[[#This Row],[API]:[API_3]],'[1]Squirrel SQL Export 1'!$K:$N,[1]!Table1[[#This Row],[MDM Comments]]),IF(_xlpm.r=0,"",_xlpm.r))</f>
        <v>#REF!</v>
      </c>
      <c r="W50" s="17" t="e" cm="1">
        <f t="array" ref="W50">_xlfn.LET(_xlpm.r,_xlfn.XLOOKUP(1,MappingGuide[[#This Row],[API]:[API_3]],'[1]Squirrel SQL Export 1'!$K:$N,[1]!Table1[[#This Row],[Exists In Syndigo?]]),IF(_xlpm.r=0,"",_xlpm.r))</f>
        <v>#REF!</v>
      </c>
      <c r="X50" s="17" t="e" cm="1">
        <f t="array" ref="X50">_xlfn.LET(_xlpm.r,_xlfn.XLOOKUP(1,MappingGuide[[#This Row],[API]:[API_3]],'[1]Squirrel SQL Export 1'!$K:$N,[1]!Table1[[#This Row],[Syndigo Name]]),IF(_xlpm.r=0,"",_xlpm.r))</f>
        <v>#REF!</v>
      </c>
      <c r="Y50" s="17"/>
      <c r="Z50" s="17" t="s">
        <v>282</v>
      </c>
      <c r="AA50" s="17" t="s">
        <v>283</v>
      </c>
      <c r="AB50" s="17"/>
      <c r="AC50" s="17" t="e" cm="1">
        <f t="array" ref="AC50">_xlfn.XLOOKUP(1,MappingGuide[[#This Row],[API]:[API_3]],'[1]Squirrel SQL Export 1'!$K:$N,[1]!Table1[[#This Row],[Doppio Notes2]])</f>
        <v>#REF!</v>
      </c>
      <c r="AD50" s="17"/>
      <c r="AE50" s="17" t="e" cm="1">
        <f t="array" ref="AE50">_xlfn.XLOOKUP(1,MappingGuide[[#This Row],[API]:[API_3]],'[1]Squirrel SQL Export 1'!$K:$N,[1]!Table1[[#This Row],[DG_required]])</f>
        <v>#REF!</v>
      </c>
      <c r="AF50" s="21" t="s">
        <v>80</v>
      </c>
      <c r="AG50" s="21"/>
      <c r="AH50" s="22" t="e" cm="1">
        <f t="array" ref="AH50">_xlfn.LET(_xlpm.r,_xlfn.XLOOKUP(1,MappingGuide[[#This Row],[API]:[API_3]],'[1]Squirrel SQL Export 1'!$K:$N,[1]!Table1[[#This Row],[Pending Items]]),IF(_xlpm.r=0,"",_xlpm.r))</f>
        <v>#REF!</v>
      </c>
      <c r="AI50" s="22" t="e" cm="1">
        <f t="array" ref="AI50">_xlfn.LET(_xlpm.r,_xlfn.XLOOKUP(1,MappingGuide[[#This Row],[API]:[API_3]],'[1]Squirrel SQL Export 1'!$K:$N,[1]!Table1[[#This Row],[Syndigo Name]]),IF(_xlpm.r=0,"",_xlpm.r))</f>
        <v>#REF!</v>
      </c>
      <c r="AJ50" s="17"/>
    </row>
    <row r="51" spans="1:36" ht="17" hidden="1">
      <c r="A51" s="17">
        <v>49</v>
      </c>
      <c r="B51" s="17" t="s">
        <v>40</v>
      </c>
      <c r="C51" s="17" t="s">
        <v>284</v>
      </c>
      <c r="D51" s="17" t="s">
        <v>285</v>
      </c>
      <c r="E51" s="17" t="s">
        <v>33</v>
      </c>
      <c r="F51" s="17" t="s">
        <v>44</v>
      </c>
      <c r="G51" s="17"/>
      <c r="H51" s="17"/>
      <c r="I51" s="17" t="s">
        <v>57</v>
      </c>
      <c r="J51" s="17" t="s">
        <v>72</v>
      </c>
      <c r="K51" s="17"/>
      <c r="L51" s="17" t="s">
        <v>35</v>
      </c>
      <c r="M51" s="17" t="s">
        <v>73</v>
      </c>
      <c r="N51" s="17" t="s">
        <v>286</v>
      </c>
      <c r="O51" s="17"/>
      <c r="P51" s="17" t="s">
        <v>287</v>
      </c>
      <c r="Q51" s="17"/>
      <c r="R51" s="17"/>
      <c r="S51" s="17" t="e" cm="1">
        <f t="array" ref="S51">_xlfn.LET(_xlpm.r,_xlfn.XLOOKUP(1,MappingGuide[[#This Row],[API]:[API_3]],'[1]Squirrel SQL Export 1'!$K:$N,[1]!Table1[[#This Row],[Responsible from HJ]]),IF(_xlpm.r=0,"",_xlpm.r))</f>
        <v>#REF!</v>
      </c>
      <c r="T51" s="17"/>
      <c r="U51" s="17"/>
      <c r="V51" s="17" t="e" cm="1">
        <f t="array" ref="V51">_xlfn.LET(_xlpm.r,_xlfn.XLOOKUP(1,MappingGuide[[#This Row],[API]:[API_3]],'[1]Squirrel SQL Export 1'!$K:$N,[1]!Table1[[#This Row],[MDM Comments]]),IF(_xlpm.r=0,"",_xlpm.r))</f>
        <v>#REF!</v>
      </c>
      <c r="W51" s="17" t="e" cm="1">
        <f t="array" ref="W51">_xlfn.LET(_xlpm.r,_xlfn.XLOOKUP(1,MappingGuide[[#This Row],[API]:[API_3]],'[1]Squirrel SQL Export 1'!$K:$N,[1]!Table1[[#This Row],[Exists In Syndigo?]]),IF(_xlpm.r=0,"",_xlpm.r))</f>
        <v>#REF!</v>
      </c>
      <c r="X51" s="17" t="e" cm="1">
        <f t="array" ref="X51">_xlfn.LET(_xlpm.r,_xlfn.XLOOKUP(1,MappingGuide[[#This Row],[API]:[API_3]],'[1]Squirrel SQL Export 1'!$K:$N,[1]!Table1[[#This Row],[Syndigo Name]]),IF(_xlpm.r=0,"",_xlpm.r))</f>
        <v>#REF!</v>
      </c>
      <c r="Y51" s="17"/>
      <c r="Z51" s="17" t="s">
        <v>288</v>
      </c>
      <c r="AA51" s="17"/>
      <c r="AB51" s="17"/>
      <c r="AC51" s="17" t="e" cm="1">
        <f t="array" ref="AC51">_xlfn.XLOOKUP(1,MappingGuide[[#This Row],[API]:[API_3]],'[1]Squirrel SQL Export 1'!$K:$N,[1]!Table1[[#This Row],[Doppio Notes2]])</f>
        <v>#REF!</v>
      </c>
      <c r="AD51" s="17"/>
      <c r="AE51" s="17" t="e" cm="1">
        <f t="array" ref="AE51">_xlfn.XLOOKUP(1,MappingGuide[[#This Row],[API]:[API_3]],'[1]Squirrel SQL Export 1'!$K:$N,[1]!Table1[[#This Row],[DG_required]])</f>
        <v>#REF!</v>
      </c>
      <c r="AF51" s="21" t="s">
        <v>77</v>
      </c>
      <c r="AG51" s="21"/>
      <c r="AH51" s="22" t="e" cm="1">
        <f t="array" ref="AH51">_xlfn.LET(_xlpm.r,_xlfn.XLOOKUP(1,MappingGuide[[#This Row],[API]:[API_3]],'[1]Squirrel SQL Export 1'!$K:$N,[1]!Table1[[#This Row],[Pending Items]]),IF(_xlpm.r=0,"",_xlpm.r))</f>
        <v>#REF!</v>
      </c>
      <c r="AI51" s="22" t="e" cm="1">
        <f t="array" ref="AI51">_xlfn.LET(_xlpm.r,_xlfn.XLOOKUP(1,MappingGuide[[#This Row],[API]:[API_3]],'[1]Squirrel SQL Export 1'!$K:$N,[1]!Table1[[#This Row],[Syndigo Name]]),IF(_xlpm.r=0,"",_xlpm.r))</f>
        <v>#REF!</v>
      </c>
      <c r="AJ51" s="17"/>
    </row>
    <row r="52" spans="1:36" ht="18" hidden="1">
      <c r="A52" s="17">
        <v>50</v>
      </c>
      <c r="B52" s="17" t="s">
        <v>40</v>
      </c>
      <c r="C52" s="17" t="s">
        <v>289</v>
      </c>
      <c r="D52" s="17" t="s">
        <v>290</v>
      </c>
      <c r="E52" s="17" t="s">
        <v>33</v>
      </c>
      <c r="F52" s="17" t="s">
        <v>44</v>
      </c>
      <c r="G52" s="17"/>
      <c r="H52" s="17"/>
      <c r="I52" s="17" t="s">
        <v>57</v>
      </c>
      <c r="J52" s="17" t="s">
        <v>58</v>
      </c>
      <c r="K52" s="17"/>
      <c r="L52" s="17" t="s">
        <v>35</v>
      </c>
      <c r="M52" s="17" t="s">
        <v>36</v>
      </c>
      <c r="N52" s="17" t="s">
        <v>291</v>
      </c>
      <c r="O52" s="17"/>
      <c r="P52" s="17" t="s">
        <v>292</v>
      </c>
      <c r="Q52" s="17"/>
      <c r="R52" s="17" t="s">
        <v>293</v>
      </c>
      <c r="S52" s="17" t="e" cm="1">
        <f t="array" ref="S52">_xlfn.LET(_xlpm.r,_xlfn.XLOOKUP(1,MappingGuide[[#This Row],[API]:[API_3]],'[1]Squirrel SQL Export 1'!$K:$N,[1]!Table1[[#This Row],[Responsible from HJ]]),IF(_xlpm.r=0,"",_xlpm.r))</f>
        <v>#REF!</v>
      </c>
      <c r="T52" s="17" t="s">
        <v>39</v>
      </c>
      <c r="U52" s="17" t="s">
        <v>295</v>
      </c>
      <c r="V52" s="17" t="e" cm="1">
        <f t="array" ref="V52">_xlfn.LET(_xlpm.r,_xlfn.XLOOKUP(1,MappingGuide[[#This Row],[API]:[API_3]],'[1]Squirrel SQL Export 1'!$K:$N,[1]!Table1[[#This Row],[MDM Comments]]),IF(_xlpm.r=0,"",_xlpm.r))</f>
        <v>#REF!</v>
      </c>
      <c r="W52" s="17" t="e" cm="1">
        <f t="array" ref="W52">_xlfn.LET(_xlpm.r,_xlfn.XLOOKUP(1,MappingGuide[[#This Row],[API]:[API_3]],'[1]Squirrel SQL Export 1'!$K:$N,[1]!Table1[[#This Row],[Exists In Syndigo?]]),IF(_xlpm.r=0,"",_xlpm.r))</f>
        <v>#REF!</v>
      </c>
      <c r="X52" s="17" t="e" cm="1">
        <f t="array" ref="X52">_xlfn.LET(_xlpm.r,_xlfn.XLOOKUP(1,MappingGuide[[#This Row],[API]:[API_3]],'[1]Squirrel SQL Export 1'!$K:$N,[1]!Table1[[#This Row],[Syndigo Name]]),IF(_xlpm.r=0,"",_xlpm.r))</f>
        <v>#REF!</v>
      </c>
      <c r="Y52" s="17"/>
      <c r="Z52" s="17" t="s">
        <v>294</v>
      </c>
      <c r="AA52" s="17"/>
      <c r="AB52" s="17"/>
      <c r="AC52" s="17" t="e" cm="1">
        <f t="array" ref="AC52">_xlfn.XLOOKUP(1,MappingGuide[[#This Row],[API]:[API_3]],'[1]Squirrel SQL Export 1'!$K:$N,[1]!Table1[[#This Row],[Doppio Notes2]])</f>
        <v>#REF!</v>
      </c>
      <c r="AD52" s="17" t="s">
        <v>1279</v>
      </c>
      <c r="AE52" s="17" t="e" cm="1">
        <f t="array" ref="AE52">_xlfn.XLOOKUP(1,MappingGuide[[#This Row],[API]:[API_3]],'[1]Squirrel SQL Export 1'!$K:$N,[1]!Table1[[#This Row],[DG_required]])</f>
        <v>#REF!</v>
      </c>
      <c r="AF52" s="21" t="s">
        <v>295</v>
      </c>
      <c r="AG52" s="21"/>
      <c r="AH52" s="24" t="e" cm="1">
        <f t="array" ref="AH52">_xlfn.LET(_xlpm.r,_xlfn.XLOOKUP(1,MappingGuide[[#This Row],[API]:[API_3]],'[1]Squirrel SQL Export 1'!$K:$N,[1]!Table1[[#This Row],[Pending Items]]),IF(_xlpm.r=0,"",_xlpm.r))</f>
        <v>#REF!</v>
      </c>
      <c r="AI52" s="22" t="e" cm="1">
        <f t="array" ref="AI52">_xlfn.LET(_xlpm.r,_xlfn.XLOOKUP(1,MappingGuide[[#This Row],[API]:[API_3]],'[1]Squirrel SQL Export 1'!$K:$N,[1]!Table1[[#This Row],[Syndigo Name]]),IF(_xlpm.r=0,"",_xlpm.r))</f>
        <v>#REF!</v>
      </c>
      <c r="AJ52" s="17"/>
    </row>
    <row r="53" spans="1:36" ht="17" hidden="1">
      <c r="A53" s="17">
        <v>51</v>
      </c>
      <c r="B53" s="17" t="s">
        <v>40</v>
      </c>
      <c r="C53" s="17" t="s">
        <v>296</v>
      </c>
      <c r="D53" s="17" t="s">
        <v>297</v>
      </c>
      <c r="E53" s="17" t="s">
        <v>33</v>
      </c>
      <c r="F53" s="17" t="s">
        <v>34</v>
      </c>
      <c r="G53" s="17"/>
      <c r="H53" s="17"/>
      <c r="I53" s="17"/>
      <c r="J53" s="17"/>
      <c r="K53" s="17"/>
      <c r="L53" s="17"/>
      <c r="M53" s="17"/>
      <c r="N53" s="17" t="s">
        <v>298</v>
      </c>
      <c r="O53" s="17"/>
      <c r="P53" s="17"/>
      <c r="Q53" s="17"/>
      <c r="R53" s="17"/>
      <c r="S53" s="17" t="e" cm="1">
        <f t="array" ref="S53">_xlfn.LET(_xlpm.r,_xlfn.XLOOKUP(1,MappingGuide[[#This Row],[API]:[API_3]],'[1]Squirrel SQL Export 1'!$K:$N,[1]!Table1[[#This Row],[Responsible from HJ]]),IF(_xlpm.r=0,"",_xlpm.r))</f>
        <v>#REF!</v>
      </c>
      <c r="T53" s="17"/>
      <c r="U53" s="17"/>
      <c r="V53" s="17" t="e" cm="1">
        <f t="array" ref="V53">_xlfn.LET(_xlpm.r,_xlfn.XLOOKUP(1,MappingGuide[[#This Row],[API]:[API_3]],'[1]Squirrel SQL Export 1'!$K:$N,[1]!Table1[[#This Row],[MDM Comments]]),IF(_xlpm.r=0,"",_xlpm.r))</f>
        <v>#REF!</v>
      </c>
      <c r="W53" s="17" t="e" cm="1">
        <f t="array" ref="W53">_xlfn.LET(_xlpm.r,_xlfn.XLOOKUP(1,MappingGuide[[#This Row],[API]:[API_3]],'[1]Squirrel SQL Export 1'!$K:$N,[1]!Table1[[#This Row],[Exists In Syndigo?]]),IF(_xlpm.r=0,"",_xlpm.r))</f>
        <v>#REF!</v>
      </c>
      <c r="X53" s="17" t="e" cm="1">
        <f t="array" ref="X53">_xlfn.LET(_xlpm.r,_xlfn.XLOOKUP(1,MappingGuide[[#This Row],[API]:[API_3]],'[1]Squirrel SQL Export 1'!$K:$N,[1]!Table1[[#This Row],[Syndigo Name]]),IF(_xlpm.r=0,"",_xlpm.r))</f>
        <v>#REF!</v>
      </c>
      <c r="Y53" s="17"/>
      <c r="Z53" s="17" t="s">
        <v>299</v>
      </c>
      <c r="AA53" s="17"/>
      <c r="AB53" s="17"/>
      <c r="AC53" s="17" t="e" cm="1">
        <f t="array" ref="AC53">_xlfn.XLOOKUP(1,MappingGuide[[#This Row],[API]:[API_3]],'[1]Squirrel SQL Export 1'!$K:$N,[1]!Table1[[#This Row],[Doppio Notes2]])</f>
        <v>#REF!</v>
      </c>
      <c r="AD53" s="17"/>
      <c r="AE53" s="17" t="e" cm="1">
        <f t="array" ref="AE53">_xlfn.XLOOKUP(1,MappingGuide[[#This Row],[API]:[API_3]],'[1]Squirrel SQL Export 1'!$K:$N,[1]!Table1[[#This Row],[DG_required]])</f>
        <v>#REF!</v>
      </c>
      <c r="AF53" s="21" t="s">
        <v>1306</v>
      </c>
      <c r="AG53" s="21"/>
      <c r="AH53" s="22" t="e" cm="1">
        <f t="array" ref="AH53">_xlfn.LET(_xlpm.r,_xlfn.XLOOKUP(1,MappingGuide[[#This Row],[API]:[API_3]],'[1]Squirrel SQL Export 1'!$K:$N,[1]!Table1[[#This Row],[Pending Items]]),IF(_xlpm.r=0,"",_xlpm.r))</f>
        <v>#REF!</v>
      </c>
      <c r="AI53" s="22" t="e" cm="1">
        <f t="array" ref="AI53">_xlfn.LET(_xlpm.r,_xlfn.XLOOKUP(1,MappingGuide[[#This Row],[API]:[API_3]],'[1]Squirrel SQL Export 1'!$K:$N,[1]!Table1[[#This Row],[Syndigo Name]]),IF(_xlpm.r=0,"",_xlpm.r))</f>
        <v>#REF!</v>
      </c>
      <c r="AJ53" s="17"/>
    </row>
    <row r="54" spans="1:36" ht="17" hidden="1">
      <c r="A54" s="17">
        <v>52</v>
      </c>
      <c r="B54" s="17" t="s">
        <v>40</v>
      </c>
      <c r="C54" s="17" t="s">
        <v>300</v>
      </c>
      <c r="D54" s="17" t="s">
        <v>301</v>
      </c>
      <c r="E54" s="17" t="s">
        <v>33</v>
      </c>
      <c r="F54" s="17" t="s">
        <v>34</v>
      </c>
      <c r="G54" s="17"/>
      <c r="H54" s="17"/>
      <c r="I54" s="17"/>
      <c r="J54" s="17"/>
      <c r="K54" s="17"/>
      <c r="L54" s="17"/>
      <c r="M54" s="17"/>
      <c r="N54" s="17" t="s">
        <v>302</v>
      </c>
      <c r="O54" s="17"/>
      <c r="P54" s="17"/>
      <c r="Q54" s="17"/>
      <c r="R54" s="17"/>
      <c r="S54" s="17" t="e" cm="1">
        <f t="array" ref="S54">_xlfn.LET(_xlpm.r,_xlfn.XLOOKUP(1,MappingGuide[[#This Row],[API]:[API_3]],'[1]Squirrel SQL Export 1'!$K:$N,[1]!Table1[[#This Row],[Responsible from HJ]]),IF(_xlpm.r=0,"",_xlpm.r))</f>
        <v>#REF!</v>
      </c>
      <c r="T54" s="17"/>
      <c r="U54" s="17"/>
      <c r="V54" s="17" t="e" cm="1">
        <f t="array" ref="V54">_xlfn.LET(_xlpm.r,_xlfn.XLOOKUP(1,MappingGuide[[#This Row],[API]:[API_3]],'[1]Squirrel SQL Export 1'!$K:$N,[1]!Table1[[#This Row],[MDM Comments]]),IF(_xlpm.r=0,"",_xlpm.r))</f>
        <v>#REF!</v>
      </c>
      <c r="W54" s="17" t="e" cm="1">
        <f t="array" ref="W54">_xlfn.LET(_xlpm.r,_xlfn.XLOOKUP(1,MappingGuide[[#This Row],[API]:[API_3]],'[1]Squirrel SQL Export 1'!$K:$N,[1]!Table1[[#This Row],[Exists In Syndigo?]]),IF(_xlpm.r=0,"",_xlpm.r))</f>
        <v>#REF!</v>
      </c>
      <c r="X54" s="17" t="e" cm="1">
        <f t="array" ref="X54">_xlfn.LET(_xlpm.r,_xlfn.XLOOKUP(1,MappingGuide[[#This Row],[API]:[API_3]],'[1]Squirrel SQL Export 1'!$K:$N,[1]!Table1[[#This Row],[Syndigo Name]]),IF(_xlpm.r=0,"",_xlpm.r))</f>
        <v>#REF!</v>
      </c>
      <c r="Y54" s="17"/>
      <c r="Z54" s="17" t="s">
        <v>303</v>
      </c>
      <c r="AA54" s="17"/>
      <c r="AB54" s="17"/>
      <c r="AC54" s="17" t="e" cm="1">
        <f t="array" ref="AC54">_xlfn.XLOOKUP(1,MappingGuide[[#This Row],[API]:[API_3]],'[1]Squirrel SQL Export 1'!$K:$N,[1]!Table1[[#This Row],[Doppio Notes2]])</f>
        <v>#REF!</v>
      </c>
      <c r="AD54" s="17"/>
      <c r="AE54" s="17" t="e" cm="1">
        <f t="array" ref="AE54">_xlfn.XLOOKUP(1,MappingGuide[[#This Row],[API]:[API_3]],'[1]Squirrel SQL Export 1'!$K:$N,[1]!Table1[[#This Row],[DG_required]])</f>
        <v>#REF!</v>
      </c>
      <c r="AF54" s="21" t="s">
        <v>1306</v>
      </c>
      <c r="AG54" s="21"/>
      <c r="AH54" s="22" t="e" cm="1">
        <f t="array" ref="AH54">_xlfn.LET(_xlpm.r,_xlfn.XLOOKUP(1,MappingGuide[[#This Row],[API]:[API_3]],'[1]Squirrel SQL Export 1'!$K:$N,[1]!Table1[[#This Row],[Pending Items]]),IF(_xlpm.r=0,"",_xlpm.r))</f>
        <v>#REF!</v>
      </c>
      <c r="AI54" s="22" t="e" cm="1">
        <f t="array" ref="AI54">_xlfn.LET(_xlpm.r,_xlfn.XLOOKUP(1,MappingGuide[[#This Row],[API]:[API_3]],'[1]Squirrel SQL Export 1'!$K:$N,[1]!Table1[[#This Row],[Syndigo Name]]),IF(_xlpm.r=0,"",_xlpm.r))</f>
        <v>#REF!</v>
      </c>
      <c r="AJ54" s="17"/>
    </row>
    <row r="55" spans="1:36" ht="17" hidden="1">
      <c r="A55" s="17">
        <v>53</v>
      </c>
      <c r="B55" s="17" t="s">
        <v>40</v>
      </c>
      <c r="C55" s="17" t="s">
        <v>304</v>
      </c>
      <c r="D55" s="17" t="s">
        <v>305</v>
      </c>
      <c r="E55" s="17" t="s">
        <v>33</v>
      </c>
      <c r="F55" s="17" t="s">
        <v>34</v>
      </c>
      <c r="G55" s="17"/>
      <c r="H55" s="17"/>
      <c r="I55" s="17"/>
      <c r="J55" s="17"/>
      <c r="K55" s="17"/>
      <c r="L55" s="17"/>
      <c r="M55" s="17"/>
      <c r="N55" s="17" t="s">
        <v>306</v>
      </c>
      <c r="O55" s="17"/>
      <c r="P55" s="17"/>
      <c r="Q55" s="17"/>
      <c r="R55" s="17"/>
      <c r="S55" s="17" t="e" cm="1">
        <f t="array" ref="S55">_xlfn.LET(_xlpm.r,_xlfn.XLOOKUP(1,MappingGuide[[#This Row],[API]:[API_3]],'[1]Squirrel SQL Export 1'!$K:$N,[1]!Table1[[#This Row],[Responsible from HJ]]),IF(_xlpm.r=0,"",_xlpm.r))</f>
        <v>#REF!</v>
      </c>
      <c r="T55" s="17"/>
      <c r="U55" s="17"/>
      <c r="V55" s="17" t="e" cm="1">
        <f t="array" ref="V55">_xlfn.LET(_xlpm.r,_xlfn.XLOOKUP(1,MappingGuide[[#This Row],[API]:[API_3]],'[1]Squirrel SQL Export 1'!$K:$N,[1]!Table1[[#This Row],[MDM Comments]]),IF(_xlpm.r=0,"",_xlpm.r))</f>
        <v>#REF!</v>
      </c>
      <c r="W55" s="17" t="e" cm="1">
        <f t="array" ref="W55">_xlfn.LET(_xlpm.r,_xlfn.XLOOKUP(1,MappingGuide[[#This Row],[API]:[API_3]],'[1]Squirrel SQL Export 1'!$K:$N,[1]!Table1[[#This Row],[Exists In Syndigo?]]),IF(_xlpm.r=0,"",_xlpm.r))</f>
        <v>#REF!</v>
      </c>
      <c r="X55" s="17" t="e" cm="1">
        <f t="array" ref="X55">_xlfn.LET(_xlpm.r,_xlfn.XLOOKUP(1,MappingGuide[[#This Row],[API]:[API_3]],'[1]Squirrel SQL Export 1'!$K:$N,[1]!Table1[[#This Row],[Syndigo Name]]),IF(_xlpm.r=0,"",_xlpm.r))</f>
        <v>#REF!</v>
      </c>
      <c r="Y55" s="17"/>
      <c r="Z55" s="17" t="s">
        <v>303</v>
      </c>
      <c r="AA55" s="17"/>
      <c r="AB55" s="17"/>
      <c r="AC55" s="17" t="e" cm="1">
        <f t="array" ref="AC55">_xlfn.XLOOKUP(1,MappingGuide[[#This Row],[API]:[API_3]],'[1]Squirrel SQL Export 1'!$K:$N,[1]!Table1[[#This Row],[Doppio Notes2]])</f>
        <v>#REF!</v>
      </c>
      <c r="AD55" s="17"/>
      <c r="AE55" s="17" t="e" cm="1">
        <f t="array" ref="AE55">_xlfn.XLOOKUP(1,MappingGuide[[#This Row],[API]:[API_3]],'[1]Squirrel SQL Export 1'!$K:$N,[1]!Table1[[#This Row],[DG_required]])</f>
        <v>#REF!</v>
      </c>
      <c r="AF55" s="21" t="s">
        <v>1306</v>
      </c>
      <c r="AG55" s="21"/>
      <c r="AH55" s="22" t="e" cm="1">
        <f t="array" ref="AH55">_xlfn.LET(_xlpm.r,_xlfn.XLOOKUP(1,MappingGuide[[#This Row],[API]:[API_3]],'[1]Squirrel SQL Export 1'!$K:$N,[1]!Table1[[#This Row],[Pending Items]]),IF(_xlpm.r=0,"",_xlpm.r))</f>
        <v>#REF!</v>
      </c>
      <c r="AI55" s="22" t="e" cm="1">
        <f t="array" ref="AI55">_xlfn.LET(_xlpm.r,_xlfn.XLOOKUP(1,MappingGuide[[#This Row],[API]:[API_3]],'[1]Squirrel SQL Export 1'!$K:$N,[1]!Table1[[#This Row],[Syndigo Name]]),IF(_xlpm.r=0,"",_xlpm.r))</f>
        <v>#REF!</v>
      </c>
      <c r="AJ55" s="17"/>
    </row>
    <row r="56" spans="1:36" ht="17" hidden="1">
      <c r="A56" s="17">
        <v>54</v>
      </c>
      <c r="B56" s="17" t="s">
        <v>40</v>
      </c>
      <c r="C56" s="17" t="s">
        <v>307</v>
      </c>
      <c r="D56" s="17" t="s">
        <v>308</v>
      </c>
      <c r="E56" s="17" t="s">
        <v>33</v>
      </c>
      <c r="F56" s="17" t="s">
        <v>34</v>
      </c>
      <c r="G56" s="17"/>
      <c r="H56" s="17"/>
      <c r="I56" s="17"/>
      <c r="J56" s="17"/>
      <c r="K56" s="17"/>
      <c r="L56" s="17"/>
      <c r="M56" s="17"/>
      <c r="N56" s="17" t="s">
        <v>309</v>
      </c>
      <c r="O56" s="17"/>
      <c r="P56" s="17"/>
      <c r="Q56" s="17"/>
      <c r="R56" s="17"/>
      <c r="S56" s="17" t="e" cm="1">
        <f t="array" ref="S56">_xlfn.LET(_xlpm.r,_xlfn.XLOOKUP(1,MappingGuide[[#This Row],[API]:[API_3]],'[1]Squirrel SQL Export 1'!$K:$N,[1]!Table1[[#This Row],[Responsible from HJ]]),IF(_xlpm.r=0,"",_xlpm.r))</f>
        <v>#REF!</v>
      </c>
      <c r="T56" s="17"/>
      <c r="U56" s="17"/>
      <c r="V56" s="17" t="e" cm="1">
        <f t="array" ref="V56">_xlfn.LET(_xlpm.r,_xlfn.XLOOKUP(1,MappingGuide[[#This Row],[API]:[API_3]],'[1]Squirrel SQL Export 1'!$K:$N,[1]!Table1[[#This Row],[MDM Comments]]),IF(_xlpm.r=0,"",_xlpm.r))</f>
        <v>#REF!</v>
      </c>
      <c r="W56" s="17" t="e" cm="1">
        <f t="array" ref="W56">_xlfn.LET(_xlpm.r,_xlfn.XLOOKUP(1,MappingGuide[[#This Row],[API]:[API_3]],'[1]Squirrel SQL Export 1'!$K:$N,[1]!Table1[[#This Row],[Exists In Syndigo?]]),IF(_xlpm.r=0,"",_xlpm.r))</f>
        <v>#REF!</v>
      </c>
      <c r="X56" s="17" t="e" cm="1">
        <f t="array" ref="X56">_xlfn.LET(_xlpm.r,_xlfn.XLOOKUP(1,MappingGuide[[#This Row],[API]:[API_3]],'[1]Squirrel SQL Export 1'!$K:$N,[1]!Table1[[#This Row],[Syndigo Name]]),IF(_xlpm.r=0,"",_xlpm.r))</f>
        <v>#REF!</v>
      </c>
      <c r="Y56" s="17"/>
      <c r="Z56" s="17" t="s">
        <v>303</v>
      </c>
      <c r="AA56" s="17"/>
      <c r="AB56" s="17"/>
      <c r="AC56" s="17" t="e" cm="1">
        <f t="array" ref="AC56">_xlfn.XLOOKUP(1,MappingGuide[[#This Row],[API]:[API_3]],'[1]Squirrel SQL Export 1'!$K:$N,[1]!Table1[[#This Row],[Doppio Notes2]])</f>
        <v>#REF!</v>
      </c>
      <c r="AD56" s="17"/>
      <c r="AE56" s="17" t="e" cm="1">
        <f t="array" ref="AE56">_xlfn.XLOOKUP(1,MappingGuide[[#This Row],[API]:[API_3]],'[1]Squirrel SQL Export 1'!$K:$N,[1]!Table1[[#This Row],[DG_required]])</f>
        <v>#REF!</v>
      </c>
      <c r="AF56" s="21" t="s">
        <v>1306</v>
      </c>
      <c r="AG56" s="21"/>
      <c r="AH56" s="22" t="e" cm="1">
        <f t="array" ref="AH56">_xlfn.LET(_xlpm.r,_xlfn.XLOOKUP(1,MappingGuide[[#This Row],[API]:[API_3]],'[1]Squirrel SQL Export 1'!$K:$N,[1]!Table1[[#This Row],[Pending Items]]),IF(_xlpm.r=0,"",_xlpm.r))</f>
        <v>#REF!</v>
      </c>
      <c r="AI56" s="22" t="e" cm="1">
        <f t="array" ref="AI56">_xlfn.LET(_xlpm.r,_xlfn.XLOOKUP(1,MappingGuide[[#This Row],[API]:[API_3]],'[1]Squirrel SQL Export 1'!$K:$N,[1]!Table1[[#This Row],[Syndigo Name]]),IF(_xlpm.r=0,"",_xlpm.r))</f>
        <v>#REF!</v>
      </c>
      <c r="AJ56" s="17"/>
    </row>
    <row r="57" spans="1:36" ht="17" hidden="1">
      <c r="A57" s="17">
        <v>55</v>
      </c>
      <c r="B57" s="17" t="s">
        <v>40</v>
      </c>
      <c r="C57" s="17" t="s">
        <v>310</v>
      </c>
      <c r="D57" s="17" t="s">
        <v>311</v>
      </c>
      <c r="E57" s="17" t="s">
        <v>33</v>
      </c>
      <c r="F57" s="17" t="s">
        <v>34</v>
      </c>
      <c r="G57" s="17"/>
      <c r="H57" s="17"/>
      <c r="I57" s="17"/>
      <c r="J57" s="17"/>
      <c r="K57" s="17"/>
      <c r="L57" s="17"/>
      <c r="M57" s="17"/>
      <c r="N57" s="17" t="s">
        <v>312</v>
      </c>
      <c r="O57" s="17"/>
      <c r="P57" s="17"/>
      <c r="Q57" s="17"/>
      <c r="R57" s="17"/>
      <c r="S57" s="17" t="e" cm="1">
        <f t="array" ref="S57">_xlfn.LET(_xlpm.r,_xlfn.XLOOKUP(1,MappingGuide[[#This Row],[API]:[API_3]],'[1]Squirrel SQL Export 1'!$K:$N,[1]!Table1[[#This Row],[Responsible from HJ]]),IF(_xlpm.r=0,"",_xlpm.r))</f>
        <v>#REF!</v>
      </c>
      <c r="T57" s="17"/>
      <c r="U57" s="17"/>
      <c r="V57" s="17" t="e" cm="1">
        <f t="array" ref="V57">_xlfn.LET(_xlpm.r,_xlfn.XLOOKUP(1,MappingGuide[[#This Row],[API]:[API_3]],'[1]Squirrel SQL Export 1'!$K:$N,[1]!Table1[[#This Row],[MDM Comments]]),IF(_xlpm.r=0,"",_xlpm.r))</f>
        <v>#REF!</v>
      </c>
      <c r="W57" s="17" t="e" cm="1">
        <f t="array" ref="W57">_xlfn.LET(_xlpm.r,_xlfn.XLOOKUP(1,MappingGuide[[#This Row],[API]:[API_3]],'[1]Squirrel SQL Export 1'!$K:$N,[1]!Table1[[#This Row],[Exists In Syndigo?]]),IF(_xlpm.r=0,"",_xlpm.r))</f>
        <v>#REF!</v>
      </c>
      <c r="X57" s="17" t="e" cm="1">
        <f t="array" ref="X57">_xlfn.LET(_xlpm.r,_xlfn.XLOOKUP(1,MappingGuide[[#This Row],[API]:[API_3]],'[1]Squirrel SQL Export 1'!$K:$N,[1]!Table1[[#This Row],[Syndigo Name]]),IF(_xlpm.r=0,"",_xlpm.r))</f>
        <v>#REF!</v>
      </c>
      <c r="Y57" s="17"/>
      <c r="Z57" s="17" t="s">
        <v>303</v>
      </c>
      <c r="AA57" s="17"/>
      <c r="AB57" s="17"/>
      <c r="AC57" s="17" t="e" cm="1">
        <f t="array" ref="AC57">_xlfn.XLOOKUP(1,MappingGuide[[#This Row],[API]:[API_3]],'[1]Squirrel SQL Export 1'!$K:$N,[1]!Table1[[#This Row],[Doppio Notes2]])</f>
        <v>#REF!</v>
      </c>
      <c r="AD57" s="17"/>
      <c r="AE57" s="17" t="e" cm="1">
        <f t="array" ref="AE57">_xlfn.XLOOKUP(1,MappingGuide[[#This Row],[API]:[API_3]],'[1]Squirrel SQL Export 1'!$K:$N,[1]!Table1[[#This Row],[DG_required]])</f>
        <v>#REF!</v>
      </c>
      <c r="AF57" s="21" t="s">
        <v>1306</v>
      </c>
      <c r="AG57" s="21"/>
      <c r="AH57" s="22" t="e" cm="1">
        <f t="array" ref="AH57">_xlfn.LET(_xlpm.r,_xlfn.XLOOKUP(1,MappingGuide[[#This Row],[API]:[API_3]],'[1]Squirrel SQL Export 1'!$K:$N,[1]!Table1[[#This Row],[Pending Items]]),IF(_xlpm.r=0,"",_xlpm.r))</f>
        <v>#REF!</v>
      </c>
      <c r="AI57" s="22" t="e" cm="1">
        <f t="array" ref="AI57">_xlfn.LET(_xlpm.r,_xlfn.XLOOKUP(1,MappingGuide[[#This Row],[API]:[API_3]],'[1]Squirrel SQL Export 1'!$K:$N,[1]!Table1[[#This Row],[Syndigo Name]]),IF(_xlpm.r=0,"",_xlpm.r))</f>
        <v>#REF!</v>
      </c>
      <c r="AJ57" s="17"/>
    </row>
    <row r="58" spans="1:36" ht="17" hidden="1">
      <c r="A58" s="17">
        <v>56</v>
      </c>
      <c r="B58" s="17" t="s">
        <v>40</v>
      </c>
      <c r="C58" s="17" t="s">
        <v>313</v>
      </c>
      <c r="D58" s="17" t="s">
        <v>314</v>
      </c>
      <c r="E58" s="17" t="s">
        <v>33</v>
      </c>
      <c r="F58" s="17" t="s">
        <v>34</v>
      </c>
      <c r="G58" s="17"/>
      <c r="H58" s="17"/>
      <c r="I58" s="17"/>
      <c r="J58" s="17"/>
      <c r="K58" s="17"/>
      <c r="L58" s="17"/>
      <c r="M58" s="17"/>
      <c r="N58" s="17" t="s">
        <v>315</v>
      </c>
      <c r="O58" s="17"/>
      <c r="P58" s="17"/>
      <c r="Q58" s="17"/>
      <c r="R58" s="17"/>
      <c r="S58" s="17" t="e" cm="1">
        <f t="array" ref="S58">_xlfn.LET(_xlpm.r,_xlfn.XLOOKUP(1,MappingGuide[[#This Row],[API]:[API_3]],'[1]Squirrel SQL Export 1'!$K:$N,[1]!Table1[[#This Row],[Responsible from HJ]]),IF(_xlpm.r=0,"",_xlpm.r))</f>
        <v>#REF!</v>
      </c>
      <c r="T58" s="17"/>
      <c r="U58" s="17"/>
      <c r="V58" s="17" t="e" cm="1">
        <f t="array" ref="V58">_xlfn.LET(_xlpm.r,_xlfn.XLOOKUP(1,MappingGuide[[#This Row],[API]:[API_3]],'[1]Squirrel SQL Export 1'!$K:$N,[1]!Table1[[#This Row],[MDM Comments]]),IF(_xlpm.r=0,"",_xlpm.r))</f>
        <v>#REF!</v>
      </c>
      <c r="W58" s="17" t="e" cm="1">
        <f t="array" ref="W58">_xlfn.LET(_xlpm.r,_xlfn.XLOOKUP(1,MappingGuide[[#This Row],[API]:[API_3]],'[1]Squirrel SQL Export 1'!$K:$N,[1]!Table1[[#This Row],[Exists In Syndigo?]]),IF(_xlpm.r=0,"",_xlpm.r))</f>
        <v>#REF!</v>
      </c>
      <c r="X58" s="17" t="e" cm="1">
        <f t="array" ref="X58">_xlfn.LET(_xlpm.r,_xlfn.XLOOKUP(1,MappingGuide[[#This Row],[API]:[API_3]],'[1]Squirrel SQL Export 1'!$K:$N,[1]!Table1[[#This Row],[Syndigo Name]]),IF(_xlpm.r=0,"",_xlpm.r))</f>
        <v>#REF!</v>
      </c>
      <c r="Y58" s="17"/>
      <c r="Z58" s="17" t="s">
        <v>303</v>
      </c>
      <c r="AA58" s="17"/>
      <c r="AB58" s="17"/>
      <c r="AC58" s="17" t="e" cm="1">
        <f t="array" ref="AC58">_xlfn.XLOOKUP(1,MappingGuide[[#This Row],[API]:[API_3]],'[1]Squirrel SQL Export 1'!$K:$N,[1]!Table1[[#This Row],[Doppio Notes2]])</f>
        <v>#REF!</v>
      </c>
      <c r="AD58" s="17"/>
      <c r="AE58" s="17" t="e" cm="1">
        <f t="array" ref="AE58">_xlfn.XLOOKUP(1,MappingGuide[[#This Row],[API]:[API_3]],'[1]Squirrel SQL Export 1'!$K:$N,[1]!Table1[[#This Row],[DG_required]])</f>
        <v>#REF!</v>
      </c>
      <c r="AF58" s="21" t="s">
        <v>1306</v>
      </c>
      <c r="AG58" s="21"/>
      <c r="AH58" s="22" t="e" cm="1">
        <f t="array" ref="AH58">_xlfn.LET(_xlpm.r,_xlfn.XLOOKUP(1,MappingGuide[[#This Row],[API]:[API_3]],'[1]Squirrel SQL Export 1'!$K:$N,[1]!Table1[[#This Row],[Pending Items]]),IF(_xlpm.r=0,"",_xlpm.r))</f>
        <v>#REF!</v>
      </c>
      <c r="AI58" s="22" t="e" cm="1">
        <f t="array" ref="AI58">_xlfn.LET(_xlpm.r,_xlfn.XLOOKUP(1,MappingGuide[[#This Row],[API]:[API_3]],'[1]Squirrel SQL Export 1'!$K:$N,[1]!Table1[[#This Row],[Syndigo Name]]),IF(_xlpm.r=0,"",_xlpm.r))</f>
        <v>#REF!</v>
      </c>
      <c r="AJ58" s="17"/>
    </row>
    <row r="59" spans="1:36" ht="17" hidden="1">
      <c r="A59" s="17">
        <v>57</v>
      </c>
      <c r="B59" s="17" t="s">
        <v>40</v>
      </c>
      <c r="C59" s="17" t="s">
        <v>316</v>
      </c>
      <c r="D59" s="17" t="s">
        <v>317</v>
      </c>
      <c r="E59" s="17" t="s">
        <v>33</v>
      </c>
      <c r="F59" s="17" t="s">
        <v>34</v>
      </c>
      <c r="G59" s="17"/>
      <c r="H59" s="17"/>
      <c r="I59" s="17"/>
      <c r="J59" s="17"/>
      <c r="K59" s="17"/>
      <c r="L59" s="17"/>
      <c r="M59" s="17"/>
      <c r="N59" s="17" t="s">
        <v>318</v>
      </c>
      <c r="O59" s="17"/>
      <c r="P59" s="17"/>
      <c r="Q59" s="17"/>
      <c r="R59" s="17"/>
      <c r="S59" s="17" t="e" cm="1">
        <f t="array" ref="S59">_xlfn.LET(_xlpm.r,_xlfn.XLOOKUP(1,MappingGuide[[#This Row],[API]:[API_3]],'[1]Squirrel SQL Export 1'!$K:$N,[1]!Table1[[#This Row],[Responsible from HJ]]),IF(_xlpm.r=0,"",_xlpm.r))</f>
        <v>#REF!</v>
      </c>
      <c r="T59" s="17"/>
      <c r="U59" s="17"/>
      <c r="V59" s="17" t="e" cm="1">
        <f t="array" ref="V59">_xlfn.LET(_xlpm.r,_xlfn.XLOOKUP(1,MappingGuide[[#This Row],[API]:[API_3]],'[1]Squirrel SQL Export 1'!$K:$N,[1]!Table1[[#This Row],[MDM Comments]]),IF(_xlpm.r=0,"",_xlpm.r))</f>
        <v>#REF!</v>
      </c>
      <c r="W59" s="17" t="e" cm="1">
        <f t="array" ref="W59">_xlfn.LET(_xlpm.r,_xlfn.XLOOKUP(1,MappingGuide[[#This Row],[API]:[API_3]],'[1]Squirrel SQL Export 1'!$K:$N,[1]!Table1[[#This Row],[Exists In Syndigo?]]),IF(_xlpm.r=0,"",_xlpm.r))</f>
        <v>#REF!</v>
      </c>
      <c r="X59" s="17" t="e" cm="1">
        <f t="array" ref="X59">_xlfn.LET(_xlpm.r,_xlfn.XLOOKUP(1,MappingGuide[[#This Row],[API]:[API_3]],'[1]Squirrel SQL Export 1'!$K:$N,[1]!Table1[[#This Row],[Syndigo Name]]),IF(_xlpm.r=0,"",_xlpm.r))</f>
        <v>#REF!</v>
      </c>
      <c r="Y59" s="17"/>
      <c r="Z59" s="17" t="s">
        <v>303</v>
      </c>
      <c r="AA59" s="17"/>
      <c r="AB59" s="17"/>
      <c r="AC59" s="17" t="e" cm="1">
        <f t="array" ref="AC59">_xlfn.XLOOKUP(1,MappingGuide[[#This Row],[API]:[API_3]],'[1]Squirrel SQL Export 1'!$K:$N,[1]!Table1[[#This Row],[Doppio Notes2]])</f>
        <v>#REF!</v>
      </c>
      <c r="AD59" s="17"/>
      <c r="AE59" s="17" t="e" cm="1">
        <f t="array" ref="AE59">_xlfn.XLOOKUP(1,MappingGuide[[#This Row],[API]:[API_3]],'[1]Squirrel SQL Export 1'!$K:$N,[1]!Table1[[#This Row],[DG_required]])</f>
        <v>#REF!</v>
      </c>
      <c r="AF59" s="21" t="s">
        <v>1306</v>
      </c>
      <c r="AG59" s="21"/>
      <c r="AH59" s="22" t="e" cm="1">
        <f t="array" ref="AH59">_xlfn.LET(_xlpm.r,_xlfn.XLOOKUP(1,MappingGuide[[#This Row],[API]:[API_3]],'[1]Squirrel SQL Export 1'!$K:$N,[1]!Table1[[#This Row],[Pending Items]]),IF(_xlpm.r=0,"",_xlpm.r))</f>
        <v>#REF!</v>
      </c>
      <c r="AI59" s="22" t="e" cm="1">
        <f t="array" ref="AI59">_xlfn.LET(_xlpm.r,_xlfn.XLOOKUP(1,MappingGuide[[#This Row],[API]:[API_3]],'[1]Squirrel SQL Export 1'!$K:$N,[1]!Table1[[#This Row],[Syndigo Name]]),IF(_xlpm.r=0,"",_xlpm.r))</f>
        <v>#REF!</v>
      </c>
      <c r="AJ59" s="17"/>
    </row>
    <row r="60" spans="1:36" ht="17" hidden="1">
      <c r="A60" s="17">
        <v>58</v>
      </c>
      <c r="B60" s="17" t="s">
        <v>40</v>
      </c>
      <c r="C60" s="17" t="s">
        <v>319</v>
      </c>
      <c r="D60" s="17" t="s">
        <v>320</v>
      </c>
      <c r="E60" s="17" t="s">
        <v>33</v>
      </c>
      <c r="F60" s="17" t="s">
        <v>34</v>
      </c>
      <c r="G60" s="17"/>
      <c r="H60" s="17"/>
      <c r="I60" s="17"/>
      <c r="J60" s="17"/>
      <c r="K60" s="17"/>
      <c r="L60" s="17"/>
      <c r="M60" s="17"/>
      <c r="N60" s="17" t="s">
        <v>321</v>
      </c>
      <c r="O60" s="17"/>
      <c r="P60" s="17"/>
      <c r="Q60" s="17"/>
      <c r="R60" s="17"/>
      <c r="S60" s="17" t="e" cm="1">
        <f t="array" ref="S60">_xlfn.LET(_xlpm.r,_xlfn.XLOOKUP(1,MappingGuide[[#This Row],[API]:[API_3]],'[1]Squirrel SQL Export 1'!$K:$N,[1]!Table1[[#This Row],[Responsible from HJ]]),IF(_xlpm.r=0,"",_xlpm.r))</f>
        <v>#REF!</v>
      </c>
      <c r="T60" s="17"/>
      <c r="U60" s="17"/>
      <c r="V60" s="17" t="e" cm="1">
        <f t="array" ref="V60">_xlfn.LET(_xlpm.r,_xlfn.XLOOKUP(1,MappingGuide[[#This Row],[API]:[API_3]],'[1]Squirrel SQL Export 1'!$K:$N,[1]!Table1[[#This Row],[MDM Comments]]),IF(_xlpm.r=0,"",_xlpm.r))</f>
        <v>#REF!</v>
      </c>
      <c r="W60" s="17" t="e" cm="1">
        <f t="array" ref="W60">_xlfn.LET(_xlpm.r,_xlfn.XLOOKUP(1,MappingGuide[[#This Row],[API]:[API_3]],'[1]Squirrel SQL Export 1'!$K:$N,[1]!Table1[[#This Row],[Exists In Syndigo?]]),IF(_xlpm.r=0,"",_xlpm.r))</f>
        <v>#REF!</v>
      </c>
      <c r="X60" s="17" t="e" cm="1">
        <f t="array" ref="X60">_xlfn.LET(_xlpm.r,_xlfn.XLOOKUP(1,MappingGuide[[#This Row],[API]:[API_3]],'[1]Squirrel SQL Export 1'!$K:$N,[1]!Table1[[#This Row],[Syndigo Name]]),IF(_xlpm.r=0,"",_xlpm.r))</f>
        <v>#REF!</v>
      </c>
      <c r="Y60" s="17"/>
      <c r="Z60" s="17"/>
      <c r="AA60" s="17"/>
      <c r="AB60" s="17"/>
      <c r="AC60" s="17" t="e" cm="1">
        <f t="array" ref="AC60">_xlfn.XLOOKUP(1,MappingGuide[[#This Row],[API]:[API_3]],'[1]Squirrel SQL Export 1'!$K:$N,[1]!Table1[[#This Row],[Doppio Notes2]])</f>
        <v>#REF!</v>
      </c>
      <c r="AD60" s="17"/>
      <c r="AE60" s="17" t="e" cm="1">
        <f t="array" ref="AE60">_xlfn.XLOOKUP(1,MappingGuide[[#This Row],[API]:[API_3]],'[1]Squirrel SQL Export 1'!$K:$N,[1]!Table1[[#This Row],[DG_required]])</f>
        <v>#REF!</v>
      </c>
      <c r="AF60" s="21" t="s">
        <v>1306</v>
      </c>
      <c r="AG60" s="21"/>
      <c r="AH60" s="22" t="e" cm="1">
        <f t="array" ref="AH60">_xlfn.LET(_xlpm.r,_xlfn.XLOOKUP(1,MappingGuide[[#This Row],[API]:[API_3]],'[1]Squirrel SQL Export 1'!$K:$N,[1]!Table1[[#This Row],[Pending Items]]),IF(_xlpm.r=0,"",_xlpm.r))</f>
        <v>#REF!</v>
      </c>
      <c r="AI60" s="22" t="e" cm="1">
        <f t="array" ref="AI60">_xlfn.LET(_xlpm.r,_xlfn.XLOOKUP(1,MappingGuide[[#This Row],[API]:[API_3]],'[1]Squirrel SQL Export 1'!$K:$N,[1]!Table1[[#This Row],[Syndigo Name]]),IF(_xlpm.r=0,"",_xlpm.r))</f>
        <v>#REF!</v>
      </c>
      <c r="AJ60" s="17"/>
    </row>
    <row r="61" spans="1:36" ht="72" hidden="1">
      <c r="A61" s="17">
        <v>59</v>
      </c>
      <c r="B61" s="17" t="s">
        <v>40</v>
      </c>
      <c r="C61" s="17" t="s">
        <v>322</v>
      </c>
      <c r="D61" s="17" t="s">
        <v>323</v>
      </c>
      <c r="E61" s="17" t="s">
        <v>33</v>
      </c>
      <c r="F61" s="17" t="s">
        <v>34</v>
      </c>
      <c r="G61" s="17"/>
      <c r="H61" s="17"/>
      <c r="I61" s="17" t="s">
        <v>57</v>
      </c>
      <c r="J61" s="17" t="s">
        <v>145</v>
      </c>
      <c r="K61" s="17"/>
      <c r="L61" s="17" t="s">
        <v>35</v>
      </c>
      <c r="M61" s="17" t="s">
        <v>73</v>
      </c>
      <c r="N61" s="17" t="s">
        <v>324</v>
      </c>
      <c r="O61" s="17"/>
      <c r="P61" s="17"/>
      <c r="Q61" s="17"/>
      <c r="R61" s="17"/>
      <c r="S61" s="17" t="e" cm="1">
        <f t="array" ref="S61">_xlfn.LET(_xlpm.r,_xlfn.XLOOKUP(1,MappingGuide[[#This Row],[API]:[API_3]],'[1]Squirrel SQL Export 1'!$K:$N,[1]!Table1[[#This Row],[Responsible from HJ]]),IF(_xlpm.r=0,"",_xlpm.r))</f>
        <v>#REF!</v>
      </c>
      <c r="T61" s="17"/>
      <c r="U61" s="17"/>
      <c r="V61" s="17" t="e" cm="1">
        <f t="array" ref="V61">_xlfn.LET(_xlpm.r,_xlfn.XLOOKUP(1,MappingGuide[[#This Row],[API]:[API_3]],'[1]Squirrel SQL Export 1'!$K:$N,[1]!Table1[[#This Row],[MDM Comments]]),IF(_xlpm.r=0,"",_xlpm.r))</f>
        <v>#REF!</v>
      </c>
      <c r="W61" s="17" t="e" cm="1">
        <f t="array" ref="W61">_xlfn.LET(_xlpm.r,_xlfn.XLOOKUP(1,MappingGuide[[#This Row],[API]:[API_3]],'[1]Squirrel SQL Export 1'!$K:$N,[1]!Table1[[#This Row],[Exists In Syndigo?]]),IF(_xlpm.r=0,"",_xlpm.r))</f>
        <v>#REF!</v>
      </c>
      <c r="X61" s="17" t="e" cm="1">
        <f t="array" ref="X61">_xlfn.LET(_xlpm.r,_xlfn.XLOOKUP(1,MappingGuide[[#This Row],[API]:[API_3]],'[1]Squirrel SQL Export 1'!$K:$N,[1]!Table1[[#This Row],[Syndigo Name]]),IF(_xlpm.r=0,"",_xlpm.r))</f>
        <v>#REF!</v>
      </c>
      <c r="Y61" s="17"/>
      <c r="Z61" s="17" t="s">
        <v>325</v>
      </c>
      <c r="AA61" s="17"/>
      <c r="AB61" s="17"/>
      <c r="AC61" s="17" t="e" cm="1">
        <f t="array" ref="AC61">_xlfn.XLOOKUP(1,MappingGuide[[#This Row],[API]:[API_3]],'[1]Squirrel SQL Export 1'!$K:$N,[1]!Table1[[#This Row],[Doppio Notes2]])</f>
        <v>#REF!</v>
      </c>
      <c r="AD61" s="17" t="s">
        <v>1279</v>
      </c>
      <c r="AE61" s="17" t="e" cm="1">
        <f t="array" ref="AE61">_xlfn.XLOOKUP(1,MappingGuide[[#This Row],[API]:[API_3]],'[1]Squirrel SQL Export 1'!$K:$N,[1]!Table1[[#This Row],[DG_required]])</f>
        <v>#REF!</v>
      </c>
      <c r="AF61" s="21" t="s">
        <v>1306</v>
      </c>
      <c r="AG61" s="21"/>
      <c r="AH61" s="24" t="e" cm="1">
        <f t="array" ref="AH61">_xlfn.LET(_xlpm.r,_xlfn.XLOOKUP(1,MappingGuide[[#This Row],[API]:[API_3]],'[1]Squirrel SQL Export 1'!$K:$N,[1]!Table1[[#This Row],[Pending Items]]),IF(_xlpm.r=0,"",_xlpm.r))</f>
        <v>#REF!</v>
      </c>
      <c r="AI61" s="22" t="e" cm="1">
        <f t="array" ref="AI61">_xlfn.LET(_xlpm.r,_xlfn.XLOOKUP(1,MappingGuide[[#This Row],[API]:[API_3]],'[1]Squirrel SQL Export 1'!$K:$N,[1]!Table1[[#This Row],[Syndigo Name]]),IF(_xlpm.r=0,"",_xlpm.r))</f>
        <v>#REF!</v>
      </c>
      <c r="AJ61" s="17"/>
    </row>
    <row r="62" spans="1:36" ht="17" hidden="1">
      <c r="A62" s="17">
        <v>60</v>
      </c>
      <c r="B62" s="17" t="s">
        <v>40</v>
      </c>
      <c r="C62" s="17" t="s">
        <v>326</v>
      </c>
      <c r="D62" s="17" t="s">
        <v>327</v>
      </c>
      <c r="E62" s="17" t="s">
        <v>33</v>
      </c>
      <c r="F62" s="17" t="s">
        <v>34</v>
      </c>
      <c r="G62" s="17"/>
      <c r="H62" s="17"/>
      <c r="I62" s="17" t="s">
        <v>57</v>
      </c>
      <c r="J62" s="17" t="s">
        <v>124</v>
      </c>
      <c r="K62" s="17"/>
      <c r="L62" s="17" t="s">
        <v>35</v>
      </c>
      <c r="M62" s="17" t="s">
        <v>73</v>
      </c>
      <c r="N62" s="17" t="s">
        <v>328</v>
      </c>
      <c r="O62" s="17"/>
      <c r="P62" s="17"/>
      <c r="Q62" s="17"/>
      <c r="R62" s="17"/>
      <c r="S62" s="17" t="e" cm="1">
        <f t="array" ref="S62">_xlfn.LET(_xlpm.r,_xlfn.XLOOKUP(1,MappingGuide[[#This Row],[API]:[API_3]],'[1]Squirrel SQL Export 1'!$K:$N,[1]!Table1[[#This Row],[Responsible from HJ]]),IF(_xlpm.r=0,"",_xlpm.r))</f>
        <v>#REF!</v>
      </c>
      <c r="T62" s="17"/>
      <c r="U62" s="17"/>
      <c r="V62" s="17" t="e" cm="1">
        <f t="array" ref="V62">_xlfn.LET(_xlpm.r,_xlfn.XLOOKUP(1,MappingGuide[[#This Row],[API]:[API_3]],'[1]Squirrel SQL Export 1'!$K:$N,[1]!Table1[[#This Row],[MDM Comments]]),IF(_xlpm.r=0,"",_xlpm.r))</f>
        <v>#REF!</v>
      </c>
      <c r="W62" s="17" t="e" cm="1">
        <f t="array" ref="W62">_xlfn.LET(_xlpm.r,_xlfn.XLOOKUP(1,MappingGuide[[#This Row],[API]:[API_3]],'[1]Squirrel SQL Export 1'!$K:$N,[1]!Table1[[#This Row],[Exists In Syndigo?]]),IF(_xlpm.r=0,"",_xlpm.r))</f>
        <v>#REF!</v>
      </c>
      <c r="X62" s="17" t="e" cm="1">
        <f t="array" ref="X62">_xlfn.LET(_xlpm.r,_xlfn.XLOOKUP(1,MappingGuide[[#This Row],[API]:[API_3]],'[1]Squirrel SQL Export 1'!$K:$N,[1]!Table1[[#This Row],[Syndigo Name]]),IF(_xlpm.r=0,"",_xlpm.r))</f>
        <v>#REF!</v>
      </c>
      <c r="Y62" s="17"/>
      <c r="Z62" s="17" t="s">
        <v>329</v>
      </c>
      <c r="AA62" s="17"/>
      <c r="AB62" s="17"/>
      <c r="AC62" s="17" t="e" cm="1">
        <f t="array" ref="AC62">_xlfn.XLOOKUP(1,MappingGuide[[#This Row],[API]:[API_3]],'[1]Squirrel SQL Export 1'!$K:$N,[1]!Table1[[#This Row],[Doppio Notes2]])</f>
        <v>#REF!</v>
      </c>
      <c r="AD62" s="17"/>
      <c r="AE62" s="17" t="e" cm="1">
        <f t="array" ref="AE62">_xlfn.XLOOKUP(1,MappingGuide[[#This Row],[API]:[API_3]],'[1]Squirrel SQL Export 1'!$K:$N,[1]!Table1[[#This Row],[DG_required]])</f>
        <v>#REF!</v>
      </c>
      <c r="AF62" s="21" t="s">
        <v>1306</v>
      </c>
      <c r="AG62" s="21"/>
      <c r="AH62" s="22" t="e" cm="1">
        <f t="array" ref="AH62">_xlfn.LET(_xlpm.r,_xlfn.XLOOKUP(1,MappingGuide[[#This Row],[API]:[API_3]],'[1]Squirrel SQL Export 1'!$K:$N,[1]!Table1[[#This Row],[Pending Items]]),IF(_xlpm.r=0,"",_xlpm.r))</f>
        <v>#REF!</v>
      </c>
      <c r="AI62" s="22" t="e" cm="1">
        <f t="array" ref="AI62">_xlfn.LET(_xlpm.r,_xlfn.XLOOKUP(1,MappingGuide[[#This Row],[API]:[API_3]],'[1]Squirrel SQL Export 1'!$K:$N,[1]!Table1[[#This Row],[Syndigo Name]]),IF(_xlpm.r=0,"",_xlpm.r))</f>
        <v>#REF!</v>
      </c>
      <c r="AJ62" s="17"/>
    </row>
    <row r="63" spans="1:36" ht="17" hidden="1">
      <c r="A63" s="17">
        <v>61</v>
      </c>
      <c r="B63" s="17" t="s">
        <v>40</v>
      </c>
      <c r="C63" s="17" t="s">
        <v>330</v>
      </c>
      <c r="D63" s="17" t="s">
        <v>331</v>
      </c>
      <c r="E63" s="17" t="s">
        <v>33</v>
      </c>
      <c r="F63" s="17" t="s">
        <v>44</v>
      </c>
      <c r="G63" s="17"/>
      <c r="H63" s="17"/>
      <c r="I63" s="17" t="s">
        <v>57</v>
      </c>
      <c r="J63" s="17" t="s">
        <v>119</v>
      </c>
      <c r="K63" s="17"/>
      <c r="L63" s="17" t="s">
        <v>35</v>
      </c>
      <c r="M63" s="17" t="s">
        <v>73</v>
      </c>
      <c r="N63" s="17" t="s">
        <v>332</v>
      </c>
      <c r="O63" s="17"/>
      <c r="P63" s="17"/>
      <c r="Q63" s="17"/>
      <c r="R63" s="17"/>
      <c r="S63" s="17" t="e" cm="1">
        <f t="array" ref="S63">_xlfn.LET(_xlpm.r,_xlfn.XLOOKUP(1,MappingGuide[[#This Row],[API]:[API_3]],'[1]Squirrel SQL Export 1'!$K:$N,[1]!Table1[[#This Row],[Responsible from HJ]]),IF(_xlpm.r=0,"",_xlpm.r))</f>
        <v>#REF!</v>
      </c>
      <c r="T63" s="17"/>
      <c r="U63" s="17"/>
      <c r="V63" s="17" t="e" cm="1">
        <f t="array" ref="V63">_xlfn.LET(_xlpm.r,_xlfn.XLOOKUP(1,MappingGuide[[#This Row],[API]:[API_3]],'[1]Squirrel SQL Export 1'!$K:$N,[1]!Table1[[#This Row],[MDM Comments]]),IF(_xlpm.r=0,"",_xlpm.r))</f>
        <v>#REF!</v>
      </c>
      <c r="W63" s="17" t="e" cm="1">
        <f t="array" ref="W63">_xlfn.LET(_xlpm.r,_xlfn.XLOOKUP(1,MappingGuide[[#This Row],[API]:[API_3]],'[1]Squirrel SQL Export 1'!$K:$N,[1]!Table1[[#This Row],[Exists In Syndigo?]]),IF(_xlpm.r=0,"",_xlpm.r))</f>
        <v>#REF!</v>
      </c>
      <c r="X63" s="17" t="e" cm="1">
        <f t="array" ref="X63">_xlfn.LET(_xlpm.r,_xlfn.XLOOKUP(1,MappingGuide[[#This Row],[API]:[API_3]],'[1]Squirrel SQL Export 1'!$K:$N,[1]!Table1[[#This Row],[Syndigo Name]]),IF(_xlpm.r=0,"",_xlpm.r))</f>
        <v>#REF!</v>
      </c>
      <c r="Y63" s="17"/>
      <c r="Z63" s="17" t="s">
        <v>333</v>
      </c>
      <c r="AA63" s="17"/>
      <c r="AB63" s="17"/>
      <c r="AC63" s="17" t="e" cm="1">
        <f t="array" ref="AC63">_xlfn.XLOOKUP(1,MappingGuide[[#This Row],[API]:[API_3]],'[1]Squirrel SQL Export 1'!$K:$N,[1]!Table1[[#This Row],[Doppio Notes2]])</f>
        <v>#REF!</v>
      </c>
      <c r="AD63" s="17"/>
      <c r="AE63" s="17" t="e" cm="1">
        <f t="array" ref="AE63">_xlfn.XLOOKUP(1,MappingGuide[[#This Row],[API]:[API_3]],'[1]Squirrel SQL Export 1'!$K:$N,[1]!Table1[[#This Row],[DG_required]])</f>
        <v>#REF!</v>
      </c>
      <c r="AF63" s="21" t="s">
        <v>1289</v>
      </c>
      <c r="AG63" s="21"/>
      <c r="AH63" s="22" t="e" cm="1">
        <f t="array" ref="AH63">_xlfn.LET(_xlpm.r,_xlfn.XLOOKUP(1,MappingGuide[[#This Row],[API]:[API_3]],'[1]Squirrel SQL Export 1'!$K:$N,[1]!Table1[[#This Row],[Pending Items]]),IF(_xlpm.r=0,"",_xlpm.r))</f>
        <v>#REF!</v>
      </c>
      <c r="AI63" s="22" t="e" cm="1">
        <f t="array" ref="AI63">_xlfn.LET(_xlpm.r,_xlfn.XLOOKUP(1,MappingGuide[[#This Row],[API]:[API_3]],'[1]Squirrel SQL Export 1'!$K:$N,[1]!Table1[[#This Row],[Syndigo Name]]),IF(_xlpm.r=0,"",_xlpm.r))</f>
        <v>#REF!</v>
      </c>
      <c r="AJ63" s="17"/>
    </row>
    <row r="64" spans="1:36" ht="18" hidden="1">
      <c r="A64" s="17">
        <v>62</v>
      </c>
      <c r="B64" s="17" t="s">
        <v>40</v>
      </c>
      <c r="C64" s="17" t="s">
        <v>334</v>
      </c>
      <c r="D64" s="17" t="s">
        <v>335</v>
      </c>
      <c r="E64" s="17" t="s">
        <v>33</v>
      </c>
      <c r="F64" s="17" t="s">
        <v>56</v>
      </c>
      <c r="G64" s="17"/>
      <c r="H64" s="17"/>
      <c r="I64" s="17" t="s">
        <v>57</v>
      </c>
      <c r="J64" s="17" t="s">
        <v>58</v>
      </c>
      <c r="K64" s="17"/>
      <c r="L64" s="17" t="s">
        <v>35</v>
      </c>
      <c r="M64" s="17" t="s">
        <v>36</v>
      </c>
      <c r="N64" s="17" t="s">
        <v>336</v>
      </c>
      <c r="O64" s="17"/>
      <c r="P64" s="17"/>
      <c r="Q64" s="17"/>
      <c r="R64" s="17"/>
      <c r="S64" s="17" t="e" cm="1">
        <f t="array" ref="S64">_xlfn.LET(_xlpm.r,_xlfn.XLOOKUP(1,MappingGuide[[#This Row],[API]:[API_3]],'[1]Squirrel SQL Export 1'!$K:$N,[1]!Table1[[#This Row],[Responsible from HJ]]),IF(_xlpm.r=0,"",_xlpm.r))</f>
        <v>#REF!</v>
      </c>
      <c r="T64" s="17" t="s">
        <v>39</v>
      </c>
      <c r="U64" s="17" t="s">
        <v>337</v>
      </c>
      <c r="V64" s="17" t="e" cm="1">
        <f t="array" ref="V64">_xlfn.LET(_xlpm.r,_xlfn.XLOOKUP(1,MappingGuide[[#This Row],[API]:[API_3]],'[1]Squirrel SQL Export 1'!$K:$N,[1]!Table1[[#This Row],[MDM Comments]]),IF(_xlpm.r=0,"",_xlpm.r))</f>
        <v>#REF!</v>
      </c>
      <c r="W64" s="17" t="e" cm="1">
        <f t="array" ref="W64">_xlfn.LET(_xlpm.r,_xlfn.XLOOKUP(1,MappingGuide[[#This Row],[API]:[API_3]],'[1]Squirrel SQL Export 1'!$K:$N,[1]!Table1[[#This Row],[Exists In Syndigo?]]),IF(_xlpm.r=0,"",_xlpm.r))</f>
        <v>#REF!</v>
      </c>
      <c r="X64" s="17" t="e" cm="1">
        <f t="array" ref="X64">_xlfn.LET(_xlpm.r,_xlfn.XLOOKUP(1,MappingGuide[[#This Row],[API]:[API_3]],'[1]Squirrel SQL Export 1'!$K:$N,[1]!Table1[[#This Row],[Syndigo Name]]),IF(_xlpm.r=0,"",_xlpm.r))</f>
        <v>#REF!</v>
      </c>
      <c r="Y64" s="17"/>
      <c r="Z64" s="17" t="s">
        <v>338</v>
      </c>
      <c r="AA64" s="17"/>
      <c r="AB64" s="17"/>
      <c r="AC64" s="17" t="e" cm="1">
        <f t="array" ref="AC64">_xlfn.XLOOKUP(1,MappingGuide[[#This Row],[API]:[API_3]],'[1]Squirrel SQL Export 1'!$K:$N,[1]!Table1[[#This Row],[Doppio Notes2]])</f>
        <v>#REF!</v>
      </c>
      <c r="AD64" s="17" t="s">
        <v>1279</v>
      </c>
      <c r="AE64" s="17" t="e" cm="1">
        <f t="array" ref="AE64">_xlfn.XLOOKUP(1,MappingGuide[[#This Row],[API]:[API_3]],'[1]Squirrel SQL Export 1'!$K:$N,[1]!Table1[[#This Row],[DG_required]])</f>
        <v>#REF!</v>
      </c>
      <c r="AF64" s="21" t="s">
        <v>337</v>
      </c>
      <c r="AG64" s="21"/>
      <c r="AH64" s="24" t="e" cm="1">
        <f t="array" ref="AH64">_xlfn.LET(_xlpm.r,_xlfn.XLOOKUP(1,MappingGuide[[#This Row],[API]:[API_3]],'[1]Squirrel SQL Export 1'!$K:$N,[1]!Table1[[#This Row],[Pending Items]]),IF(_xlpm.r=0,"",_xlpm.r))</f>
        <v>#REF!</v>
      </c>
      <c r="AI64" s="22" t="e" cm="1">
        <f t="array" ref="AI64">_xlfn.LET(_xlpm.r,_xlfn.XLOOKUP(1,MappingGuide[[#This Row],[API]:[API_3]],'[1]Squirrel SQL Export 1'!$K:$N,[1]!Table1[[#This Row],[Syndigo Name]]),IF(_xlpm.r=0,"",_xlpm.r))</f>
        <v>#REF!</v>
      </c>
      <c r="AJ64" s="17"/>
    </row>
    <row r="65" spans="1:36" ht="36" hidden="1">
      <c r="A65" s="17">
        <v>63</v>
      </c>
      <c r="B65" s="17" t="s">
        <v>40</v>
      </c>
      <c r="C65" s="17" t="s">
        <v>339</v>
      </c>
      <c r="D65" s="17" t="s">
        <v>340</v>
      </c>
      <c r="E65" s="17" t="s">
        <v>43</v>
      </c>
      <c r="F65" s="17" t="s">
        <v>341</v>
      </c>
      <c r="G65" s="17" t="s">
        <v>56</v>
      </c>
      <c r="H65" s="17"/>
      <c r="I65" s="17" t="s">
        <v>57</v>
      </c>
      <c r="J65" s="17" t="s">
        <v>145</v>
      </c>
      <c r="K65" s="17"/>
      <c r="L65" s="17" t="s">
        <v>35</v>
      </c>
      <c r="M65" s="17" t="s">
        <v>146</v>
      </c>
      <c r="N65" s="17" t="s">
        <v>342</v>
      </c>
      <c r="O65" s="17"/>
      <c r="P65" s="17"/>
      <c r="Q65" s="17"/>
      <c r="R65" s="17"/>
      <c r="S65" s="17" t="e" cm="1">
        <f t="array" ref="S65">_xlfn.LET(_xlpm.r,_xlfn.XLOOKUP(1,MappingGuide[[#This Row],[API]:[API_3]],'[1]Squirrel SQL Export 1'!$K:$N,[1]!Table1[[#This Row],[Responsible from HJ]]),IF(_xlpm.r=0,"",_xlpm.r))</f>
        <v>#REF!</v>
      </c>
      <c r="T65" s="17"/>
      <c r="U65" s="17"/>
      <c r="V65" s="17" t="e" cm="1">
        <f t="array" ref="V65">_xlfn.LET(_xlpm.r,_xlfn.XLOOKUP(1,MappingGuide[[#This Row],[API]:[API_3]],'[1]Squirrel SQL Export 1'!$K:$N,[1]!Table1[[#This Row],[MDM Comments]]),IF(_xlpm.r=0,"",_xlpm.r))</f>
        <v>#REF!</v>
      </c>
      <c r="W65" s="17" t="e" cm="1">
        <f t="array" ref="W65">_xlfn.LET(_xlpm.r,_xlfn.XLOOKUP(1,MappingGuide[[#This Row],[API]:[API_3]],'[1]Squirrel SQL Export 1'!$K:$N,[1]!Table1[[#This Row],[Exists In Syndigo?]]),IF(_xlpm.r=0,"",_xlpm.r))</f>
        <v>#REF!</v>
      </c>
      <c r="X65" s="17" t="e" cm="1">
        <f t="array" ref="X65">_xlfn.LET(_xlpm.r,_xlfn.XLOOKUP(1,MappingGuide[[#This Row],[API]:[API_3]],'[1]Squirrel SQL Export 1'!$K:$N,[1]!Table1[[#This Row],[Syndigo Name]]),IF(_xlpm.r=0,"",_xlpm.r))</f>
        <v>#REF!</v>
      </c>
      <c r="Y65" s="17"/>
      <c r="Z65" s="17" t="s">
        <v>343</v>
      </c>
      <c r="AA65" s="17"/>
      <c r="AB65" s="17"/>
      <c r="AC65" s="17" t="e" cm="1">
        <f t="array" ref="AC65">_xlfn.XLOOKUP(1,MappingGuide[[#This Row],[API]:[API_3]],'[1]Squirrel SQL Export 1'!$K:$N,[1]!Table1[[#This Row],[Doppio Notes2]])</f>
        <v>#REF!</v>
      </c>
      <c r="AD65" s="17" t="s">
        <v>1279</v>
      </c>
      <c r="AE65" s="17" t="e" cm="1">
        <f t="array" ref="AE65">_xlfn.XLOOKUP(1,MappingGuide[[#This Row],[API]:[API_3]],'[1]Squirrel SQL Export 1'!$K:$N,[1]!Table1[[#This Row],[DG_required]])</f>
        <v>#REF!</v>
      </c>
      <c r="AF65" s="21" t="s">
        <v>1296</v>
      </c>
      <c r="AG65" s="21"/>
      <c r="AH65" s="24" t="e" cm="1">
        <f t="array" ref="AH65">_xlfn.LET(_xlpm.r,_xlfn.XLOOKUP(1,MappingGuide[[#This Row],[API]:[API_3]],'[1]Squirrel SQL Export 1'!$K:$N,[1]!Table1[[#This Row],[Pending Items]]),IF(_xlpm.r=0,"",_xlpm.r))</f>
        <v>#REF!</v>
      </c>
      <c r="AI65" s="22" t="e" cm="1">
        <f t="array" ref="AI65">_xlfn.LET(_xlpm.r,_xlfn.XLOOKUP(1,MappingGuide[[#This Row],[API]:[API_3]],'[1]Squirrel SQL Export 1'!$K:$N,[1]!Table1[[#This Row],[Syndigo Name]]),IF(_xlpm.r=0,"",_xlpm.r))</f>
        <v>#REF!</v>
      </c>
      <c r="AJ65" s="17"/>
    </row>
    <row r="66" spans="1:36" ht="36" hidden="1">
      <c r="A66" s="17">
        <v>64</v>
      </c>
      <c r="B66" s="17" t="s">
        <v>40</v>
      </c>
      <c r="C66" s="17" t="s">
        <v>344</v>
      </c>
      <c r="D66" s="17" t="s">
        <v>345</v>
      </c>
      <c r="E66" s="17" t="s">
        <v>43</v>
      </c>
      <c r="F66" s="17" t="s">
        <v>341</v>
      </c>
      <c r="G66" s="17" t="s">
        <v>56</v>
      </c>
      <c r="H66" s="17"/>
      <c r="I66" s="17" t="s">
        <v>57</v>
      </c>
      <c r="J66" s="17" t="s">
        <v>145</v>
      </c>
      <c r="K66" s="17"/>
      <c r="L66" s="17" t="s">
        <v>35</v>
      </c>
      <c r="M66" s="17" t="s">
        <v>146</v>
      </c>
      <c r="N66" s="17" t="s">
        <v>346</v>
      </c>
      <c r="O66" s="17"/>
      <c r="P66" s="17"/>
      <c r="Q66" s="17"/>
      <c r="R66" s="17"/>
      <c r="S66" s="17" t="e" cm="1">
        <f t="array" ref="S66">_xlfn.LET(_xlpm.r,_xlfn.XLOOKUP(1,MappingGuide[[#This Row],[API]:[API_3]],'[1]Squirrel SQL Export 1'!$K:$N,[1]!Table1[[#This Row],[Responsible from HJ]]),IF(_xlpm.r=0,"",_xlpm.r))</f>
        <v>#REF!</v>
      </c>
      <c r="T66" s="17"/>
      <c r="U66" s="17"/>
      <c r="V66" s="17" t="e" cm="1">
        <f t="array" ref="V66">_xlfn.LET(_xlpm.r,_xlfn.XLOOKUP(1,MappingGuide[[#This Row],[API]:[API_3]],'[1]Squirrel SQL Export 1'!$K:$N,[1]!Table1[[#This Row],[MDM Comments]]),IF(_xlpm.r=0,"",_xlpm.r))</f>
        <v>#REF!</v>
      </c>
      <c r="W66" s="17" t="e" cm="1">
        <f t="array" ref="W66">_xlfn.LET(_xlpm.r,_xlfn.XLOOKUP(1,MappingGuide[[#This Row],[API]:[API_3]],'[1]Squirrel SQL Export 1'!$K:$N,[1]!Table1[[#This Row],[Exists In Syndigo?]]),IF(_xlpm.r=0,"",_xlpm.r))</f>
        <v>#REF!</v>
      </c>
      <c r="X66" s="17" t="e" cm="1">
        <f t="array" ref="X66">_xlfn.LET(_xlpm.r,_xlfn.XLOOKUP(1,MappingGuide[[#This Row],[API]:[API_3]],'[1]Squirrel SQL Export 1'!$K:$N,[1]!Table1[[#This Row],[Syndigo Name]]),IF(_xlpm.r=0,"",_xlpm.r))</f>
        <v>#REF!</v>
      </c>
      <c r="Y66" s="17"/>
      <c r="Z66" s="17" t="s">
        <v>347</v>
      </c>
      <c r="AA66" s="17"/>
      <c r="AB66" s="17"/>
      <c r="AC66" s="17" t="e" cm="1">
        <f t="array" ref="AC66">_xlfn.XLOOKUP(1,MappingGuide[[#This Row],[API]:[API_3]],'[1]Squirrel SQL Export 1'!$K:$N,[1]!Table1[[#This Row],[Doppio Notes2]])</f>
        <v>#REF!</v>
      </c>
      <c r="AD66" s="17" t="s">
        <v>1279</v>
      </c>
      <c r="AE66" s="17" t="e" cm="1">
        <f t="array" ref="AE66">_xlfn.XLOOKUP(1,MappingGuide[[#This Row],[API]:[API_3]],'[1]Squirrel SQL Export 1'!$K:$N,[1]!Table1[[#This Row],[DG_required]])</f>
        <v>#REF!</v>
      </c>
      <c r="AF66" s="21" t="s">
        <v>1297</v>
      </c>
      <c r="AG66" s="21"/>
      <c r="AH66" s="24" t="e" cm="1">
        <f t="array" ref="AH66">_xlfn.LET(_xlpm.r,_xlfn.XLOOKUP(1,MappingGuide[[#This Row],[API]:[API_3]],'[1]Squirrel SQL Export 1'!$K:$N,[1]!Table1[[#This Row],[Pending Items]]),IF(_xlpm.r=0,"",_xlpm.r))</f>
        <v>#REF!</v>
      </c>
      <c r="AI66" s="22" t="e" cm="1">
        <f t="array" ref="AI66">_xlfn.LET(_xlpm.r,_xlfn.XLOOKUP(1,MappingGuide[[#This Row],[API]:[API_3]],'[1]Squirrel SQL Export 1'!$K:$N,[1]!Table1[[#This Row],[Syndigo Name]]),IF(_xlpm.r=0,"",_xlpm.r))</f>
        <v>#REF!</v>
      </c>
      <c r="AJ66" s="17"/>
    </row>
    <row r="67" spans="1:36" ht="36" hidden="1">
      <c r="A67" s="17">
        <v>65</v>
      </c>
      <c r="B67" s="17" t="s">
        <v>40</v>
      </c>
      <c r="C67" s="17" t="s">
        <v>348</v>
      </c>
      <c r="D67" s="17" t="s">
        <v>349</v>
      </c>
      <c r="E67" s="17" t="s">
        <v>43</v>
      </c>
      <c r="F67" s="17" t="s">
        <v>341</v>
      </c>
      <c r="G67" s="17" t="s">
        <v>56</v>
      </c>
      <c r="H67" s="17"/>
      <c r="I67" s="17" t="s">
        <v>57</v>
      </c>
      <c r="J67" s="17" t="s">
        <v>145</v>
      </c>
      <c r="K67" s="17"/>
      <c r="L67" s="17" t="s">
        <v>35</v>
      </c>
      <c r="M67" s="17" t="s">
        <v>146</v>
      </c>
      <c r="N67" s="17" t="s">
        <v>350</v>
      </c>
      <c r="O67" s="17"/>
      <c r="P67" s="17" t="s">
        <v>351</v>
      </c>
      <c r="Q67" s="17"/>
      <c r="R67" s="17"/>
      <c r="S67" s="17" t="e" cm="1">
        <f t="array" ref="S67">_xlfn.LET(_xlpm.r,_xlfn.XLOOKUP(1,MappingGuide[[#This Row],[API]:[API_3]],'[1]Squirrel SQL Export 1'!$K:$N,[1]!Table1[[#This Row],[Responsible from HJ]]),IF(_xlpm.r=0,"",_xlpm.r))</f>
        <v>#REF!</v>
      </c>
      <c r="T67" s="17"/>
      <c r="U67" s="17"/>
      <c r="V67" s="17" t="e" cm="1">
        <f t="array" ref="V67">_xlfn.LET(_xlpm.r,_xlfn.XLOOKUP(1,MappingGuide[[#This Row],[API]:[API_3]],'[1]Squirrel SQL Export 1'!$K:$N,[1]!Table1[[#This Row],[MDM Comments]]),IF(_xlpm.r=0,"",_xlpm.r))</f>
        <v>#REF!</v>
      </c>
      <c r="W67" s="17" t="e" cm="1">
        <f t="array" ref="W67">_xlfn.LET(_xlpm.r,_xlfn.XLOOKUP(1,MappingGuide[[#This Row],[API]:[API_3]],'[1]Squirrel SQL Export 1'!$K:$N,[1]!Table1[[#This Row],[Exists In Syndigo?]]),IF(_xlpm.r=0,"",_xlpm.r))</f>
        <v>#REF!</v>
      </c>
      <c r="X67" s="17" t="e" cm="1">
        <f t="array" ref="X67">_xlfn.LET(_xlpm.r,_xlfn.XLOOKUP(1,MappingGuide[[#This Row],[API]:[API_3]],'[1]Squirrel SQL Export 1'!$K:$N,[1]!Table1[[#This Row],[Syndigo Name]]),IF(_xlpm.r=0,"",_xlpm.r))</f>
        <v>#REF!</v>
      </c>
      <c r="Y67" s="17"/>
      <c r="Z67" s="17" t="s">
        <v>352</v>
      </c>
      <c r="AA67" s="17"/>
      <c r="AB67" s="17"/>
      <c r="AC67" s="17" t="e" cm="1">
        <f t="array" ref="AC67">_xlfn.XLOOKUP(1,MappingGuide[[#This Row],[API]:[API_3]],'[1]Squirrel SQL Export 1'!$K:$N,[1]!Table1[[#This Row],[Doppio Notes2]])</f>
        <v>#REF!</v>
      </c>
      <c r="AD67" s="17" t="s">
        <v>1279</v>
      </c>
      <c r="AE67" s="17" t="e" cm="1">
        <f t="array" ref="AE67">_xlfn.XLOOKUP(1,MappingGuide[[#This Row],[API]:[API_3]],'[1]Squirrel SQL Export 1'!$K:$N,[1]!Table1[[#This Row],[DG_required]])</f>
        <v>#REF!</v>
      </c>
      <c r="AF67" s="21" t="s">
        <v>1298</v>
      </c>
      <c r="AG67" s="21"/>
      <c r="AH67" s="24" t="e" cm="1">
        <f t="array" ref="AH67">_xlfn.LET(_xlpm.r,_xlfn.XLOOKUP(1,MappingGuide[[#This Row],[API]:[API_3]],'[1]Squirrel SQL Export 1'!$K:$N,[1]!Table1[[#This Row],[Pending Items]]),IF(_xlpm.r=0,"",_xlpm.r))</f>
        <v>#REF!</v>
      </c>
      <c r="AI67" s="22" t="e" cm="1">
        <f t="array" ref="AI67">_xlfn.LET(_xlpm.r,_xlfn.XLOOKUP(1,MappingGuide[[#This Row],[API]:[API_3]],'[1]Squirrel SQL Export 1'!$K:$N,[1]!Table1[[#This Row],[Syndigo Name]]),IF(_xlpm.r=0,"",_xlpm.r))</f>
        <v>#REF!</v>
      </c>
      <c r="AJ67" s="17"/>
    </row>
    <row r="68" spans="1:36" ht="18" hidden="1">
      <c r="A68" s="17">
        <v>66</v>
      </c>
      <c r="B68" s="17" t="s">
        <v>40</v>
      </c>
      <c r="C68" s="17" t="s">
        <v>353</v>
      </c>
      <c r="D68" s="17" t="s">
        <v>354</v>
      </c>
      <c r="E68" s="17" t="s">
        <v>43</v>
      </c>
      <c r="F68" s="17" t="s">
        <v>80</v>
      </c>
      <c r="G68" s="17"/>
      <c r="H68" s="17"/>
      <c r="I68" s="17" t="s">
        <v>57</v>
      </c>
      <c r="J68" s="17" t="s">
        <v>145</v>
      </c>
      <c r="K68" s="17"/>
      <c r="L68" s="17" t="s">
        <v>35</v>
      </c>
      <c r="M68" s="17" t="s">
        <v>146</v>
      </c>
      <c r="N68" s="17" t="s">
        <v>355</v>
      </c>
      <c r="O68" s="17"/>
      <c r="P68" s="17"/>
      <c r="Q68" s="17"/>
      <c r="R68" s="17"/>
      <c r="S68" s="17" t="e" cm="1">
        <f t="array" ref="S68">_xlfn.LET(_xlpm.r,_xlfn.XLOOKUP(1,MappingGuide[[#This Row],[API]:[API_3]],'[1]Squirrel SQL Export 1'!$K:$N,[1]!Table1[[#This Row],[Responsible from HJ]]),IF(_xlpm.r=0,"",_xlpm.r))</f>
        <v>#REF!</v>
      </c>
      <c r="T68" s="17"/>
      <c r="U68" s="17"/>
      <c r="V68" s="17" t="e" cm="1">
        <f t="array" ref="V68">_xlfn.LET(_xlpm.r,_xlfn.XLOOKUP(1,MappingGuide[[#This Row],[API]:[API_3]],'[1]Squirrel SQL Export 1'!$K:$N,[1]!Table1[[#This Row],[MDM Comments]]),IF(_xlpm.r=0,"",_xlpm.r))</f>
        <v>#REF!</v>
      </c>
      <c r="W68" s="17" t="e" cm="1">
        <f t="array" ref="W68">_xlfn.LET(_xlpm.r,_xlfn.XLOOKUP(1,MappingGuide[[#This Row],[API]:[API_3]],'[1]Squirrel SQL Export 1'!$K:$N,[1]!Table1[[#This Row],[Exists In Syndigo?]]),IF(_xlpm.r=0,"",_xlpm.r))</f>
        <v>#REF!</v>
      </c>
      <c r="X68" s="17" t="e" cm="1">
        <f t="array" ref="X68">_xlfn.LET(_xlpm.r,_xlfn.XLOOKUP(1,MappingGuide[[#This Row],[API]:[API_3]],'[1]Squirrel SQL Export 1'!$K:$N,[1]!Table1[[#This Row],[Syndigo Name]]),IF(_xlpm.r=0,"",_xlpm.r))</f>
        <v>#REF!</v>
      </c>
      <c r="Y68" s="17"/>
      <c r="Z68" s="17" t="s">
        <v>356</v>
      </c>
      <c r="AA68" s="17" t="s">
        <v>357</v>
      </c>
      <c r="AB68" s="17"/>
      <c r="AC68" s="17" t="e" cm="1">
        <f t="array" ref="AC68">_xlfn.XLOOKUP(1,MappingGuide[[#This Row],[API]:[API_3]],'[1]Squirrel SQL Export 1'!$K:$N,[1]!Table1[[#This Row],[Doppio Notes2]])</f>
        <v>#REF!</v>
      </c>
      <c r="AD68" s="17" t="s">
        <v>1279</v>
      </c>
      <c r="AE68" s="17" t="e" cm="1">
        <f t="array" ref="AE68">_xlfn.XLOOKUP(1,MappingGuide[[#This Row],[API]:[API_3]],'[1]Squirrel SQL Export 1'!$K:$N,[1]!Table1[[#This Row],[DG_required]])</f>
        <v>#REF!</v>
      </c>
      <c r="AF68" s="21" t="s">
        <v>1290</v>
      </c>
      <c r="AG68" s="21"/>
      <c r="AH68" s="24" t="e" cm="1">
        <f t="array" ref="AH68">_xlfn.LET(_xlpm.r,_xlfn.XLOOKUP(1,MappingGuide[[#This Row],[API]:[API_3]],'[1]Squirrel SQL Export 1'!$K:$N,[1]!Table1[[#This Row],[Pending Items]]),IF(_xlpm.r=0,"",_xlpm.r))</f>
        <v>#REF!</v>
      </c>
      <c r="AI68" s="22" t="e" cm="1">
        <f t="array" ref="AI68">_xlfn.LET(_xlpm.r,_xlfn.XLOOKUP(1,MappingGuide[[#This Row],[API]:[API_3]],'[1]Squirrel SQL Export 1'!$K:$N,[1]!Table1[[#This Row],[Syndigo Name]]),IF(_xlpm.r=0,"",_xlpm.r))</f>
        <v>#REF!</v>
      </c>
      <c r="AJ68" s="17"/>
    </row>
    <row r="69" spans="1:36" ht="17" hidden="1">
      <c r="A69" s="17">
        <v>67</v>
      </c>
      <c r="B69" s="17" t="s">
        <v>40</v>
      </c>
      <c r="C69" s="17" t="s">
        <v>358</v>
      </c>
      <c r="D69" s="17" t="s">
        <v>359</v>
      </c>
      <c r="E69" s="17" t="s">
        <v>43</v>
      </c>
      <c r="F69" s="17" t="s">
        <v>80</v>
      </c>
      <c r="G69" s="17"/>
      <c r="H69" s="17"/>
      <c r="I69" s="17" t="s">
        <v>57</v>
      </c>
      <c r="J69" s="17" t="s">
        <v>72</v>
      </c>
      <c r="K69" s="17"/>
      <c r="L69" s="17" t="s">
        <v>35</v>
      </c>
      <c r="M69" s="17" t="s">
        <v>73</v>
      </c>
      <c r="N69" s="17" t="s">
        <v>360</v>
      </c>
      <c r="O69" s="17"/>
      <c r="P69" s="17"/>
      <c r="Q69" s="17"/>
      <c r="R69" s="17"/>
      <c r="S69" s="17" t="e" cm="1">
        <f t="array" ref="S69">_xlfn.LET(_xlpm.r,_xlfn.XLOOKUP(1,MappingGuide[[#This Row],[API]:[API_3]],'[1]Squirrel SQL Export 1'!$K:$N,[1]!Table1[[#This Row],[Responsible from HJ]]),IF(_xlpm.r=0,"",_xlpm.r))</f>
        <v>#REF!</v>
      </c>
      <c r="T69" s="17"/>
      <c r="U69" s="17"/>
      <c r="V69" s="17" t="e" cm="1">
        <f t="array" ref="V69">_xlfn.LET(_xlpm.r,_xlfn.XLOOKUP(1,MappingGuide[[#This Row],[API]:[API_3]],'[1]Squirrel SQL Export 1'!$K:$N,[1]!Table1[[#This Row],[MDM Comments]]),IF(_xlpm.r=0,"",_xlpm.r))</f>
        <v>#REF!</v>
      </c>
      <c r="W69" s="17" t="e" cm="1">
        <f t="array" ref="W69">_xlfn.LET(_xlpm.r,_xlfn.XLOOKUP(1,MappingGuide[[#This Row],[API]:[API_3]],'[1]Squirrel SQL Export 1'!$K:$N,[1]!Table1[[#This Row],[Exists In Syndigo?]]),IF(_xlpm.r=0,"",_xlpm.r))</f>
        <v>#REF!</v>
      </c>
      <c r="X69" s="17" t="e" cm="1">
        <f t="array" ref="X69">_xlfn.LET(_xlpm.r,_xlfn.XLOOKUP(1,MappingGuide[[#This Row],[API]:[API_3]],'[1]Squirrel SQL Export 1'!$K:$N,[1]!Table1[[#This Row],[Syndigo Name]]),IF(_xlpm.r=0,"",_xlpm.r))</f>
        <v>#REF!</v>
      </c>
      <c r="Y69" s="17"/>
      <c r="Z69" s="17" t="s">
        <v>361</v>
      </c>
      <c r="AA69" s="17"/>
      <c r="AB69" s="17"/>
      <c r="AC69" s="17" t="e" cm="1">
        <f t="array" ref="AC69">_xlfn.XLOOKUP(1,MappingGuide[[#This Row],[API]:[API_3]],'[1]Squirrel SQL Export 1'!$K:$N,[1]!Table1[[#This Row],[Doppio Notes2]])</f>
        <v>#REF!</v>
      </c>
      <c r="AD69" s="17"/>
      <c r="AE69" s="17" t="e" cm="1">
        <f t="array" ref="AE69">_xlfn.XLOOKUP(1,MappingGuide[[#This Row],[API]:[API_3]],'[1]Squirrel SQL Export 1'!$K:$N,[1]!Table1[[#This Row],[DG_required]])</f>
        <v>#REF!</v>
      </c>
      <c r="AF69" s="21" t="s">
        <v>213</v>
      </c>
      <c r="AG69" s="21"/>
      <c r="AH69" s="22" t="e" cm="1">
        <f t="array" ref="AH69">_xlfn.LET(_xlpm.r,_xlfn.XLOOKUP(1,MappingGuide[[#This Row],[API]:[API_3]],'[1]Squirrel SQL Export 1'!$K:$N,[1]!Table1[[#This Row],[Pending Items]]),IF(_xlpm.r=0,"",_xlpm.r))</f>
        <v>#REF!</v>
      </c>
      <c r="AI69" s="22" t="e" cm="1">
        <f t="array" ref="AI69">_xlfn.LET(_xlpm.r,_xlfn.XLOOKUP(1,MappingGuide[[#This Row],[API]:[API_3]],'[1]Squirrel SQL Export 1'!$K:$N,[1]!Table1[[#This Row],[Syndigo Name]]),IF(_xlpm.r=0,"",_xlpm.r))</f>
        <v>#REF!</v>
      </c>
      <c r="AJ69" s="17"/>
    </row>
    <row r="70" spans="1:36" ht="17" hidden="1">
      <c r="A70" s="17">
        <v>68</v>
      </c>
      <c r="B70" s="17" t="s">
        <v>40</v>
      </c>
      <c r="C70" s="17" t="s">
        <v>362</v>
      </c>
      <c r="D70" s="17" t="s">
        <v>363</v>
      </c>
      <c r="E70" s="17" t="s">
        <v>43</v>
      </c>
      <c r="F70" s="17" t="s">
        <v>341</v>
      </c>
      <c r="G70" s="17" t="s">
        <v>56</v>
      </c>
      <c r="H70" s="17"/>
      <c r="I70" s="17"/>
      <c r="J70" s="17"/>
      <c r="K70" s="17"/>
      <c r="L70" s="17"/>
      <c r="M70" s="17"/>
      <c r="N70" s="17" t="s">
        <v>364</v>
      </c>
      <c r="O70" s="17"/>
      <c r="P70" s="17"/>
      <c r="Q70" s="17"/>
      <c r="R70" s="17"/>
      <c r="S70" s="17" t="e" cm="1">
        <f t="array" ref="S70">_xlfn.LET(_xlpm.r,_xlfn.XLOOKUP(1,MappingGuide[[#This Row],[API]:[API_3]],'[1]Squirrel SQL Export 1'!$K:$N,[1]!Table1[[#This Row],[Responsible from HJ]]),IF(_xlpm.r=0,"",_xlpm.r))</f>
        <v>#REF!</v>
      </c>
      <c r="T70" s="17"/>
      <c r="U70" s="17"/>
      <c r="V70" s="17" t="e" cm="1">
        <f t="array" ref="V70">_xlfn.LET(_xlpm.r,_xlfn.XLOOKUP(1,MappingGuide[[#This Row],[API]:[API_3]],'[1]Squirrel SQL Export 1'!$K:$N,[1]!Table1[[#This Row],[MDM Comments]]),IF(_xlpm.r=0,"",_xlpm.r))</f>
        <v>#REF!</v>
      </c>
      <c r="W70" s="17" t="e" cm="1">
        <f t="array" ref="W70">_xlfn.LET(_xlpm.r,_xlfn.XLOOKUP(1,MappingGuide[[#This Row],[API]:[API_3]],'[1]Squirrel SQL Export 1'!$K:$N,[1]!Table1[[#This Row],[Exists In Syndigo?]]),IF(_xlpm.r=0,"",_xlpm.r))</f>
        <v>#REF!</v>
      </c>
      <c r="X70" s="17" t="e" cm="1">
        <f t="array" ref="X70">_xlfn.LET(_xlpm.r,_xlfn.XLOOKUP(1,MappingGuide[[#This Row],[API]:[API_3]],'[1]Squirrel SQL Export 1'!$K:$N,[1]!Table1[[#This Row],[Syndigo Name]]),IF(_xlpm.r=0,"",_xlpm.r))</f>
        <v>#REF!</v>
      </c>
      <c r="Y70" s="17"/>
      <c r="Z70" s="17" t="s">
        <v>365</v>
      </c>
      <c r="AA70" s="17"/>
      <c r="AB70" s="17"/>
      <c r="AC70" s="17" t="e" cm="1">
        <f t="array" ref="AC70">_xlfn.XLOOKUP(1,MappingGuide[[#This Row],[API]:[API_3]],'[1]Squirrel SQL Export 1'!$K:$N,[1]!Table1[[#This Row],[Doppio Notes2]])</f>
        <v>#REF!</v>
      </c>
      <c r="AD70" s="17"/>
      <c r="AE70" s="17" t="e" cm="1">
        <f t="array" ref="AE70">_xlfn.XLOOKUP(1,MappingGuide[[#This Row],[API]:[API_3]],'[1]Squirrel SQL Export 1'!$K:$N,[1]!Table1[[#This Row],[DG_required]])</f>
        <v>#REF!</v>
      </c>
      <c r="AF70" s="21" t="s">
        <v>1295</v>
      </c>
      <c r="AG70" s="21"/>
      <c r="AH70" s="22" t="e" cm="1">
        <f t="array" ref="AH70">_xlfn.LET(_xlpm.r,_xlfn.XLOOKUP(1,MappingGuide[[#This Row],[API]:[API_3]],'[1]Squirrel SQL Export 1'!$K:$N,[1]!Table1[[#This Row],[Pending Items]]),IF(_xlpm.r=0,"",_xlpm.r))</f>
        <v>#REF!</v>
      </c>
      <c r="AI70" s="22" t="e" cm="1">
        <f t="array" ref="AI70">_xlfn.LET(_xlpm.r,_xlfn.XLOOKUP(1,MappingGuide[[#This Row],[API]:[API_3]],'[1]Squirrel SQL Export 1'!$K:$N,[1]!Table1[[#This Row],[Syndigo Name]]),IF(_xlpm.r=0,"",_xlpm.r))</f>
        <v>#REF!</v>
      </c>
      <c r="AJ70" s="17"/>
    </row>
    <row r="71" spans="1:36" ht="17" hidden="1">
      <c r="A71" s="17">
        <v>69</v>
      </c>
      <c r="B71" s="17" t="s">
        <v>40</v>
      </c>
      <c r="C71" s="17" t="s">
        <v>366</v>
      </c>
      <c r="D71" s="17" t="s">
        <v>363</v>
      </c>
      <c r="E71" s="17" t="s">
        <v>43</v>
      </c>
      <c r="F71" s="17" t="s">
        <v>341</v>
      </c>
      <c r="G71" s="17" t="s">
        <v>56</v>
      </c>
      <c r="H71" s="17"/>
      <c r="I71" s="17"/>
      <c r="J71" s="17"/>
      <c r="K71" s="17"/>
      <c r="L71" s="17"/>
      <c r="M71" s="17"/>
      <c r="N71" s="17" t="s">
        <v>367</v>
      </c>
      <c r="O71" s="17"/>
      <c r="P71" s="17"/>
      <c r="Q71" s="17"/>
      <c r="R71" s="17"/>
      <c r="S71" s="17" t="e" cm="1">
        <f t="array" ref="S71">_xlfn.LET(_xlpm.r,_xlfn.XLOOKUP(1,MappingGuide[[#This Row],[API]:[API_3]],'[1]Squirrel SQL Export 1'!$K:$N,[1]!Table1[[#This Row],[Responsible from HJ]]),IF(_xlpm.r=0,"",_xlpm.r))</f>
        <v>#REF!</v>
      </c>
      <c r="T71" s="17"/>
      <c r="U71" s="17"/>
      <c r="V71" s="17" t="e" cm="1">
        <f t="array" ref="V71">_xlfn.LET(_xlpm.r,_xlfn.XLOOKUP(1,MappingGuide[[#This Row],[API]:[API_3]],'[1]Squirrel SQL Export 1'!$K:$N,[1]!Table1[[#This Row],[MDM Comments]]),IF(_xlpm.r=0,"",_xlpm.r))</f>
        <v>#REF!</v>
      </c>
      <c r="W71" s="17" t="e" cm="1">
        <f t="array" ref="W71">_xlfn.LET(_xlpm.r,_xlfn.XLOOKUP(1,MappingGuide[[#This Row],[API]:[API_3]],'[1]Squirrel SQL Export 1'!$K:$N,[1]!Table1[[#This Row],[Exists In Syndigo?]]),IF(_xlpm.r=0,"",_xlpm.r))</f>
        <v>#REF!</v>
      </c>
      <c r="X71" s="17" t="e" cm="1">
        <f t="array" ref="X71">_xlfn.LET(_xlpm.r,_xlfn.XLOOKUP(1,MappingGuide[[#This Row],[API]:[API_3]],'[1]Squirrel SQL Export 1'!$K:$N,[1]!Table1[[#This Row],[Syndigo Name]]),IF(_xlpm.r=0,"",_xlpm.r))</f>
        <v>#REF!</v>
      </c>
      <c r="Y71" s="17"/>
      <c r="Z71" s="17" t="s">
        <v>368</v>
      </c>
      <c r="AA71" s="17"/>
      <c r="AB71" s="17"/>
      <c r="AC71" s="17" t="e" cm="1">
        <f t="array" ref="AC71">_xlfn.XLOOKUP(1,MappingGuide[[#This Row],[API]:[API_3]],'[1]Squirrel SQL Export 1'!$K:$N,[1]!Table1[[#This Row],[Doppio Notes2]])</f>
        <v>#REF!</v>
      </c>
      <c r="AD71" s="17"/>
      <c r="AE71" s="17" t="e" cm="1">
        <f t="array" ref="AE71">_xlfn.XLOOKUP(1,MappingGuide[[#This Row],[API]:[API_3]],'[1]Squirrel SQL Export 1'!$K:$N,[1]!Table1[[#This Row],[DG_required]])</f>
        <v>#REF!</v>
      </c>
      <c r="AF71" s="21" t="s">
        <v>1295</v>
      </c>
      <c r="AG71" s="21"/>
      <c r="AH71" s="22" t="e" cm="1">
        <f t="array" ref="AH71">_xlfn.LET(_xlpm.r,_xlfn.XLOOKUP(1,MappingGuide[[#This Row],[API]:[API_3]],'[1]Squirrel SQL Export 1'!$K:$N,[1]!Table1[[#This Row],[Pending Items]]),IF(_xlpm.r=0,"",_xlpm.r))</f>
        <v>#REF!</v>
      </c>
      <c r="AI71" s="22" t="e" cm="1">
        <f t="array" ref="AI71">_xlfn.LET(_xlpm.r,_xlfn.XLOOKUP(1,MappingGuide[[#This Row],[API]:[API_3]],'[1]Squirrel SQL Export 1'!$K:$N,[1]!Table1[[#This Row],[Syndigo Name]]),IF(_xlpm.r=0,"",_xlpm.r))</f>
        <v>#REF!</v>
      </c>
      <c r="AJ71" s="17"/>
    </row>
    <row r="72" spans="1:36" ht="17" hidden="1">
      <c r="A72" s="17">
        <v>70</v>
      </c>
      <c r="B72" s="17" t="s">
        <v>40</v>
      </c>
      <c r="C72" s="17" t="s">
        <v>369</v>
      </c>
      <c r="D72" s="17" t="s">
        <v>363</v>
      </c>
      <c r="E72" s="17" t="s">
        <v>43</v>
      </c>
      <c r="F72" s="17" t="s">
        <v>341</v>
      </c>
      <c r="G72" s="17" t="s">
        <v>56</v>
      </c>
      <c r="H72" s="17"/>
      <c r="I72" s="17" t="s">
        <v>57</v>
      </c>
      <c r="J72" s="17" t="s">
        <v>145</v>
      </c>
      <c r="K72" s="17"/>
      <c r="L72" s="17" t="s">
        <v>35</v>
      </c>
      <c r="M72" s="17" t="s">
        <v>146</v>
      </c>
      <c r="N72" s="17" t="s">
        <v>370</v>
      </c>
      <c r="O72" s="17"/>
      <c r="P72" s="17"/>
      <c r="Q72" s="17"/>
      <c r="R72" s="17"/>
      <c r="S72" s="17" t="e" cm="1">
        <f t="array" ref="S72">_xlfn.LET(_xlpm.r,_xlfn.XLOOKUP(1,MappingGuide[[#This Row],[API]:[API_3]],'[1]Squirrel SQL Export 1'!$K:$N,[1]!Table1[[#This Row],[Responsible from HJ]]),IF(_xlpm.r=0,"",_xlpm.r))</f>
        <v>#REF!</v>
      </c>
      <c r="T72" s="17"/>
      <c r="U72" s="17"/>
      <c r="V72" s="17" t="e" cm="1">
        <f t="array" ref="V72">_xlfn.LET(_xlpm.r,_xlfn.XLOOKUP(1,MappingGuide[[#This Row],[API]:[API_3]],'[1]Squirrel SQL Export 1'!$K:$N,[1]!Table1[[#This Row],[MDM Comments]]),IF(_xlpm.r=0,"",_xlpm.r))</f>
        <v>#REF!</v>
      </c>
      <c r="W72" s="17" t="e" cm="1">
        <f t="array" ref="W72">_xlfn.LET(_xlpm.r,_xlfn.XLOOKUP(1,MappingGuide[[#This Row],[API]:[API_3]],'[1]Squirrel SQL Export 1'!$K:$N,[1]!Table1[[#This Row],[Exists In Syndigo?]]),IF(_xlpm.r=0,"",_xlpm.r))</f>
        <v>#REF!</v>
      </c>
      <c r="X72" s="17" t="e" cm="1">
        <f t="array" ref="X72">_xlfn.LET(_xlpm.r,_xlfn.XLOOKUP(1,MappingGuide[[#This Row],[API]:[API_3]],'[1]Squirrel SQL Export 1'!$K:$N,[1]!Table1[[#This Row],[Syndigo Name]]),IF(_xlpm.r=0,"",_xlpm.r))</f>
        <v>#REF!</v>
      </c>
      <c r="Y72" s="17"/>
      <c r="Z72" s="17" t="s">
        <v>371</v>
      </c>
      <c r="AA72" s="17"/>
      <c r="AB72" s="17"/>
      <c r="AC72" s="17" t="e" cm="1">
        <f t="array" ref="AC72">_xlfn.XLOOKUP(1,MappingGuide[[#This Row],[API]:[API_3]],'[1]Squirrel SQL Export 1'!$K:$N,[1]!Table1[[#This Row],[Doppio Notes2]])</f>
        <v>#REF!</v>
      </c>
      <c r="AD72" s="17"/>
      <c r="AE72" s="17" t="e" cm="1">
        <f t="array" ref="AE72">_xlfn.XLOOKUP(1,MappingGuide[[#This Row],[API]:[API_3]],'[1]Squirrel SQL Export 1'!$K:$N,[1]!Table1[[#This Row],[DG_required]])</f>
        <v>#REF!</v>
      </c>
      <c r="AF72" s="21" t="s">
        <v>1295</v>
      </c>
      <c r="AG72" s="21"/>
      <c r="AH72" s="22" t="e" cm="1">
        <f t="array" ref="AH72">_xlfn.LET(_xlpm.r,_xlfn.XLOOKUP(1,MappingGuide[[#This Row],[API]:[API_3]],'[1]Squirrel SQL Export 1'!$K:$N,[1]!Table1[[#This Row],[Pending Items]]),IF(_xlpm.r=0,"",_xlpm.r))</f>
        <v>#REF!</v>
      </c>
      <c r="AI72" s="22" t="e" cm="1">
        <f t="array" ref="AI72">_xlfn.LET(_xlpm.r,_xlfn.XLOOKUP(1,MappingGuide[[#This Row],[API]:[API_3]],'[1]Squirrel SQL Export 1'!$K:$N,[1]!Table1[[#This Row],[Syndigo Name]]),IF(_xlpm.r=0,"",_xlpm.r))</f>
        <v>#REF!</v>
      </c>
      <c r="AJ72" s="17"/>
    </row>
    <row r="73" spans="1:36" ht="17" hidden="1">
      <c r="A73" s="17">
        <v>71</v>
      </c>
      <c r="B73" s="17" t="s">
        <v>40</v>
      </c>
      <c r="C73" s="17" t="s">
        <v>372</v>
      </c>
      <c r="D73" s="17" t="s">
        <v>363</v>
      </c>
      <c r="E73" s="17" t="s">
        <v>43</v>
      </c>
      <c r="F73" s="17" t="s">
        <v>373</v>
      </c>
      <c r="G73" s="17"/>
      <c r="H73" s="17"/>
      <c r="I73" s="17"/>
      <c r="J73" s="17"/>
      <c r="K73" s="17"/>
      <c r="L73" s="17"/>
      <c r="M73" s="17"/>
      <c r="N73" s="17" t="s">
        <v>374</v>
      </c>
      <c r="O73" s="17"/>
      <c r="P73" s="17"/>
      <c r="Q73" s="17"/>
      <c r="R73" s="17"/>
      <c r="S73" s="17" t="e" cm="1">
        <f t="array" ref="S73">_xlfn.LET(_xlpm.r,_xlfn.XLOOKUP(1,MappingGuide[[#This Row],[API]:[API_3]],'[1]Squirrel SQL Export 1'!$K:$N,[1]!Table1[[#This Row],[Responsible from HJ]]),IF(_xlpm.r=0,"",_xlpm.r))</f>
        <v>#REF!</v>
      </c>
      <c r="T73" s="17"/>
      <c r="U73" s="17"/>
      <c r="V73" s="17" t="e" cm="1">
        <f t="array" ref="V73">_xlfn.LET(_xlpm.r,_xlfn.XLOOKUP(1,MappingGuide[[#This Row],[API]:[API_3]],'[1]Squirrel SQL Export 1'!$K:$N,[1]!Table1[[#This Row],[MDM Comments]]),IF(_xlpm.r=0,"",_xlpm.r))</f>
        <v>#REF!</v>
      </c>
      <c r="W73" s="17" t="e" cm="1">
        <f t="array" ref="W73">_xlfn.LET(_xlpm.r,_xlfn.XLOOKUP(1,MappingGuide[[#This Row],[API]:[API_3]],'[1]Squirrel SQL Export 1'!$K:$N,[1]!Table1[[#This Row],[Exists In Syndigo?]]),IF(_xlpm.r=0,"",_xlpm.r))</f>
        <v>#REF!</v>
      </c>
      <c r="X73" s="17" t="e" cm="1">
        <f t="array" ref="X73">_xlfn.LET(_xlpm.r,_xlfn.XLOOKUP(1,MappingGuide[[#This Row],[API]:[API_3]],'[1]Squirrel SQL Export 1'!$K:$N,[1]!Table1[[#This Row],[Syndigo Name]]),IF(_xlpm.r=0,"",_xlpm.r))</f>
        <v>#REF!</v>
      </c>
      <c r="Y73" s="17"/>
      <c r="Z73" s="17" t="s">
        <v>375</v>
      </c>
      <c r="AA73" s="17"/>
      <c r="AB73" s="17"/>
      <c r="AC73" s="17" t="e" cm="1">
        <f t="array" ref="AC73">_xlfn.XLOOKUP(1,MappingGuide[[#This Row],[API]:[API_3]],'[1]Squirrel SQL Export 1'!$K:$N,[1]!Table1[[#This Row],[Doppio Notes2]])</f>
        <v>#REF!</v>
      </c>
      <c r="AD73" s="17"/>
      <c r="AE73" s="17" t="e" cm="1">
        <f t="array" ref="AE73">_xlfn.XLOOKUP(1,MappingGuide[[#This Row],[API]:[API_3]],'[1]Squirrel SQL Export 1'!$K:$N,[1]!Table1[[#This Row],[DG_required]])</f>
        <v>#REF!</v>
      </c>
      <c r="AF73" s="21" t="s">
        <v>1290</v>
      </c>
      <c r="AG73" s="21"/>
      <c r="AH73" s="22" t="e" cm="1">
        <f t="array" ref="AH73">_xlfn.LET(_xlpm.r,_xlfn.XLOOKUP(1,MappingGuide[[#This Row],[API]:[API_3]],'[1]Squirrel SQL Export 1'!$K:$N,[1]!Table1[[#This Row],[Pending Items]]),IF(_xlpm.r=0,"",_xlpm.r))</f>
        <v>#REF!</v>
      </c>
      <c r="AI73" s="22" t="e" cm="1">
        <f t="array" ref="AI73">_xlfn.LET(_xlpm.r,_xlfn.XLOOKUP(1,MappingGuide[[#This Row],[API]:[API_3]],'[1]Squirrel SQL Export 1'!$K:$N,[1]!Table1[[#This Row],[Syndigo Name]]),IF(_xlpm.r=0,"",_xlpm.r))</f>
        <v>#REF!</v>
      </c>
      <c r="AJ73" s="17"/>
    </row>
    <row r="74" spans="1:36" ht="17" hidden="1">
      <c r="A74" s="17">
        <v>72</v>
      </c>
      <c r="B74" s="17" t="s">
        <v>40</v>
      </c>
      <c r="C74" s="17" t="s">
        <v>376</v>
      </c>
      <c r="D74" s="17" t="s">
        <v>377</v>
      </c>
      <c r="E74" s="17" t="s">
        <v>43</v>
      </c>
      <c r="F74" s="17" t="s">
        <v>44</v>
      </c>
      <c r="G74" s="17"/>
      <c r="H74" s="17"/>
      <c r="I74" s="17" t="s">
        <v>57</v>
      </c>
      <c r="J74" s="17" t="s">
        <v>124</v>
      </c>
      <c r="K74" s="17"/>
      <c r="L74" s="17" t="s">
        <v>35</v>
      </c>
      <c r="M74" s="17" t="s">
        <v>73</v>
      </c>
      <c r="N74" s="17" t="s">
        <v>378</v>
      </c>
      <c r="O74" s="17"/>
      <c r="P74" s="17"/>
      <c r="Q74" s="17"/>
      <c r="R74" s="17"/>
      <c r="S74" s="17" t="e" cm="1">
        <f t="array" ref="S74">_xlfn.LET(_xlpm.r,_xlfn.XLOOKUP(1,MappingGuide[[#This Row],[API]:[API_3]],'[1]Squirrel SQL Export 1'!$K:$N,[1]!Table1[[#This Row],[Responsible from HJ]]),IF(_xlpm.r=0,"",_xlpm.r))</f>
        <v>#REF!</v>
      </c>
      <c r="T74" s="17"/>
      <c r="U74" s="17"/>
      <c r="V74" s="17" t="e" cm="1">
        <f t="array" ref="V74">_xlfn.LET(_xlpm.r,_xlfn.XLOOKUP(1,MappingGuide[[#This Row],[API]:[API_3]],'[1]Squirrel SQL Export 1'!$K:$N,[1]!Table1[[#This Row],[MDM Comments]]),IF(_xlpm.r=0,"",_xlpm.r))</f>
        <v>#REF!</v>
      </c>
      <c r="W74" s="17" t="e" cm="1">
        <f t="array" ref="W74">_xlfn.LET(_xlpm.r,_xlfn.XLOOKUP(1,MappingGuide[[#This Row],[API]:[API_3]],'[1]Squirrel SQL Export 1'!$K:$N,[1]!Table1[[#This Row],[Exists In Syndigo?]]),IF(_xlpm.r=0,"",_xlpm.r))</f>
        <v>#REF!</v>
      </c>
      <c r="X74" s="17" t="e" cm="1">
        <f t="array" ref="X74">_xlfn.LET(_xlpm.r,_xlfn.XLOOKUP(1,MappingGuide[[#This Row],[API]:[API_3]],'[1]Squirrel SQL Export 1'!$K:$N,[1]!Table1[[#This Row],[Syndigo Name]]),IF(_xlpm.r=0,"",_xlpm.r))</f>
        <v>#REF!</v>
      </c>
      <c r="Y74" s="17"/>
      <c r="Z74" s="17" t="s">
        <v>379</v>
      </c>
      <c r="AA74" s="17"/>
      <c r="AB74" s="17"/>
      <c r="AC74" s="17" t="e" cm="1">
        <f t="array" ref="AC74">_xlfn.XLOOKUP(1,MappingGuide[[#This Row],[API]:[API_3]],'[1]Squirrel SQL Export 1'!$K:$N,[1]!Table1[[#This Row],[Doppio Notes2]])</f>
        <v>#REF!</v>
      </c>
      <c r="AD74" s="17"/>
      <c r="AE74" s="17" t="e" cm="1">
        <f t="array" ref="AE74">_xlfn.XLOOKUP(1,MappingGuide[[#This Row],[API]:[API_3]],'[1]Squirrel SQL Export 1'!$K:$N,[1]!Table1[[#This Row],[DG_required]])</f>
        <v>#REF!</v>
      </c>
      <c r="AF74" s="21" t="s">
        <v>1290</v>
      </c>
      <c r="AG74" s="21"/>
      <c r="AH74" s="22" t="e" cm="1">
        <f t="array" ref="AH74">_xlfn.LET(_xlpm.r,_xlfn.XLOOKUP(1,MappingGuide[[#This Row],[API]:[API_3]],'[1]Squirrel SQL Export 1'!$K:$N,[1]!Table1[[#This Row],[Pending Items]]),IF(_xlpm.r=0,"",_xlpm.r))</f>
        <v>#REF!</v>
      </c>
      <c r="AI74" s="22" t="e" cm="1">
        <f t="array" ref="AI74">_xlfn.LET(_xlpm.r,_xlfn.XLOOKUP(1,MappingGuide[[#This Row],[API]:[API_3]],'[1]Squirrel SQL Export 1'!$K:$N,[1]!Table1[[#This Row],[Syndigo Name]]),IF(_xlpm.r=0,"",_xlpm.r))</f>
        <v>#REF!</v>
      </c>
      <c r="AJ74" s="17"/>
    </row>
    <row r="75" spans="1:36" ht="17" hidden="1">
      <c r="A75" s="17">
        <v>73</v>
      </c>
      <c r="B75" s="17" t="s">
        <v>40</v>
      </c>
      <c r="C75" s="17" t="s">
        <v>380</v>
      </c>
      <c r="D75" s="17" t="s">
        <v>381</v>
      </c>
      <c r="E75" s="17" t="s">
        <v>33</v>
      </c>
      <c r="F75" s="17" t="s">
        <v>373</v>
      </c>
      <c r="G75" s="17"/>
      <c r="H75" s="17"/>
      <c r="I75" s="17" t="s">
        <v>57</v>
      </c>
      <c r="J75" s="17" t="s">
        <v>124</v>
      </c>
      <c r="K75" s="17"/>
      <c r="L75" s="17" t="s">
        <v>35</v>
      </c>
      <c r="M75" s="17" t="s">
        <v>73</v>
      </c>
      <c r="N75" s="17" t="s">
        <v>382</v>
      </c>
      <c r="O75" s="17"/>
      <c r="P75" s="17"/>
      <c r="Q75" s="17"/>
      <c r="R75" s="17"/>
      <c r="S75" s="17" t="e" cm="1">
        <f t="array" ref="S75">_xlfn.LET(_xlpm.r,_xlfn.XLOOKUP(1,MappingGuide[[#This Row],[API]:[API_3]],'[1]Squirrel SQL Export 1'!$K:$N,[1]!Table1[[#This Row],[Responsible from HJ]]),IF(_xlpm.r=0,"",_xlpm.r))</f>
        <v>#REF!</v>
      </c>
      <c r="T75" s="17"/>
      <c r="U75" s="17"/>
      <c r="V75" s="17" t="e" cm="1">
        <f t="array" ref="V75">_xlfn.LET(_xlpm.r,_xlfn.XLOOKUP(1,MappingGuide[[#This Row],[API]:[API_3]],'[1]Squirrel SQL Export 1'!$K:$N,[1]!Table1[[#This Row],[MDM Comments]]),IF(_xlpm.r=0,"",_xlpm.r))</f>
        <v>#REF!</v>
      </c>
      <c r="W75" s="17" t="e" cm="1">
        <f t="array" ref="W75">_xlfn.LET(_xlpm.r,_xlfn.XLOOKUP(1,MappingGuide[[#This Row],[API]:[API_3]],'[1]Squirrel SQL Export 1'!$K:$N,[1]!Table1[[#This Row],[Exists In Syndigo?]]),IF(_xlpm.r=0,"",_xlpm.r))</f>
        <v>#REF!</v>
      </c>
      <c r="X75" s="17" t="e" cm="1">
        <f t="array" ref="X75">_xlfn.LET(_xlpm.r,_xlfn.XLOOKUP(1,MappingGuide[[#This Row],[API]:[API_3]],'[1]Squirrel SQL Export 1'!$K:$N,[1]!Table1[[#This Row],[Syndigo Name]]),IF(_xlpm.r=0,"",_xlpm.r))</f>
        <v>#REF!</v>
      </c>
      <c r="Y75" s="17"/>
      <c r="Z75" s="17" t="s">
        <v>383</v>
      </c>
      <c r="AA75" s="17"/>
      <c r="AB75" s="17"/>
      <c r="AC75" s="17" t="e" cm="1">
        <f t="array" ref="AC75">_xlfn.XLOOKUP(1,MappingGuide[[#This Row],[API]:[API_3]],'[1]Squirrel SQL Export 1'!$K:$N,[1]!Table1[[#This Row],[Doppio Notes2]])</f>
        <v>#REF!</v>
      </c>
      <c r="AD75" s="17"/>
      <c r="AE75" s="17" t="e" cm="1">
        <f t="array" ref="AE75">_xlfn.XLOOKUP(1,MappingGuide[[#This Row],[API]:[API_3]],'[1]Squirrel SQL Export 1'!$K:$N,[1]!Table1[[#This Row],[DG_required]])</f>
        <v>#REF!</v>
      </c>
      <c r="AF75" s="21" t="s">
        <v>1306</v>
      </c>
      <c r="AG75" s="21"/>
      <c r="AH75" s="22" t="e" cm="1">
        <f t="array" ref="AH75">_xlfn.LET(_xlpm.r,_xlfn.XLOOKUP(1,MappingGuide[[#This Row],[API]:[API_3]],'[1]Squirrel SQL Export 1'!$K:$N,[1]!Table1[[#This Row],[Pending Items]]),IF(_xlpm.r=0,"",_xlpm.r))</f>
        <v>#REF!</v>
      </c>
      <c r="AI75" s="22" t="e" cm="1">
        <f t="array" ref="AI75">_xlfn.LET(_xlpm.r,_xlfn.XLOOKUP(1,MappingGuide[[#This Row],[API]:[API_3]],'[1]Squirrel SQL Export 1'!$K:$N,[1]!Table1[[#This Row],[Syndigo Name]]),IF(_xlpm.r=0,"",_xlpm.r))</f>
        <v>#REF!</v>
      </c>
      <c r="AJ75" s="17"/>
    </row>
    <row r="76" spans="1:36" ht="18" hidden="1">
      <c r="A76" s="17">
        <v>74</v>
      </c>
      <c r="B76" s="17" t="s">
        <v>40</v>
      </c>
      <c r="C76" s="17" t="s">
        <v>384</v>
      </c>
      <c r="D76" s="17" t="s">
        <v>385</v>
      </c>
      <c r="E76" s="17" t="s">
        <v>43</v>
      </c>
      <c r="F76" s="17" t="s">
        <v>80</v>
      </c>
      <c r="G76" s="17"/>
      <c r="H76" s="17"/>
      <c r="I76" s="17" t="s">
        <v>57</v>
      </c>
      <c r="J76" s="17" t="s">
        <v>124</v>
      </c>
      <c r="K76" s="17"/>
      <c r="L76" s="17" t="s">
        <v>35</v>
      </c>
      <c r="M76" s="17" t="s">
        <v>73</v>
      </c>
      <c r="N76" s="17" t="s">
        <v>386</v>
      </c>
      <c r="O76" s="17"/>
      <c r="P76" s="17"/>
      <c r="Q76" s="17"/>
      <c r="R76" s="17"/>
      <c r="S76" s="17" t="e" cm="1">
        <f t="array" ref="S76">_xlfn.LET(_xlpm.r,_xlfn.XLOOKUP(1,MappingGuide[[#This Row],[API]:[API_3]],'[1]Squirrel SQL Export 1'!$K:$N,[1]!Table1[[#This Row],[Responsible from HJ]]),IF(_xlpm.r=0,"",_xlpm.r))</f>
        <v>#REF!</v>
      </c>
      <c r="T76" s="17"/>
      <c r="U76" s="17"/>
      <c r="V76" s="17" t="e" cm="1">
        <f t="array" ref="V76">_xlfn.LET(_xlpm.r,_xlfn.XLOOKUP(1,MappingGuide[[#This Row],[API]:[API_3]],'[1]Squirrel SQL Export 1'!$K:$N,[1]!Table1[[#This Row],[MDM Comments]]),IF(_xlpm.r=0,"",_xlpm.r))</f>
        <v>#REF!</v>
      </c>
      <c r="W76" s="17" t="e" cm="1">
        <f t="array" ref="W76">_xlfn.LET(_xlpm.r,_xlfn.XLOOKUP(1,MappingGuide[[#This Row],[API]:[API_3]],'[1]Squirrel SQL Export 1'!$K:$N,[1]!Table1[[#This Row],[Exists In Syndigo?]]),IF(_xlpm.r=0,"",_xlpm.r))</f>
        <v>#REF!</v>
      </c>
      <c r="X76" s="17" t="e" cm="1">
        <f t="array" ref="X76">_xlfn.LET(_xlpm.r,_xlfn.XLOOKUP(1,MappingGuide[[#This Row],[API]:[API_3]],'[1]Squirrel SQL Export 1'!$K:$N,[1]!Table1[[#This Row],[Syndigo Name]]),IF(_xlpm.r=0,"",_xlpm.r))</f>
        <v>#REF!</v>
      </c>
      <c r="Y76" s="17"/>
      <c r="Z76" s="17" t="s">
        <v>387</v>
      </c>
      <c r="AA76" s="17" t="s">
        <v>388</v>
      </c>
      <c r="AB76" s="17"/>
      <c r="AC76" s="17" t="e" cm="1">
        <f t="array" ref="AC76">_xlfn.XLOOKUP(1,MappingGuide[[#This Row],[API]:[API_3]],'[1]Squirrel SQL Export 1'!$K:$N,[1]!Table1[[#This Row],[Doppio Notes2]])</f>
        <v>#REF!</v>
      </c>
      <c r="AD76" s="17" t="s">
        <v>1279</v>
      </c>
      <c r="AE76" s="17" t="e" cm="1">
        <f t="array" ref="AE76">_xlfn.XLOOKUP(1,MappingGuide[[#This Row],[API]:[API_3]],'[1]Squirrel SQL Export 1'!$K:$N,[1]!Table1[[#This Row],[DG_required]])</f>
        <v>#REF!</v>
      </c>
      <c r="AF76" s="21" t="s">
        <v>1290</v>
      </c>
      <c r="AG76" s="21"/>
      <c r="AH76" s="24" t="e" cm="1">
        <f t="array" ref="AH76">_xlfn.LET(_xlpm.r,_xlfn.XLOOKUP(1,MappingGuide[[#This Row],[API]:[API_3]],'[1]Squirrel SQL Export 1'!$K:$N,[1]!Table1[[#This Row],[Pending Items]]),IF(_xlpm.r=0,"",_xlpm.r))</f>
        <v>#REF!</v>
      </c>
      <c r="AI76" s="22" t="e" cm="1">
        <f t="array" ref="AI76">_xlfn.LET(_xlpm.r,_xlfn.XLOOKUP(1,MappingGuide[[#This Row],[API]:[API_3]],'[1]Squirrel SQL Export 1'!$K:$N,[1]!Table1[[#This Row],[Syndigo Name]]),IF(_xlpm.r=0,"",_xlpm.r))</f>
        <v>#REF!</v>
      </c>
      <c r="AJ76" s="17"/>
    </row>
    <row r="77" spans="1:36" ht="17" hidden="1">
      <c r="A77" s="17">
        <v>75</v>
      </c>
      <c r="B77" s="17" t="s">
        <v>40</v>
      </c>
      <c r="C77" s="17" t="s">
        <v>389</v>
      </c>
      <c r="D77" s="17" t="s">
        <v>390</v>
      </c>
      <c r="E77" s="17" t="s">
        <v>43</v>
      </c>
      <c r="F77" s="17" t="s">
        <v>80</v>
      </c>
      <c r="G77" s="17"/>
      <c r="H77" s="17"/>
      <c r="I77" s="17"/>
      <c r="J77" s="17"/>
      <c r="K77" s="17"/>
      <c r="L77" s="17"/>
      <c r="M77" s="17"/>
      <c r="N77" s="17" t="s">
        <v>391</v>
      </c>
      <c r="O77" s="17"/>
      <c r="P77" s="17"/>
      <c r="Q77" s="17"/>
      <c r="R77" s="17"/>
      <c r="S77" s="17" t="e" cm="1">
        <f t="array" ref="S77">_xlfn.LET(_xlpm.r,_xlfn.XLOOKUP(1,MappingGuide[[#This Row],[API]:[API_3]],'[1]Squirrel SQL Export 1'!$K:$N,[1]!Table1[[#This Row],[Responsible from HJ]]),IF(_xlpm.r=0,"",_xlpm.r))</f>
        <v>#REF!</v>
      </c>
      <c r="T77" s="17"/>
      <c r="U77" s="17"/>
      <c r="V77" s="17" t="e" cm="1">
        <f t="array" ref="V77">_xlfn.LET(_xlpm.r,_xlfn.XLOOKUP(1,MappingGuide[[#This Row],[API]:[API_3]],'[1]Squirrel SQL Export 1'!$K:$N,[1]!Table1[[#This Row],[MDM Comments]]),IF(_xlpm.r=0,"",_xlpm.r))</f>
        <v>#REF!</v>
      </c>
      <c r="W77" s="17" t="e" cm="1">
        <f t="array" ref="W77">_xlfn.LET(_xlpm.r,_xlfn.XLOOKUP(1,MappingGuide[[#This Row],[API]:[API_3]],'[1]Squirrel SQL Export 1'!$K:$N,[1]!Table1[[#This Row],[Exists In Syndigo?]]),IF(_xlpm.r=0,"",_xlpm.r))</f>
        <v>#REF!</v>
      </c>
      <c r="X77" s="17" t="e" cm="1">
        <f t="array" ref="X77">_xlfn.LET(_xlpm.r,_xlfn.XLOOKUP(1,MappingGuide[[#This Row],[API]:[API_3]],'[1]Squirrel SQL Export 1'!$K:$N,[1]!Table1[[#This Row],[Syndigo Name]]),IF(_xlpm.r=0,"",_xlpm.r))</f>
        <v>#REF!</v>
      </c>
      <c r="Y77" s="17"/>
      <c r="Z77" s="17"/>
      <c r="AA77" s="17"/>
      <c r="AB77" s="17"/>
      <c r="AC77" s="17" t="e" cm="1">
        <f t="array" ref="AC77">_xlfn.XLOOKUP(1,MappingGuide[[#This Row],[API]:[API_3]],'[1]Squirrel SQL Export 1'!$K:$N,[1]!Table1[[#This Row],[Doppio Notes2]])</f>
        <v>#REF!</v>
      </c>
      <c r="AD77" s="17"/>
      <c r="AE77" s="17" t="e" cm="1">
        <f t="array" ref="AE77">_xlfn.XLOOKUP(1,MappingGuide[[#This Row],[API]:[API_3]],'[1]Squirrel SQL Export 1'!$K:$N,[1]!Table1[[#This Row],[DG_required]])</f>
        <v>#REF!</v>
      </c>
      <c r="AF77" s="21" t="s">
        <v>1290</v>
      </c>
      <c r="AG77" s="21"/>
      <c r="AH77" s="22" t="e" cm="1">
        <f t="array" ref="AH77">_xlfn.LET(_xlpm.r,_xlfn.XLOOKUP(1,MappingGuide[[#This Row],[API]:[API_3]],'[1]Squirrel SQL Export 1'!$K:$N,[1]!Table1[[#This Row],[Pending Items]]),IF(_xlpm.r=0,"",_xlpm.r))</f>
        <v>#REF!</v>
      </c>
      <c r="AI77" s="22" t="e" cm="1">
        <f t="array" ref="AI77">_xlfn.LET(_xlpm.r,_xlfn.XLOOKUP(1,MappingGuide[[#This Row],[API]:[API_3]],'[1]Squirrel SQL Export 1'!$K:$N,[1]!Table1[[#This Row],[Syndigo Name]]),IF(_xlpm.r=0,"",_xlpm.r))</f>
        <v>#REF!</v>
      </c>
      <c r="AJ77" s="17"/>
    </row>
    <row r="78" spans="1:36" ht="17" hidden="1">
      <c r="A78" s="17">
        <v>76</v>
      </c>
      <c r="B78" s="17" t="s">
        <v>40</v>
      </c>
      <c r="C78" s="17" t="s">
        <v>392</v>
      </c>
      <c r="D78" s="17" t="s">
        <v>393</v>
      </c>
      <c r="E78" s="17" t="s">
        <v>33</v>
      </c>
      <c r="F78" s="17" t="s">
        <v>213</v>
      </c>
      <c r="G78" s="17"/>
      <c r="H78" s="17"/>
      <c r="I78" s="17" t="s">
        <v>57</v>
      </c>
      <c r="J78" s="17" t="s">
        <v>124</v>
      </c>
      <c r="K78" s="17"/>
      <c r="L78" s="17" t="s">
        <v>35</v>
      </c>
      <c r="M78" s="17" t="s">
        <v>73</v>
      </c>
      <c r="N78" s="17" t="s">
        <v>394</v>
      </c>
      <c r="O78" s="17"/>
      <c r="P78" s="17"/>
      <c r="Q78" s="17"/>
      <c r="R78" s="17"/>
      <c r="S78" s="17" t="e" cm="1">
        <f t="array" ref="S78">_xlfn.LET(_xlpm.r,_xlfn.XLOOKUP(1,MappingGuide[[#This Row],[API]:[API_3]],'[1]Squirrel SQL Export 1'!$K:$N,[1]!Table1[[#This Row],[Responsible from HJ]]),IF(_xlpm.r=0,"",_xlpm.r))</f>
        <v>#REF!</v>
      </c>
      <c r="T78" s="17"/>
      <c r="U78" s="17"/>
      <c r="V78" s="17" t="e" cm="1">
        <f t="array" ref="V78">_xlfn.LET(_xlpm.r,_xlfn.XLOOKUP(1,MappingGuide[[#This Row],[API]:[API_3]],'[1]Squirrel SQL Export 1'!$K:$N,[1]!Table1[[#This Row],[MDM Comments]]),IF(_xlpm.r=0,"",_xlpm.r))</f>
        <v>#REF!</v>
      </c>
      <c r="W78" s="17" t="e" cm="1">
        <f t="array" ref="W78">_xlfn.LET(_xlpm.r,_xlfn.XLOOKUP(1,MappingGuide[[#This Row],[API]:[API_3]],'[1]Squirrel SQL Export 1'!$K:$N,[1]!Table1[[#This Row],[Exists In Syndigo?]]),IF(_xlpm.r=0,"",_xlpm.r))</f>
        <v>#REF!</v>
      </c>
      <c r="X78" s="17" t="e" cm="1">
        <f t="array" ref="X78">_xlfn.LET(_xlpm.r,_xlfn.XLOOKUP(1,MappingGuide[[#This Row],[API]:[API_3]],'[1]Squirrel SQL Export 1'!$K:$N,[1]!Table1[[#This Row],[Syndigo Name]]),IF(_xlpm.r=0,"",_xlpm.r))</f>
        <v>#REF!</v>
      </c>
      <c r="Y78" s="17"/>
      <c r="Z78" s="17" t="s">
        <v>395</v>
      </c>
      <c r="AA78" s="17"/>
      <c r="AB78" s="17"/>
      <c r="AC78" s="17" t="e" cm="1">
        <f t="array" ref="AC78">_xlfn.XLOOKUP(1,MappingGuide[[#This Row],[API]:[API_3]],'[1]Squirrel SQL Export 1'!$K:$N,[1]!Table1[[#This Row],[Doppio Notes2]])</f>
        <v>#REF!</v>
      </c>
      <c r="AD78" s="17"/>
      <c r="AE78" s="17" t="e" cm="1">
        <f t="array" ref="AE78">_xlfn.XLOOKUP(1,MappingGuide[[#This Row],[API]:[API_3]],'[1]Squirrel SQL Export 1'!$K:$N,[1]!Table1[[#This Row],[DG_required]])</f>
        <v>#REF!</v>
      </c>
      <c r="AF78" s="21" t="s">
        <v>1306</v>
      </c>
      <c r="AG78" s="21"/>
      <c r="AH78" s="22" t="e" cm="1">
        <f t="array" ref="AH78">_xlfn.LET(_xlpm.r,_xlfn.XLOOKUP(1,MappingGuide[[#This Row],[API]:[API_3]],'[1]Squirrel SQL Export 1'!$K:$N,[1]!Table1[[#This Row],[Pending Items]]),IF(_xlpm.r=0,"",_xlpm.r))</f>
        <v>#REF!</v>
      </c>
      <c r="AI78" s="22" t="e" cm="1">
        <f t="array" ref="AI78">_xlfn.LET(_xlpm.r,_xlfn.XLOOKUP(1,MappingGuide[[#This Row],[API]:[API_3]],'[1]Squirrel SQL Export 1'!$K:$N,[1]!Table1[[#This Row],[Syndigo Name]]),IF(_xlpm.r=0,"",_xlpm.r))</f>
        <v>#REF!</v>
      </c>
      <c r="AJ78" s="17"/>
    </row>
    <row r="79" spans="1:36" ht="17" hidden="1">
      <c r="A79" s="17">
        <v>77</v>
      </c>
      <c r="B79" s="17" t="s">
        <v>40</v>
      </c>
      <c r="C79" s="17" t="s">
        <v>396</v>
      </c>
      <c r="D79" s="17" t="s">
        <v>397</v>
      </c>
      <c r="E79" s="17" t="s">
        <v>33</v>
      </c>
      <c r="F79" s="17" t="s">
        <v>213</v>
      </c>
      <c r="G79" s="17"/>
      <c r="H79" s="17"/>
      <c r="I79" s="17" t="s">
        <v>57</v>
      </c>
      <c r="J79" s="17" t="s">
        <v>124</v>
      </c>
      <c r="K79" s="17"/>
      <c r="L79" s="17" t="s">
        <v>35</v>
      </c>
      <c r="M79" s="17" t="s">
        <v>73</v>
      </c>
      <c r="N79" s="17" t="s">
        <v>398</v>
      </c>
      <c r="O79" s="17"/>
      <c r="P79" s="17"/>
      <c r="Q79" s="17"/>
      <c r="R79" s="17"/>
      <c r="S79" s="17" t="e" cm="1">
        <f t="array" ref="S79">_xlfn.LET(_xlpm.r,_xlfn.XLOOKUP(1,MappingGuide[[#This Row],[API]:[API_3]],'[1]Squirrel SQL Export 1'!$K:$N,[1]!Table1[[#This Row],[Responsible from HJ]]),IF(_xlpm.r=0,"",_xlpm.r))</f>
        <v>#REF!</v>
      </c>
      <c r="T79" s="17"/>
      <c r="U79" s="17"/>
      <c r="V79" s="17" t="e" cm="1">
        <f t="array" ref="V79">_xlfn.LET(_xlpm.r,_xlfn.XLOOKUP(1,MappingGuide[[#This Row],[API]:[API_3]],'[1]Squirrel SQL Export 1'!$K:$N,[1]!Table1[[#This Row],[MDM Comments]]),IF(_xlpm.r=0,"",_xlpm.r))</f>
        <v>#REF!</v>
      </c>
      <c r="W79" s="17" t="e" cm="1">
        <f t="array" ref="W79">_xlfn.LET(_xlpm.r,_xlfn.XLOOKUP(1,MappingGuide[[#This Row],[API]:[API_3]],'[1]Squirrel SQL Export 1'!$K:$N,[1]!Table1[[#This Row],[Exists In Syndigo?]]),IF(_xlpm.r=0,"",_xlpm.r))</f>
        <v>#REF!</v>
      </c>
      <c r="X79" s="17" t="e" cm="1">
        <f t="array" ref="X79">_xlfn.LET(_xlpm.r,_xlfn.XLOOKUP(1,MappingGuide[[#This Row],[API]:[API_3]],'[1]Squirrel SQL Export 1'!$K:$N,[1]!Table1[[#This Row],[Syndigo Name]]),IF(_xlpm.r=0,"",_xlpm.r))</f>
        <v>#REF!</v>
      </c>
      <c r="Y79" s="17"/>
      <c r="Z79" s="17" t="s">
        <v>395</v>
      </c>
      <c r="AA79" s="17"/>
      <c r="AB79" s="17"/>
      <c r="AC79" s="17" t="e" cm="1">
        <f t="array" ref="AC79">_xlfn.XLOOKUP(1,MappingGuide[[#This Row],[API]:[API_3]],'[1]Squirrel SQL Export 1'!$K:$N,[1]!Table1[[#This Row],[Doppio Notes2]])</f>
        <v>#REF!</v>
      </c>
      <c r="AD79" s="17"/>
      <c r="AE79" s="17" t="e" cm="1">
        <f t="array" ref="AE79">_xlfn.XLOOKUP(1,MappingGuide[[#This Row],[API]:[API_3]],'[1]Squirrel SQL Export 1'!$K:$N,[1]!Table1[[#This Row],[DG_required]])</f>
        <v>#REF!</v>
      </c>
      <c r="AF79" s="21" t="s">
        <v>1306</v>
      </c>
      <c r="AG79" s="21"/>
      <c r="AH79" s="22" t="e" cm="1">
        <f t="array" ref="AH79">_xlfn.LET(_xlpm.r,_xlfn.XLOOKUP(1,MappingGuide[[#This Row],[API]:[API_3]],'[1]Squirrel SQL Export 1'!$K:$N,[1]!Table1[[#This Row],[Pending Items]]),IF(_xlpm.r=0,"",_xlpm.r))</f>
        <v>#REF!</v>
      </c>
      <c r="AI79" s="22" t="e" cm="1">
        <f t="array" ref="AI79">_xlfn.LET(_xlpm.r,_xlfn.XLOOKUP(1,MappingGuide[[#This Row],[API]:[API_3]],'[1]Squirrel SQL Export 1'!$K:$N,[1]!Table1[[#This Row],[Syndigo Name]]),IF(_xlpm.r=0,"",_xlpm.r))</f>
        <v>#REF!</v>
      </c>
      <c r="AJ79" s="17"/>
    </row>
    <row r="80" spans="1:36" ht="17" hidden="1">
      <c r="A80" s="17">
        <v>78</v>
      </c>
      <c r="B80" s="17" t="s">
        <v>40</v>
      </c>
      <c r="C80" s="17" t="s">
        <v>399</v>
      </c>
      <c r="D80" s="17" t="s">
        <v>400</v>
      </c>
      <c r="E80" s="17" t="s">
        <v>33</v>
      </c>
      <c r="F80" s="17" t="s">
        <v>56</v>
      </c>
      <c r="G80" s="17"/>
      <c r="H80" s="17"/>
      <c r="I80" s="17" t="s">
        <v>57</v>
      </c>
      <c r="J80" s="17" t="s">
        <v>124</v>
      </c>
      <c r="K80" s="17"/>
      <c r="L80" s="17" t="s">
        <v>35</v>
      </c>
      <c r="M80" s="17" t="s">
        <v>73</v>
      </c>
      <c r="N80" s="17" t="s">
        <v>401</v>
      </c>
      <c r="O80" s="17"/>
      <c r="P80" s="17"/>
      <c r="Q80" s="17"/>
      <c r="R80" s="17"/>
      <c r="S80" s="17" t="e" cm="1">
        <f t="array" ref="S80">_xlfn.LET(_xlpm.r,_xlfn.XLOOKUP(1,MappingGuide[[#This Row],[API]:[API_3]],'[1]Squirrel SQL Export 1'!$K:$N,[1]!Table1[[#This Row],[Responsible from HJ]]),IF(_xlpm.r=0,"",_xlpm.r))</f>
        <v>#REF!</v>
      </c>
      <c r="T80" s="17"/>
      <c r="U80" s="17"/>
      <c r="V80" s="17" t="e" cm="1">
        <f t="array" ref="V80">_xlfn.LET(_xlpm.r,_xlfn.XLOOKUP(1,MappingGuide[[#This Row],[API]:[API_3]],'[1]Squirrel SQL Export 1'!$K:$N,[1]!Table1[[#This Row],[MDM Comments]]),IF(_xlpm.r=0,"",_xlpm.r))</f>
        <v>#REF!</v>
      </c>
      <c r="W80" s="17" t="e" cm="1">
        <f t="array" ref="W80">_xlfn.LET(_xlpm.r,_xlfn.XLOOKUP(1,MappingGuide[[#This Row],[API]:[API_3]],'[1]Squirrel SQL Export 1'!$K:$N,[1]!Table1[[#This Row],[Exists In Syndigo?]]),IF(_xlpm.r=0,"",_xlpm.r))</f>
        <v>#REF!</v>
      </c>
      <c r="X80" s="17" t="e" cm="1">
        <f t="array" ref="X80">_xlfn.LET(_xlpm.r,_xlfn.XLOOKUP(1,MappingGuide[[#This Row],[API]:[API_3]],'[1]Squirrel SQL Export 1'!$K:$N,[1]!Table1[[#This Row],[Syndigo Name]]),IF(_xlpm.r=0,"",_xlpm.r))</f>
        <v>#REF!</v>
      </c>
      <c r="Y80" s="17"/>
      <c r="Z80" s="17" t="s">
        <v>253</v>
      </c>
      <c r="AA80" s="17"/>
      <c r="AB80" s="17"/>
      <c r="AC80" s="17" t="e" cm="1">
        <f t="array" ref="AC80">_xlfn.XLOOKUP(1,MappingGuide[[#This Row],[API]:[API_3]],'[1]Squirrel SQL Export 1'!$K:$N,[1]!Table1[[#This Row],[Doppio Notes2]])</f>
        <v>#REF!</v>
      </c>
      <c r="AD80" s="17"/>
      <c r="AE80" s="17" t="e" cm="1">
        <f t="array" ref="AE80">_xlfn.XLOOKUP(1,MappingGuide[[#This Row],[API]:[API_3]],'[1]Squirrel SQL Export 1'!$K:$N,[1]!Table1[[#This Row],[DG_required]])</f>
        <v>#REF!</v>
      </c>
      <c r="AF80" s="21" t="s">
        <v>1306</v>
      </c>
      <c r="AG80" s="21"/>
      <c r="AH80" s="22" t="e" cm="1">
        <f t="array" ref="AH80">_xlfn.LET(_xlpm.r,_xlfn.XLOOKUP(1,MappingGuide[[#This Row],[API]:[API_3]],'[1]Squirrel SQL Export 1'!$K:$N,[1]!Table1[[#This Row],[Pending Items]]),IF(_xlpm.r=0,"",_xlpm.r))</f>
        <v>#REF!</v>
      </c>
      <c r="AI80" s="22" t="e" cm="1">
        <f t="array" ref="AI80">_xlfn.LET(_xlpm.r,_xlfn.XLOOKUP(1,MappingGuide[[#This Row],[API]:[API_3]],'[1]Squirrel SQL Export 1'!$K:$N,[1]!Table1[[#This Row],[Syndigo Name]]),IF(_xlpm.r=0,"",_xlpm.r))</f>
        <v>#REF!</v>
      </c>
      <c r="AJ80" s="17"/>
    </row>
    <row r="81" spans="1:36" ht="18" hidden="1">
      <c r="A81" s="17">
        <v>79</v>
      </c>
      <c r="B81" s="17" t="s">
        <v>40</v>
      </c>
      <c r="C81" s="17" t="s">
        <v>402</v>
      </c>
      <c r="D81" s="17" t="s">
        <v>403</v>
      </c>
      <c r="E81" s="17" t="s">
        <v>33</v>
      </c>
      <c r="F81" s="17" t="s">
        <v>44</v>
      </c>
      <c r="G81" s="17"/>
      <c r="H81" s="17"/>
      <c r="I81" s="17" t="s">
        <v>57</v>
      </c>
      <c r="J81" s="17" t="s">
        <v>124</v>
      </c>
      <c r="K81" s="17"/>
      <c r="L81" s="17" t="s">
        <v>35</v>
      </c>
      <c r="M81" s="17" t="s">
        <v>73</v>
      </c>
      <c r="N81" s="17" t="s">
        <v>404</v>
      </c>
      <c r="O81" s="17"/>
      <c r="P81" s="17"/>
      <c r="Q81" s="17"/>
      <c r="R81" s="17"/>
      <c r="S81" s="17" t="e" cm="1">
        <f t="array" ref="S81">_xlfn.LET(_xlpm.r,_xlfn.XLOOKUP(1,MappingGuide[[#This Row],[API]:[API_3]],'[1]Squirrel SQL Export 1'!$K:$N,[1]!Table1[[#This Row],[Responsible from HJ]]),IF(_xlpm.r=0,"",_xlpm.r))</f>
        <v>#REF!</v>
      </c>
      <c r="T81" s="17"/>
      <c r="U81" s="17"/>
      <c r="V81" s="17" t="e" cm="1">
        <f t="array" ref="V81">_xlfn.LET(_xlpm.r,_xlfn.XLOOKUP(1,MappingGuide[[#This Row],[API]:[API_3]],'[1]Squirrel SQL Export 1'!$K:$N,[1]!Table1[[#This Row],[MDM Comments]]),IF(_xlpm.r=0,"",_xlpm.r))</f>
        <v>#REF!</v>
      </c>
      <c r="W81" s="17" t="e" cm="1">
        <f t="array" ref="W81">_xlfn.LET(_xlpm.r,_xlfn.XLOOKUP(1,MappingGuide[[#This Row],[API]:[API_3]],'[1]Squirrel SQL Export 1'!$K:$N,[1]!Table1[[#This Row],[Exists In Syndigo?]]),IF(_xlpm.r=0,"",_xlpm.r))</f>
        <v>#REF!</v>
      </c>
      <c r="X81" s="17" t="e" cm="1">
        <f t="array" ref="X81">_xlfn.LET(_xlpm.r,_xlfn.XLOOKUP(1,MappingGuide[[#This Row],[API]:[API_3]],'[1]Squirrel SQL Export 1'!$K:$N,[1]!Table1[[#This Row],[Syndigo Name]]),IF(_xlpm.r=0,"",_xlpm.r))</f>
        <v>#REF!</v>
      </c>
      <c r="Y81" s="17"/>
      <c r="Z81" s="17" t="s">
        <v>405</v>
      </c>
      <c r="AA81" s="17"/>
      <c r="AB81" s="17"/>
      <c r="AC81" s="17" t="e" cm="1">
        <f t="array" ref="AC81">_xlfn.XLOOKUP(1,MappingGuide[[#This Row],[API]:[API_3]],'[1]Squirrel SQL Export 1'!$K:$N,[1]!Table1[[#This Row],[Doppio Notes2]])</f>
        <v>#REF!</v>
      </c>
      <c r="AD81" s="17" t="s">
        <v>1279</v>
      </c>
      <c r="AE81" s="17" t="e" cm="1">
        <f t="array" ref="AE81">_xlfn.XLOOKUP(1,MappingGuide[[#This Row],[API]:[API_3]],'[1]Squirrel SQL Export 1'!$K:$N,[1]!Table1[[#This Row],[DG_required]])</f>
        <v>#REF!</v>
      </c>
      <c r="AF81" s="21" t="s">
        <v>1306</v>
      </c>
      <c r="AG81" s="21"/>
      <c r="AH81" s="24" t="e" cm="1">
        <f t="array" ref="AH81">_xlfn.LET(_xlpm.r,_xlfn.XLOOKUP(1,MappingGuide[[#This Row],[API]:[API_3]],'[1]Squirrel SQL Export 1'!$K:$N,[1]!Table1[[#This Row],[Pending Items]]),IF(_xlpm.r=0,"",_xlpm.r))</f>
        <v>#REF!</v>
      </c>
      <c r="AI81" s="22" t="e" cm="1">
        <f t="array" ref="AI81">_xlfn.LET(_xlpm.r,_xlfn.XLOOKUP(1,MappingGuide[[#This Row],[API]:[API_3]],'[1]Squirrel SQL Export 1'!$K:$N,[1]!Table1[[#This Row],[Syndigo Name]]),IF(_xlpm.r=0,"",_xlpm.r))</f>
        <v>#REF!</v>
      </c>
      <c r="AJ81" s="17"/>
    </row>
    <row r="82" spans="1:36" ht="17" hidden="1">
      <c r="A82" s="17">
        <v>80</v>
      </c>
      <c r="B82" s="17" t="s">
        <v>40</v>
      </c>
      <c r="C82" s="17" t="s">
        <v>406</v>
      </c>
      <c r="D82" s="17" t="s">
        <v>407</v>
      </c>
      <c r="E82" s="17" t="s">
        <v>43</v>
      </c>
      <c r="F82" s="17" t="s">
        <v>80</v>
      </c>
      <c r="G82" s="17"/>
      <c r="H82" s="17"/>
      <c r="I82" s="17" t="s">
        <v>57</v>
      </c>
      <c r="J82" s="17" t="s">
        <v>408</v>
      </c>
      <c r="K82" s="17"/>
      <c r="L82" s="17" t="s">
        <v>35</v>
      </c>
      <c r="M82" s="17" t="s">
        <v>146</v>
      </c>
      <c r="N82" s="17" t="s">
        <v>409</v>
      </c>
      <c r="O82" s="17"/>
      <c r="P82" s="17"/>
      <c r="Q82" s="17"/>
      <c r="R82" s="17"/>
      <c r="S82" s="17" t="e" cm="1">
        <f t="array" ref="S82">_xlfn.LET(_xlpm.r,_xlfn.XLOOKUP(1,MappingGuide[[#This Row],[API]:[API_3]],'[1]Squirrel SQL Export 1'!$K:$N,[1]!Table1[[#This Row],[Responsible from HJ]]),IF(_xlpm.r=0,"",_xlpm.r))</f>
        <v>#REF!</v>
      </c>
      <c r="T82" s="17"/>
      <c r="U82" s="17"/>
      <c r="V82" s="17" t="e" cm="1">
        <f t="array" ref="V82">_xlfn.LET(_xlpm.r,_xlfn.XLOOKUP(1,MappingGuide[[#This Row],[API]:[API_3]],'[1]Squirrel SQL Export 1'!$K:$N,[1]!Table1[[#This Row],[MDM Comments]]),IF(_xlpm.r=0,"",_xlpm.r))</f>
        <v>#REF!</v>
      </c>
      <c r="W82" s="17" t="e" cm="1">
        <f t="array" ref="W82">_xlfn.LET(_xlpm.r,_xlfn.XLOOKUP(1,MappingGuide[[#This Row],[API]:[API_3]],'[1]Squirrel SQL Export 1'!$K:$N,[1]!Table1[[#This Row],[Exists In Syndigo?]]),IF(_xlpm.r=0,"",_xlpm.r))</f>
        <v>#REF!</v>
      </c>
      <c r="X82" s="17" t="e" cm="1">
        <f t="array" ref="X82">_xlfn.LET(_xlpm.r,_xlfn.XLOOKUP(1,MappingGuide[[#This Row],[API]:[API_3]],'[1]Squirrel SQL Export 1'!$K:$N,[1]!Table1[[#This Row],[Syndigo Name]]),IF(_xlpm.r=0,"",_xlpm.r))</f>
        <v>#REF!</v>
      </c>
      <c r="Y82" s="17"/>
      <c r="Z82" s="17" t="s">
        <v>410</v>
      </c>
      <c r="AA82" s="17"/>
      <c r="AB82" s="17"/>
      <c r="AC82" s="17" t="e" cm="1">
        <f t="array" ref="AC82">_xlfn.XLOOKUP(1,MappingGuide[[#This Row],[API]:[API_3]],'[1]Squirrel SQL Export 1'!$K:$N,[1]!Table1[[#This Row],[Doppio Notes2]])</f>
        <v>#REF!</v>
      </c>
      <c r="AD82" s="17"/>
      <c r="AE82" s="17" t="e" cm="1">
        <f t="array" ref="AE82">_xlfn.XLOOKUP(1,MappingGuide[[#This Row],[API]:[API_3]],'[1]Squirrel SQL Export 1'!$K:$N,[1]!Table1[[#This Row],[DG_required]])</f>
        <v>#REF!</v>
      </c>
      <c r="AF82" s="21" t="s">
        <v>1290</v>
      </c>
      <c r="AG82" s="21"/>
      <c r="AH82" s="22" t="e" cm="1">
        <f t="array" ref="AH82">_xlfn.LET(_xlpm.r,_xlfn.XLOOKUP(1,MappingGuide[[#This Row],[API]:[API_3]],'[1]Squirrel SQL Export 1'!$K:$N,[1]!Table1[[#This Row],[Pending Items]]),IF(_xlpm.r=0,"",_xlpm.r))</f>
        <v>#REF!</v>
      </c>
      <c r="AI82" s="22" t="e" cm="1">
        <f t="array" ref="AI82">_xlfn.LET(_xlpm.r,_xlfn.XLOOKUP(1,MappingGuide[[#This Row],[API]:[API_3]],'[1]Squirrel SQL Export 1'!$K:$N,[1]!Table1[[#This Row],[Syndigo Name]]),IF(_xlpm.r=0,"",_xlpm.r))</f>
        <v>#REF!</v>
      </c>
      <c r="AJ82" s="17"/>
    </row>
    <row r="83" spans="1:36" ht="17" hidden="1">
      <c r="A83" s="17">
        <v>81</v>
      </c>
      <c r="B83" s="17" t="s">
        <v>40</v>
      </c>
      <c r="C83" s="17" t="s">
        <v>411</v>
      </c>
      <c r="D83" s="17" t="s">
        <v>412</v>
      </c>
      <c r="E83" s="17" t="s">
        <v>33</v>
      </c>
      <c r="F83" s="17" t="s">
        <v>44</v>
      </c>
      <c r="G83" s="17"/>
      <c r="H83" s="17"/>
      <c r="I83" s="17" t="s">
        <v>57</v>
      </c>
      <c r="J83" s="17" t="s">
        <v>408</v>
      </c>
      <c r="K83" s="17"/>
      <c r="L83" s="17" t="s">
        <v>35</v>
      </c>
      <c r="M83" s="17" t="s">
        <v>146</v>
      </c>
      <c r="N83" s="17" t="s">
        <v>413</v>
      </c>
      <c r="O83" s="17"/>
      <c r="P83" s="17"/>
      <c r="Q83" s="17"/>
      <c r="R83" s="17"/>
      <c r="S83" s="17" t="e" cm="1">
        <f t="array" ref="S83">_xlfn.LET(_xlpm.r,_xlfn.XLOOKUP(1,MappingGuide[[#This Row],[API]:[API_3]],'[1]Squirrel SQL Export 1'!$K:$N,[1]!Table1[[#This Row],[Responsible from HJ]]),IF(_xlpm.r=0,"",_xlpm.r))</f>
        <v>#REF!</v>
      </c>
      <c r="T83" s="17"/>
      <c r="U83" s="17"/>
      <c r="V83" s="17" t="e" cm="1">
        <f t="array" ref="V83">_xlfn.LET(_xlpm.r,_xlfn.XLOOKUP(1,MappingGuide[[#This Row],[API]:[API_3]],'[1]Squirrel SQL Export 1'!$K:$N,[1]!Table1[[#This Row],[MDM Comments]]),IF(_xlpm.r=0,"",_xlpm.r))</f>
        <v>#REF!</v>
      </c>
      <c r="W83" s="17" t="e" cm="1">
        <f t="array" ref="W83">_xlfn.LET(_xlpm.r,_xlfn.XLOOKUP(1,MappingGuide[[#This Row],[API]:[API_3]],'[1]Squirrel SQL Export 1'!$K:$N,[1]!Table1[[#This Row],[Exists In Syndigo?]]),IF(_xlpm.r=0,"",_xlpm.r))</f>
        <v>#REF!</v>
      </c>
      <c r="X83" s="17" t="e" cm="1">
        <f t="array" ref="X83">_xlfn.LET(_xlpm.r,_xlfn.XLOOKUP(1,MappingGuide[[#This Row],[API]:[API_3]],'[1]Squirrel SQL Export 1'!$K:$N,[1]!Table1[[#This Row],[Syndigo Name]]),IF(_xlpm.r=0,"",_xlpm.r))</f>
        <v>#REF!</v>
      </c>
      <c r="Y83" s="17"/>
      <c r="Z83" s="17" t="s">
        <v>414</v>
      </c>
      <c r="AA83" s="17"/>
      <c r="AB83" s="17"/>
      <c r="AC83" s="17" t="e" cm="1">
        <f t="array" ref="AC83">_xlfn.XLOOKUP(1,MappingGuide[[#This Row],[API]:[API_3]],'[1]Squirrel SQL Export 1'!$K:$N,[1]!Table1[[#This Row],[Doppio Notes2]])</f>
        <v>#REF!</v>
      </c>
      <c r="AD83" s="17"/>
      <c r="AE83" s="17" t="e" cm="1">
        <f t="array" ref="AE83">_xlfn.XLOOKUP(1,MappingGuide[[#This Row],[API]:[API_3]],'[1]Squirrel SQL Export 1'!$K:$N,[1]!Table1[[#This Row],[DG_required]])</f>
        <v>#REF!</v>
      </c>
      <c r="AF83" s="21" t="s">
        <v>1306</v>
      </c>
      <c r="AG83" s="21"/>
      <c r="AH83" s="22" t="e" cm="1">
        <f t="array" ref="AH83">_xlfn.LET(_xlpm.r,_xlfn.XLOOKUP(1,MappingGuide[[#This Row],[API]:[API_3]],'[1]Squirrel SQL Export 1'!$K:$N,[1]!Table1[[#This Row],[Pending Items]]),IF(_xlpm.r=0,"",_xlpm.r))</f>
        <v>#REF!</v>
      </c>
      <c r="AI83" s="22" t="e" cm="1">
        <f t="array" ref="AI83">_xlfn.LET(_xlpm.r,_xlfn.XLOOKUP(1,MappingGuide[[#This Row],[API]:[API_3]],'[1]Squirrel SQL Export 1'!$K:$N,[1]!Table1[[#This Row],[Syndigo Name]]),IF(_xlpm.r=0,"",_xlpm.r))</f>
        <v>#REF!</v>
      </c>
      <c r="AJ83" s="17"/>
    </row>
    <row r="84" spans="1:36" ht="17" hidden="1">
      <c r="A84" s="17">
        <v>82</v>
      </c>
      <c r="B84" s="17" t="s">
        <v>40</v>
      </c>
      <c r="C84" s="17" t="s">
        <v>415</v>
      </c>
      <c r="D84" s="17" t="s">
        <v>416</v>
      </c>
      <c r="E84" s="17" t="s">
        <v>43</v>
      </c>
      <c r="F84" s="17" t="s">
        <v>80</v>
      </c>
      <c r="G84" s="17"/>
      <c r="H84" s="17"/>
      <c r="I84" s="17" t="s">
        <v>57</v>
      </c>
      <c r="J84" s="17" t="s">
        <v>408</v>
      </c>
      <c r="K84" s="17"/>
      <c r="L84" s="17" t="s">
        <v>35</v>
      </c>
      <c r="M84" s="17" t="s">
        <v>146</v>
      </c>
      <c r="N84" s="17" t="s">
        <v>417</v>
      </c>
      <c r="O84" s="17"/>
      <c r="P84" s="17"/>
      <c r="Q84" s="17"/>
      <c r="R84" s="17"/>
      <c r="S84" s="17" t="e" cm="1">
        <f t="array" ref="S84">_xlfn.LET(_xlpm.r,_xlfn.XLOOKUP(1,MappingGuide[[#This Row],[API]:[API_3]],'[1]Squirrel SQL Export 1'!$K:$N,[1]!Table1[[#This Row],[Responsible from HJ]]),IF(_xlpm.r=0,"",_xlpm.r))</f>
        <v>#REF!</v>
      </c>
      <c r="T84" s="17"/>
      <c r="U84" s="17"/>
      <c r="V84" s="17" t="e" cm="1">
        <f t="array" ref="V84">_xlfn.LET(_xlpm.r,_xlfn.XLOOKUP(1,MappingGuide[[#This Row],[API]:[API_3]],'[1]Squirrel SQL Export 1'!$K:$N,[1]!Table1[[#This Row],[MDM Comments]]),IF(_xlpm.r=0,"",_xlpm.r))</f>
        <v>#REF!</v>
      </c>
      <c r="W84" s="17" t="e" cm="1">
        <f t="array" ref="W84">_xlfn.LET(_xlpm.r,_xlfn.XLOOKUP(1,MappingGuide[[#This Row],[API]:[API_3]],'[1]Squirrel SQL Export 1'!$K:$N,[1]!Table1[[#This Row],[Exists In Syndigo?]]),IF(_xlpm.r=0,"",_xlpm.r))</f>
        <v>#REF!</v>
      </c>
      <c r="X84" s="17" t="e" cm="1">
        <f t="array" ref="X84">_xlfn.LET(_xlpm.r,_xlfn.XLOOKUP(1,MappingGuide[[#This Row],[API]:[API_3]],'[1]Squirrel SQL Export 1'!$K:$N,[1]!Table1[[#This Row],[Syndigo Name]]),IF(_xlpm.r=0,"",_xlpm.r))</f>
        <v>#REF!</v>
      </c>
      <c r="Y84" s="17"/>
      <c r="Z84" s="17" t="s">
        <v>418</v>
      </c>
      <c r="AA84" s="17"/>
      <c r="AB84" s="17"/>
      <c r="AC84" s="17" t="e" cm="1">
        <f t="array" ref="AC84">_xlfn.XLOOKUP(1,MappingGuide[[#This Row],[API]:[API_3]],'[1]Squirrel SQL Export 1'!$K:$N,[1]!Table1[[#This Row],[Doppio Notes2]])</f>
        <v>#REF!</v>
      </c>
      <c r="AD84" s="17"/>
      <c r="AE84" s="17" t="e" cm="1">
        <f t="array" ref="AE84">_xlfn.XLOOKUP(1,MappingGuide[[#This Row],[API]:[API_3]],'[1]Squirrel SQL Export 1'!$K:$N,[1]!Table1[[#This Row],[DG_required]])</f>
        <v>#REF!</v>
      </c>
      <c r="AF84" s="21" t="s">
        <v>1290</v>
      </c>
      <c r="AG84" s="21"/>
      <c r="AH84" s="22" t="e" cm="1">
        <f t="array" ref="AH84">_xlfn.LET(_xlpm.r,_xlfn.XLOOKUP(1,MappingGuide[[#This Row],[API]:[API_3]],'[1]Squirrel SQL Export 1'!$K:$N,[1]!Table1[[#This Row],[Pending Items]]),IF(_xlpm.r=0,"",_xlpm.r))</f>
        <v>#REF!</v>
      </c>
      <c r="AI84" s="22" t="e" cm="1">
        <f t="array" ref="AI84">_xlfn.LET(_xlpm.r,_xlfn.XLOOKUP(1,MappingGuide[[#This Row],[API]:[API_3]],'[1]Squirrel SQL Export 1'!$K:$N,[1]!Table1[[#This Row],[Syndigo Name]]),IF(_xlpm.r=0,"",_xlpm.r))</f>
        <v>#REF!</v>
      </c>
      <c r="AJ84" s="17"/>
    </row>
    <row r="85" spans="1:36" ht="17" hidden="1">
      <c r="A85" s="17">
        <v>83</v>
      </c>
      <c r="B85" s="17" t="s">
        <v>40</v>
      </c>
      <c r="C85" s="17" t="s">
        <v>419</v>
      </c>
      <c r="D85" s="17" t="s">
        <v>420</v>
      </c>
      <c r="E85" s="17" t="s">
        <v>43</v>
      </c>
      <c r="F85" s="17" t="s">
        <v>80</v>
      </c>
      <c r="G85" s="17"/>
      <c r="H85" s="17"/>
      <c r="I85" s="17" t="s">
        <v>57</v>
      </c>
      <c r="J85" s="17" t="s">
        <v>408</v>
      </c>
      <c r="K85" s="17"/>
      <c r="L85" s="17" t="s">
        <v>35</v>
      </c>
      <c r="M85" s="17" t="s">
        <v>146</v>
      </c>
      <c r="N85" s="17" t="s">
        <v>421</v>
      </c>
      <c r="O85" s="17"/>
      <c r="P85" s="17"/>
      <c r="Q85" s="17"/>
      <c r="R85" s="17"/>
      <c r="S85" s="17" t="e" cm="1">
        <f t="array" ref="S85">_xlfn.LET(_xlpm.r,_xlfn.XLOOKUP(1,MappingGuide[[#This Row],[API]:[API_3]],'[1]Squirrel SQL Export 1'!$K:$N,[1]!Table1[[#This Row],[Responsible from HJ]]),IF(_xlpm.r=0,"",_xlpm.r))</f>
        <v>#REF!</v>
      </c>
      <c r="T85" s="17"/>
      <c r="U85" s="17"/>
      <c r="V85" s="17" t="e" cm="1">
        <f t="array" ref="V85">_xlfn.LET(_xlpm.r,_xlfn.XLOOKUP(1,MappingGuide[[#This Row],[API]:[API_3]],'[1]Squirrel SQL Export 1'!$K:$N,[1]!Table1[[#This Row],[MDM Comments]]),IF(_xlpm.r=0,"",_xlpm.r))</f>
        <v>#REF!</v>
      </c>
      <c r="W85" s="17" t="e" cm="1">
        <f t="array" ref="W85">_xlfn.LET(_xlpm.r,_xlfn.XLOOKUP(1,MappingGuide[[#This Row],[API]:[API_3]],'[1]Squirrel SQL Export 1'!$K:$N,[1]!Table1[[#This Row],[Exists In Syndigo?]]),IF(_xlpm.r=0,"",_xlpm.r))</f>
        <v>#REF!</v>
      </c>
      <c r="X85" s="17" t="e" cm="1">
        <f t="array" ref="X85">_xlfn.LET(_xlpm.r,_xlfn.XLOOKUP(1,MappingGuide[[#This Row],[API]:[API_3]],'[1]Squirrel SQL Export 1'!$K:$N,[1]!Table1[[#This Row],[Syndigo Name]]),IF(_xlpm.r=0,"",_xlpm.r))</f>
        <v>#REF!</v>
      </c>
      <c r="Y85" s="17"/>
      <c r="Z85" s="17" t="s">
        <v>422</v>
      </c>
      <c r="AA85" s="17"/>
      <c r="AB85" s="17"/>
      <c r="AC85" s="17" t="e" cm="1">
        <f t="array" ref="AC85">_xlfn.XLOOKUP(1,MappingGuide[[#This Row],[API]:[API_3]],'[1]Squirrel SQL Export 1'!$K:$N,[1]!Table1[[#This Row],[Doppio Notes2]])</f>
        <v>#REF!</v>
      </c>
      <c r="AD85" s="17"/>
      <c r="AE85" s="17" t="e" cm="1">
        <f t="array" ref="AE85">_xlfn.XLOOKUP(1,MappingGuide[[#This Row],[API]:[API_3]],'[1]Squirrel SQL Export 1'!$K:$N,[1]!Table1[[#This Row],[DG_required]])</f>
        <v>#REF!</v>
      </c>
      <c r="AF85" s="21" t="s">
        <v>1290</v>
      </c>
      <c r="AG85" s="21"/>
      <c r="AH85" s="22" t="e" cm="1">
        <f t="array" ref="AH85">_xlfn.LET(_xlpm.r,_xlfn.XLOOKUP(1,MappingGuide[[#This Row],[API]:[API_3]],'[1]Squirrel SQL Export 1'!$K:$N,[1]!Table1[[#This Row],[Pending Items]]),IF(_xlpm.r=0,"",_xlpm.r))</f>
        <v>#REF!</v>
      </c>
      <c r="AI85" s="22" t="e" cm="1">
        <f t="array" ref="AI85">_xlfn.LET(_xlpm.r,_xlfn.XLOOKUP(1,MappingGuide[[#This Row],[API]:[API_3]],'[1]Squirrel SQL Export 1'!$K:$N,[1]!Table1[[#This Row],[Syndigo Name]]),IF(_xlpm.r=0,"",_xlpm.r))</f>
        <v>#REF!</v>
      </c>
      <c r="AJ85" s="17"/>
    </row>
    <row r="86" spans="1:36" ht="17" hidden="1">
      <c r="A86" s="17">
        <v>84</v>
      </c>
      <c r="B86" s="17" t="s">
        <v>40</v>
      </c>
      <c r="C86" s="17" t="s">
        <v>423</v>
      </c>
      <c r="D86" s="17" t="s">
        <v>424</v>
      </c>
      <c r="E86" s="17" t="s">
        <v>33</v>
      </c>
      <c r="F86" s="17" t="s">
        <v>44</v>
      </c>
      <c r="G86" s="17"/>
      <c r="H86" s="17"/>
      <c r="I86" s="17" t="s">
        <v>57</v>
      </c>
      <c r="J86" s="17" t="s">
        <v>408</v>
      </c>
      <c r="K86" s="17"/>
      <c r="L86" s="17" t="s">
        <v>35</v>
      </c>
      <c r="M86" s="17" t="s">
        <v>146</v>
      </c>
      <c r="N86" s="17" t="s">
        <v>425</v>
      </c>
      <c r="O86" s="17"/>
      <c r="P86" s="17"/>
      <c r="Q86" s="17"/>
      <c r="R86" s="17"/>
      <c r="S86" s="17" t="e" cm="1">
        <f t="array" ref="S86">_xlfn.LET(_xlpm.r,_xlfn.XLOOKUP(1,MappingGuide[[#This Row],[API]:[API_3]],'[1]Squirrel SQL Export 1'!$K:$N,[1]!Table1[[#This Row],[Responsible from HJ]]),IF(_xlpm.r=0,"",_xlpm.r))</f>
        <v>#REF!</v>
      </c>
      <c r="T86" s="17"/>
      <c r="U86" s="17"/>
      <c r="V86" s="17" t="e" cm="1">
        <f t="array" ref="V86">_xlfn.LET(_xlpm.r,_xlfn.XLOOKUP(1,MappingGuide[[#This Row],[API]:[API_3]],'[1]Squirrel SQL Export 1'!$K:$N,[1]!Table1[[#This Row],[MDM Comments]]),IF(_xlpm.r=0,"",_xlpm.r))</f>
        <v>#REF!</v>
      </c>
      <c r="W86" s="17" t="e" cm="1">
        <f t="array" ref="W86">_xlfn.LET(_xlpm.r,_xlfn.XLOOKUP(1,MappingGuide[[#This Row],[API]:[API_3]],'[1]Squirrel SQL Export 1'!$K:$N,[1]!Table1[[#This Row],[Exists In Syndigo?]]),IF(_xlpm.r=0,"",_xlpm.r))</f>
        <v>#REF!</v>
      </c>
      <c r="X86" s="17" t="e" cm="1">
        <f t="array" ref="X86">_xlfn.LET(_xlpm.r,_xlfn.XLOOKUP(1,MappingGuide[[#This Row],[API]:[API_3]],'[1]Squirrel SQL Export 1'!$K:$N,[1]!Table1[[#This Row],[Syndigo Name]]),IF(_xlpm.r=0,"",_xlpm.r))</f>
        <v>#REF!</v>
      </c>
      <c r="Y86" s="17"/>
      <c r="Z86" s="17" t="s">
        <v>426</v>
      </c>
      <c r="AA86" s="17"/>
      <c r="AB86" s="17"/>
      <c r="AC86" s="17" t="e" cm="1">
        <f t="array" ref="AC86">_xlfn.XLOOKUP(1,MappingGuide[[#This Row],[API]:[API_3]],'[1]Squirrel SQL Export 1'!$K:$N,[1]!Table1[[#This Row],[Doppio Notes2]])</f>
        <v>#REF!</v>
      </c>
      <c r="AD86" s="17"/>
      <c r="AE86" s="17" t="e" cm="1">
        <f t="array" ref="AE86">_xlfn.XLOOKUP(1,MappingGuide[[#This Row],[API]:[API_3]],'[1]Squirrel SQL Export 1'!$K:$N,[1]!Table1[[#This Row],[DG_required]])</f>
        <v>#REF!</v>
      </c>
      <c r="AF86" s="21" t="s">
        <v>1306</v>
      </c>
      <c r="AG86" s="21"/>
      <c r="AH86" s="22" t="e" cm="1">
        <f t="array" ref="AH86">_xlfn.LET(_xlpm.r,_xlfn.XLOOKUP(1,MappingGuide[[#This Row],[API]:[API_3]],'[1]Squirrel SQL Export 1'!$K:$N,[1]!Table1[[#This Row],[Pending Items]]),IF(_xlpm.r=0,"",_xlpm.r))</f>
        <v>#REF!</v>
      </c>
      <c r="AI86" s="22" t="e" cm="1">
        <f t="array" ref="AI86">_xlfn.LET(_xlpm.r,_xlfn.XLOOKUP(1,MappingGuide[[#This Row],[API]:[API_3]],'[1]Squirrel SQL Export 1'!$K:$N,[1]!Table1[[#This Row],[Syndigo Name]]),IF(_xlpm.r=0,"",_xlpm.r))</f>
        <v>#REF!</v>
      </c>
      <c r="AJ86" s="17"/>
    </row>
    <row r="87" spans="1:36" ht="17" hidden="1">
      <c r="A87" s="17">
        <v>85</v>
      </c>
      <c r="B87" s="17" t="s">
        <v>40</v>
      </c>
      <c r="C87" s="17" t="s">
        <v>428</v>
      </c>
      <c r="D87" s="17" t="s">
        <v>429</v>
      </c>
      <c r="E87" s="17" t="s">
        <v>43</v>
      </c>
      <c r="F87" s="17" t="s">
        <v>80</v>
      </c>
      <c r="G87" s="17"/>
      <c r="H87" s="17"/>
      <c r="I87" s="17" t="s">
        <v>57</v>
      </c>
      <c r="J87" s="17" t="s">
        <v>408</v>
      </c>
      <c r="K87" s="17"/>
      <c r="L87" s="17" t="s">
        <v>35</v>
      </c>
      <c r="M87" s="17" t="s">
        <v>146</v>
      </c>
      <c r="N87" s="17" t="s">
        <v>430</v>
      </c>
      <c r="O87" s="17"/>
      <c r="P87" s="17"/>
      <c r="Q87" s="17"/>
      <c r="R87" s="17"/>
      <c r="S87" s="17" t="e" cm="1">
        <f t="array" ref="S87">_xlfn.LET(_xlpm.r,_xlfn.XLOOKUP(1,MappingGuide[[#This Row],[API]:[API_3]],'[1]Squirrel SQL Export 1'!$K:$N,[1]!Table1[[#This Row],[Responsible from HJ]]),IF(_xlpm.r=0,"",_xlpm.r))</f>
        <v>#REF!</v>
      </c>
      <c r="T87" s="17"/>
      <c r="U87" s="17"/>
      <c r="V87" s="17" t="e" cm="1">
        <f t="array" ref="V87">_xlfn.LET(_xlpm.r,_xlfn.XLOOKUP(1,MappingGuide[[#This Row],[API]:[API_3]],'[1]Squirrel SQL Export 1'!$K:$N,[1]!Table1[[#This Row],[MDM Comments]]),IF(_xlpm.r=0,"",_xlpm.r))</f>
        <v>#REF!</v>
      </c>
      <c r="W87" s="17" t="e" cm="1">
        <f t="array" ref="W87">_xlfn.LET(_xlpm.r,_xlfn.XLOOKUP(1,MappingGuide[[#This Row],[API]:[API_3]],'[1]Squirrel SQL Export 1'!$K:$N,[1]!Table1[[#This Row],[Exists In Syndigo?]]),IF(_xlpm.r=0,"",_xlpm.r))</f>
        <v>#REF!</v>
      </c>
      <c r="X87" s="17" t="e" cm="1">
        <f t="array" ref="X87">_xlfn.LET(_xlpm.r,_xlfn.XLOOKUP(1,MappingGuide[[#This Row],[API]:[API_3]],'[1]Squirrel SQL Export 1'!$K:$N,[1]!Table1[[#This Row],[Syndigo Name]]),IF(_xlpm.r=0,"",_xlpm.r))</f>
        <v>#REF!</v>
      </c>
      <c r="Y87" s="17"/>
      <c r="Z87" s="17" t="s">
        <v>431</v>
      </c>
      <c r="AA87" s="17"/>
      <c r="AB87" s="17"/>
      <c r="AC87" s="17" t="e" cm="1">
        <f t="array" ref="AC87">_xlfn.XLOOKUP(1,MappingGuide[[#This Row],[API]:[API_3]],'[1]Squirrel SQL Export 1'!$K:$N,[1]!Table1[[#This Row],[Doppio Notes2]])</f>
        <v>#REF!</v>
      </c>
      <c r="AD87" s="17"/>
      <c r="AE87" s="17" t="e" cm="1">
        <f t="array" ref="AE87">_xlfn.XLOOKUP(1,MappingGuide[[#This Row],[API]:[API_3]],'[1]Squirrel SQL Export 1'!$K:$N,[1]!Table1[[#This Row],[DG_required]])</f>
        <v>#REF!</v>
      </c>
      <c r="AF87" s="21" t="s">
        <v>1290</v>
      </c>
      <c r="AG87" s="21"/>
      <c r="AH87" s="22" t="e" cm="1">
        <f t="array" ref="AH87">_xlfn.LET(_xlpm.r,_xlfn.XLOOKUP(1,MappingGuide[[#This Row],[API]:[API_3]],'[1]Squirrel SQL Export 1'!$K:$N,[1]!Table1[[#This Row],[Pending Items]]),IF(_xlpm.r=0,"",_xlpm.r))</f>
        <v>#REF!</v>
      </c>
      <c r="AI87" s="22" t="e" cm="1">
        <f t="array" ref="AI87">_xlfn.LET(_xlpm.r,_xlfn.XLOOKUP(1,MappingGuide[[#This Row],[API]:[API_3]],'[1]Squirrel SQL Export 1'!$K:$N,[1]!Table1[[#This Row],[Syndigo Name]]),IF(_xlpm.r=0,"",_xlpm.r))</f>
        <v>#REF!</v>
      </c>
      <c r="AJ87" s="17"/>
    </row>
    <row r="88" spans="1:36" ht="17" hidden="1">
      <c r="A88" s="17">
        <v>86</v>
      </c>
      <c r="B88" s="17" t="s">
        <v>40</v>
      </c>
      <c r="C88" s="17" t="s">
        <v>432</v>
      </c>
      <c r="D88" s="17" t="s">
        <v>433</v>
      </c>
      <c r="E88" s="17" t="s">
        <v>33</v>
      </c>
      <c r="F88" s="17" t="s">
        <v>44</v>
      </c>
      <c r="G88" s="17"/>
      <c r="H88" s="17"/>
      <c r="I88" s="17" t="s">
        <v>57</v>
      </c>
      <c r="J88" s="17" t="s">
        <v>408</v>
      </c>
      <c r="K88" s="17"/>
      <c r="L88" s="17" t="s">
        <v>35</v>
      </c>
      <c r="M88" s="17" t="s">
        <v>146</v>
      </c>
      <c r="N88" s="17" t="s">
        <v>434</v>
      </c>
      <c r="O88" s="17"/>
      <c r="P88" s="17"/>
      <c r="Q88" s="17"/>
      <c r="R88" s="17"/>
      <c r="S88" s="17" t="e" cm="1">
        <f t="array" ref="S88">_xlfn.LET(_xlpm.r,_xlfn.XLOOKUP(1,MappingGuide[[#This Row],[API]:[API_3]],'[1]Squirrel SQL Export 1'!$K:$N,[1]!Table1[[#This Row],[Responsible from HJ]]),IF(_xlpm.r=0,"",_xlpm.r))</f>
        <v>#REF!</v>
      </c>
      <c r="T88" s="17"/>
      <c r="U88" s="17"/>
      <c r="V88" s="17" t="e" cm="1">
        <f t="array" ref="V88">_xlfn.LET(_xlpm.r,_xlfn.XLOOKUP(1,MappingGuide[[#This Row],[API]:[API_3]],'[1]Squirrel SQL Export 1'!$K:$N,[1]!Table1[[#This Row],[MDM Comments]]),IF(_xlpm.r=0,"",_xlpm.r))</f>
        <v>#REF!</v>
      </c>
      <c r="W88" s="17" t="e" cm="1">
        <f t="array" ref="W88">_xlfn.LET(_xlpm.r,_xlfn.XLOOKUP(1,MappingGuide[[#This Row],[API]:[API_3]],'[1]Squirrel SQL Export 1'!$K:$N,[1]!Table1[[#This Row],[Exists In Syndigo?]]),IF(_xlpm.r=0,"",_xlpm.r))</f>
        <v>#REF!</v>
      </c>
      <c r="X88" s="17" t="e" cm="1">
        <f t="array" ref="X88">_xlfn.LET(_xlpm.r,_xlfn.XLOOKUP(1,MappingGuide[[#This Row],[API]:[API_3]],'[1]Squirrel SQL Export 1'!$K:$N,[1]!Table1[[#This Row],[Syndigo Name]]),IF(_xlpm.r=0,"",_xlpm.r))</f>
        <v>#REF!</v>
      </c>
      <c r="Y88" s="17"/>
      <c r="Z88" s="17" t="s">
        <v>435</v>
      </c>
      <c r="AA88" s="17"/>
      <c r="AB88" s="17"/>
      <c r="AC88" s="17" t="e" cm="1">
        <f t="array" ref="AC88">_xlfn.XLOOKUP(1,MappingGuide[[#This Row],[API]:[API_3]],'[1]Squirrel SQL Export 1'!$K:$N,[1]!Table1[[#This Row],[Doppio Notes2]])</f>
        <v>#REF!</v>
      </c>
      <c r="AD88" s="17"/>
      <c r="AE88" s="17" t="e" cm="1">
        <f t="array" ref="AE88">_xlfn.XLOOKUP(1,MappingGuide[[#This Row],[API]:[API_3]],'[1]Squirrel SQL Export 1'!$K:$N,[1]!Table1[[#This Row],[DG_required]])</f>
        <v>#REF!</v>
      </c>
      <c r="AF88" s="21" t="s">
        <v>1306</v>
      </c>
      <c r="AG88" s="21"/>
      <c r="AH88" s="22" t="e" cm="1">
        <f t="array" ref="AH88">_xlfn.LET(_xlpm.r,_xlfn.XLOOKUP(1,MappingGuide[[#This Row],[API]:[API_3]],'[1]Squirrel SQL Export 1'!$K:$N,[1]!Table1[[#This Row],[Pending Items]]),IF(_xlpm.r=0,"",_xlpm.r))</f>
        <v>#REF!</v>
      </c>
      <c r="AI88" s="22" t="e" cm="1">
        <f t="array" ref="AI88">_xlfn.LET(_xlpm.r,_xlfn.XLOOKUP(1,MappingGuide[[#This Row],[API]:[API_3]],'[1]Squirrel SQL Export 1'!$K:$N,[1]!Table1[[#This Row],[Syndigo Name]]),IF(_xlpm.r=0,"",_xlpm.r))</f>
        <v>#REF!</v>
      </c>
      <c r="AJ88" s="17"/>
    </row>
    <row r="89" spans="1:36" ht="17" hidden="1">
      <c r="A89" s="17">
        <v>87</v>
      </c>
      <c r="B89" s="17" t="s">
        <v>40</v>
      </c>
      <c r="C89" s="17" t="s">
        <v>436</v>
      </c>
      <c r="D89" s="17" t="s">
        <v>437</v>
      </c>
      <c r="E89" s="17" t="s">
        <v>33</v>
      </c>
      <c r="F89" s="17" t="s">
        <v>44</v>
      </c>
      <c r="G89" s="17"/>
      <c r="H89" s="17"/>
      <c r="I89" s="17" t="s">
        <v>57</v>
      </c>
      <c r="J89" s="17" t="s">
        <v>408</v>
      </c>
      <c r="K89" s="17"/>
      <c r="L89" s="17" t="s">
        <v>35</v>
      </c>
      <c r="M89" s="17" t="s">
        <v>146</v>
      </c>
      <c r="N89" s="17" t="s">
        <v>438</v>
      </c>
      <c r="O89" s="17"/>
      <c r="P89" s="17"/>
      <c r="Q89" s="17"/>
      <c r="R89" s="17"/>
      <c r="S89" s="17" t="e" cm="1">
        <f t="array" ref="S89">_xlfn.LET(_xlpm.r,_xlfn.XLOOKUP(1,MappingGuide[[#This Row],[API]:[API_3]],'[1]Squirrel SQL Export 1'!$K:$N,[1]!Table1[[#This Row],[Responsible from HJ]]),IF(_xlpm.r=0,"",_xlpm.r))</f>
        <v>#REF!</v>
      </c>
      <c r="T89" s="17"/>
      <c r="U89" s="17"/>
      <c r="V89" s="17" t="e" cm="1">
        <f t="array" ref="V89">_xlfn.LET(_xlpm.r,_xlfn.XLOOKUP(1,MappingGuide[[#This Row],[API]:[API_3]],'[1]Squirrel SQL Export 1'!$K:$N,[1]!Table1[[#This Row],[MDM Comments]]),IF(_xlpm.r=0,"",_xlpm.r))</f>
        <v>#REF!</v>
      </c>
      <c r="W89" s="17" t="e" cm="1">
        <f t="array" ref="W89">_xlfn.LET(_xlpm.r,_xlfn.XLOOKUP(1,MappingGuide[[#This Row],[API]:[API_3]],'[1]Squirrel SQL Export 1'!$K:$N,[1]!Table1[[#This Row],[Exists In Syndigo?]]),IF(_xlpm.r=0,"",_xlpm.r))</f>
        <v>#REF!</v>
      </c>
      <c r="X89" s="17" t="e" cm="1">
        <f t="array" ref="X89">_xlfn.LET(_xlpm.r,_xlfn.XLOOKUP(1,MappingGuide[[#This Row],[API]:[API_3]],'[1]Squirrel SQL Export 1'!$K:$N,[1]!Table1[[#This Row],[Syndigo Name]]),IF(_xlpm.r=0,"",_xlpm.r))</f>
        <v>#REF!</v>
      </c>
      <c r="Y89" s="17"/>
      <c r="Z89" s="17" t="s">
        <v>439</v>
      </c>
      <c r="AA89" s="17"/>
      <c r="AB89" s="17"/>
      <c r="AC89" s="17" t="e" cm="1">
        <f t="array" ref="AC89">_xlfn.XLOOKUP(1,MappingGuide[[#This Row],[API]:[API_3]],'[1]Squirrel SQL Export 1'!$K:$N,[1]!Table1[[#This Row],[Doppio Notes2]])</f>
        <v>#REF!</v>
      </c>
      <c r="AD89" s="17"/>
      <c r="AE89" s="17" t="e" cm="1">
        <f t="array" ref="AE89">_xlfn.XLOOKUP(1,MappingGuide[[#This Row],[API]:[API_3]],'[1]Squirrel SQL Export 1'!$K:$N,[1]!Table1[[#This Row],[DG_required]])</f>
        <v>#REF!</v>
      </c>
      <c r="AF89" s="21" t="s">
        <v>1306</v>
      </c>
      <c r="AG89" s="21"/>
      <c r="AH89" s="22" t="e" cm="1">
        <f t="array" ref="AH89">_xlfn.LET(_xlpm.r,_xlfn.XLOOKUP(1,MappingGuide[[#This Row],[API]:[API_3]],'[1]Squirrel SQL Export 1'!$K:$N,[1]!Table1[[#This Row],[Pending Items]]),IF(_xlpm.r=0,"",_xlpm.r))</f>
        <v>#REF!</v>
      </c>
      <c r="AI89" s="22" t="e" cm="1">
        <f t="array" ref="AI89">_xlfn.LET(_xlpm.r,_xlfn.XLOOKUP(1,MappingGuide[[#This Row],[API]:[API_3]],'[1]Squirrel SQL Export 1'!$K:$N,[1]!Table1[[#This Row],[Syndigo Name]]),IF(_xlpm.r=0,"",_xlpm.r))</f>
        <v>#REF!</v>
      </c>
      <c r="AJ89" s="17"/>
    </row>
    <row r="90" spans="1:36" ht="18" hidden="1">
      <c r="A90" s="17">
        <v>88</v>
      </c>
      <c r="B90" s="17" t="s">
        <v>40</v>
      </c>
      <c r="C90" s="17" t="s">
        <v>440</v>
      </c>
      <c r="D90" s="17" t="s">
        <v>441</v>
      </c>
      <c r="E90" s="17" t="s">
        <v>33</v>
      </c>
      <c r="F90" s="17" t="s">
        <v>34</v>
      </c>
      <c r="G90" s="17"/>
      <c r="H90" s="17"/>
      <c r="I90" s="17" t="s">
        <v>57</v>
      </c>
      <c r="J90" s="17" t="s">
        <v>58</v>
      </c>
      <c r="K90" s="17"/>
      <c r="L90" s="17" t="s">
        <v>35</v>
      </c>
      <c r="M90" s="17" t="s">
        <v>36</v>
      </c>
      <c r="N90" s="17" t="s">
        <v>442</v>
      </c>
      <c r="O90" s="17"/>
      <c r="P90" s="17" t="s">
        <v>443</v>
      </c>
      <c r="Q90" s="17"/>
      <c r="R90" s="17" t="s">
        <v>444</v>
      </c>
      <c r="S90" s="17" t="e" cm="1">
        <f t="array" ref="S90">_xlfn.LET(_xlpm.r,_xlfn.XLOOKUP(1,MappingGuide[[#This Row],[API]:[API_3]],'[1]Squirrel SQL Export 1'!$K:$N,[1]!Table1[[#This Row],[Responsible from HJ]]),IF(_xlpm.r=0,"",_xlpm.r))</f>
        <v>#REF!</v>
      </c>
      <c r="T90" s="17" t="s">
        <v>39</v>
      </c>
      <c r="U90" s="17">
        <v>54966</v>
      </c>
      <c r="V90" s="17" t="e" cm="1">
        <f t="array" ref="V90">_xlfn.LET(_xlpm.r,_xlfn.XLOOKUP(1,MappingGuide[[#This Row],[API]:[API_3]],'[1]Squirrel SQL Export 1'!$K:$N,[1]!Table1[[#This Row],[MDM Comments]]),IF(_xlpm.r=0,"",_xlpm.r))</f>
        <v>#REF!</v>
      </c>
      <c r="W90" s="17" t="e" cm="1">
        <f t="array" ref="W90">_xlfn.LET(_xlpm.r,_xlfn.XLOOKUP(1,MappingGuide[[#This Row],[API]:[API_3]],'[1]Squirrel SQL Export 1'!$K:$N,[1]!Table1[[#This Row],[Exists In Syndigo?]]),IF(_xlpm.r=0,"",_xlpm.r))</f>
        <v>#REF!</v>
      </c>
      <c r="X90" s="17" t="e" cm="1">
        <f t="array" ref="X90">_xlfn.LET(_xlpm.r,_xlfn.XLOOKUP(1,MappingGuide[[#This Row],[API]:[API_3]],'[1]Squirrel SQL Export 1'!$K:$N,[1]!Table1[[#This Row],[Syndigo Name]]),IF(_xlpm.r=0,"",_xlpm.r))</f>
        <v>#REF!</v>
      </c>
      <c r="Y90" s="17"/>
      <c r="Z90" s="17" t="s">
        <v>445</v>
      </c>
      <c r="AA90" s="17"/>
      <c r="AB90" s="17"/>
      <c r="AC90" s="17" t="e" cm="1">
        <f t="array" ref="AC90">_xlfn.XLOOKUP(1,MappingGuide[[#This Row],[API]:[API_3]],'[1]Squirrel SQL Export 1'!$K:$N,[1]!Table1[[#This Row],[Doppio Notes2]])</f>
        <v>#REF!</v>
      </c>
      <c r="AD90" s="17" t="s">
        <v>1279</v>
      </c>
      <c r="AE90" s="17" t="e" cm="1">
        <f t="array" ref="AE90">_xlfn.XLOOKUP(1,MappingGuide[[#This Row],[API]:[API_3]],'[1]Squirrel SQL Export 1'!$K:$N,[1]!Table1[[#This Row],[DG_required]])</f>
        <v>#REF!</v>
      </c>
      <c r="AF90" s="21" t="s">
        <v>1299</v>
      </c>
      <c r="AG90" s="21"/>
      <c r="AH90" s="24" t="e" cm="1">
        <f t="array" ref="AH90">_xlfn.LET(_xlpm.r,_xlfn.XLOOKUP(1,MappingGuide[[#This Row],[API]:[API_3]],'[1]Squirrel SQL Export 1'!$K:$N,[1]!Table1[[#This Row],[Pending Items]]),IF(_xlpm.r=0,"",_xlpm.r))</f>
        <v>#REF!</v>
      </c>
      <c r="AI90" s="22" t="e" cm="1">
        <f t="array" ref="AI90">_xlfn.LET(_xlpm.r,_xlfn.XLOOKUP(1,MappingGuide[[#This Row],[API]:[API_3]],'[1]Squirrel SQL Export 1'!$K:$N,[1]!Table1[[#This Row],[Syndigo Name]]),IF(_xlpm.r=0,"",_xlpm.r))</f>
        <v>#REF!</v>
      </c>
      <c r="AJ90" s="17"/>
    </row>
    <row r="91" spans="1:36" ht="17" hidden="1">
      <c r="A91" s="17">
        <v>89</v>
      </c>
      <c r="B91" s="17" t="s">
        <v>40</v>
      </c>
      <c r="C91" s="17" t="s">
        <v>446</v>
      </c>
      <c r="D91" s="17" t="s">
        <v>447</v>
      </c>
      <c r="E91" s="17" t="s">
        <v>43</v>
      </c>
      <c r="F91" s="17" t="s">
        <v>80</v>
      </c>
      <c r="G91" s="17"/>
      <c r="H91" s="17"/>
      <c r="I91" s="17"/>
      <c r="J91" s="17"/>
      <c r="K91" s="17"/>
      <c r="L91" s="17"/>
      <c r="M91" s="17"/>
      <c r="N91" s="17" t="s">
        <v>448</v>
      </c>
      <c r="O91" s="17"/>
      <c r="P91" s="17"/>
      <c r="Q91" s="17"/>
      <c r="R91" s="17"/>
      <c r="S91" s="17" t="e" cm="1">
        <f t="array" ref="S91">_xlfn.LET(_xlpm.r,_xlfn.XLOOKUP(1,MappingGuide[[#This Row],[API]:[API_3]],'[1]Squirrel SQL Export 1'!$K:$N,[1]!Table1[[#This Row],[Responsible from HJ]]),IF(_xlpm.r=0,"",_xlpm.r))</f>
        <v>#REF!</v>
      </c>
      <c r="T91" s="17"/>
      <c r="U91" s="17"/>
      <c r="V91" s="17" t="e" cm="1">
        <f t="array" ref="V91">_xlfn.LET(_xlpm.r,_xlfn.XLOOKUP(1,MappingGuide[[#This Row],[API]:[API_3]],'[1]Squirrel SQL Export 1'!$K:$N,[1]!Table1[[#This Row],[MDM Comments]]),IF(_xlpm.r=0,"",_xlpm.r))</f>
        <v>#REF!</v>
      </c>
      <c r="W91" s="17" t="e" cm="1">
        <f t="array" ref="W91">_xlfn.LET(_xlpm.r,_xlfn.XLOOKUP(1,MappingGuide[[#This Row],[API]:[API_3]],'[1]Squirrel SQL Export 1'!$K:$N,[1]!Table1[[#This Row],[Exists In Syndigo?]]),IF(_xlpm.r=0,"",_xlpm.r))</f>
        <v>#REF!</v>
      </c>
      <c r="X91" s="17" t="e" cm="1">
        <f t="array" ref="X91">_xlfn.LET(_xlpm.r,_xlfn.XLOOKUP(1,MappingGuide[[#This Row],[API]:[API_3]],'[1]Squirrel SQL Export 1'!$K:$N,[1]!Table1[[#This Row],[Syndigo Name]]),IF(_xlpm.r=0,"",_xlpm.r))</f>
        <v>#REF!</v>
      </c>
      <c r="Y91" s="17"/>
      <c r="Z91" s="17"/>
      <c r="AA91" s="17"/>
      <c r="AB91" s="17"/>
      <c r="AC91" s="17" t="e" cm="1">
        <f t="array" ref="AC91">_xlfn.XLOOKUP(1,MappingGuide[[#This Row],[API]:[API_3]],'[1]Squirrel SQL Export 1'!$K:$N,[1]!Table1[[#This Row],[Doppio Notes2]])</f>
        <v>#REF!</v>
      </c>
      <c r="AD91" s="17"/>
      <c r="AE91" s="17" t="e" cm="1">
        <f t="array" ref="AE91">_xlfn.XLOOKUP(1,MappingGuide[[#This Row],[API]:[API_3]],'[1]Squirrel SQL Export 1'!$K:$N,[1]!Table1[[#This Row],[DG_required]])</f>
        <v>#REF!</v>
      </c>
      <c r="AF91" s="21" t="s">
        <v>1290</v>
      </c>
      <c r="AG91" s="21"/>
      <c r="AH91" s="22" t="e" cm="1">
        <f t="array" ref="AH91">_xlfn.LET(_xlpm.r,_xlfn.XLOOKUP(1,MappingGuide[[#This Row],[API]:[API_3]],'[1]Squirrel SQL Export 1'!$K:$N,[1]!Table1[[#This Row],[Pending Items]]),IF(_xlpm.r=0,"",_xlpm.r))</f>
        <v>#REF!</v>
      </c>
      <c r="AI91" s="22" t="e" cm="1">
        <f t="array" ref="AI91">_xlfn.LET(_xlpm.r,_xlfn.XLOOKUP(1,MappingGuide[[#This Row],[API]:[API_3]],'[1]Squirrel SQL Export 1'!$K:$N,[1]!Table1[[#This Row],[Syndigo Name]]),IF(_xlpm.r=0,"",_xlpm.r))</f>
        <v>#REF!</v>
      </c>
      <c r="AJ91" s="17"/>
    </row>
    <row r="92" spans="1:36" ht="17" hidden="1">
      <c r="A92" s="17">
        <v>90</v>
      </c>
      <c r="B92" s="17" t="s">
        <v>40</v>
      </c>
      <c r="C92" s="17" t="s">
        <v>449</v>
      </c>
      <c r="D92" s="17" t="s">
        <v>450</v>
      </c>
      <c r="E92" s="17" t="s">
        <v>43</v>
      </c>
      <c r="F92" s="17" t="s">
        <v>80</v>
      </c>
      <c r="G92" s="17"/>
      <c r="H92" s="17"/>
      <c r="I92" s="17"/>
      <c r="J92" s="17"/>
      <c r="K92" s="17"/>
      <c r="L92" s="17"/>
      <c r="M92" s="17"/>
      <c r="N92" s="17" t="s">
        <v>451</v>
      </c>
      <c r="O92" s="17"/>
      <c r="P92" s="17"/>
      <c r="Q92" s="17"/>
      <c r="R92" s="17"/>
      <c r="S92" s="17" t="e" cm="1">
        <f t="array" ref="S92">_xlfn.LET(_xlpm.r,_xlfn.XLOOKUP(1,MappingGuide[[#This Row],[API]:[API_3]],'[1]Squirrel SQL Export 1'!$K:$N,[1]!Table1[[#This Row],[Responsible from HJ]]),IF(_xlpm.r=0,"",_xlpm.r))</f>
        <v>#REF!</v>
      </c>
      <c r="T92" s="17"/>
      <c r="U92" s="17"/>
      <c r="V92" s="17" t="e" cm="1">
        <f t="array" ref="V92">_xlfn.LET(_xlpm.r,_xlfn.XLOOKUP(1,MappingGuide[[#This Row],[API]:[API_3]],'[1]Squirrel SQL Export 1'!$K:$N,[1]!Table1[[#This Row],[MDM Comments]]),IF(_xlpm.r=0,"",_xlpm.r))</f>
        <v>#REF!</v>
      </c>
      <c r="W92" s="17" t="e" cm="1">
        <f t="array" ref="W92">_xlfn.LET(_xlpm.r,_xlfn.XLOOKUP(1,MappingGuide[[#This Row],[API]:[API_3]],'[1]Squirrel SQL Export 1'!$K:$N,[1]!Table1[[#This Row],[Exists In Syndigo?]]),IF(_xlpm.r=0,"",_xlpm.r))</f>
        <v>#REF!</v>
      </c>
      <c r="X92" s="17" t="e" cm="1">
        <f t="array" ref="X92">_xlfn.LET(_xlpm.r,_xlfn.XLOOKUP(1,MappingGuide[[#This Row],[API]:[API_3]],'[1]Squirrel SQL Export 1'!$K:$N,[1]!Table1[[#This Row],[Syndigo Name]]),IF(_xlpm.r=0,"",_xlpm.r))</f>
        <v>#REF!</v>
      </c>
      <c r="Y92" s="17"/>
      <c r="Z92" s="17"/>
      <c r="AA92" s="17"/>
      <c r="AB92" s="17"/>
      <c r="AC92" s="17" t="e" cm="1">
        <f t="array" ref="AC92">_xlfn.XLOOKUP(1,MappingGuide[[#This Row],[API]:[API_3]],'[1]Squirrel SQL Export 1'!$K:$N,[1]!Table1[[#This Row],[Doppio Notes2]])</f>
        <v>#REF!</v>
      </c>
      <c r="AD92" s="17"/>
      <c r="AE92" s="17" t="e" cm="1">
        <f t="array" ref="AE92">_xlfn.XLOOKUP(1,MappingGuide[[#This Row],[API]:[API_3]],'[1]Squirrel SQL Export 1'!$K:$N,[1]!Table1[[#This Row],[DG_required]])</f>
        <v>#REF!</v>
      </c>
      <c r="AF92" s="21" t="s">
        <v>1290</v>
      </c>
      <c r="AG92" s="21"/>
      <c r="AH92" s="22" t="e" cm="1">
        <f t="array" ref="AH92">_xlfn.LET(_xlpm.r,_xlfn.XLOOKUP(1,MappingGuide[[#This Row],[API]:[API_3]],'[1]Squirrel SQL Export 1'!$K:$N,[1]!Table1[[#This Row],[Pending Items]]),IF(_xlpm.r=0,"",_xlpm.r))</f>
        <v>#REF!</v>
      </c>
      <c r="AI92" s="22" t="e" cm="1">
        <f t="array" ref="AI92">_xlfn.LET(_xlpm.r,_xlfn.XLOOKUP(1,MappingGuide[[#This Row],[API]:[API_3]],'[1]Squirrel SQL Export 1'!$K:$N,[1]!Table1[[#This Row],[Syndigo Name]]),IF(_xlpm.r=0,"",_xlpm.r))</f>
        <v>#REF!</v>
      </c>
      <c r="AJ92" s="17"/>
    </row>
    <row r="93" spans="1:36" ht="17" hidden="1">
      <c r="A93" s="17">
        <v>91</v>
      </c>
      <c r="B93" s="17" t="s">
        <v>40</v>
      </c>
      <c r="C93" s="17" t="s">
        <v>452</v>
      </c>
      <c r="D93" s="17" t="s">
        <v>453</v>
      </c>
      <c r="E93" s="17" t="s">
        <v>33</v>
      </c>
      <c r="F93" s="17" t="s">
        <v>34</v>
      </c>
      <c r="G93" s="17"/>
      <c r="H93" s="17"/>
      <c r="I93" s="17" t="s">
        <v>57</v>
      </c>
      <c r="J93" s="17" t="s">
        <v>408</v>
      </c>
      <c r="K93" s="17"/>
      <c r="L93" s="17" t="s">
        <v>35</v>
      </c>
      <c r="M93" s="17" t="s">
        <v>146</v>
      </c>
      <c r="N93" s="17" t="s">
        <v>454</v>
      </c>
      <c r="O93" s="17"/>
      <c r="P93" s="17"/>
      <c r="Q93" s="17"/>
      <c r="R93" s="17"/>
      <c r="S93" s="17" t="e" cm="1">
        <f t="array" ref="S93">_xlfn.LET(_xlpm.r,_xlfn.XLOOKUP(1,MappingGuide[[#This Row],[API]:[API_3]],'[1]Squirrel SQL Export 1'!$K:$N,[1]!Table1[[#This Row],[Responsible from HJ]]),IF(_xlpm.r=0,"",_xlpm.r))</f>
        <v>#REF!</v>
      </c>
      <c r="T93" s="17"/>
      <c r="U93" s="17"/>
      <c r="V93" s="17" t="e" cm="1">
        <f t="array" ref="V93">_xlfn.LET(_xlpm.r,_xlfn.XLOOKUP(1,MappingGuide[[#This Row],[API]:[API_3]],'[1]Squirrel SQL Export 1'!$K:$N,[1]!Table1[[#This Row],[MDM Comments]]),IF(_xlpm.r=0,"",_xlpm.r))</f>
        <v>#REF!</v>
      </c>
      <c r="W93" s="17" t="e" cm="1">
        <f t="array" ref="W93">_xlfn.LET(_xlpm.r,_xlfn.XLOOKUP(1,MappingGuide[[#This Row],[API]:[API_3]],'[1]Squirrel SQL Export 1'!$K:$N,[1]!Table1[[#This Row],[Exists In Syndigo?]]),IF(_xlpm.r=0,"",_xlpm.r))</f>
        <v>#REF!</v>
      </c>
      <c r="X93" s="17" t="e" cm="1">
        <f t="array" ref="X93">_xlfn.LET(_xlpm.r,_xlfn.XLOOKUP(1,MappingGuide[[#This Row],[API]:[API_3]],'[1]Squirrel SQL Export 1'!$K:$N,[1]!Table1[[#This Row],[Syndigo Name]]),IF(_xlpm.r=0,"",_xlpm.r))</f>
        <v>#REF!</v>
      </c>
      <c r="Y93" s="17"/>
      <c r="Z93" s="17" t="s">
        <v>455</v>
      </c>
      <c r="AA93" s="17"/>
      <c r="AB93" s="17"/>
      <c r="AC93" s="17" t="e" cm="1">
        <f t="array" ref="AC93">_xlfn.XLOOKUP(1,MappingGuide[[#This Row],[API]:[API_3]],'[1]Squirrel SQL Export 1'!$K:$N,[1]!Table1[[#This Row],[Doppio Notes2]])</f>
        <v>#REF!</v>
      </c>
      <c r="AD93" s="17"/>
      <c r="AE93" s="17" t="e" cm="1">
        <f t="array" ref="AE93">_xlfn.XLOOKUP(1,MappingGuide[[#This Row],[API]:[API_3]],'[1]Squirrel SQL Export 1'!$K:$N,[1]!Table1[[#This Row],[DG_required]])</f>
        <v>#REF!</v>
      </c>
      <c r="AF93" s="21" t="s">
        <v>1306</v>
      </c>
      <c r="AG93" s="21"/>
      <c r="AH93" s="22" t="e" cm="1">
        <f t="array" ref="AH93">_xlfn.LET(_xlpm.r,_xlfn.XLOOKUP(1,MappingGuide[[#This Row],[API]:[API_3]],'[1]Squirrel SQL Export 1'!$K:$N,[1]!Table1[[#This Row],[Pending Items]]),IF(_xlpm.r=0,"",_xlpm.r))</f>
        <v>#REF!</v>
      </c>
      <c r="AI93" s="22" t="e" cm="1">
        <f t="array" ref="AI93">_xlfn.LET(_xlpm.r,_xlfn.XLOOKUP(1,MappingGuide[[#This Row],[API]:[API_3]],'[1]Squirrel SQL Export 1'!$K:$N,[1]!Table1[[#This Row],[Syndigo Name]]),IF(_xlpm.r=0,"",_xlpm.r))</f>
        <v>#REF!</v>
      </c>
      <c r="AJ93" s="17"/>
    </row>
    <row r="94" spans="1:36" ht="17" hidden="1">
      <c r="A94" s="17">
        <v>92</v>
      </c>
      <c r="B94" s="17" t="s">
        <v>40</v>
      </c>
      <c r="C94" s="17" t="s">
        <v>456</v>
      </c>
      <c r="D94" s="17" t="s">
        <v>457</v>
      </c>
      <c r="E94" s="17" t="s">
        <v>43</v>
      </c>
      <c r="F94" s="17" t="s">
        <v>80</v>
      </c>
      <c r="G94" s="17"/>
      <c r="H94" s="17"/>
      <c r="I94" s="17"/>
      <c r="J94" s="17"/>
      <c r="K94" s="17"/>
      <c r="L94" s="17"/>
      <c r="M94" s="17"/>
      <c r="N94" s="17" t="s">
        <v>458</v>
      </c>
      <c r="O94" s="17"/>
      <c r="P94" s="17"/>
      <c r="Q94" s="17"/>
      <c r="R94" s="17"/>
      <c r="S94" s="17" t="e" cm="1">
        <f t="array" ref="S94">_xlfn.LET(_xlpm.r,_xlfn.XLOOKUP(1,MappingGuide[[#This Row],[API]:[API_3]],'[1]Squirrel SQL Export 1'!$K:$N,[1]!Table1[[#This Row],[Responsible from HJ]]),IF(_xlpm.r=0,"",_xlpm.r))</f>
        <v>#REF!</v>
      </c>
      <c r="T94" s="17"/>
      <c r="U94" s="17"/>
      <c r="V94" s="17" t="e" cm="1">
        <f t="array" ref="V94">_xlfn.LET(_xlpm.r,_xlfn.XLOOKUP(1,MappingGuide[[#This Row],[API]:[API_3]],'[1]Squirrel SQL Export 1'!$K:$N,[1]!Table1[[#This Row],[MDM Comments]]),IF(_xlpm.r=0,"",_xlpm.r))</f>
        <v>#REF!</v>
      </c>
      <c r="W94" s="17" t="e" cm="1">
        <f t="array" ref="W94">_xlfn.LET(_xlpm.r,_xlfn.XLOOKUP(1,MappingGuide[[#This Row],[API]:[API_3]],'[1]Squirrel SQL Export 1'!$K:$N,[1]!Table1[[#This Row],[Exists In Syndigo?]]),IF(_xlpm.r=0,"",_xlpm.r))</f>
        <v>#REF!</v>
      </c>
      <c r="X94" s="17" t="e" cm="1">
        <f t="array" ref="X94">_xlfn.LET(_xlpm.r,_xlfn.XLOOKUP(1,MappingGuide[[#This Row],[API]:[API_3]],'[1]Squirrel SQL Export 1'!$K:$N,[1]!Table1[[#This Row],[Syndigo Name]]),IF(_xlpm.r=0,"",_xlpm.r))</f>
        <v>#REF!</v>
      </c>
      <c r="Y94" s="17"/>
      <c r="Z94" s="17"/>
      <c r="AA94" s="17"/>
      <c r="AB94" s="17"/>
      <c r="AC94" s="17" t="e" cm="1">
        <f t="array" ref="AC94">_xlfn.XLOOKUP(1,MappingGuide[[#This Row],[API]:[API_3]],'[1]Squirrel SQL Export 1'!$K:$N,[1]!Table1[[#This Row],[Doppio Notes2]])</f>
        <v>#REF!</v>
      </c>
      <c r="AD94" s="17"/>
      <c r="AE94" s="17" t="e" cm="1">
        <f t="array" ref="AE94">_xlfn.XLOOKUP(1,MappingGuide[[#This Row],[API]:[API_3]],'[1]Squirrel SQL Export 1'!$K:$N,[1]!Table1[[#This Row],[DG_required]])</f>
        <v>#REF!</v>
      </c>
      <c r="AF94" s="21" t="s">
        <v>1290</v>
      </c>
      <c r="AG94" s="21"/>
      <c r="AH94" s="22" t="e" cm="1">
        <f t="array" ref="AH94">_xlfn.LET(_xlpm.r,_xlfn.XLOOKUP(1,MappingGuide[[#This Row],[API]:[API_3]],'[1]Squirrel SQL Export 1'!$K:$N,[1]!Table1[[#This Row],[Pending Items]]),IF(_xlpm.r=0,"",_xlpm.r))</f>
        <v>#REF!</v>
      </c>
      <c r="AI94" s="22" t="e" cm="1">
        <f t="array" ref="AI94">_xlfn.LET(_xlpm.r,_xlfn.XLOOKUP(1,MappingGuide[[#This Row],[API]:[API_3]],'[1]Squirrel SQL Export 1'!$K:$N,[1]!Table1[[#This Row],[Syndigo Name]]),IF(_xlpm.r=0,"",_xlpm.r))</f>
        <v>#REF!</v>
      </c>
      <c r="AJ94" s="17"/>
    </row>
    <row r="95" spans="1:36" ht="17" hidden="1">
      <c r="A95" s="17">
        <v>93</v>
      </c>
      <c r="B95" s="17" t="s">
        <v>40</v>
      </c>
      <c r="C95" s="17" t="s">
        <v>459</v>
      </c>
      <c r="D95" s="17" t="s">
        <v>460</v>
      </c>
      <c r="E95" s="17" t="s">
        <v>43</v>
      </c>
      <c r="F95" s="17" t="s">
        <v>80</v>
      </c>
      <c r="G95" s="17"/>
      <c r="H95" s="17"/>
      <c r="I95" s="17"/>
      <c r="J95" s="17"/>
      <c r="K95" s="17"/>
      <c r="L95" s="17"/>
      <c r="M95" s="17"/>
      <c r="N95" s="17" t="s">
        <v>461</v>
      </c>
      <c r="O95" s="17"/>
      <c r="P95" s="17"/>
      <c r="Q95" s="17"/>
      <c r="R95" s="17"/>
      <c r="S95" s="17" t="e" cm="1">
        <f t="array" ref="S95">_xlfn.LET(_xlpm.r,_xlfn.XLOOKUP(1,MappingGuide[[#This Row],[API]:[API_3]],'[1]Squirrel SQL Export 1'!$K:$N,[1]!Table1[[#This Row],[Responsible from HJ]]),IF(_xlpm.r=0,"",_xlpm.r))</f>
        <v>#REF!</v>
      </c>
      <c r="T95" s="17"/>
      <c r="U95" s="17"/>
      <c r="V95" s="17" t="e" cm="1">
        <f t="array" ref="V95">_xlfn.LET(_xlpm.r,_xlfn.XLOOKUP(1,MappingGuide[[#This Row],[API]:[API_3]],'[1]Squirrel SQL Export 1'!$K:$N,[1]!Table1[[#This Row],[MDM Comments]]),IF(_xlpm.r=0,"",_xlpm.r))</f>
        <v>#REF!</v>
      </c>
      <c r="W95" s="17" t="e" cm="1">
        <f t="array" ref="W95">_xlfn.LET(_xlpm.r,_xlfn.XLOOKUP(1,MappingGuide[[#This Row],[API]:[API_3]],'[1]Squirrel SQL Export 1'!$K:$N,[1]!Table1[[#This Row],[Exists In Syndigo?]]),IF(_xlpm.r=0,"",_xlpm.r))</f>
        <v>#REF!</v>
      </c>
      <c r="X95" s="17" t="e" cm="1">
        <f t="array" ref="X95">_xlfn.LET(_xlpm.r,_xlfn.XLOOKUP(1,MappingGuide[[#This Row],[API]:[API_3]],'[1]Squirrel SQL Export 1'!$K:$N,[1]!Table1[[#This Row],[Syndigo Name]]),IF(_xlpm.r=0,"",_xlpm.r))</f>
        <v>#REF!</v>
      </c>
      <c r="Y95" s="17"/>
      <c r="Z95" s="17"/>
      <c r="AA95" s="17"/>
      <c r="AB95" s="17"/>
      <c r="AC95" s="17" t="e" cm="1">
        <f t="array" ref="AC95">_xlfn.XLOOKUP(1,MappingGuide[[#This Row],[API]:[API_3]],'[1]Squirrel SQL Export 1'!$K:$N,[1]!Table1[[#This Row],[Doppio Notes2]])</f>
        <v>#REF!</v>
      </c>
      <c r="AD95" s="17"/>
      <c r="AE95" s="17" t="e" cm="1">
        <f t="array" ref="AE95">_xlfn.XLOOKUP(1,MappingGuide[[#This Row],[API]:[API_3]],'[1]Squirrel SQL Export 1'!$K:$N,[1]!Table1[[#This Row],[DG_required]])</f>
        <v>#REF!</v>
      </c>
      <c r="AF95" s="21" t="s">
        <v>1290</v>
      </c>
      <c r="AG95" s="21"/>
      <c r="AH95" s="22" t="e" cm="1">
        <f t="array" ref="AH95">_xlfn.LET(_xlpm.r,_xlfn.XLOOKUP(1,MappingGuide[[#This Row],[API]:[API_3]],'[1]Squirrel SQL Export 1'!$K:$N,[1]!Table1[[#This Row],[Pending Items]]),IF(_xlpm.r=0,"",_xlpm.r))</f>
        <v>#REF!</v>
      </c>
      <c r="AI95" s="22" t="e" cm="1">
        <f t="array" ref="AI95">_xlfn.LET(_xlpm.r,_xlfn.XLOOKUP(1,MappingGuide[[#This Row],[API]:[API_3]],'[1]Squirrel SQL Export 1'!$K:$N,[1]!Table1[[#This Row],[Syndigo Name]]),IF(_xlpm.r=0,"",_xlpm.r))</f>
        <v>#REF!</v>
      </c>
      <c r="AJ95" s="17"/>
    </row>
    <row r="96" spans="1:36" ht="17" hidden="1">
      <c r="A96" s="17">
        <v>94</v>
      </c>
      <c r="B96" s="17" t="s">
        <v>40</v>
      </c>
      <c r="C96" s="17" t="s">
        <v>462</v>
      </c>
      <c r="D96" s="17" t="s">
        <v>463</v>
      </c>
      <c r="E96" s="17" t="s">
        <v>43</v>
      </c>
      <c r="F96" s="17" t="s">
        <v>80</v>
      </c>
      <c r="G96" s="17"/>
      <c r="H96" s="17"/>
      <c r="I96" s="17"/>
      <c r="J96" s="17"/>
      <c r="K96" s="17"/>
      <c r="L96" s="17"/>
      <c r="M96" s="17"/>
      <c r="N96" s="17" t="s">
        <v>464</v>
      </c>
      <c r="O96" s="17"/>
      <c r="P96" s="17"/>
      <c r="Q96" s="17"/>
      <c r="R96" s="17"/>
      <c r="S96" s="17" t="e" cm="1">
        <f t="array" ref="S96">_xlfn.LET(_xlpm.r,_xlfn.XLOOKUP(1,MappingGuide[[#This Row],[API]:[API_3]],'[1]Squirrel SQL Export 1'!$K:$N,[1]!Table1[[#This Row],[Responsible from HJ]]),IF(_xlpm.r=0,"",_xlpm.r))</f>
        <v>#REF!</v>
      </c>
      <c r="T96" s="17"/>
      <c r="U96" s="17"/>
      <c r="V96" s="17" t="e" cm="1">
        <f t="array" ref="V96">_xlfn.LET(_xlpm.r,_xlfn.XLOOKUP(1,MappingGuide[[#This Row],[API]:[API_3]],'[1]Squirrel SQL Export 1'!$K:$N,[1]!Table1[[#This Row],[MDM Comments]]),IF(_xlpm.r=0,"",_xlpm.r))</f>
        <v>#REF!</v>
      </c>
      <c r="W96" s="17" t="e" cm="1">
        <f t="array" ref="W96">_xlfn.LET(_xlpm.r,_xlfn.XLOOKUP(1,MappingGuide[[#This Row],[API]:[API_3]],'[1]Squirrel SQL Export 1'!$K:$N,[1]!Table1[[#This Row],[Exists In Syndigo?]]),IF(_xlpm.r=0,"",_xlpm.r))</f>
        <v>#REF!</v>
      </c>
      <c r="X96" s="17" t="e" cm="1">
        <f t="array" ref="X96">_xlfn.LET(_xlpm.r,_xlfn.XLOOKUP(1,MappingGuide[[#This Row],[API]:[API_3]],'[1]Squirrel SQL Export 1'!$K:$N,[1]!Table1[[#This Row],[Syndigo Name]]),IF(_xlpm.r=0,"",_xlpm.r))</f>
        <v>#REF!</v>
      </c>
      <c r="Y96" s="17"/>
      <c r="Z96" s="17"/>
      <c r="AA96" s="17"/>
      <c r="AB96" s="17"/>
      <c r="AC96" s="17" t="e" cm="1">
        <f t="array" ref="AC96">_xlfn.XLOOKUP(1,MappingGuide[[#This Row],[API]:[API_3]],'[1]Squirrel SQL Export 1'!$K:$N,[1]!Table1[[#This Row],[Doppio Notes2]])</f>
        <v>#REF!</v>
      </c>
      <c r="AD96" s="17"/>
      <c r="AE96" s="17" t="e" cm="1">
        <f t="array" ref="AE96">_xlfn.XLOOKUP(1,MappingGuide[[#This Row],[API]:[API_3]],'[1]Squirrel SQL Export 1'!$K:$N,[1]!Table1[[#This Row],[DG_required]])</f>
        <v>#REF!</v>
      </c>
      <c r="AF96" s="21" t="s">
        <v>1290</v>
      </c>
      <c r="AG96" s="21"/>
      <c r="AH96" s="22" t="e" cm="1">
        <f t="array" ref="AH96">_xlfn.LET(_xlpm.r,_xlfn.XLOOKUP(1,MappingGuide[[#This Row],[API]:[API_3]],'[1]Squirrel SQL Export 1'!$K:$N,[1]!Table1[[#This Row],[Pending Items]]),IF(_xlpm.r=0,"",_xlpm.r))</f>
        <v>#REF!</v>
      </c>
      <c r="AI96" s="22" t="e" cm="1">
        <f t="array" ref="AI96">_xlfn.LET(_xlpm.r,_xlfn.XLOOKUP(1,MappingGuide[[#This Row],[API]:[API_3]],'[1]Squirrel SQL Export 1'!$K:$N,[1]!Table1[[#This Row],[Syndigo Name]]),IF(_xlpm.r=0,"",_xlpm.r))</f>
        <v>#REF!</v>
      </c>
      <c r="AJ96" s="17"/>
    </row>
    <row r="97" spans="1:36" ht="17" hidden="1">
      <c r="A97" s="17">
        <v>95</v>
      </c>
      <c r="B97" s="17" t="s">
        <v>40</v>
      </c>
      <c r="C97" s="17" t="s">
        <v>465</v>
      </c>
      <c r="D97" s="17" t="s">
        <v>466</v>
      </c>
      <c r="E97" s="17" t="s">
        <v>43</v>
      </c>
      <c r="F97" s="17" t="s">
        <v>80</v>
      </c>
      <c r="G97" s="17"/>
      <c r="H97" s="17"/>
      <c r="I97" s="17"/>
      <c r="J97" s="17"/>
      <c r="K97" s="17"/>
      <c r="L97" s="17" t="s">
        <v>35</v>
      </c>
      <c r="M97" s="17" t="s">
        <v>36</v>
      </c>
      <c r="N97" s="17" t="s">
        <v>467</v>
      </c>
      <c r="O97" s="17"/>
      <c r="P97" s="17" t="s">
        <v>468</v>
      </c>
      <c r="Q97" s="17"/>
      <c r="R97" s="17"/>
      <c r="S97" s="17" t="e" cm="1">
        <f t="array" ref="S97">_xlfn.LET(_xlpm.r,_xlfn.XLOOKUP(1,MappingGuide[[#This Row],[API]:[API_3]],'[1]Squirrel SQL Export 1'!$K:$N,[1]!Table1[[#This Row],[Responsible from HJ]]),IF(_xlpm.r=0,"",_xlpm.r))</f>
        <v>#REF!</v>
      </c>
      <c r="T97" s="17"/>
      <c r="U97" s="17"/>
      <c r="V97" s="17" t="e" cm="1">
        <f t="array" ref="V97">_xlfn.LET(_xlpm.r,_xlfn.XLOOKUP(1,MappingGuide[[#This Row],[API]:[API_3]],'[1]Squirrel SQL Export 1'!$K:$N,[1]!Table1[[#This Row],[MDM Comments]]),IF(_xlpm.r=0,"",_xlpm.r))</f>
        <v>#REF!</v>
      </c>
      <c r="W97" s="17" t="e" cm="1">
        <f t="array" ref="W97">_xlfn.LET(_xlpm.r,_xlfn.XLOOKUP(1,MappingGuide[[#This Row],[API]:[API_3]],'[1]Squirrel SQL Export 1'!$K:$N,[1]!Table1[[#This Row],[Exists In Syndigo?]]),IF(_xlpm.r=0,"",_xlpm.r))</f>
        <v>#REF!</v>
      </c>
      <c r="X97" s="17" t="e" cm="1">
        <f t="array" ref="X97">_xlfn.LET(_xlpm.r,_xlfn.XLOOKUP(1,MappingGuide[[#This Row],[API]:[API_3]],'[1]Squirrel SQL Export 1'!$K:$N,[1]!Table1[[#This Row],[Syndigo Name]]),IF(_xlpm.r=0,"",_xlpm.r))</f>
        <v>#REF!</v>
      </c>
      <c r="Y97" s="17"/>
      <c r="Z97" s="17"/>
      <c r="AA97" s="17"/>
      <c r="AB97" s="17"/>
      <c r="AC97" s="17" t="e" cm="1">
        <f t="array" ref="AC97">_xlfn.XLOOKUP(1,MappingGuide[[#This Row],[API]:[API_3]],'[1]Squirrel SQL Export 1'!$K:$N,[1]!Table1[[#This Row],[Doppio Notes2]])</f>
        <v>#REF!</v>
      </c>
      <c r="AD97" s="17"/>
      <c r="AE97" s="17" t="e" cm="1">
        <f t="array" ref="AE97">_xlfn.XLOOKUP(1,MappingGuide[[#This Row],[API]:[API_3]],'[1]Squirrel SQL Export 1'!$K:$N,[1]!Table1[[#This Row],[DG_required]])</f>
        <v>#REF!</v>
      </c>
      <c r="AF97" s="21" t="s">
        <v>1290</v>
      </c>
      <c r="AG97" s="21"/>
      <c r="AH97" s="22" t="e" cm="1">
        <f t="array" ref="AH97">_xlfn.LET(_xlpm.r,_xlfn.XLOOKUP(1,MappingGuide[[#This Row],[API]:[API_3]],'[1]Squirrel SQL Export 1'!$K:$N,[1]!Table1[[#This Row],[Pending Items]]),IF(_xlpm.r=0,"",_xlpm.r))</f>
        <v>#REF!</v>
      </c>
      <c r="AI97" s="22" t="e" cm="1">
        <f t="array" ref="AI97">_xlfn.LET(_xlpm.r,_xlfn.XLOOKUP(1,MappingGuide[[#This Row],[API]:[API_3]],'[1]Squirrel SQL Export 1'!$K:$N,[1]!Table1[[#This Row],[Syndigo Name]]),IF(_xlpm.r=0,"",_xlpm.r))</f>
        <v>#REF!</v>
      </c>
      <c r="AJ97" s="17"/>
    </row>
    <row r="98" spans="1:36" ht="17" hidden="1">
      <c r="A98" s="17">
        <v>96</v>
      </c>
      <c r="B98" s="17" t="s">
        <v>40</v>
      </c>
      <c r="C98" s="17" t="s">
        <v>469</v>
      </c>
      <c r="D98" s="17" t="s">
        <v>470</v>
      </c>
      <c r="E98" s="17" t="s">
        <v>43</v>
      </c>
      <c r="F98" s="17" t="s">
        <v>80</v>
      </c>
      <c r="G98" s="17"/>
      <c r="H98" s="17"/>
      <c r="I98" s="17"/>
      <c r="J98" s="17"/>
      <c r="K98" s="17"/>
      <c r="L98" s="17"/>
      <c r="M98" s="17"/>
      <c r="N98" s="17" t="s">
        <v>471</v>
      </c>
      <c r="O98" s="17"/>
      <c r="P98" s="17"/>
      <c r="Q98" s="17"/>
      <c r="R98" s="17"/>
      <c r="S98" s="17" t="e" cm="1">
        <f t="array" ref="S98">_xlfn.LET(_xlpm.r,_xlfn.XLOOKUP(1,MappingGuide[[#This Row],[API]:[API_3]],'[1]Squirrel SQL Export 1'!$K:$N,[1]!Table1[[#This Row],[Responsible from HJ]]),IF(_xlpm.r=0,"",_xlpm.r))</f>
        <v>#REF!</v>
      </c>
      <c r="T98" s="17"/>
      <c r="U98" s="17"/>
      <c r="V98" s="17" t="e" cm="1">
        <f t="array" ref="V98">_xlfn.LET(_xlpm.r,_xlfn.XLOOKUP(1,MappingGuide[[#This Row],[API]:[API_3]],'[1]Squirrel SQL Export 1'!$K:$N,[1]!Table1[[#This Row],[MDM Comments]]),IF(_xlpm.r=0,"",_xlpm.r))</f>
        <v>#REF!</v>
      </c>
      <c r="W98" s="17" t="e" cm="1">
        <f t="array" ref="W98">_xlfn.LET(_xlpm.r,_xlfn.XLOOKUP(1,MappingGuide[[#This Row],[API]:[API_3]],'[1]Squirrel SQL Export 1'!$K:$N,[1]!Table1[[#This Row],[Exists In Syndigo?]]),IF(_xlpm.r=0,"",_xlpm.r))</f>
        <v>#REF!</v>
      </c>
      <c r="X98" s="17" t="e" cm="1">
        <f t="array" ref="X98">_xlfn.LET(_xlpm.r,_xlfn.XLOOKUP(1,MappingGuide[[#This Row],[API]:[API_3]],'[1]Squirrel SQL Export 1'!$K:$N,[1]!Table1[[#This Row],[Syndigo Name]]),IF(_xlpm.r=0,"",_xlpm.r))</f>
        <v>#REF!</v>
      </c>
      <c r="Y98" s="17"/>
      <c r="Z98" s="17"/>
      <c r="AA98" s="17"/>
      <c r="AB98" s="17"/>
      <c r="AC98" s="17" t="e" cm="1">
        <f t="array" ref="AC98">_xlfn.XLOOKUP(1,MappingGuide[[#This Row],[API]:[API_3]],'[1]Squirrel SQL Export 1'!$K:$N,[1]!Table1[[#This Row],[Doppio Notes2]])</f>
        <v>#REF!</v>
      </c>
      <c r="AD98" s="17"/>
      <c r="AE98" s="17" t="e" cm="1">
        <f t="array" ref="AE98">_xlfn.XLOOKUP(1,MappingGuide[[#This Row],[API]:[API_3]],'[1]Squirrel SQL Export 1'!$K:$N,[1]!Table1[[#This Row],[DG_required]])</f>
        <v>#REF!</v>
      </c>
      <c r="AF98" s="21" t="s">
        <v>1290</v>
      </c>
      <c r="AG98" s="21"/>
      <c r="AH98" s="22" t="e" cm="1">
        <f t="array" ref="AH98">_xlfn.LET(_xlpm.r,_xlfn.XLOOKUP(1,MappingGuide[[#This Row],[API]:[API_3]],'[1]Squirrel SQL Export 1'!$K:$N,[1]!Table1[[#This Row],[Pending Items]]),IF(_xlpm.r=0,"",_xlpm.r))</f>
        <v>#REF!</v>
      </c>
      <c r="AI98" s="22" t="e" cm="1">
        <f t="array" ref="AI98">_xlfn.LET(_xlpm.r,_xlfn.XLOOKUP(1,MappingGuide[[#This Row],[API]:[API_3]],'[1]Squirrel SQL Export 1'!$K:$N,[1]!Table1[[#This Row],[Syndigo Name]]),IF(_xlpm.r=0,"",_xlpm.r))</f>
        <v>#REF!</v>
      </c>
      <c r="AJ98" s="17"/>
    </row>
    <row r="99" spans="1:36" ht="17" hidden="1">
      <c r="A99" s="17">
        <v>97</v>
      </c>
      <c r="B99" s="17" t="s">
        <v>40</v>
      </c>
      <c r="C99" s="17" t="s">
        <v>472</v>
      </c>
      <c r="D99" s="17" t="s">
        <v>473</v>
      </c>
      <c r="E99" s="17" t="s">
        <v>43</v>
      </c>
      <c r="F99" s="17" t="s">
        <v>80</v>
      </c>
      <c r="G99" s="17"/>
      <c r="H99" s="17"/>
      <c r="I99" s="17"/>
      <c r="J99" s="17"/>
      <c r="K99" s="17"/>
      <c r="L99" s="17"/>
      <c r="M99" s="17"/>
      <c r="N99" s="17" t="s">
        <v>474</v>
      </c>
      <c r="O99" s="17"/>
      <c r="P99" s="17"/>
      <c r="Q99" s="17"/>
      <c r="R99" s="17"/>
      <c r="S99" s="17" t="e" cm="1">
        <f t="array" ref="S99">_xlfn.LET(_xlpm.r,_xlfn.XLOOKUP(1,MappingGuide[[#This Row],[API]:[API_3]],'[1]Squirrel SQL Export 1'!$K:$N,[1]!Table1[[#This Row],[Responsible from HJ]]),IF(_xlpm.r=0,"",_xlpm.r))</f>
        <v>#REF!</v>
      </c>
      <c r="T99" s="17"/>
      <c r="U99" s="17"/>
      <c r="V99" s="17" t="e" cm="1">
        <f t="array" ref="V99">_xlfn.LET(_xlpm.r,_xlfn.XLOOKUP(1,MappingGuide[[#This Row],[API]:[API_3]],'[1]Squirrel SQL Export 1'!$K:$N,[1]!Table1[[#This Row],[MDM Comments]]),IF(_xlpm.r=0,"",_xlpm.r))</f>
        <v>#REF!</v>
      </c>
      <c r="W99" s="17" t="e" cm="1">
        <f t="array" ref="W99">_xlfn.LET(_xlpm.r,_xlfn.XLOOKUP(1,MappingGuide[[#This Row],[API]:[API_3]],'[1]Squirrel SQL Export 1'!$K:$N,[1]!Table1[[#This Row],[Exists In Syndigo?]]),IF(_xlpm.r=0,"",_xlpm.r))</f>
        <v>#REF!</v>
      </c>
      <c r="X99" s="17" t="e" cm="1">
        <f t="array" ref="X99">_xlfn.LET(_xlpm.r,_xlfn.XLOOKUP(1,MappingGuide[[#This Row],[API]:[API_3]],'[1]Squirrel SQL Export 1'!$K:$N,[1]!Table1[[#This Row],[Syndigo Name]]),IF(_xlpm.r=0,"",_xlpm.r))</f>
        <v>#REF!</v>
      </c>
      <c r="Y99" s="17"/>
      <c r="Z99" s="17"/>
      <c r="AA99" s="17"/>
      <c r="AB99" s="17"/>
      <c r="AC99" s="17" t="e" cm="1">
        <f t="array" ref="AC99">_xlfn.XLOOKUP(1,MappingGuide[[#This Row],[API]:[API_3]],'[1]Squirrel SQL Export 1'!$K:$N,[1]!Table1[[#This Row],[Doppio Notes2]])</f>
        <v>#REF!</v>
      </c>
      <c r="AD99" s="17"/>
      <c r="AE99" s="17" t="e" cm="1">
        <f t="array" ref="AE99">_xlfn.XLOOKUP(1,MappingGuide[[#This Row],[API]:[API_3]],'[1]Squirrel SQL Export 1'!$K:$N,[1]!Table1[[#This Row],[DG_required]])</f>
        <v>#REF!</v>
      </c>
      <c r="AF99" s="21" t="s">
        <v>1290</v>
      </c>
      <c r="AG99" s="21"/>
      <c r="AH99" s="22" t="e" cm="1">
        <f t="array" ref="AH99">_xlfn.LET(_xlpm.r,_xlfn.XLOOKUP(1,MappingGuide[[#This Row],[API]:[API_3]],'[1]Squirrel SQL Export 1'!$K:$N,[1]!Table1[[#This Row],[Pending Items]]),IF(_xlpm.r=0,"",_xlpm.r))</f>
        <v>#REF!</v>
      </c>
      <c r="AI99" s="22" t="e" cm="1">
        <f t="array" ref="AI99">_xlfn.LET(_xlpm.r,_xlfn.XLOOKUP(1,MappingGuide[[#This Row],[API]:[API_3]],'[1]Squirrel SQL Export 1'!$K:$N,[1]!Table1[[#This Row],[Syndigo Name]]),IF(_xlpm.r=0,"",_xlpm.r))</f>
        <v>#REF!</v>
      </c>
      <c r="AJ99" s="17"/>
    </row>
    <row r="100" spans="1:36" ht="17" hidden="1">
      <c r="A100" s="17">
        <v>98</v>
      </c>
      <c r="B100" s="17" t="s">
        <v>40</v>
      </c>
      <c r="C100" s="17" t="s">
        <v>475</v>
      </c>
      <c r="D100" s="17" t="s">
        <v>476</v>
      </c>
      <c r="E100" s="17" t="s">
        <v>43</v>
      </c>
      <c r="F100" s="17" t="s">
        <v>80</v>
      </c>
      <c r="G100" s="17"/>
      <c r="H100" s="17"/>
      <c r="I100" s="17"/>
      <c r="J100" s="17"/>
      <c r="K100" s="17"/>
      <c r="L100" s="17"/>
      <c r="M100" s="17"/>
      <c r="N100" s="17" t="s">
        <v>477</v>
      </c>
      <c r="O100" s="17"/>
      <c r="P100" s="17"/>
      <c r="Q100" s="17"/>
      <c r="R100" s="17"/>
      <c r="S100" s="17" t="e" cm="1">
        <f t="array" ref="S100">_xlfn.LET(_xlpm.r,_xlfn.XLOOKUP(1,MappingGuide[[#This Row],[API]:[API_3]],'[1]Squirrel SQL Export 1'!$K:$N,[1]!Table1[[#This Row],[Responsible from HJ]]),IF(_xlpm.r=0,"",_xlpm.r))</f>
        <v>#REF!</v>
      </c>
      <c r="T100" s="17"/>
      <c r="U100" s="17"/>
      <c r="V100" s="17" t="e" cm="1">
        <f t="array" ref="V100">_xlfn.LET(_xlpm.r,_xlfn.XLOOKUP(1,MappingGuide[[#This Row],[API]:[API_3]],'[1]Squirrel SQL Export 1'!$K:$N,[1]!Table1[[#This Row],[MDM Comments]]),IF(_xlpm.r=0,"",_xlpm.r))</f>
        <v>#REF!</v>
      </c>
      <c r="W100" s="17" t="e" cm="1">
        <f t="array" ref="W100">_xlfn.LET(_xlpm.r,_xlfn.XLOOKUP(1,MappingGuide[[#This Row],[API]:[API_3]],'[1]Squirrel SQL Export 1'!$K:$N,[1]!Table1[[#This Row],[Exists In Syndigo?]]),IF(_xlpm.r=0,"",_xlpm.r))</f>
        <v>#REF!</v>
      </c>
      <c r="X100" s="17" t="e" cm="1">
        <f t="array" ref="X100">_xlfn.LET(_xlpm.r,_xlfn.XLOOKUP(1,MappingGuide[[#This Row],[API]:[API_3]],'[1]Squirrel SQL Export 1'!$K:$N,[1]!Table1[[#This Row],[Syndigo Name]]),IF(_xlpm.r=0,"",_xlpm.r))</f>
        <v>#REF!</v>
      </c>
      <c r="Y100" s="17"/>
      <c r="Z100" s="17"/>
      <c r="AA100" s="17"/>
      <c r="AB100" s="17"/>
      <c r="AC100" s="17" t="e" cm="1">
        <f t="array" ref="AC100">_xlfn.XLOOKUP(1,MappingGuide[[#This Row],[API]:[API_3]],'[1]Squirrel SQL Export 1'!$K:$N,[1]!Table1[[#This Row],[Doppio Notes2]])</f>
        <v>#REF!</v>
      </c>
      <c r="AD100" s="17"/>
      <c r="AE100" s="17" t="e" cm="1">
        <f t="array" ref="AE100">_xlfn.XLOOKUP(1,MappingGuide[[#This Row],[API]:[API_3]],'[1]Squirrel SQL Export 1'!$K:$N,[1]!Table1[[#This Row],[DG_required]])</f>
        <v>#REF!</v>
      </c>
      <c r="AF100" s="21" t="s">
        <v>1290</v>
      </c>
      <c r="AG100" s="21"/>
      <c r="AH100" s="22" t="e" cm="1">
        <f t="array" ref="AH100">_xlfn.LET(_xlpm.r,_xlfn.XLOOKUP(1,MappingGuide[[#This Row],[API]:[API_3]],'[1]Squirrel SQL Export 1'!$K:$N,[1]!Table1[[#This Row],[Pending Items]]),IF(_xlpm.r=0,"",_xlpm.r))</f>
        <v>#REF!</v>
      </c>
      <c r="AI100" s="22" t="e" cm="1">
        <f t="array" ref="AI100">_xlfn.LET(_xlpm.r,_xlfn.XLOOKUP(1,MappingGuide[[#This Row],[API]:[API_3]],'[1]Squirrel SQL Export 1'!$K:$N,[1]!Table1[[#This Row],[Syndigo Name]]),IF(_xlpm.r=0,"",_xlpm.r))</f>
        <v>#REF!</v>
      </c>
      <c r="AJ100" s="17"/>
    </row>
    <row r="101" spans="1:36" ht="17" hidden="1">
      <c r="A101" s="17">
        <v>99</v>
      </c>
      <c r="B101" s="17" t="s">
        <v>40</v>
      </c>
      <c r="C101" s="17" t="s">
        <v>478</v>
      </c>
      <c r="D101" s="17" t="s">
        <v>479</v>
      </c>
      <c r="E101" s="17" t="s">
        <v>33</v>
      </c>
      <c r="F101" s="17" t="s">
        <v>34</v>
      </c>
      <c r="G101" s="17"/>
      <c r="H101" s="17"/>
      <c r="I101" s="17" t="s">
        <v>57</v>
      </c>
      <c r="J101" s="17" t="s">
        <v>480</v>
      </c>
      <c r="K101" s="17"/>
      <c r="L101" s="17" t="s">
        <v>35</v>
      </c>
      <c r="M101" s="17" t="s">
        <v>36</v>
      </c>
      <c r="N101" s="17" t="s">
        <v>481</v>
      </c>
      <c r="O101" s="17"/>
      <c r="P101" s="17" t="s">
        <v>482</v>
      </c>
      <c r="Q101" s="17"/>
      <c r="R101" s="17"/>
      <c r="S101" s="17" t="e" cm="1">
        <f t="array" ref="S101">_xlfn.LET(_xlpm.r,_xlfn.XLOOKUP(1,MappingGuide[[#This Row],[API]:[API_3]],'[1]Squirrel SQL Export 1'!$K:$N,[1]!Table1[[#This Row],[Responsible from HJ]]),IF(_xlpm.r=0,"",_xlpm.r))</f>
        <v>#REF!</v>
      </c>
      <c r="T101" s="17"/>
      <c r="U101" s="17"/>
      <c r="V101" s="17" t="e" cm="1">
        <f t="array" ref="V101">_xlfn.LET(_xlpm.r,_xlfn.XLOOKUP(1,MappingGuide[[#This Row],[API]:[API_3]],'[1]Squirrel SQL Export 1'!$K:$N,[1]!Table1[[#This Row],[MDM Comments]]),IF(_xlpm.r=0,"",_xlpm.r))</f>
        <v>#REF!</v>
      </c>
      <c r="W101" s="17" t="e" cm="1">
        <f t="array" ref="W101">_xlfn.LET(_xlpm.r,_xlfn.XLOOKUP(1,MappingGuide[[#This Row],[API]:[API_3]],'[1]Squirrel SQL Export 1'!$K:$N,[1]!Table1[[#This Row],[Exists In Syndigo?]]),IF(_xlpm.r=0,"",_xlpm.r))</f>
        <v>#REF!</v>
      </c>
      <c r="X101" s="17" t="e" cm="1">
        <f t="array" ref="X101">_xlfn.LET(_xlpm.r,_xlfn.XLOOKUP(1,MappingGuide[[#This Row],[API]:[API_3]],'[1]Squirrel SQL Export 1'!$K:$N,[1]!Table1[[#This Row],[Syndigo Name]]),IF(_xlpm.r=0,"",_xlpm.r))</f>
        <v>#REF!</v>
      </c>
      <c r="Y101" s="17"/>
      <c r="Z101" s="17" t="s">
        <v>483</v>
      </c>
      <c r="AA101" s="17"/>
      <c r="AB101" s="17"/>
      <c r="AC101" s="17" t="e" cm="1">
        <f t="array" ref="AC101">_xlfn.XLOOKUP(1,MappingGuide[[#This Row],[API]:[API_3]],'[1]Squirrel SQL Export 1'!$K:$N,[1]!Table1[[#This Row],[Doppio Notes2]])</f>
        <v>#REF!</v>
      </c>
      <c r="AD101" s="17"/>
      <c r="AE101" s="17" t="e" cm="1">
        <f t="array" ref="AE101">_xlfn.XLOOKUP(1,MappingGuide[[#This Row],[API]:[API_3]],'[1]Squirrel SQL Export 1'!$K:$N,[1]!Table1[[#This Row],[DG_required]])</f>
        <v>#REF!</v>
      </c>
      <c r="AF101" s="21" t="s">
        <v>1306</v>
      </c>
      <c r="AG101" s="21"/>
      <c r="AH101" s="22" t="e" cm="1">
        <f t="array" ref="AH101">_xlfn.LET(_xlpm.r,_xlfn.XLOOKUP(1,MappingGuide[[#This Row],[API]:[API_3]],'[1]Squirrel SQL Export 1'!$K:$N,[1]!Table1[[#This Row],[Pending Items]]),IF(_xlpm.r=0,"",_xlpm.r))</f>
        <v>#REF!</v>
      </c>
      <c r="AI101" s="22" t="e" cm="1">
        <f t="array" ref="AI101">_xlfn.LET(_xlpm.r,_xlfn.XLOOKUP(1,MappingGuide[[#This Row],[API]:[API_3]],'[1]Squirrel SQL Export 1'!$K:$N,[1]!Table1[[#This Row],[Syndigo Name]]),IF(_xlpm.r=0,"",_xlpm.r))</f>
        <v>#REF!</v>
      </c>
      <c r="AJ101" s="17"/>
    </row>
    <row r="102" spans="1:36" ht="17" hidden="1">
      <c r="A102" s="17">
        <v>100</v>
      </c>
      <c r="B102" s="17" t="s">
        <v>40</v>
      </c>
      <c r="C102" s="17" t="s">
        <v>484</v>
      </c>
      <c r="D102" s="17" t="s">
        <v>485</v>
      </c>
      <c r="E102" s="17" t="s">
        <v>43</v>
      </c>
      <c r="F102" s="17" t="s">
        <v>341</v>
      </c>
      <c r="G102" s="17" t="s">
        <v>56</v>
      </c>
      <c r="H102" s="17"/>
      <c r="I102" s="17" t="s">
        <v>57</v>
      </c>
      <c r="J102" s="17" t="s">
        <v>480</v>
      </c>
      <c r="K102" s="17"/>
      <c r="L102" s="17" t="s">
        <v>35</v>
      </c>
      <c r="M102" s="17" t="s">
        <v>36</v>
      </c>
      <c r="N102" s="17" t="s">
        <v>486</v>
      </c>
      <c r="O102" s="17"/>
      <c r="P102" s="17" t="s">
        <v>487</v>
      </c>
      <c r="Q102" s="17"/>
      <c r="R102" s="17"/>
      <c r="S102" s="17" t="e" cm="1">
        <f t="array" ref="S102">_xlfn.LET(_xlpm.r,_xlfn.XLOOKUP(1,MappingGuide[[#This Row],[API]:[API_3]],'[1]Squirrel SQL Export 1'!$K:$N,[1]!Table1[[#This Row],[Responsible from HJ]]),IF(_xlpm.r=0,"",_xlpm.r))</f>
        <v>#REF!</v>
      </c>
      <c r="T102" s="17"/>
      <c r="U102" s="17"/>
      <c r="V102" s="17" t="e" cm="1">
        <f t="array" ref="V102">_xlfn.LET(_xlpm.r,_xlfn.XLOOKUP(1,MappingGuide[[#This Row],[API]:[API_3]],'[1]Squirrel SQL Export 1'!$K:$N,[1]!Table1[[#This Row],[MDM Comments]]),IF(_xlpm.r=0,"",_xlpm.r))</f>
        <v>#REF!</v>
      </c>
      <c r="W102" s="17" t="e" cm="1">
        <f t="array" ref="W102">_xlfn.LET(_xlpm.r,_xlfn.XLOOKUP(1,MappingGuide[[#This Row],[API]:[API_3]],'[1]Squirrel SQL Export 1'!$K:$N,[1]!Table1[[#This Row],[Exists In Syndigo?]]),IF(_xlpm.r=0,"",_xlpm.r))</f>
        <v>#REF!</v>
      </c>
      <c r="X102" s="17" t="e" cm="1">
        <f t="array" ref="X102">_xlfn.LET(_xlpm.r,_xlfn.XLOOKUP(1,MappingGuide[[#This Row],[API]:[API_3]],'[1]Squirrel SQL Export 1'!$K:$N,[1]!Table1[[#This Row],[Syndigo Name]]),IF(_xlpm.r=0,"",_xlpm.r))</f>
        <v>#REF!</v>
      </c>
      <c r="Y102" s="17"/>
      <c r="Z102" s="17" t="s">
        <v>483</v>
      </c>
      <c r="AA102" s="17"/>
      <c r="AB102" s="17"/>
      <c r="AC102" s="17" t="e" cm="1">
        <f t="array" ref="AC102">_xlfn.XLOOKUP(1,MappingGuide[[#This Row],[API]:[API_3]],'[1]Squirrel SQL Export 1'!$K:$N,[1]!Table1[[#This Row],[Doppio Notes2]])</f>
        <v>#REF!</v>
      </c>
      <c r="AD102" s="17"/>
      <c r="AE102" s="17" t="e" cm="1">
        <f t="array" ref="AE102">_xlfn.XLOOKUP(1,MappingGuide[[#This Row],[API]:[API_3]],'[1]Squirrel SQL Export 1'!$K:$N,[1]!Table1[[#This Row],[DG_required]])</f>
        <v>#REF!</v>
      </c>
      <c r="AF102" s="21" t="s">
        <v>1295</v>
      </c>
      <c r="AG102" s="21"/>
      <c r="AH102" s="22" t="e" cm="1">
        <f t="array" ref="AH102">_xlfn.LET(_xlpm.r,_xlfn.XLOOKUP(1,MappingGuide[[#This Row],[API]:[API_3]],'[1]Squirrel SQL Export 1'!$K:$N,[1]!Table1[[#This Row],[Pending Items]]),IF(_xlpm.r=0,"",_xlpm.r))</f>
        <v>#REF!</v>
      </c>
      <c r="AI102" s="22" t="e" cm="1">
        <f t="array" ref="AI102">_xlfn.LET(_xlpm.r,_xlfn.XLOOKUP(1,MappingGuide[[#This Row],[API]:[API_3]],'[1]Squirrel SQL Export 1'!$K:$N,[1]!Table1[[#This Row],[Syndigo Name]]),IF(_xlpm.r=0,"",_xlpm.r))</f>
        <v>#REF!</v>
      </c>
      <c r="AJ102" s="17"/>
    </row>
    <row r="103" spans="1:36" ht="17" hidden="1">
      <c r="A103" s="17">
        <v>101</v>
      </c>
      <c r="B103" s="17" t="s">
        <v>40</v>
      </c>
      <c r="C103" s="17" t="s">
        <v>488</v>
      </c>
      <c r="D103" s="17" t="s">
        <v>489</v>
      </c>
      <c r="E103" s="17" t="s">
        <v>33</v>
      </c>
      <c r="F103" s="17" t="s">
        <v>44</v>
      </c>
      <c r="G103" s="17"/>
      <c r="H103" s="17"/>
      <c r="I103" s="17" t="s">
        <v>57</v>
      </c>
      <c r="J103" s="17" t="s">
        <v>480</v>
      </c>
      <c r="K103" s="17"/>
      <c r="L103" s="17" t="s">
        <v>35</v>
      </c>
      <c r="M103" s="17" t="s">
        <v>36</v>
      </c>
      <c r="N103" s="17" t="s">
        <v>490</v>
      </c>
      <c r="O103" s="17"/>
      <c r="P103" s="17" t="s">
        <v>491</v>
      </c>
      <c r="Q103" s="17"/>
      <c r="R103" s="17"/>
      <c r="S103" s="17" t="e" cm="1">
        <f t="array" ref="S103">_xlfn.LET(_xlpm.r,_xlfn.XLOOKUP(1,MappingGuide[[#This Row],[API]:[API_3]],'[1]Squirrel SQL Export 1'!$K:$N,[1]!Table1[[#This Row],[Responsible from HJ]]),IF(_xlpm.r=0,"",_xlpm.r))</f>
        <v>#REF!</v>
      </c>
      <c r="T103" s="17"/>
      <c r="U103" s="17"/>
      <c r="V103" s="17" t="e" cm="1">
        <f t="array" ref="V103">_xlfn.LET(_xlpm.r,_xlfn.XLOOKUP(1,MappingGuide[[#This Row],[API]:[API_3]],'[1]Squirrel SQL Export 1'!$K:$N,[1]!Table1[[#This Row],[MDM Comments]]),IF(_xlpm.r=0,"",_xlpm.r))</f>
        <v>#REF!</v>
      </c>
      <c r="W103" s="17" t="e" cm="1">
        <f t="array" ref="W103">_xlfn.LET(_xlpm.r,_xlfn.XLOOKUP(1,MappingGuide[[#This Row],[API]:[API_3]],'[1]Squirrel SQL Export 1'!$K:$N,[1]!Table1[[#This Row],[Exists In Syndigo?]]),IF(_xlpm.r=0,"",_xlpm.r))</f>
        <v>#REF!</v>
      </c>
      <c r="X103" s="17" t="e" cm="1">
        <f t="array" ref="X103">_xlfn.LET(_xlpm.r,_xlfn.XLOOKUP(1,MappingGuide[[#This Row],[API]:[API_3]],'[1]Squirrel SQL Export 1'!$K:$N,[1]!Table1[[#This Row],[Syndigo Name]]),IF(_xlpm.r=0,"",_xlpm.r))</f>
        <v>#REF!</v>
      </c>
      <c r="Y103" s="17"/>
      <c r="Z103" s="17" t="s">
        <v>483</v>
      </c>
      <c r="AA103" s="17"/>
      <c r="AB103" s="17"/>
      <c r="AC103" s="17" t="e" cm="1">
        <f t="array" ref="AC103">_xlfn.XLOOKUP(1,MappingGuide[[#This Row],[API]:[API_3]],'[1]Squirrel SQL Export 1'!$K:$N,[1]!Table1[[#This Row],[Doppio Notes2]])</f>
        <v>#REF!</v>
      </c>
      <c r="AD103" s="17"/>
      <c r="AE103" s="17" t="e" cm="1">
        <f t="array" ref="AE103">_xlfn.XLOOKUP(1,MappingGuide[[#This Row],[API]:[API_3]],'[1]Squirrel SQL Export 1'!$K:$N,[1]!Table1[[#This Row],[DG_required]])</f>
        <v>#REF!</v>
      </c>
      <c r="AF103" s="21" t="s">
        <v>1306</v>
      </c>
      <c r="AG103" s="21"/>
      <c r="AH103" s="22" t="e" cm="1">
        <f t="array" ref="AH103">_xlfn.LET(_xlpm.r,_xlfn.XLOOKUP(1,MappingGuide[[#This Row],[API]:[API_3]],'[1]Squirrel SQL Export 1'!$K:$N,[1]!Table1[[#This Row],[Pending Items]]),IF(_xlpm.r=0,"",_xlpm.r))</f>
        <v>#REF!</v>
      </c>
      <c r="AI103" s="22" t="e" cm="1">
        <f t="array" ref="AI103">_xlfn.LET(_xlpm.r,_xlfn.XLOOKUP(1,MappingGuide[[#This Row],[API]:[API_3]],'[1]Squirrel SQL Export 1'!$K:$N,[1]!Table1[[#This Row],[Syndigo Name]]),IF(_xlpm.r=0,"",_xlpm.r))</f>
        <v>#REF!</v>
      </c>
      <c r="AJ103" s="17"/>
    </row>
    <row r="104" spans="1:36" ht="17" hidden="1">
      <c r="A104" s="17">
        <v>102</v>
      </c>
      <c r="B104" s="17" t="s">
        <v>40</v>
      </c>
      <c r="C104" s="17" t="s">
        <v>492</v>
      </c>
      <c r="D104" s="17" t="s">
        <v>493</v>
      </c>
      <c r="E104" s="17" t="s">
        <v>33</v>
      </c>
      <c r="F104" s="17" t="s">
        <v>213</v>
      </c>
      <c r="G104" s="17"/>
      <c r="H104" s="17"/>
      <c r="I104" s="17" t="s">
        <v>57</v>
      </c>
      <c r="J104" s="17" t="s">
        <v>480</v>
      </c>
      <c r="K104" s="17"/>
      <c r="L104" s="17" t="s">
        <v>35</v>
      </c>
      <c r="M104" s="17" t="s">
        <v>36</v>
      </c>
      <c r="N104" s="17" t="s">
        <v>494</v>
      </c>
      <c r="O104" s="17"/>
      <c r="P104" s="17" t="s">
        <v>495</v>
      </c>
      <c r="Q104" s="17"/>
      <c r="R104" s="17"/>
      <c r="S104" s="17" t="e" cm="1">
        <f t="array" ref="S104">_xlfn.LET(_xlpm.r,_xlfn.XLOOKUP(1,MappingGuide[[#This Row],[API]:[API_3]],'[1]Squirrel SQL Export 1'!$K:$N,[1]!Table1[[#This Row],[Responsible from HJ]]),IF(_xlpm.r=0,"",_xlpm.r))</f>
        <v>#REF!</v>
      </c>
      <c r="T104" s="17"/>
      <c r="U104" s="17"/>
      <c r="V104" s="17" t="e" cm="1">
        <f t="array" ref="V104">_xlfn.LET(_xlpm.r,_xlfn.XLOOKUP(1,MappingGuide[[#This Row],[API]:[API_3]],'[1]Squirrel SQL Export 1'!$K:$N,[1]!Table1[[#This Row],[MDM Comments]]),IF(_xlpm.r=0,"",_xlpm.r))</f>
        <v>#REF!</v>
      </c>
      <c r="W104" s="17" t="e" cm="1">
        <f t="array" ref="W104">_xlfn.LET(_xlpm.r,_xlfn.XLOOKUP(1,MappingGuide[[#This Row],[API]:[API_3]],'[1]Squirrel SQL Export 1'!$K:$N,[1]!Table1[[#This Row],[Exists In Syndigo?]]),IF(_xlpm.r=0,"",_xlpm.r))</f>
        <v>#REF!</v>
      </c>
      <c r="X104" s="17" t="e" cm="1">
        <f t="array" ref="X104">_xlfn.LET(_xlpm.r,_xlfn.XLOOKUP(1,MappingGuide[[#This Row],[API]:[API_3]],'[1]Squirrel SQL Export 1'!$K:$N,[1]!Table1[[#This Row],[Syndigo Name]]),IF(_xlpm.r=0,"",_xlpm.r))</f>
        <v>#REF!</v>
      </c>
      <c r="Y104" s="17"/>
      <c r="Z104" s="17" t="s">
        <v>483</v>
      </c>
      <c r="AA104" s="17"/>
      <c r="AB104" s="17"/>
      <c r="AC104" s="17" t="e" cm="1">
        <f t="array" ref="AC104">_xlfn.XLOOKUP(1,MappingGuide[[#This Row],[API]:[API_3]],'[1]Squirrel SQL Export 1'!$K:$N,[1]!Table1[[#This Row],[Doppio Notes2]])</f>
        <v>#REF!</v>
      </c>
      <c r="AD104" s="17"/>
      <c r="AE104" s="17" t="e" cm="1">
        <f t="array" ref="AE104">_xlfn.XLOOKUP(1,MappingGuide[[#This Row],[API]:[API_3]],'[1]Squirrel SQL Export 1'!$K:$N,[1]!Table1[[#This Row],[DG_required]])</f>
        <v>#REF!</v>
      </c>
      <c r="AF104" s="21" t="s">
        <v>1306</v>
      </c>
      <c r="AG104" s="21"/>
      <c r="AH104" s="22" t="e" cm="1">
        <f t="array" ref="AH104">_xlfn.LET(_xlpm.r,_xlfn.XLOOKUP(1,MappingGuide[[#This Row],[API]:[API_3]],'[1]Squirrel SQL Export 1'!$K:$N,[1]!Table1[[#This Row],[Pending Items]]),IF(_xlpm.r=0,"",_xlpm.r))</f>
        <v>#REF!</v>
      </c>
      <c r="AI104" s="22" t="e" cm="1">
        <f t="array" ref="AI104">_xlfn.LET(_xlpm.r,_xlfn.XLOOKUP(1,MappingGuide[[#This Row],[API]:[API_3]],'[1]Squirrel SQL Export 1'!$K:$N,[1]!Table1[[#This Row],[Syndigo Name]]),IF(_xlpm.r=0,"",_xlpm.r))</f>
        <v>#REF!</v>
      </c>
      <c r="AJ104" s="17"/>
    </row>
    <row r="105" spans="1:36" ht="17" hidden="1">
      <c r="A105" s="17">
        <v>103</v>
      </c>
      <c r="B105" s="17" t="s">
        <v>40</v>
      </c>
      <c r="C105" s="17" t="s">
        <v>496</v>
      </c>
      <c r="D105" s="17" t="s">
        <v>497</v>
      </c>
      <c r="E105" s="17" t="s">
        <v>33</v>
      </c>
      <c r="F105" s="17" t="s">
        <v>80</v>
      </c>
      <c r="G105" s="17"/>
      <c r="H105" s="17"/>
      <c r="I105" s="17" t="s">
        <v>57</v>
      </c>
      <c r="J105" s="17" t="s">
        <v>480</v>
      </c>
      <c r="K105" s="17"/>
      <c r="L105" s="17" t="s">
        <v>35</v>
      </c>
      <c r="M105" s="17" t="s">
        <v>36</v>
      </c>
      <c r="N105" s="17" t="s">
        <v>498</v>
      </c>
      <c r="O105" s="17"/>
      <c r="P105" s="17" t="s">
        <v>499</v>
      </c>
      <c r="Q105" s="17"/>
      <c r="R105" s="17"/>
      <c r="S105" s="17" t="e" cm="1">
        <f t="array" ref="S105">_xlfn.LET(_xlpm.r,_xlfn.XLOOKUP(1,MappingGuide[[#This Row],[API]:[API_3]],'[1]Squirrel SQL Export 1'!$K:$N,[1]!Table1[[#This Row],[Responsible from HJ]]),IF(_xlpm.r=0,"",_xlpm.r))</f>
        <v>#REF!</v>
      </c>
      <c r="T105" s="17"/>
      <c r="U105" s="17"/>
      <c r="V105" s="17" t="e" cm="1">
        <f t="array" ref="V105">_xlfn.LET(_xlpm.r,_xlfn.XLOOKUP(1,MappingGuide[[#This Row],[API]:[API_3]],'[1]Squirrel SQL Export 1'!$K:$N,[1]!Table1[[#This Row],[MDM Comments]]),IF(_xlpm.r=0,"",_xlpm.r))</f>
        <v>#REF!</v>
      </c>
      <c r="W105" s="17" t="e" cm="1">
        <f t="array" ref="W105">_xlfn.LET(_xlpm.r,_xlfn.XLOOKUP(1,MappingGuide[[#This Row],[API]:[API_3]],'[1]Squirrel SQL Export 1'!$K:$N,[1]!Table1[[#This Row],[Exists In Syndigo?]]),IF(_xlpm.r=0,"",_xlpm.r))</f>
        <v>#REF!</v>
      </c>
      <c r="X105" s="17" t="e" cm="1">
        <f t="array" ref="X105">_xlfn.LET(_xlpm.r,_xlfn.XLOOKUP(1,MappingGuide[[#This Row],[API]:[API_3]],'[1]Squirrel SQL Export 1'!$K:$N,[1]!Table1[[#This Row],[Syndigo Name]]),IF(_xlpm.r=0,"",_xlpm.r))</f>
        <v>#REF!</v>
      </c>
      <c r="Y105" s="17"/>
      <c r="Z105" s="17" t="s">
        <v>483</v>
      </c>
      <c r="AA105" s="17"/>
      <c r="AB105" s="17"/>
      <c r="AC105" s="17" t="e" cm="1">
        <f t="array" ref="AC105">_xlfn.XLOOKUP(1,MappingGuide[[#This Row],[API]:[API_3]],'[1]Squirrel SQL Export 1'!$K:$N,[1]!Table1[[#This Row],[Doppio Notes2]])</f>
        <v>#REF!</v>
      </c>
      <c r="AD105" s="17"/>
      <c r="AE105" s="17" t="e" cm="1">
        <f t="array" ref="AE105">_xlfn.XLOOKUP(1,MappingGuide[[#This Row],[API]:[API_3]],'[1]Squirrel SQL Export 1'!$K:$N,[1]!Table1[[#This Row],[DG_required]])</f>
        <v>#REF!</v>
      </c>
      <c r="AF105" s="21" t="s">
        <v>1306</v>
      </c>
      <c r="AG105" s="21"/>
      <c r="AH105" s="22" t="e" cm="1">
        <f t="array" ref="AH105">_xlfn.LET(_xlpm.r,_xlfn.XLOOKUP(1,MappingGuide[[#This Row],[API]:[API_3]],'[1]Squirrel SQL Export 1'!$K:$N,[1]!Table1[[#This Row],[Pending Items]]),IF(_xlpm.r=0,"",_xlpm.r))</f>
        <v>#REF!</v>
      </c>
      <c r="AI105" s="22" t="e" cm="1">
        <f t="array" ref="AI105">_xlfn.LET(_xlpm.r,_xlfn.XLOOKUP(1,MappingGuide[[#This Row],[API]:[API_3]],'[1]Squirrel SQL Export 1'!$K:$N,[1]!Table1[[#This Row],[Syndigo Name]]),IF(_xlpm.r=0,"",_xlpm.r))</f>
        <v>#REF!</v>
      </c>
      <c r="AJ105" s="17"/>
    </row>
    <row r="106" spans="1:36" ht="17" hidden="1">
      <c r="A106" s="17">
        <v>104</v>
      </c>
      <c r="B106" s="17" t="s">
        <v>40</v>
      </c>
      <c r="C106" s="17" t="s">
        <v>500</v>
      </c>
      <c r="D106" s="17" t="s">
        <v>501</v>
      </c>
      <c r="E106" s="17" t="s">
        <v>33</v>
      </c>
      <c r="F106" s="17" t="s">
        <v>34</v>
      </c>
      <c r="G106" s="17"/>
      <c r="H106" s="17"/>
      <c r="I106" s="17" t="s">
        <v>57</v>
      </c>
      <c r="J106" s="17" t="s">
        <v>480</v>
      </c>
      <c r="K106" s="17"/>
      <c r="L106" s="17" t="s">
        <v>35</v>
      </c>
      <c r="M106" s="17" t="s">
        <v>36</v>
      </c>
      <c r="N106" s="17" t="s">
        <v>502</v>
      </c>
      <c r="O106" s="17"/>
      <c r="P106" s="17" t="s">
        <v>503</v>
      </c>
      <c r="Q106" s="17"/>
      <c r="R106" s="17"/>
      <c r="S106" s="17" t="e" cm="1">
        <f t="array" ref="S106">_xlfn.LET(_xlpm.r,_xlfn.XLOOKUP(1,MappingGuide[[#This Row],[API]:[API_3]],'[1]Squirrel SQL Export 1'!$K:$N,[1]!Table1[[#This Row],[Responsible from HJ]]),IF(_xlpm.r=0,"",_xlpm.r))</f>
        <v>#REF!</v>
      </c>
      <c r="T106" s="17"/>
      <c r="U106" s="17"/>
      <c r="V106" s="17" t="e" cm="1">
        <f t="array" ref="V106">_xlfn.LET(_xlpm.r,_xlfn.XLOOKUP(1,MappingGuide[[#This Row],[API]:[API_3]],'[1]Squirrel SQL Export 1'!$K:$N,[1]!Table1[[#This Row],[MDM Comments]]),IF(_xlpm.r=0,"",_xlpm.r))</f>
        <v>#REF!</v>
      </c>
      <c r="W106" s="17" t="e" cm="1">
        <f t="array" ref="W106">_xlfn.LET(_xlpm.r,_xlfn.XLOOKUP(1,MappingGuide[[#This Row],[API]:[API_3]],'[1]Squirrel SQL Export 1'!$K:$N,[1]!Table1[[#This Row],[Exists In Syndigo?]]),IF(_xlpm.r=0,"",_xlpm.r))</f>
        <v>#REF!</v>
      </c>
      <c r="X106" s="17" t="e" cm="1">
        <f t="array" ref="X106">_xlfn.LET(_xlpm.r,_xlfn.XLOOKUP(1,MappingGuide[[#This Row],[API]:[API_3]],'[1]Squirrel SQL Export 1'!$K:$N,[1]!Table1[[#This Row],[Syndigo Name]]),IF(_xlpm.r=0,"",_xlpm.r))</f>
        <v>#REF!</v>
      </c>
      <c r="Y106" s="17"/>
      <c r="Z106" s="17" t="s">
        <v>483</v>
      </c>
      <c r="AA106" s="17"/>
      <c r="AB106" s="17"/>
      <c r="AC106" s="17" t="e" cm="1">
        <f t="array" ref="AC106">_xlfn.XLOOKUP(1,MappingGuide[[#This Row],[API]:[API_3]],'[1]Squirrel SQL Export 1'!$K:$N,[1]!Table1[[#This Row],[Doppio Notes2]])</f>
        <v>#REF!</v>
      </c>
      <c r="AD106" s="17"/>
      <c r="AE106" s="17" t="e" cm="1">
        <f t="array" ref="AE106">_xlfn.XLOOKUP(1,MappingGuide[[#This Row],[API]:[API_3]],'[1]Squirrel SQL Export 1'!$K:$N,[1]!Table1[[#This Row],[DG_required]])</f>
        <v>#REF!</v>
      </c>
      <c r="AF106" s="21" t="s">
        <v>1306</v>
      </c>
      <c r="AG106" s="21"/>
      <c r="AH106" s="22" t="e" cm="1">
        <f t="array" ref="AH106">_xlfn.LET(_xlpm.r,_xlfn.XLOOKUP(1,MappingGuide[[#This Row],[API]:[API_3]],'[1]Squirrel SQL Export 1'!$K:$N,[1]!Table1[[#This Row],[Pending Items]]),IF(_xlpm.r=0,"",_xlpm.r))</f>
        <v>#REF!</v>
      </c>
      <c r="AI106" s="22" t="e" cm="1">
        <f t="array" ref="AI106">_xlfn.LET(_xlpm.r,_xlfn.XLOOKUP(1,MappingGuide[[#This Row],[API]:[API_3]],'[1]Squirrel SQL Export 1'!$K:$N,[1]!Table1[[#This Row],[Syndigo Name]]),IF(_xlpm.r=0,"",_xlpm.r))</f>
        <v>#REF!</v>
      </c>
      <c r="AJ106" s="17"/>
    </row>
    <row r="107" spans="1:36" ht="17" hidden="1">
      <c r="A107" s="17">
        <v>105</v>
      </c>
      <c r="B107" s="17" t="s">
        <v>40</v>
      </c>
      <c r="C107" s="17" t="s">
        <v>504</v>
      </c>
      <c r="D107" s="17" t="s">
        <v>505</v>
      </c>
      <c r="E107" s="17" t="s">
        <v>43</v>
      </c>
      <c r="F107" s="17" t="s">
        <v>341</v>
      </c>
      <c r="G107" s="17" t="s">
        <v>56</v>
      </c>
      <c r="H107" s="17"/>
      <c r="I107" s="17" t="s">
        <v>57</v>
      </c>
      <c r="J107" s="17" t="s">
        <v>480</v>
      </c>
      <c r="K107" s="17"/>
      <c r="L107" s="17" t="s">
        <v>35</v>
      </c>
      <c r="M107" s="17" t="s">
        <v>36</v>
      </c>
      <c r="N107" s="17" t="s">
        <v>506</v>
      </c>
      <c r="O107" s="17"/>
      <c r="P107" s="17" t="s">
        <v>507</v>
      </c>
      <c r="Q107" s="17"/>
      <c r="R107" s="17"/>
      <c r="S107" s="17" t="e" cm="1">
        <f t="array" ref="S107">_xlfn.LET(_xlpm.r,_xlfn.XLOOKUP(1,MappingGuide[[#This Row],[API]:[API_3]],'[1]Squirrel SQL Export 1'!$K:$N,[1]!Table1[[#This Row],[Responsible from HJ]]),IF(_xlpm.r=0,"",_xlpm.r))</f>
        <v>#REF!</v>
      </c>
      <c r="T107" s="17"/>
      <c r="U107" s="17"/>
      <c r="V107" s="17" t="e" cm="1">
        <f t="array" ref="V107">_xlfn.LET(_xlpm.r,_xlfn.XLOOKUP(1,MappingGuide[[#This Row],[API]:[API_3]],'[1]Squirrel SQL Export 1'!$K:$N,[1]!Table1[[#This Row],[MDM Comments]]),IF(_xlpm.r=0,"",_xlpm.r))</f>
        <v>#REF!</v>
      </c>
      <c r="W107" s="17" t="e" cm="1">
        <f t="array" ref="W107">_xlfn.LET(_xlpm.r,_xlfn.XLOOKUP(1,MappingGuide[[#This Row],[API]:[API_3]],'[1]Squirrel SQL Export 1'!$K:$N,[1]!Table1[[#This Row],[Exists In Syndigo?]]),IF(_xlpm.r=0,"",_xlpm.r))</f>
        <v>#REF!</v>
      </c>
      <c r="X107" s="17" t="e" cm="1">
        <f t="array" ref="X107">_xlfn.LET(_xlpm.r,_xlfn.XLOOKUP(1,MappingGuide[[#This Row],[API]:[API_3]],'[1]Squirrel SQL Export 1'!$K:$N,[1]!Table1[[#This Row],[Syndigo Name]]),IF(_xlpm.r=0,"",_xlpm.r))</f>
        <v>#REF!</v>
      </c>
      <c r="Y107" s="17"/>
      <c r="Z107" s="17" t="s">
        <v>483</v>
      </c>
      <c r="AA107" s="17"/>
      <c r="AB107" s="17"/>
      <c r="AC107" s="17" t="e" cm="1">
        <f t="array" ref="AC107">_xlfn.XLOOKUP(1,MappingGuide[[#This Row],[API]:[API_3]],'[1]Squirrel SQL Export 1'!$K:$N,[1]!Table1[[#This Row],[Doppio Notes2]])</f>
        <v>#REF!</v>
      </c>
      <c r="AD107" s="17"/>
      <c r="AE107" s="17" t="e" cm="1">
        <f t="array" ref="AE107">_xlfn.XLOOKUP(1,MappingGuide[[#This Row],[API]:[API_3]],'[1]Squirrel SQL Export 1'!$K:$N,[1]!Table1[[#This Row],[DG_required]])</f>
        <v>#REF!</v>
      </c>
      <c r="AF107" s="21" t="s">
        <v>1295</v>
      </c>
      <c r="AG107" s="21"/>
      <c r="AH107" s="22" t="e" cm="1">
        <f t="array" ref="AH107">_xlfn.LET(_xlpm.r,_xlfn.XLOOKUP(1,MappingGuide[[#This Row],[API]:[API_3]],'[1]Squirrel SQL Export 1'!$K:$N,[1]!Table1[[#This Row],[Pending Items]]),IF(_xlpm.r=0,"",_xlpm.r))</f>
        <v>#REF!</v>
      </c>
      <c r="AI107" s="22" t="e" cm="1">
        <f t="array" ref="AI107">_xlfn.LET(_xlpm.r,_xlfn.XLOOKUP(1,MappingGuide[[#This Row],[API]:[API_3]],'[1]Squirrel SQL Export 1'!$K:$N,[1]!Table1[[#This Row],[Syndigo Name]]),IF(_xlpm.r=0,"",_xlpm.r))</f>
        <v>#REF!</v>
      </c>
      <c r="AJ107" s="17"/>
    </row>
    <row r="108" spans="1:36" ht="17" hidden="1">
      <c r="A108" s="17">
        <v>106</v>
      </c>
      <c r="B108" s="17" t="s">
        <v>40</v>
      </c>
      <c r="C108" s="17" t="s">
        <v>508</v>
      </c>
      <c r="D108" s="17" t="s">
        <v>509</v>
      </c>
      <c r="E108" s="17" t="s">
        <v>33</v>
      </c>
      <c r="F108" s="17" t="s">
        <v>44</v>
      </c>
      <c r="G108" s="17"/>
      <c r="H108" s="17"/>
      <c r="I108" s="17" t="s">
        <v>57</v>
      </c>
      <c r="J108" s="17" t="s">
        <v>480</v>
      </c>
      <c r="K108" s="17"/>
      <c r="L108" s="17" t="s">
        <v>35</v>
      </c>
      <c r="M108" s="17" t="s">
        <v>36</v>
      </c>
      <c r="N108" s="17" t="s">
        <v>510</v>
      </c>
      <c r="O108" s="17"/>
      <c r="P108" s="17" t="s">
        <v>511</v>
      </c>
      <c r="Q108" s="17"/>
      <c r="R108" s="17"/>
      <c r="S108" s="17" t="e" cm="1">
        <f t="array" ref="S108">_xlfn.LET(_xlpm.r,_xlfn.XLOOKUP(1,MappingGuide[[#This Row],[API]:[API_3]],'[1]Squirrel SQL Export 1'!$K:$N,[1]!Table1[[#This Row],[Responsible from HJ]]),IF(_xlpm.r=0,"",_xlpm.r))</f>
        <v>#REF!</v>
      </c>
      <c r="T108" s="17"/>
      <c r="U108" s="17"/>
      <c r="V108" s="17" t="e" cm="1">
        <f t="array" ref="V108">_xlfn.LET(_xlpm.r,_xlfn.XLOOKUP(1,MappingGuide[[#This Row],[API]:[API_3]],'[1]Squirrel SQL Export 1'!$K:$N,[1]!Table1[[#This Row],[MDM Comments]]),IF(_xlpm.r=0,"",_xlpm.r))</f>
        <v>#REF!</v>
      </c>
      <c r="W108" s="17" t="e" cm="1">
        <f t="array" ref="W108">_xlfn.LET(_xlpm.r,_xlfn.XLOOKUP(1,MappingGuide[[#This Row],[API]:[API_3]],'[1]Squirrel SQL Export 1'!$K:$N,[1]!Table1[[#This Row],[Exists In Syndigo?]]),IF(_xlpm.r=0,"",_xlpm.r))</f>
        <v>#REF!</v>
      </c>
      <c r="X108" s="17" t="e" cm="1">
        <f t="array" ref="X108">_xlfn.LET(_xlpm.r,_xlfn.XLOOKUP(1,MappingGuide[[#This Row],[API]:[API_3]],'[1]Squirrel SQL Export 1'!$K:$N,[1]!Table1[[#This Row],[Syndigo Name]]),IF(_xlpm.r=0,"",_xlpm.r))</f>
        <v>#REF!</v>
      </c>
      <c r="Y108" s="17"/>
      <c r="Z108" s="17" t="s">
        <v>483</v>
      </c>
      <c r="AA108" s="17"/>
      <c r="AB108" s="17"/>
      <c r="AC108" s="17" t="e" cm="1">
        <f t="array" ref="AC108">_xlfn.XLOOKUP(1,MappingGuide[[#This Row],[API]:[API_3]],'[1]Squirrel SQL Export 1'!$K:$N,[1]!Table1[[#This Row],[Doppio Notes2]])</f>
        <v>#REF!</v>
      </c>
      <c r="AD108" s="17"/>
      <c r="AE108" s="17" t="e" cm="1">
        <f t="array" ref="AE108">_xlfn.XLOOKUP(1,MappingGuide[[#This Row],[API]:[API_3]],'[1]Squirrel SQL Export 1'!$K:$N,[1]!Table1[[#This Row],[DG_required]])</f>
        <v>#REF!</v>
      </c>
      <c r="AF108" s="21" t="s">
        <v>1306</v>
      </c>
      <c r="AG108" s="21"/>
      <c r="AH108" s="22" t="e" cm="1">
        <f t="array" ref="AH108">_xlfn.LET(_xlpm.r,_xlfn.XLOOKUP(1,MappingGuide[[#This Row],[API]:[API_3]],'[1]Squirrel SQL Export 1'!$K:$N,[1]!Table1[[#This Row],[Pending Items]]),IF(_xlpm.r=0,"",_xlpm.r))</f>
        <v>#REF!</v>
      </c>
      <c r="AI108" s="22" t="e" cm="1">
        <f t="array" ref="AI108">_xlfn.LET(_xlpm.r,_xlfn.XLOOKUP(1,MappingGuide[[#This Row],[API]:[API_3]],'[1]Squirrel SQL Export 1'!$K:$N,[1]!Table1[[#This Row],[Syndigo Name]]),IF(_xlpm.r=0,"",_xlpm.r))</f>
        <v>#REF!</v>
      </c>
      <c r="AJ108" s="17"/>
    </row>
    <row r="109" spans="1:36" ht="17" hidden="1">
      <c r="A109" s="17">
        <v>107</v>
      </c>
      <c r="B109" s="17" t="s">
        <v>40</v>
      </c>
      <c r="C109" s="17" t="s">
        <v>512</v>
      </c>
      <c r="D109" s="17" t="s">
        <v>513</v>
      </c>
      <c r="E109" s="17" t="s">
        <v>33</v>
      </c>
      <c r="F109" s="17" t="s">
        <v>213</v>
      </c>
      <c r="G109" s="17"/>
      <c r="H109" s="17"/>
      <c r="I109" s="17" t="s">
        <v>57</v>
      </c>
      <c r="J109" s="17" t="s">
        <v>480</v>
      </c>
      <c r="K109" s="17"/>
      <c r="L109" s="17" t="s">
        <v>35</v>
      </c>
      <c r="M109" s="17" t="s">
        <v>36</v>
      </c>
      <c r="N109" s="17" t="s">
        <v>514</v>
      </c>
      <c r="O109" s="17"/>
      <c r="P109" s="17" t="s">
        <v>515</v>
      </c>
      <c r="Q109" s="17"/>
      <c r="R109" s="17"/>
      <c r="S109" s="17" t="e" cm="1">
        <f t="array" ref="S109">_xlfn.LET(_xlpm.r,_xlfn.XLOOKUP(1,MappingGuide[[#This Row],[API]:[API_3]],'[1]Squirrel SQL Export 1'!$K:$N,[1]!Table1[[#This Row],[Responsible from HJ]]),IF(_xlpm.r=0,"",_xlpm.r))</f>
        <v>#REF!</v>
      </c>
      <c r="T109" s="17"/>
      <c r="U109" s="17"/>
      <c r="V109" s="17" t="e" cm="1">
        <f t="array" ref="V109">_xlfn.LET(_xlpm.r,_xlfn.XLOOKUP(1,MappingGuide[[#This Row],[API]:[API_3]],'[1]Squirrel SQL Export 1'!$K:$N,[1]!Table1[[#This Row],[MDM Comments]]),IF(_xlpm.r=0,"",_xlpm.r))</f>
        <v>#REF!</v>
      </c>
      <c r="W109" s="17" t="e" cm="1">
        <f t="array" ref="W109">_xlfn.LET(_xlpm.r,_xlfn.XLOOKUP(1,MappingGuide[[#This Row],[API]:[API_3]],'[1]Squirrel SQL Export 1'!$K:$N,[1]!Table1[[#This Row],[Exists In Syndigo?]]),IF(_xlpm.r=0,"",_xlpm.r))</f>
        <v>#REF!</v>
      </c>
      <c r="X109" s="17" t="e" cm="1">
        <f t="array" ref="X109">_xlfn.LET(_xlpm.r,_xlfn.XLOOKUP(1,MappingGuide[[#This Row],[API]:[API_3]],'[1]Squirrel SQL Export 1'!$K:$N,[1]!Table1[[#This Row],[Syndigo Name]]),IF(_xlpm.r=0,"",_xlpm.r))</f>
        <v>#REF!</v>
      </c>
      <c r="Y109" s="17"/>
      <c r="Z109" s="17" t="s">
        <v>483</v>
      </c>
      <c r="AA109" s="17"/>
      <c r="AB109" s="17"/>
      <c r="AC109" s="17" t="e" cm="1">
        <f t="array" ref="AC109">_xlfn.XLOOKUP(1,MappingGuide[[#This Row],[API]:[API_3]],'[1]Squirrel SQL Export 1'!$K:$N,[1]!Table1[[#This Row],[Doppio Notes2]])</f>
        <v>#REF!</v>
      </c>
      <c r="AD109" s="17"/>
      <c r="AE109" s="17" t="e" cm="1">
        <f t="array" ref="AE109">_xlfn.XLOOKUP(1,MappingGuide[[#This Row],[API]:[API_3]],'[1]Squirrel SQL Export 1'!$K:$N,[1]!Table1[[#This Row],[DG_required]])</f>
        <v>#REF!</v>
      </c>
      <c r="AF109" s="21" t="s">
        <v>1306</v>
      </c>
      <c r="AG109" s="21"/>
      <c r="AH109" s="22" t="e" cm="1">
        <f t="array" ref="AH109">_xlfn.LET(_xlpm.r,_xlfn.XLOOKUP(1,MappingGuide[[#This Row],[API]:[API_3]],'[1]Squirrel SQL Export 1'!$K:$N,[1]!Table1[[#This Row],[Pending Items]]),IF(_xlpm.r=0,"",_xlpm.r))</f>
        <v>#REF!</v>
      </c>
      <c r="AI109" s="22" t="e" cm="1">
        <f t="array" ref="AI109">_xlfn.LET(_xlpm.r,_xlfn.XLOOKUP(1,MappingGuide[[#This Row],[API]:[API_3]],'[1]Squirrel SQL Export 1'!$K:$N,[1]!Table1[[#This Row],[Syndigo Name]]),IF(_xlpm.r=0,"",_xlpm.r))</f>
        <v>#REF!</v>
      </c>
      <c r="AJ109" s="17"/>
    </row>
    <row r="110" spans="1:36" ht="17" hidden="1">
      <c r="A110" s="17">
        <v>108</v>
      </c>
      <c r="B110" s="17" t="s">
        <v>40</v>
      </c>
      <c r="C110" s="17" t="s">
        <v>516</v>
      </c>
      <c r="D110" s="17" t="s">
        <v>517</v>
      </c>
      <c r="E110" s="17" t="s">
        <v>33</v>
      </c>
      <c r="F110" s="17" t="s">
        <v>80</v>
      </c>
      <c r="G110" s="17"/>
      <c r="H110" s="17"/>
      <c r="I110" s="17" t="s">
        <v>57</v>
      </c>
      <c r="J110" s="17" t="s">
        <v>480</v>
      </c>
      <c r="K110" s="17"/>
      <c r="L110" s="17" t="s">
        <v>35</v>
      </c>
      <c r="M110" s="17" t="s">
        <v>36</v>
      </c>
      <c r="N110" s="17" t="s">
        <v>518</v>
      </c>
      <c r="O110" s="17"/>
      <c r="P110" s="17" t="s">
        <v>519</v>
      </c>
      <c r="Q110" s="17"/>
      <c r="R110" s="17"/>
      <c r="S110" s="17" t="e" cm="1">
        <f t="array" ref="S110">_xlfn.LET(_xlpm.r,_xlfn.XLOOKUP(1,MappingGuide[[#This Row],[API]:[API_3]],'[1]Squirrel SQL Export 1'!$K:$N,[1]!Table1[[#This Row],[Responsible from HJ]]),IF(_xlpm.r=0,"",_xlpm.r))</f>
        <v>#REF!</v>
      </c>
      <c r="T110" s="17"/>
      <c r="U110" s="17"/>
      <c r="V110" s="17" t="e" cm="1">
        <f t="array" ref="V110">_xlfn.LET(_xlpm.r,_xlfn.XLOOKUP(1,MappingGuide[[#This Row],[API]:[API_3]],'[1]Squirrel SQL Export 1'!$K:$N,[1]!Table1[[#This Row],[MDM Comments]]),IF(_xlpm.r=0,"",_xlpm.r))</f>
        <v>#REF!</v>
      </c>
      <c r="W110" s="17" t="e" cm="1">
        <f t="array" ref="W110">_xlfn.LET(_xlpm.r,_xlfn.XLOOKUP(1,MappingGuide[[#This Row],[API]:[API_3]],'[1]Squirrel SQL Export 1'!$K:$N,[1]!Table1[[#This Row],[Exists In Syndigo?]]),IF(_xlpm.r=0,"",_xlpm.r))</f>
        <v>#REF!</v>
      </c>
      <c r="X110" s="17" t="e" cm="1">
        <f t="array" ref="X110">_xlfn.LET(_xlpm.r,_xlfn.XLOOKUP(1,MappingGuide[[#This Row],[API]:[API_3]],'[1]Squirrel SQL Export 1'!$K:$N,[1]!Table1[[#This Row],[Syndigo Name]]),IF(_xlpm.r=0,"",_xlpm.r))</f>
        <v>#REF!</v>
      </c>
      <c r="Y110" s="17"/>
      <c r="Z110" s="17" t="s">
        <v>483</v>
      </c>
      <c r="AA110" s="17"/>
      <c r="AB110" s="17"/>
      <c r="AC110" s="17" t="e" cm="1">
        <f t="array" ref="AC110">_xlfn.XLOOKUP(1,MappingGuide[[#This Row],[API]:[API_3]],'[1]Squirrel SQL Export 1'!$K:$N,[1]!Table1[[#This Row],[Doppio Notes2]])</f>
        <v>#REF!</v>
      </c>
      <c r="AD110" s="17"/>
      <c r="AE110" s="17" t="e" cm="1">
        <f t="array" ref="AE110">_xlfn.XLOOKUP(1,MappingGuide[[#This Row],[API]:[API_3]],'[1]Squirrel SQL Export 1'!$K:$N,[1]!Table1[[#This Row],[DG_required]])</f>
        <v>#REF!</v>
      </c>
      <c r="AF110" s="21" t="s">
        <v>1306</v>
      </c>
      <c r="AG110" s="21"/>
      <c r="AH110" s="22" t="e" cm="1">
        <f t="array" ref="AH110">_xlfn.LET(_xlpm.r,_xlfn.XLOOKUP(1,MappingGuide[[#This Row],[API]:[API_3]],'[1]Squirrel SQL Export 1'!$K:$N,[1]!Table1[[#This Row],[Pending Items]]),IF(_xlpm.r=0,"",_xlpm.r))</f>
        <v>#REF!</v>
      </c>
      <c r="AI110" s="22" t="e" cm="1">
        <f t="array" ref="AI110">_xlfn.LET(_xlpm.r,_xlfn.XLOOKUP(1,MappingGuide[[#This Row],[API]:[API_3]],'[1]Squirrel SQL Export 1'!$K:$N,[1]!Table1[[#This Row],[Syndigo Name]]),IF(_xlpm.r=0,"",_xlpm.r))</f>
        <v>#REF!</v>
      </c>
      <c r="AJ110" s="17"/>
    </row>
    <row r="111" spans="1:36" ht="17" hidden="1">
      <c r="A111" s="17">
        <v>109</v>
      </c>
      <c r="B111" s="17" t="s">
        <v>40</v>
      </c>
      <c r="C111" s="17" t="s">
        <v>520</v>
      </c>
      <c r="D111" s="17" t="s">
        <v>521</v>
      </c>
      <c r="E111" s="17" t="s">
        <v>33</v>
      </c>
      <c r="F111" s="17" t="s">
        <v>373</v>
      </c>
      <c r="G111" s="17"/>
      <c r="H111" s="17"/>
      <c r="I111" s="17" t="s">
        <v>57</v>
      </c>
      <c r="J111" s="17" t="s">
        <v>58</v>
      </c>
      <c r="K111" s="17"/>
      <c r="L111" s="17" t="s">
        <v>35</v>
      </c>
      <c r="M111" s="17" t="s">
        <v>522</v>
      </c>
      <c r="N111" s="17" t="s">
        <v>523</v>
      </c>
      <c r="O111" s="17"/>
      <c r="P111" s="17"/>
      <c r="Q111" s="17"/>
      <c r="R111" s="17"/>
      <c r="S111" s="17" t="e" cm="1">
        <f t="array" ref="S111">_xlfn.LET(_xlpm.r,_xlfn.XLOOKUP(1,MappingGuide[[#This Row],[API]:[API_3]],'[1]Squirrel SQL Export 1'!$K:$N,[1]!Table1[[#This Row],[Responsible from HJ]]),IF(_xlpm.r=0,"",_xlpm.r))</f>
        <v>#REF!</v>
      </c>
      <c r="T111" s="17"/>
      <c r="U111" s="17"/>
      <c r="V111" s="17" t="e" cm="1">
        <f t="array" ref="V111">_xlfn.LET(_xlpm.r,_xlfn.XLOOKUP(1,MappingGuide[[#This Row],[API]:[API_3]],'[1]Squirrel SQL Export 1'!$K:$N,[1]!Table1[[#This Row],[MDM Comments]]),IF(_xlpm.r=0,"",_xlpm.r))</f>
        <v>#REF!</v>
      </c>
      <c r="W111" s="17" t="e" cm="1">
        <f t="array" ref="W111">_xlfn.LET(_xlpm.r,_xlfn.XLOOKUP(1,MappingGuide[[#This Row],[API]:[API_3]],'[1]Squirrel SQL Export 1'!$K:$N,[1]!Table1[[#This Row],[Exists In Syndigo?]]),IF(_xlpm.r=0,"",_xlpm.r))</f>
        <v>#REF!</v>
      </c>
      <c r="X111" s="17" t="e" cm="1">
        <f t="array" ref="X111">_xlfn.LET(_xlpm.r,_xlfn.XLOOKUP(1,MappingGuide[[#This Row],[API]:[API_3]],'[1]Squirrel SQL Export 1'!$K:$N,[1]!Table1[[#This Row],[Syndigo Name]]),IF(_xlpm.r=0,"",_xlpm.r))</f>
        <v>#REF!</v>
      </c>
      <c r="Y111" s="17"/>
      <c r="Z111" s="17" t="s">
        <v>524</v>
      </c>
      <c r="AA111" s="17"/>
      <c r="AB111" s="17"/>
      <c r="AC111" s="17" t="e" cm="1">
        <f t="array" ref="AC111">_xlfn.XLOOKUP(1,MappingGuide[[#This Row],[API]:[API_3]],'[1]Squirrel SQL Export 1'!$K:$N,[1]!Table1[[#This Row],[Doppio Notes2]])</f>
        <v>#REF!</v>
      </c>
      <c r="AD111" s="17"/>
      <c r="AE111" s="17" t="e" cm="1">
        <f t="array" ref="AE111">_xlfn.XLOOKUP(1,MappingGuide[[#This Row],[API]:[API_3]],'[1]Squirrel SQL Export 1'!$K:$N,[1]!Table1[[#This Row],[DG_required]])</f>
        <v>#REF!</v>
      </c>
      <c r="AF111" s="21" t="s">
        <v>1306</v>
      </c>
      <c r="AG111" s="21"/>
      <c r="AH111" s="22" t="e" cm="1">
        <f t="array" ref="AH111">_xlfn.LET(_xlpm.r,_xlfn.XLOOKUP(1,MappingGuide[[#This Row],[API]:[API_3]],'[1]Squirrel SQL Export 1'!$K:$N,[1]!Table1[[#This Row],[Pending Items]]),IF(_xlpm.r=0,"",_xlpm.r))</f>
        <v>#REF!</v>
      </c>
      <c r="AI111" s="22" t="e" cm="1">
        <f t="array" ref="AI111">_xlfn.LET(_xlpm.r,_xlfn.XLOOKUP(1,MappingGuide[[#This Row],[API]:[API_3]],'[1]Squirrel SQL Export 1'!$K:$N,[1]!Table1[[#This Row],[Syndigo Name]]),IF(_xlpm.r=0,"",_xlpm.r))</f>
        <v>#REF!</v>
      </c>
      <c r="AJ111" s="17"/>
    </row>
    <row r="112" spans="1:36" ht="17" hidden="1">
      <c r="A112" s="17">
        <v>110</v>
      </c>
      <c r="B112" s="17" t="s">
        <v>40</v>
      </c>
      <c r="C112" s="17" t="s">
        <v>525</v>
      </c>
      <c r="D112" s="17" t="s">
        <v>526</v>
      </c>
      <c r="E112" s="17" t="s">
        <v>33</v>
      </c>
      <c r="F112" s="17" t="s">
        <v>373</v>
      </c>
      <c r="G112" s="17"/>
      <c r="H112" s="17"/>
      <c r="I112" s="17" t="s">
        <v>57</v>
      </c>
      <c r="J112" s="17" t="s">
        <v>58</v>
      </c>
      <c r="K112" s="17"/>
      <c r="L112" s="17" t="s">
        <v>35</v>
      </c>
      <c r="M112" s="17" t="s">
        <v>522</v>
      </c>
      <c r="N112" s="17" t="s">
        <v>527</v>
      </c>
      <c r="O112" s="17"/>
      <c r="P112" s="17"/>
      <c r="Q112" s="17"/>
      <c r="R112" s="17"/>
      <c r="S112" s="17" t="e" cm="1">
        <f t="array" ref="S112">_xlfn.LET(_xlpm.r,_xlfn.XLOOKUP(1,MappingGuide[[#This Row],[API]:[API_3]],'[1]Squirrel SQL Export 1'!$K:$N,[1]!Table1[[#This Row],[Responsible from HJ]]),IF(_xlpm.r=0,"",_xlpm.r))</f>
        <v>#REF!</v>
      </c>
      <c r="T112" s="17"/>
      <c r="U112" s="17"/>
      <c r="V112" s="17" t="e" cm="1">
        <f t="array" ref="V112">_xlfn.LET(_xlpm.r,_xlfn.XLOOKUP(1,MappingGuide[[#This Row],[API]:[API_3]],'[1]Squirrel SQL Export 1'!$K:$N,[1]!Table1[[#This Row],[MDM Comments]]),IF(_xlpm.r=0,"",_xlpm.r))</f>
        <v>#REF!</v>
      </c>
      <c r="W112" s="17" t="e" cm="1">
        <f t="array" ref="W112">_xlfn.LET(_xlpm.r,_xlfn.XLOOKUP(1,MappingGuide[[#This Row],[API]:[API_3]],'[1]Squirrel SQL Export 1'!$K:$N,[1]!Table1[[#This Row],[Exists In Syndigo?]]),IF(_xlpm.r=0,"",_xlpm.r))</f>
        <v>#REF!</v>
      </c>
      <c r="X112" s="17" t="e" cm="1">
        <f t="array" ref="X112">_xlfn.LET(_xlpm.r,_xlfn.XLOOKUP(1,MappingGuide[[#This Row],[API]:[API_3]],'[1]Squirrel SQL Export 1'!$K:$N,[1]!Table1[[#This Row],[Syndigo Name]]),IF(_xlpm.r=0,"",_xlpm.r))</f>
        <v>#REF!</v>
      </c>
      <c r="Y112" s="17"/>
      <c r="Z112" s="17" t="s">
        <v>528</v>
      </c>
      <c r="AA112" s="17"/>
      <c r="AB112" s="17"/>
      <c r="AC112" s="17" t="e" cm="1">
        <f t="array" ref="AC112">_xlfn.XLOOKUP(1,MappingGuide[[#This Row],[API]:[API_3]],'[1]Squirrel SQL Export 1'!$K:$N,[1]!Table1[[#This Row],[Doppio Notes2]])</f>
        <v>#REF!</v>
      </c>
      <c r="AD112" s="17"/>
      <c r="AE112" s="17" t="e" cm="1">
        <f t="array" ref="AE112">_xlfn.XLOOKUP(1,MappingGuide[[#This Row],[API]:[API_3]],'[1]Squirrel SQL Export 1'!$K:$N,[1]!Table1[[#This Row],[DG_required]])</f>
        <v>#REF!</v>
      </c>
      <c r="AF112" s="21" t="s">
        <v>1306</v>
      </c>
      <c r="AG112" s="21"/>
      <c r="AH112" s="22" t="e" cm="1">
        <f t="array" ref="AH112">_xlfn.LET(_xlpm.r,_xlfn.XLOOKUP(1,MappingGuide[[#This Row],[API]:[API_3]],'[1]Squirrel SQL Export 1'!$K:$N,[1]!Table1[[#This Row],[Pending Items]]),IF(_xlpm.r=0,"",_xlpm.r))</f>
        <v>#REF!</v>
      </c>
      <c r="AI112" s="22" t="e" cm="1">
        <f t="array" ref="AI112">_xlfn.LET(_xlpm.r,_xlfn.XLOOKUP(1,MappingGuide[[#This Row],[API]:[API_3]],'[1]Squirrel SQL Export 1'!$K:$N,[1]!Table1[[#This Row],[Syndigo Name]]),IF(_xlpm.r=0,"",_xlpm.r))</f>
        <v>#REF!</v>
      </c>
      <c r="AJ112" s="17"/>
    </row>
    <row r="113" spans="1:36" ht="17" hidden="1">
      <c r="A113" s="17">
        <v>111</v>
      </c>
      <c r="B113" s="17" t="s">
        <v>40</v>
      </c>
      <c r="C113" s="17" t="s">
        <v>529</v>
      </c>
      <c r="D113" s="17" t="s">
        <v>530</v>
      </c>
      <c r="E113" s="17" t="s">
        <v>33</v>
      </c>
      <c r="F113" s="17" t="s">
        <v>34</v>
      </c>
      <c r="G113" s="17"/>
      <c r="H113" s="17"/>
      <c r="I113" s="17" t="s">
        <v>57</v>
      </c>
      <c r="J113" s="17" t="s">
        <v>58</v>
      </c>
      <c r="K113" s="17"/>
      <c r="L113" s="17" t="s">
        <v>35</v>
      </c>
      <c r="M113" s="17" t="s">
        <v>522</v>
      </c>
      <c r="N113" s="17" t="s">
        <v>531</v>
      </c>
      <c r="O113" s="17"/>
      <c r="P113" s="17"/>
      <c r="Q113" s="17"/>
      <c r="R113" s="17"/>
      <c r="S113" s="17" t="e" cm="1">
        <f t="array" ref="S113">_xlfn.LET(_xlpm.r,_xlfn.XLOOKUP(1,MappingGuide[[#This Row],[API]:[API_3]],'[1]Squirrel SQL Export 1'!$K:$N,[1]!Table1[[#This Row],[Responsible from HJ]]),IF(_xlpm.r=0,"",_xlpm.r))</f>
        <v>#REF!</v>
      </c>
      <c r="T113" s="17"/>
      <c r="U113" s="17"/>
      <c r="V113" s="17" t="e" cm="1">
        <f t="array" ref="V113">_xlfn.LET(_xlpm.r,_xlfn.XLOOKUP(1,MappingGuide[[#This Row],[API]:[API_3]],'[1]Squirrel SQL Export 1'!$K:$N,[1]!Table1[[#This Row],[MDM Comments]]),IF(_xlpm.r=0,"",_xlpm.r))</f>
        <v>#REF!</v>
      </c>
      <c r="W113" s="17" t="e" cm="1">
        <f t="array" ref="W113">_xlfn.LET(_xlpm.r,_xlfn.XLOOKUP(1,MappingGuide[[#This Row],[API]:[API_3]],'[1]Squirrel SQL Export 1'!$K:$N,[1]!Table1[[#This Row],[Exists In Syndigo?]]),IF(_xlpm.r=0,"",_xlpm.r))</f>
        <v>#REF!</v>
      </c>
      <c r="X113" s="17" t="e" cm="1">
        <f t="array" ref="X113">_xlfn.LET(_xlpm.r,_xlfn.XLOOKUP(1,MappingGuide[[#This Row],[API]:[API_3]],'[1]Squirrel SQL Export 1'!$K:$N,[1]!Table1[[#This Row],[Syndigo Name]]),IF(_xlpm.r=0,"",_xlpm.r))</f>
        <v>#REF!</v>
      </c>
      <c r="Y113" s="17"/>
      <c r="Z113" s="17" t="s">
        <v>532</v>
      </c>
      <c r="AA113" s="17" t="s">
        <v>533</v>
      </c>
      <c r="AB113" s="17"/>
      <c r="AC113" s="17" t="e" cm="1">
        <f t="array" ref="AC113">_xlfn.XLOOKUP(1,MappingGuide[[#This Row],[API]:[API_3]],'[1]Squirrel SQL Export 1'!$K:$N,[1]!Table1[[#This Row],[Doppio Notes2]])</f>
        <v>#REF!</v>
      </c>
      <c r="AD113" s="17"/>
      <c r="AE113" s="17" t="e" cm="1">
        <f t="array" ref="AE113">_xlfn.XLOOKUP(1,MappingGuide[[#This Row],[API]:[API_3]],'[1]Squirrel SQL Export 1'!$K:$N,[1]!Table1[[#This Row],[DG_required]])</f>
        <v>#REF!</v>
      </c>
      <c r="AF113" s="21" t="s">
        <v>1306</v>
      </c>
      <c r="AG113" s="21"/>
      <c r="AH113" s="22" t="e" cm="1">
        <f t="array" ref="AH113">_xlfn.LET(_xlpm.r,_xlfn.XLOOKUP(1,MappingGuide[[#This Row],[API]:[API_3]],'[1]Squirrel SQL Export 1'!$K:$N,[1]!Table1[[#This Row],[Pending Items]]),IF(_xlpm.r=0,"",_xlpm.r))</f>
        <v>#REF!</v>
      </c>
      <c r="AI113" s="22" t="e" cm="1">
        <f t="array" ref="AI113">_xlfn.LET(_xlpm.r,_xlfn.XLOOKUP(1,MappingGuide[[#This Row],[API]:[API_3]],'[1]Squirrel SQL Export 1'!$K:$N,[1]!Table1[[#This Row],[Syndigo Name]]),IF(_xlpm.r=0,"",_xlpm.r))</f>
        <v>#REF!</v>
      </c>
      <c r="AJ113" s="17"/>
    </row>
    <row r="114" spans="1:36" ht="17" hidden="1">
      <c r="A114" s="17">
        <v>112</v>
      </c>
      <c r="B114" s="17" t="s">
        <v>40</v>
      </c>
      <c r="C114" s="17" t="s">
        <v>534</v>
      </c>
      <c r="D114" s="17" t="s">
        <v>535</v>
      </c>
      <c r="E114" s="17" t="s">
        <v>33</v>
      </c>
      <c r="F114" s="17" t="s">
        <v>130</v>
      </c>
      <c r="G114" s="17"/>
      <c r="H114" s="17"/>
      <c r="I114" s="17" t="s">
        <v>57</v>
      </c>
      <c r="J114" s="17" t="s">
        <v>145</v>
      </c>
      <c r="K114" s="17"/>
      <c r="L114" s="17" t="s">
        <v>35</v>
      </c>
      <c r="M114" s="17" t="s">
        <v>146</v>
      </c>
      <c r="N114" s="17" t="s">
        <v>536</v>
      </c>
      <c r="O114" s="17"/>
      <c r="P114" s="17"/>
      <c r="Q114" s="17"/>
      <c r="R114" s="17"/>
      <c r="S114" s="17" t="e" cm="1">
        <f t="array" ref="S114">_xlfn.LET(_xlpm.r,_xlfn.XLOOKUP(1,MappingGuide[[#This Row],[API]:[API_3]],'[1]Squirrel SQL Export 1'!$K:$N,[1]!Table1[[#This Row],[Responsible from HJ]]),IF(_xlpm.r=0,"",_xlpm.r))</f>
        <v>#REF!</v>
      </c>
      <c r="T114" s="17"/>
      <c r="U114" s="17"/>
      <c r="V114" s="17" t="e" cm="1">
        <f t="array" ref="V114">_xlfn.LET(_xlpm.r,_xlfn.XLOOKUP(1,MappingGuide[[#This Row],[API]:[API_3]],'[1]Squirrel SQL Export 1'!$K:$N,[1]!Table1[[#This Row],[MDM Comments]]),IF(_xlpm.r=0,"",_xlpm.r))</f>
        <v>#REF!</v>
      </c>
      <c r="W114" s="17" t="e" cm="1">
        <f t="array" ref="W114">_xlfn.LET(_xlpm.r,_xlfn.XLOOKUP(1,MappingGuide[[#This Row],[API]:[API_3]],'[1]Squirrel SQL Export 1'!$K:$N,[1]!Table1[[#This Row],[Exists In Syndigo?]]),IF(_xlpm.r=0,"",_xlpm.r))</f>
        <v>#REF!</v>
      </c>
      <c r="X114" s="17" t="e" cm="1">
        <f t="array" ref="X114">_xlfn.LET(_xlpm.r,_xlfn.XLOOKUP(1,MappingGuide[[#This Row],[API]:[API_3]],'[1]Squirrel SQL Export 1'!$K:$N,[1]!Table1[[#This Row],[Syndigo Name]]),IF(_xlpm.r=0,"",_xlpm.r))</f>
        <v>#REF!</v>
      </c>
      <c r="Y114" s="17"/>
      <c r="Z114" s="17" t="s">
        <v>537</v>
      </c>
      <c r="AA114" s="17"/>
      <c r="AB114" s="17"/>
      <c r="AC114" s="17" t="e" cm="1">
        <f t="array" ref="AC114">_xlfn.XLOOKUP(1,MappingGuide[[#This Row],[API]:[API_3]],'[1]Squirrel SQL Export 1'!$K:$N,[1]!Table1[[#This Row],[Doppio Notes2]])</f>
        <v>#REF!</v>
      </c>
      <c r="AD114" s="17"/>
      <c r="AE114" s="17" t="e" cm="1">
        <f t="array" ref="AE114">_xlfn.XLOOKUP(1,MappingGuide[[#This Row],[API]:[API_3]],'[1]Squirrel SQL Export 1'!$K:$N,[1]!Table1[[#This Row],[DG_required]])</f>
        <v>#REF!</v>
      </c>
      <c r="AF114" s="21" t="s">
        <v>1306</v>
      </c>
      <c r="AG114" s="21"/>
      <c r="AH114" s="22" t="e" cm="1">
        <f t="array" ref="AH114">_xlfn.LET(_xlpm.r,_xlfn.XLOOKUP(1,MappingGuide[[#This Row],[API]:[API_3]],'[1]Squirrel SQL Export 1'!$K:$N,[1]!Table1[[#This Row],[Pending Items]]),IF(_xlpm.r=0,"",_xlpm.r))</f>
        <v>#REF!</v>
      </c>
      <c r="AI114" s="22" t="e" cm="1">
        <f t="array" ref="AI114">_xlfn.LET(_xlpm.r,_xlfn.XLOOKUP(1,MappingGuide[[#This Row],[API]:[API_3]],'[1]Squirrel SQL Export 1'!$K:$N,[1]!Table1[[#This Row],[Syndigo Name]]),IF(_xlpm.r=0,"",_xlpm.r))</f>
        <v>#REF!</v>
      </c>
      <c r="AJ114" s="17"/>
    </row>
    <row r="115" spans="1:36" ht="17" hidden="1">
      <c r="A115" s="17">
        <v>113</v>
      </c>
      <c r="B115" s="17" t="s">
        <v>40</v>
      </c>
      <c r="C115" s="17" t="s">
        <v>538</v>
      </c>
      <c r="D115" s="17" t="s">
        <v>539</v>
      </c>
      <c r="E115" s="17" t="s">
        <v>43</v>
      </c>
      <c r="F115" s="17" t="s">
        <v>80</v>
      </c>
      <c r="G115" s="17"/>
      <c r="H115" s="17"/>
      <c r="I115" s="17" t="s">
        <v>57</v>
      </c>
      <c r="J115" s="17" t="s">
        <v>72</v>
      </c>
      <c r="K115" s="17"/>
      <c r="L115" s="17" t="s">
        <v>35</v>
      </c>
      <c r="M115" s="17" t="s">
        <v>73</v>
      </c>
      <c r="N115" s="17" t="s">
        <v>540</v>
      </c>
      <c r="O115" s="17"/>
      <c r="P115" s="17"/>
      <c r="Q115" s="17"/>
      <c r="R115" s="17"/>
      <c r="S115" s="17" t="e" cm="1">
        <f t="array" ref="S115">_xlfn.LET(_xlpm.r,_xlfn.XLOOKUP(1,MappingGuide[[#This Row],[API]:[API_3]],'[1]Squirrel SQL Export 1'!$K:$N,[1]!Table1[[#This Row],[Responsible from HJ]]),IF(_xlpm.r=0,"",_xlpm.r))</f>
        <v>#REF!</v>
      </c>
      <c r="T115" s="17"/>
      <c r="U115" s="17"/>
      <c r="V115" s="17" t="e" cm="1">
        <f t="array" ref="V115">_xlfn.LET(_xlpm.r,_xlfn.XLOOKUP(1,MappingGuide[[#This Row],[API]:[API_3]],'[1]Squirrel SQL Export 1'!$K:$N,[1]!Table1[[#This Row],[MDM Comments]]),IF(_xlpm.r=0,"",_xlpm.r))</f>
        <v>#REF!</v>
      </c>
      <c r="W115" s="17" t="e" cm="1">
        <f t="array" ref="W115">_xlfn.LET(_xlpm.r,_xlfn.XLOOKUP(1,MappingGuide[[#This Row],[API]:[API_3]],'[1]Squirrel SQL Export 1'!$K:$N,[1]!Table1[[#This Row],[Exists In Syndigo?]]),IF(_xlpm.r=0,"",_xlpm.r))</f>
        <v>#REF!</v>
      </c>
      <c r="X115" s="17" t="e" cm="1">
        <f t="array" ref="X115">_xlfn.LET(_xlpm.r,_xlfn.XLOOKUP(1,MappingGuide[[#This Row],[API]:[API_3]],'[1]Squirrel SQL Export 1'!$K:$N,[1]!Table1[[#This Row],[Syndigo Name]]),IF(_xlpm.r=0,"",_xlpm.r))</f>
        <v>#REF!</v>
      </c>
      <c r="Y115" s="17"/>
      <c r="Z115" s="17" t="s">
        <v>541</v>
      </c>
      <c r="AA115" s="17" t="s">
        <v>542</v>
      </c>
      <c r="AB115" s="17"/>
      <c r="AC115" s="17" t="e" cm="1">
        <f t="array" ref="AC115">_xlfn.XLOOKUP(1,MappingGuide[[#This Row],[API]:[API_3]],'[1]Squirrel SQL Export 1'!$K:$N,[1]!Table1[[#This Row],[Doppio Notes2]])</f>
        <v>#REF!</v>
      </c>
      <c r="AD115" s="17"/>
      <c r="AE115" s="17" t="e" cm="1">
        <f t="array" ref="AE115">_xlfn.XLOOKUP(1,MappingGuide[[#This Row],[API]:[API_3]],'[1]Squirrel SQL Export 1'!$K:$N,[1]!Table1[[#This Row],[DG_required]])</f>
        <v>#REF!</v>
      </c>
      <c r="AF115" s="21" t="s">
        <v>44</v>
      </c>
      <c r="AG115" s="21"/>
      <c r="AH115" s="22" t="e" cm="1">
        <f t="array" ref="AH115">_xlfn.LET(_xlpm.r,_xlfn.XLOOKUP(1,MappingGuide[[#This Row],[API]:[API_3]],'[1]Squirrel SQL Export 1'!$K:$N,[1]!Table1[[#This Row],[Pending Items]]),IF(_xlpm.r=0,"",_xlpm.r))</f>
        <v>#REF!</v>
      </c>
      <c r="AI115" s="22" t="e" cm="1">
        <f t="array" ref="AI115">_xlfn.LET(_xlpm.r,_xlfn.XLOOKUP(1,MappingGuide[[#This Row],[API]:[API_3]],'[1]Squirrel SQL Export 1'!$K:$N,[1]!Table1[[#This Row],[Syndigo Name]]),IF(_xlpm.r=0,"",_xlpm.r))</f>
        <v>#REF!</v>
      </c>
      <c r="AJ115" s="17"/>
    </row>
    <row r="116" spans="1:36" ht="17" hidden="1">
      <c r="A116" s="17">
        <v>114</v>
      </c>
      <c r="B116" s="17" t="s">
        <v>40</v>
      </c>
      <c r="C116" s="17" t="s">
        <v>543</v>
      </c>
      <c r="D116" s="17" t="s">
        <v>544</v>
      </c>
      <c r="E116" s="17" t="s">
        <v>43</v>
      </c>
      <c r="F116" s="17" t="s">
        <v>80</v>
      </c>
      <c r="G116" s="17"/>
      <c r="H116" s="17"/>
      <c r="I116" s="17" t="s">
        <v>57</v>
      </c>
      <c r="J116" s="17" t="s">
        <v>72</v>
      </c>
      <c r="K116" s="17"/>
      <c r="L116" s="17" t="s">
        <v>35</v>
      </c>
      <c r="M116" s="17" t="s">
        <v>73</v>
      </c>
      <c r="N116" s="17" t="s">
        <v>545</v>
      </c>
      <c r="O116" s="17"/>
      <c r="P116" s="17"/>
      <c r="Q116" s="17"/>
      <c r="R116" s="17"/>
      <c r="S116" s="17" t="e" cm="1">
        <f t="array" ref="S116">_xlfn.LET(_xlpm.r,_xlfn.XLOOKUP(1,MappingGuide[[#This Row],[API]:[API_3]],'[1]Squirrel SQL Export 1'!$K:$N,[1]!Table1[[#This Row],[Responsible from HJ]]),IF(_xlpm.r=0,"",_xlpm.r))</f>
        <v>#REF!</v>
      </c>
      <c r="T116" s="17"/>
      <c r="U116" s="17"/>
      <c r="V116" s="17" t="e" cm="1">
        <f t="array" ref="V116">_xlfn.LET(_xlpm.r,_xlfn.XLOOKUP(1,MappingGuide[[#This Row],[API]:[API_3]],'[1]Squirrel SQL Export 1'!$K:$N,[1]!Table1[[#This Row],[MDM Comments]]),IF(_xlpm.r=0,"",_xlpm.r))</f>
        <v>#REF!</v>
      </c>
      <c r="W116" s="17" t="e" cm="1">
        <f t="array" ref="W116">_xlfn.LET(_xlpm.r,_xlfn.XLOOKUP(1,MappingGuide[[#This Row],[API]:[API_3]],'[1]Squirrel SQL Export 1'!$K:$N,[1]!Table1[[#This Row],[Exists In Syndigo?]]),IF(_xlpm.r=0,"",_xlpm.r))</f>
        <v>#REF!</v>
      </c>
      <c r="X116" s="17" t="e" cm="1">
        <f t="array" ref="X116">_xlfn.LET(_xlpm.r,_xlfn.XLOOKUP(1,MappingGuide[[#This Row],[API]:[API_3]],'[1]Squirrel SQL Export 1'!$K:$N,[1]!Table1[[#This Row],[Syndigo Name]]),IF(_xlpm.r=0,"",_xlpm.r))</f>
        <v>#REF!</v>
      </c>
      <c r="Y116" s="17"/>
      <c r="Z116" s="17" t="s">
        <v>546</v>
      </c>
      <c r="AA116" s="17" t="s">
        <v>547</v>
      </c>
      <c r="AB116" s="17"/>
      <c r="AC116" s="17" t="e" cm="1">
        <f t="array" ref="AC116">_xlfn.XLOOKUP(1,MappingGuide[[#This Row],[API]:[API_3]],'[1]Squirrel SQL Export 1'!$K:$N,[1]!Table1[[#This Row],[Doppio Notes2]])</f>
        <v>#REF!</v>
      </c>
      <c r="AD116" s="17"/>
      <c r="AE116" s="17" t="e" cm="1">
        <f t="array" ref="AE116">_xlfn.XLOOKUP(1,MappingGuide[[#This Row],[API]:[API_3]],'[1]Squirrel SQL Export 1'!$K:$N,[1]!Table1[[#This Row],[DG_required]])</f>
        <v>#REF!</v>
      </c>
      <c r="AF116" s="21" t="s">
        <v>56</v>
      </c>
      <c r="AG116" s="21"/>
      <c r="AH116" s="22" t="e" cm="1">
        <f t="array" ref="AH116">_xlfn.LET(_xlpm.r,_xlfn.XLOOKUP(1,MappingGuide[[#This Row],[API]:[API_3]],'[1]Squirrel SQL Export 1'!$K:$N,[1]!Table1[[#This Row],[Pending Items]]),IF(_xlpm.r=0,"",_xlpm.r))</f>
        <v>#REF!</v>
      </c>
      <c r="AI116" s="22" t="e" cm="1">
        <f t="array" ref="AI116">_xlfn.LET(_xlpm.r,_xlfn.XLOOKUP(1,MappingGuide[[#This Row],[API]:[API_3]],'[1]Squirrel SQL Export 1'!$K:$N,[1]!Table1[[#This Row],[Syndigo Name]]),IF(_xlpm.r=0,"",_xlpm.r))</f>
        <v>#REF!</v>
      </c>
      <c r="AJ116" s="17"/>
    </row>
    <row r="117" spans="1:36" ht="17" hidden="1">
      <c r="A117" s="17">
        <v>115</v>
      </c>
      <c r="B117" s="17" t="s">
        <v>40</v>
      </c>
      <c r="C117" s="17" t="s">
        <v>548</v>
      </c>
      <c r="D117" s="17" t="s">
        <v>549</v>
      </c>
      <c r="E117" s="17" t="s">
        <v>43</v>
      </c>
      <c r="F117" s="17" t="s">
        <v>80</v>
      </c>
      <c r="G117" s="17"/>
      <c r="H117" s="17"/>
      <c r="I117" s="17" t="s">
        <v>57</v>
      </c>
      <c r="J117" s="17" t="s">
        <v>145</v>
      </c>
      <c r="K117" s="17"/>
      <c r="L117" s="17" t="s">
        <v>35</v>
      </c>
      <c r="M117" s="17" t="s">
        <v>146</v>
      </c>
      <c r="N117" s="17" t="s">
        <v>550</v>
      </c>
      <c r="O117" s="17"/>
      <c r="P117" s="17"/>
      <c r="Q117" s="17"/>
      <c r="R117" s="17"/>
      <c r="S117" s="17" t="e" cm="1">
        <f t="array" ref="S117">_xlfn.LET(_xlpm.r,_xlfn.XLOOKUP(1,MappingGuide[[#This Row],[API]:[API_3]],'[1]Squirrel SQL Export 1'!$K:$N,[1]!Table1[[#This Row],[Responsible from HJ]]),IF(_xlpm.r=0,"",_xlpm.r))</f>
        <v>#REF!</v>
      </c>
      <c r="T117" s="17"/>
      <c r="U117" s="17"/>
      <c r="V117" s="17" t="e" cm="1">
        <f t="array" ref="V117">_xlfn.LET(_xlpm.r,_xlfn.XLOOKUP(1,MappingGuide[[#This Row],[API]:[API_3]],'[1]Squirrel SQL Export 1'!$K:$N,[1]!Table1[[#This Row],[MDM Comments]]),IF(_xlpm.r=0,"",_xlpm.r))</f>
        <v>#REF!</v>
      </c>
      <c r="W117" s="17" t="e" cm="1">
        <f t="array" ref="W117">_xlfn.LET(_xlpm.r,_xlfn.XLOOKUP(1,MappingGuide[[#This Row],[API]:[API_3]],'[1]Squirrel SQL Export 1'!$K:$N,[1]!Table1[[#This Row],[Exists In Syndigo?]]),IF(_xlpm.r=0,"",_xlpm.r))</f>
        <v>#REF!</v>
      </c>
      <c r="X117" s="17" t="e" cm="1">
        <f t="array" ref="X117">_xlfn.LET(_xlpm.r,_xlfn.XLOOKUP(1,MappingGuide[[#This Row],[API]:[API_3]],'[1]Squirrel SQL Export 1'!$K:$N,[1]!Table1[[#This Row],[Syndigo Name]]),IF(_xlpm.r=0,"",_xlpm.r))</f>
        <v>#REF!</v>
      </c>
      <c r="Y117" s="17"/>
      <c r="Z117" s="17" t="s">
        <v>551</v>
      </c>
      <c r="AA117" s="17" t="s">
        <v>552</v>
      </c>
      <c r="AB117" s="17"/>
      <c r="AC117" s="17" t="e" cm="1">
        <f t="array" ref="AC117">_xlfn.XLOOKUP(1,MappingGuide[[#This Row],[API]:[API_3]],'[1]Squirrel SQL Export 1'!$K:$N,[1]!Table1[[#This Row],[Doppio Notes2]])</f>
        <v>#REF!</v>
      </c>
      <c r="AD117" s="17"/>
      <c r="AE117" s="17" t="e" cm="1">
        <f t="array" ref="AE117">_xlfn.XLOOKUP(1,MappingGuide[[#This Row],[API]:[API_3]],'[1]Squirrel SQL Export 1'!$K:$N,[1]!Table1[[#This Row],[DG_required]])</f>
        <v>#REF!</v>
      </c>
      <c r="AF117" s="21" t="s">
        <v>80</v>
      </c>
      <c r="AG117" s="21"/>
      <c r="AH117" s="22" t="e" cm="1">
        <f t="array" ref="AH117">_xlfn.LET(_xlpm.r,_xlfn.XLOOKUP(1,MappingGuide[[#This Row],[API]:[API_3]],'[1]Squirrel SQL Export 1'!$K:$N,[1]!Table1[[#This Row],[Pending Items]]),IF(_xlpm.r=0,"",_xlpm.r))</f>
        <v>#REF!</v>
      </c>
      <c r="AI117" s="22" t="e" cm="1">
        <f t="array" ref="AI117">_xlfn.LET(_xlpm.r,_xlfn.XLOOKUP(1,MappingGuide[[#This Row],[API]:[API_3]],'[1]Squirrel SQL Export 1'!$K:$N,[1]!Table1[[#This Row],[Syndigo Name]]),IF(_xlpm.r=0,"",_xlpm.r))</f>
        <v>#REF!</v>
      </c>
      <c r="AJ117" s="17"/>
    </row>
    <row r="118" spans="1:36" ht="17" hidden="1">
      <c r="A118" s="17">
        <v>116</v>
      </c>
      <c r="B118" s="17" t="s">
        <v>40</v>
      </c>
      <c r="C118" s="17" t="s">
        <v>553</v>
      </c>
      <c r="D118" s="17" t="s">
        <v>554</v>
      </c>
      <c r="E118" s="17" t="s">
        <v>33</v>
      </c>
      <c r="F118" s="17" t="s">
        <v>34</v>
      </c>
      <c r="G118" s="17"/>
      <c r="H118" s="17"/>
      <c r="I118" s="17" t="s">
        <v>57</v>
      </c>
      <c r="J118" s="17" t="s">
        <v>145</v>
      </c>
      <c r="K118" s="17"/>
      <c r="L118" s="17"/>
      <c r="M118" s="17"/>
      <c r="N118" s="17" t="s">
        <v>555</v>
      </c>
      <c r="O118" s="17"/>
      <c r="P118" s="17"/>
      <c r="Q118" s="17"/>
      <c r="R118" s="17"/>
      <c r="S118" s="17" t="e" cm="1">
        <f t="array" ref="S118">_xlfn.LET(_xlpm.r,_xlfn.XLOOKUP(1,MappingGuide[[#This Row],[API]:[API_3]],'[1]Squirrel SQL Export 1'!$K:$N,[1]!Table1[[#This Row],[Responsible from HJ]]),IF(_xlpm.r=0,"",_xlpm.r))</f>
        <v>#REF!</v>
      </c>
      <c r="T118" s="17"/>
      <c r="U118" s="17"/>
      <c r="V118" s="17" t="e" cm="1">
        <f t="array" ref="V118">_xlfn.LET(_xlpm.r,_xlfn.XLOOKUP(1,MappingGuide[[#This Row],[API]:[API_3]],'[1]Squirrel SQL Export 1'!$K:$N,[1]!Table1[[#This Row],[MDM Comments]]),IF(_xlpm.r=0,"",_xlpm.r))</f>
        <v>#REF!</v>
      </c>
      <c r="W118" s="17" t="e" cm="1">
        <f t="array" ref="W118">_xlfn.LET(_xlpm.r,_xlfn.XLOOKUP(1,MappingGuide[[#This Row],[API]:[API_3]],'[1]Squirrel SQL Export 1'!$K:$N,[1]!Table1[[#This Row],[Exists In Syndigo?]]),IF(_xlpm.r=0,"",_xlpm.r))</f>
        <v>#REF!</v>
      </c>
      <c r="X118" s="17" t="e" cm="1">
        <f t="array" ref="X118">_xlfn.LET(_xlpm.r,_xlfn.XLOOKUP(1,MappingGuide[[#This Row],[API]:[API_3]],'[1]Squirrel SQL Export 1'!$K:$N,[1]!Table1[[#This Row],[Syndigo Name]]),IF(_xlpm.r=0,"",_xlpm.r))</f>
        <v>#REF!</v>
      </c>
      <c r="Y118" s="17"/>
      <c r="Z118" s="17" t="s">
        <v>556</v>
      </c>
      <c r="AA118" s="17"/>
      <c r="AB118" s="17"/>
      <c r="AC118" s="17" t="e" cm="1">
        <f t="array" ref="AC118">_xlfn.XLOOKUP(1,MappingGuide[[#This Row],[API]:[API_3]],'[1]Squirrel SQL Export 1'!$K:$N,[1]!Table1[[#This Row],[Doppio Notes2]])</f>
        <v>#REF!</v>
      </c>
      <c r="AD118" s="17"/>
      <c r="AE118" s="17" t="e" cm="1">
        <f t="array" ref="AE118">_xlfn.XLOOKUP(1,MappingGuide[[#This Row],[API]:[API_3]],'[1]Squirrel SQL Export 1'!$K:$N,[1]!Table1[[#This Row],[DG_required]])</f>
        <v>#REF!</v>
      </c>
      <c r="AF118" s="21" t="s">
        <v>1300</v>
      </c>
      <c r="AG118" s="21"/>
      <c r="AH118" s="22" t="e" cm="1">
        <f t="array" ref="AH118">_xlfn.LET(_xlpm.r,_xlfn.XLOOKUP(1,MappingGuide[[#This Row],[API]:[API_3]],'[1]Squirrel SQL Export 1'!$K:$N,[1]!Table1[[#This Row],[Pending Items]]),IF(_xlpm.r=0,"",_xlpm.r))</f>
        <v>#REF!</v>
      </c>
      <c r="AI118" s="22" t="e" cm="1">
        <f t="array" ref="AI118">_xlfn.LET(_xlpm.r,_xlfn.XLOOKUP(1,MappingGuide[[#This Row],[API]:[API_3]],'[1]Squirrel SQL Export 1'!$K:$N,[1]!Table1[[#This Row],[Syndigo Name]]),IF(_xlpm.r=0,"",_xlpm.r))</f>
        <v>#REF!</v>
      </c>
      <c r="AJ118" s="17"/>
    </row>
    <row r="119" spans="1:36" ht="17" hidden="1">
      <c r="A119" s="17">
        <v>117</v>
      </c>
      <c r="B119" s="17" t="s">
        <v>40</v>
      </c>
      <c r="C119" s="17" t="s">
        <v>557</v>
      </c>
      <c r="D119" s="17" t="s">
        <v>558</v>
      </c>
      <c r="E119" s="17" t="s">
        <v>33</v>
      </c>
      <c r="F119" s="17" t="s">
        <v>34</v>
      </c>
      <c r="G119" s="17"/>
      <c r="H119" s="17"/>
      <c r="I119" s="17" t="s">
        <v>57</v>
      </c>
      <c r="J119" s="17" t="s">
        <v>145</v>
      </c>
      <c r="K119" s="17"/>
      <c r="L119" s="17"/>
      <c r="M119" s="17"/>
      <c r="N119" s="17" t="s">
        <v>559</v>
      </c>
      <c r="O119" s="17"/>
      <c r="P119" s="17"/>
      <c r="Q119" s="17"/>
      <c r="R119" s="17"/>
      <c r="S119" s="17" t="e" cm="1">
        <f t="array" ref="S119">_xlfn.LET(_xlpm.r,_xlfn.XLOOKUP(1,MappingGuide[[#This Row],[API]:[API_3]],'[1]Squirrel SQL Export 1'!$K:$N,[1]!Table1[[#This Row],[Responsible from HJ]]),IF(_xlpm.r=0,"",_xlpm.r))</f>
        <v>#REF!</v>
      </c>
      <c r="T119" s="17"/>
      <c r="U119" s="17"/>
      <c r="V119" s="17" t="e" cm="1">
        <f t="array" ref="V119">_xlfn.LET(_xlpm.r,_xlfn.XLOOKUP(1,MappingGuide[[#This Row],[API]:[API_3]],'[1]Squirrel SQL Export 1'!$K:$N,[1]!Table1[[#This Row],[MDM Comments]]),IF(_xlpm.r=0,"",_xlpm.r))</f>
        <v>#REF!</v>
      </c>
      <c r="W119" s="17" t="e" cm="1">
        <f t="array" ref="W119">_xlfn.LET(_xlpm.r,_xlfn.XLOOKUP(1,MappingGuide[[#This Row],[API]:[API_3]],'[1]Squirrel SQL Export 1'!$K:$N,[1]!Table1[[#This Row],[Exists In Syndigo?]]),IF(_xlpm.r=0,"",_xlpm.r))</f>
        <v>#REF!</v>
      </c>
      <c r="X119" s="17" t="e" cm="1">
        <f t="array" ref="X119">_xlfn.LET(_xlpm.r,_xlfn.XLOOKUP(1,MappingGuide[[#This Row],[API]:[API_3]],'[1]Squirrel SQL Export 1'!$K:$N,[1]!Table1[[#This Row],[Syndigo Name]]),IF(_xlpm.r=0,"",_xlpm.r))</f>
        <v>#REF!</v>
      </c>
      <c r="Y119" s="17"/>
      <c r="Z119" s="17" t="s">
        <v>556</v>
      </c>
      <c r="AA119" s="17"/>
      <c r="AB119" s="17"/>
      <c r="AC119" s="17" t="e" cm="1">
        <f t="array" ref="AC119">_xlfn.XLOOKUP(1,MappingGuide[[#This Row],[API]:[API_3]],'[1]Squirrel SQL Export 1'!$K:$N,[1]!Table1[[#This Row],[Doppio Notes2]])</f>
        <v>#REF!</v>
      </c>
      <c r="AD119" s="17"/>
      <c r="AE119" s="17" t="e" cm="1">
        <f t="array" ref="AE119">_xlfn.XLOOKUP(1,MappingGuide[[#This Row],[API]:[API_3]],'[1]Squirrel SQL Export 1'!$K:$N,[1]!Table1[[#This Row],[DG_required]])</f>
        <v>#REF!</v>
      </c>
      <c r="AF119" s="21" t="s">
        <v>1300</v>
      </c>
      <c r="AG119" s="21"/>
      <c r="AH119" s="22" t="e" cm="1">
        <f t="array" ref="AH119">_xlfn.LET(_xlpm.r,_xlfn.XLOOKUP(1,MappingGuide[[#This Row],[API]:[API_3]],'[1]Squirrel SQL Export 1'!$K:$N,[1]!Table1[[#This Row],[Pending Items]]),IF(_xlpm.r=0,"",_xlpm.r))</f>
        <v>#REF!</v>
      </c>
      <c r="AI119" s="22" t="e" cm="1">
        <f t="array" ref="AI119">_xlfn.LET(_xlpm.r,_xlfn.XLOOKUP(1,MappingGuide[[#This Row],[API]:[API_3]],'[1]Squirrel SQL Export 1'!$K:$N,[1]!Table1[[#This Row],[Syndigo Name]]),IF(_xlpm.r=0,"",_xlpm.r))</f>
        <v>#REF!</v>
      </c>
      <c r="AJ119" s="17"/>
    </row>
    <row r="120" spans="1:36" ht="17" hidden="1">
      <c r="A120" s="17">
        <v>118</v>
      </c>
      <c r="B120" s="17" t="s">
        <v>40</v>
      </c>
      <c r="C120" s="17" t="s">
        <v>560</v>
      </c>
      <c r="D120" s="17" t="s">
        <v>561</v>
      </c>
      <c r="E120" s="17" t="s">
        <v>33</v>
      </c>
      <c r="F120" s="17" t="s">
        <v>34</v>
      </c>
      <c r="G120" s="17"/>
      <c r="H120" s="17"/>
      <c r="I120" s="17" t="s">
        <v>57</v>
      </c>
      <c r="J120" s="17" t="s">
        <v>145</v>
      </c>
      <c r="K120" s="17"/>
      <c r="L120" s="17"/>
      <c r="M120" s="17"/>
      <c r="N120" s="17" t="s">
        <v>562</v>
      </c>
      <c r="O120" s="17"/>
      <c r="P120" s="17"/>
      <c r="Q120" s="17"/>
      <c r="R120" s="17"/>
      <c r="S120" s="17" t="e" cm="1">
        <f t="array" ref="S120">_xlfn.LET(_xlpm.r,_xlfn.XLOOKUP(1,MappingGuide[[#This Row],[API]:[API_3]],'[1]Squirrel SQL Export 1'!$K:$N,[1]!Table1[[#This Row],[Responsible from HJ]]),IF(_xlpm.r=0,"",_xlpm.r))</f>
        <v>#REF!</v>
      </c>
      <c r="T120" s="17"/>
      <c r="U120" s="17"/>
      <c r="V120" s="17" t="e" cm="1">
        <f t="array" ref="V120">_xlfn.LET(_xlpm.r,_xlfn.XLOOKUP(1,MappingGuide[[#This Row],[API]:[API_3]],'[1]Squirrel SQL Export 1'!$K:$N,[1]!Table1[[#This Row],[MDM Comments]]),IF(_xlpm.r=0,"",_xlpm.r))</f>
        <v>#REF!</v>
      </c>
      <c r="W120" s="17" t="e" cm="1">
        <f t="array" ref="W120">_xlfn.LET(_xlpm.r,_xlfn.XLOOKUP(1,MappingGuide[[#This Row],[API]:[API_3]],'[1]Squirrel SQL Export 1'!$K:$N,[1]!Table1[[#This Row],[Exists In Syndigo?]]),IF(_xlpm.r=0,"",_xlpm.r))</f>
        <v>#REF!</v>
      </c>
      <c r="X120" s="17" t="e" cm="1">
        <f t="array" ref="X120">_xlfn.LET(_xlpm.r,_xlfn.XLOOKUP(1,MappingGuide[[#This Row],[API]:[API_3]],'[1]Squirrel SQL Export 1'!$K:$N,[1]!Table1[[#This Row],[Syndigo Name]]),IF(_xlpm.r=0,"",_xlpm.r))</f>
        <v>#REF!</v>
      </c>
      <c r="Y120" s="17"/>
      <c r="Z120" s="17" t="s">
        <v>556</v>
      </c>
      <c r="AA120" s="17"/>
      <c r="AB120" s="17"/>
      <c r="AC120" s="17" t="e" cm="1">
        <f t="array" ref="AC120">_xlfn.XLOOKUP(1,MappingGuide[[#This Row],[API]:[API_3]],'[1]Squirrel SQL Export 1'!$K:$N,[1]!Table1[[#This Row],[Doppio Notes2]])</f>
        <v>#REF!</v>
      </c>
      <c r="AD120" s="17"/>
      <c r="AE120" s="17" t="e" cm="1">
        <f t="array" ref="AE120">_xlfn.XLOOKUP(1,MappingGuide[[#This Row],[API]:[API_3]],'[1]Squirrel SQL Export 1'!$K:$N,[1]!Table1[[#This Row],[DG_required]])</f>
        <v>#REF!</v>
      </c>
      <c r="AF120" s="21" t="s">
        <v>1300</v>
      </c>
      <c r="AG120" s="21"/>
      <c r="AH120" s="22" t="e" cm="1">
        <f t="array" ref="AH120">_xlfn.LET(_xlpm.r,_xlfn.XLOOKUP(1,MappingGuide[[#This Row],[API]:[API_3]],'[1]Squirrel SQL Export 1'!$K:$N,[1]!Table1[[#This Row],[Pending Items]]),IF(_xlpm.r=0,"",_xlpm.r))</f>
        <v>#REF!</v>
      </c>
      <c r="AI120" s="22" t="e" cm="1">
        <f t="array" ref="AI120">_xlfn.LET(_xlpm.r,_xlfn.XLOOKUP(1,MappingGuide[[#This Row],[API]:[API_3]],'[1]Squirrel SQL Export 1'!$K:$N,[1]!Table1[[#This Row],[Syndigo Name]]),IF(_xlpm.r=0,"",_xlpm.r))</f>
        <v>#REF!</v>
      </c>
      <c r="AJ120" s="17"/>
    </row>
    <row r="121" spans="1:36" ht="17" hidden="1">
      <c r="A121" s="17">
        <v>119</v>
      </c>
      <c r="B121" s="17" t="s">
        <v>40</v>
      </c>
      <c r="C121" s="17" t="s">
        <v>563</v>
      </c>
      <c r="D121" s="17" t="s">
        <v>564</v>
      </c>
      <c r="E121" s="17" t="s">
        <v>43</v>
      </c>
      <c r="F121" s="17" t="s">
        <v>373</v>
      </c>
      <c r="G121" s="17"/>
      <c r="H121" s="17"/>
      <c r="I121" s="17" t="s">
        <v>57</v>
      </c>
      <c r="J121" s="17" t="s">
        <v>145</v>
      </c>
      <c r="K121" s="17"/>
      <c r="L121" s="17"/>
      <c r="M121" s="17"/>
      <c r="N121" s="17" t="s">
        <v>565</v>
      </c>
      <c r="O121" s="17"/>
      <c r="P121" s="17"/>
      <c r="Q121" s="17"/>
      <c r="R121" s="17"/>
      <c r="S121" s="17" t="e" cm="1">
        <f t="array" ref="S121">_xlfn.LET(_xlpm.r,_xlfn.XLOOKUP(1,MappingGuide[[#This Row],[API]:[API_3]],'[1]Squirrel SQL Export 1'!$K:$N,[1]!Table1[[#This Row],[Responsible from HJ]]),IF(_xlpm.r=0,"",_xlpm.r))</f>
        <v>#REF!</v>
      </c>
      <c r="T121" s="17"/>
      <c r="U121" s="17"/>
      <c r="V121" s="17" t="e" cm="1">
        <f t="array" ref="V121">_xlfn.LET(_xlpm.r,_xlfn.XLOOKUP(1,MappingGuide[[#This Row],[API]:[API_3]],'[1]Squirrel SQL Export 1'!$K:$N,[1]!Table1[[#This Row],[MDM Comments]]),IF(_xlpm.r=0,"",_xlpm.r))</f>
        <v>#REF!</v>
      </c>
      <c r="W121" s="17" t="e" cm="1">
        <f t="array" ref="W121">_xlfn.LET(_xlpm.r,_xlfn.XLOOKUP(1,MappingGuide[[#This Row],[API]:[API_3]],'[1]Squirrel SQL Export 1'!$K:$N,[1]!Table1[[#This Row],[Exists In Syndigo?]]),IF(_xlpm.r=0,"",_xlpm.r))</f>
        <v>#REF!</v>
      </c>
      <c r="X121" s="17" t="e" cm="1">
        <f t="array" ref="X121">_xlfn.LET(_xlpm.r,_xlfn.XLOOKUP(1,MappingGuide[[#This Row],[API]:[API_3]],'[1]Squirrel SQL Export 1'!$K:$N,[1]!Table1[[#This Row],[Syndigo Name]]),IF(_xlpm.r=0,"",_xlpm.r))</f>
        <v>#REF!</v>
      </c>
      <c r="Y121" s="17"/>
      <c r="Z121" s="17" t="s">
        <v>566</v>
      </c>
      <c r="AA121" s="17"/>
      <c r="AB121" s="17"/>
      <c r="AC121" s="17" t="e" cm="1">
        <f t="array" ref="AC121">_xlfn.XLOOKUP(1,MappingGuide[[#This Row],[API]:[API_3]],'[1]Squirrel SQL Export 1'!$K:$N,[1]!Table1[[#This Row],[Doppio Notes2]])</f>
        <v>#REF!</v>
      </c>
      <c r="AD121" s="17"/>
      <c r="AE121" s="17" t="e" cm="1">
        <f t="array" ref="AE121">_xlfn.XLOOKUP(1,MappingGuide[[#This Row],[API]:[API_3]],'[1]Squirrel SQL Export 1'!$K:$N,[1]!Table1[[#This Row],[DG_required]])</f>
        <v>#REF!</v>
      </c>
      <c r="AF121" s="21" t="s">
        <v>1301</v>
      </c>
      <c r="AG121" s="21"/>
      <c r="AH121" s="22" t="e" cm="1">
        <f t="array" ref="AH121">_xlfn.LET(_xlpm.r,_xlfn.XLOOKUP(1,MappingGuide[[#This Row],[API]:[API_3]],'[1]Squirrel SQL Export 1'!$K:$N,[1]!Table1[[#This Row],[Pending Items]]),IF(_xlpm.r=0,"",_xlpm.r))</f>
        <v>#REF!</v>
      </c>
      <c r="AI121" s="22" t="e" cm="1">
        <f t="array" ref="AI121">_xlfn.LET(_xlpm.r,_xlfn.XLOOKUP(1,MappingGuide[[#This Row],[API]:[API_3]],'[1]Squirrel SQL Export 1'!$K:$N,[1]!Table1[[#This Row],[Syndigo Name]]),IF(_xlpm.r=0,"",_xlpm.r))</f>
        <v>#REF!</v>
      </c>
      <c r="AJ121" s="17"/>
    </row>
    <row r="122" spans="1:36" ht="17" hidden="1">
      <c r="A122" s="17">
        <v>120</v>
      </c>
      <c r="B122" s="17" t="s">
        <v>40</v>
      </c>
      <c r="C122" s="17" t="s">
        <v>567</v>
      </c>
      <c r="D122" s="17" t="s">
        <v>568</v>
      </c>
      <c r="E122" s="17" t="s">
        <v>43</v>
      </c>
      <c r="F122" s="17" t="s">
        <v>373</v>
      </c>
      <c r="G122" s="17"/>
      <c r="H122" s="17"/>
      <c r="I122" s="17" t="s">
        <v>57</v>
      </c>
      <c r="J122" s="17" t="s">
        <v>145</v>
      </c>
      <c r="K122" s="17"/>
      <c r="L122" s="17"/>
      <c r="M122" s="17"/>
      <c r="N122" s="17" t="s">
        <v>569</v>
      </c>
      <c r="O122" s="17"/>
      <c r="P122" s="17"/>
      <c r="Q122" s="17"/>
      <c r="R122" s="17"/>
      <c r="S122" s="17" t="e" cm="1">
        <f t="array" ref="S122">_xlfn.LET(_xlpm.r,_xlfn.XLOOKUP(1,MappingGuide[[#This Row],[API]:[API_3]],'[1]Squirrel SQL Export 1'!$K:$N,[1]!Table1[[#This Row],[Responsible from HJ]]),IF(_xlpm.r=0,"",_xlpm.r))</f>
        <v>#REF!</v>
      </c>
      <c r="T122" s="17"/>
      <c r="U122" s="17"/>
      <c r="V122" s="17" t="e" cm="1">
        <f t="array" ref="V122">_xlfn.LET(_xlpm.r,_xlfn.XLOOKUP(1,MappingGuide[[#This Row],[API]:[API_3]],'[1]Squirrel SQL Export 1'!$K:$N,[1]!Table1[[#This Row],[MDM Comments]]),IF(_xlpm.r=0,"",_xlpm.r))</f>
        <v>#REF!</v>
      </c>
      <c r="W122" s="17" t="e" cm="1">
        <f t="array" ref="W122">_xlfn.LET(_xlpm.r,_xlfn.XLOOKUP(1,MappingGuide[[#This Row],[API]:[API_3]],'[1]Squirrel SQL Export 1'!$K:$N,[1]!Table1[[#This Row],[Exists In Syndigo?]]),IF(_xlpm.r=0,"",_xlpm.r))</f>
        <v>#REF!</v>
      </c>
      <c r="X122" s="17" t="e" cm="1">
        <f t="array" ref="X122">_xlfn.LET(_xlpm.r,_xlfn.XLOOKUP(1,MappingGuide[[#This Row],[API]:[API_3]],'[1]Squirrel SQL Export 1'!$K:$N,[1]!Table1[[#This Row],[Syndigo Name]]),IF(_xlpm.r=0,"",_xlpm.r))</f>
        <v>#REF!</v>
      </c>
      <c r="Y122" s="17"/>
      <c r="Z122" s="17" t="s">
        <v>566</v>
      </c>
      <c r="AA122" s="17"/>
      <c r="AB122" s="17"/>
      <c r="AC122" s="17" t="e" cm="1">
        <f t="array" ref="AC122">_xlfn.XLOOKUP(1,MappingGuide[[#This Row],[API]:[API_3]],'[1]Squirrel SQL Export 1'!$K:$N,[1]!Table1[[#This Row],[Doppio Notes2]])</f>
        <v>#REF!</v>
      </c>
      <c r="AD122" s="17"/>
      <c r="AE122" s="17" t="e" cm="1">
        <f t="array" ref="AE122">_xlfn.XLOOKUP(1,MappingGuide[[#This Row],[API]:[API_3]],'[1]Squirrel SQL Export 1'!$K:$N,[1]!Table1[[#This Row],[DG_required]])</f>
        <v>#REF!</v>
      </c>
      <c r="AF122" s="21" t="s">
        <v>1301</v>
      </c>
      <c r="AG122" s="21"/>
      <c r="AH122" s="22" t="e" cm="1">
        <f t="array" ref="AH122">_xlfn.LET(_xlpm.r,_xlfn.XLOOKUP(1,MappingGuide[[#This Row],[API]:[API_3]],'[1]Squirrel SQL Export 1'!$K:$N,[1]!Table1[[#This Row],[Pending Items]]),IF(_xlpm.r=0,"",_xlpm.r))</f>
        <v>#REF!</v>
      </c>
      <c r="AI122" s="22" t="e" cm="1">
        <f t="array" ref="AI122">_xlfn.LET(_xlpm.r,_xlfn.XLOOKUP(1,MappingGuide[[#This Row],[API]:[API_3]],'[1]Squirrel SQL Export 1'!$K:$N,[1]!Table1[[#This Row],[Syndigo Name]]),IF(_xlpm.r=0,"",_xlpm.r))</f>
        <v>#REF!</v>
      </c>
      <c r="AJ122" s="17"/>
    </row>
    <row r="123" spans="1:36" ht="17" hidden="1">
      <c r="A123" s="17">
        <v>121</v>
      </c>
      <c r="B123" s="17" t="s">
        <v>40</v>
      </c>
      <c r="C123" s="17" t="s">
        <v>570</v>
      </c>
      <c r="D123" s="17" t="s">
        <v>571</v>
      </c>
      <c r="E123" s="17" t="s">
        <v>43</v>
      </c>
      <c r="F123" s="17" t="s">
        <v>373</v>
      </c>
      <c r="G123" s="17"/>
      <c r="H123" s="17"/>
      <c r="I123" s="17" t="s">
        <v>57</v>
      </c>
      <c r="J123" s="17" t="s">
        <v>145</v>
      </c>
      <c r="K123" s="17"/>
      <c r="L123" s="17"/>
      <c r="M123" s="17"/>
      <c r="N123" s="17" t="s">
        <v>572</v>
      </c>
      <c r="O123" s="17"/>
      <c r="P123" s="17"/>
      <c r="Q123" s="17"/>
      <c r="R123" s="17"/>
      <c r="S123" s="17" t="e" cm="1">
        <f t="array" ref="S123">_xlfn.LET(_xlpm.r,_xlfn.XLOOKUP(1,MappingGuide[[#This Row],[API]:[API_3]],'[1]Squirrel SQL Export 1'!$K:$N,[1]!Table1[[#This Row],[Responsible from HJ]]),IF(_xlpm.r=0,"",_xlpm.r))</f>
        <v>#REF!</v>
      </c>
      <c r="T123" s="17"/>
      <c r="U123" s="17"/>
      <c r="V123" s="17" t="e" cm="1">
        <f t="array" ref="V123">_xlfn.LET(_xlpm.r,_xlfn.XLOOKUP(1,MappingGuide[[#This Row],[API]:[API_3]],'[1]Squirrel SQL Export 1'!$K:$N,[1]!Table1[[#This Row],[MDM Comments]]),IF(_xlpm.r=0,"",_xlpm.r))</f>
        <v>#REF!</v>
      </c>
      <c r="W123" s="17" t="e" cm="1">
        <f t="array" ref="W123">_xlfn.LET(_xlpm.r,_xlfn.XLOOKUP(1,MappingGuide[[#This Row],[API]:[API_3]],'[1]Squirrel SQL Export 1'!$K:$N,[1]!Table1[[#This Row],[Exists In Syndigo?]]),IF(_xlpm.r=0,"",_xlpm.r))</f>
        <v>#REF!</v>
      </c>
      <c r="X123" s="17" t="e" cm="1">
        <f t="array" ref="X123">_xlfn.LET(_xlpm.r,_xlfn.XLOOKUP(1,MappingGuide[[#This Row],[API]:[API_3]],'[1]Squirrel SQL Export 1'!$K:$N,[1]!Table1[[#This Row],[Syndigo Name]]),IF(_xlpm.r=0,"",_xlpm.r))</f>
        <v>#REF!</v>
      </c>
      <c r="Y123" s="17"/>
      <c r="Z123" s="17" t="s">
        <v>566</v>
      </c>
      <c r="AA123" s="17"/>
      <c r="AB123" s="17"/>
      <c r="AC123" s="17" t="e" cm="1">
        <f t="array" ref="AC123">_xlfn.XLOOKUP(1,MappingGuide[[#This Row],[API]:[API_3]],'[1]Squirrel SQL Export 1'!$K:$N,[1]!Table1[[#This Row],[Doppio Notes2]])</f>
        <v>#REF!</v>
      </c>
      <c r="AD123" s="17"/>
      <c r="AE123" s="17" t="e" cm="1">
        <f t="array" ref="AE123">_xlfn.XLOOKUP(1,MappingGuide[[#This Row],[API]:[API_3]],'[1]Squirrel SQL Export 1'!$K:$N,[1]!Table1[[#This Row],[DG_required]])</f>
        <v>#REF!</v>
      </c>
      <c r="AF123" s="21" t="s">
        <v>1301</v>
      </c>
      <c r="AG123" s="21"/>
      <c r="AH123" s="22" t="e" cm="1">
        <f t="array" ref="AH123">_xlfn.LET(_xlpm.r,_xlfn.XLOOKUP(1,MappingGuide[[#This Row],[API]:[API_3]],'[1]Squirrel SQL Export 1'!$K:$N,[1]!Table1[[#This Row],[Pending Items]]),IF(_xlpm.r=0,"",_xlpm.r))</f>
        <v>#REF!</v>
      </c>
      <c r="AI123" s="22" t="e" cm="1">
        <f t="array" ref="AI123">_xlfn.LET(_xlpm.r,_xlfn.XLOOKUP(1,MappingGuide[[#This Row],[API]:[API_3]],'[1]Squirrel SQL Export 1'!$K:$N,[1]!Table1[[#This Row],[Syndigo Name]]),IF(_xlpm.r=0,"",_xlpm.r))</f>
        <v>#REF!</v>
      </c>
      <c r="AJ123" s="17"/>
    </row>
    <row r="124" spans="1:36" ht="17" hidden="1">
      <c r="A124" s="17">
        <v>122</v>
      </c>
      <c r="B124" s="17" t="s">
        <v>40</v>
      </c>
      <c r="C124" s="17" t="s">
        <v>573</v>
      </c>
      <c r="D124" s="17" t="s">
        <v>574</v>
      </c>
      <c r="E124" s="17" t="s">
        <v>33</v>
      </c>
      <c r="F124" s="17" t="s">
        <v>34</v>
      </c>
      <c r="G124" s="17"/>
      <c r="H124" s="17"/>
      <c r="I124" s="17" t="s">
        <v>57</v>
      </c>
      <c r="J124" s="17" t="s">
        <v>408</v>
      </c>
      <c r="K124" s="17"/>
      <c r="L124" s="17" t="s">
        <v>35</v>
      </c>
      <c r="M124" s="17" t="s">
        <v>146</v>
      </c>
      <c r="N124" s="17" t="s">
        <v>575</v>
      </c>
      <c r="O124" s="17"/>
      <c r="P124" s="17"/>
      <c r="Q124" s="17"/>
      <c r="R124" s="17"/>
      <c r="S124" s="17" t="e" cm="1">
        <f t="array" ref="S124">_xlfn.LET(_xlpm.r,_xlfn.XLOOKUP(1,MappingGuide[[#This Row],[API]:[API_3]],'[1]Squirrel SQL Export 1'!$K:$N,[1]!Table1[[#This Row],[Responsible from HJ]]),IF(_xlpm.r=0,"",_xlpm.r))</f>
        <v>#REF!</v>
      </c>
      <c r="T124" s="17"/>
      <c r="U124" s="17"/>
      <c r="V124" s="17" t="e" cm="1">
        <f t="array" ref="V124">_xlfn.LET(_xlpm.r,_xlfn.XLOOKUP(1,MappingGuide[[#This Row],[API]:[API_3]],'[1]Squirrel SQL Export 1'!$K:$N,[1]!Table1[[#This Row],[MDM Comments]]),IF(_xlpm.r=0,"",_xlpm.r))</f>
        <v>#REF!</v>
      </c>
      <c r="W124" s="17" t="e" cm="1">
        <f t="array" ref="W124">_xlfn.LET(_xlpm.r,_xlfn.XLOOKUP(1,MappingGuide[[#This Row],[API]:[API_3]],'[1]Squirrel SQL Export 1'!$K:$N,[1]!Table1[[#This Row],[Exists In Syndigo?]]),IF(_xlpm.r=0,"",_xlpm.r))</f>
        <v>#REF!</v>
      </c>
      <c r="X124" s="17" t="e" cm="1">
        <f t="array" ref="X124">_xlfn.LET(_xlpm.r,_xlfn.XLOOKUP(1,MappingGuide[[#This Row],[API]:[API_3]],'[1]Squirrel SQL Export 1'!$K:$N,[1]!Table1[[#This Row],[Syndigo Name]]),IF(_xlpm.r=0,"",_xlpm.r))</f>
        <v>#REF!</v>
      </c>
      <c r="Y124" s="17"/>
      <c r="Z124" s="17" t="s">
        <v>576</v>
      </c>
      <c r="AA124" s="17"/>
      <c r="AB124" s="17"/>
      <c r="AC124" s="17" t="e" cm="1">
        <f t="array" ref="AC124">_xlfn.XLOOKUP(1,MappingGuide[[#This Row],[API]:[API_3]],'[1]Squirrel SQL Export 1'!$K:$N,[1]!Table1[[#This Row],[Doppio Notes2]])</f>
        <v>#REF!</v>
      </c>
      <c r="AD124" s="17"/>
      <c r="AE124" s="17" t="e" cm="1">
        <f t="array" ref="AE124">_xlfn.XLOOKUP(1,MappingGuide[[#This Row],[API]:[API_3]],'[1]Squirrel SQL Export 1'!$K:$N,[1]!Table1[[#This Row],[DG_required]])</f>
        <v>#REF!</v>
      </c>
      <c r="AF124" s="21" t="s">
        <v>1286</v>
      </c>
      <c r="AG124" s="21"/>
      <c r="AH124" s="22" t="e" cm="1">
        <f t="array" ref="AH124">_xlfn.LET(_xlpm.r,_xlfn.XLOOKUP(1,MappingGuide[[#This Row],[API]:[API_3]],'[1]Squirrel SQL Export 1'!$K:$N,[1]!Table1[[#This Row],[Pending Items]]),IF(_xlpm.r=0,"",_xlpm.r))</f>
        <v>#REF!</v>
      </c>
      <c r="AI124" s="22" t="e" cm="1">
        <f t="array" ref="AI124">_xlfn.LET(_xlpm.r,_xlfn.XLOOKUP(1,MappingGuide[[#This Row],[API]:[API_3]],'[1]Squirrel SQL Export 1'!$K:$N,[1]!Table1[[#This Row],[Syndigo Name]]),IF(_xlpm.r=0,"",_xlpm.r))</f>
        <v>#REF!</v>
      </c>
      <c r="AJ124" s="17"/>
    </row>
    <row r="125" spans="1:36" ht="17" hidden="1">
      <c r="A125" s="17">
        <v>123</v>
      </c>
      <c r="B125" s="17" t="s">
        <v>40</v>
      </c>
      <c r="C125" s="17" t="s">
        <v>577</v>
      </c>
      <c r="D125" s="17" t="s">
        <v>578</v>
      </c>
      <c r="E125" s="17" t="s">
        <v>33</v>
      </c>
      <c r="F125" s="17" t="s">
        <v>34</v>
      </c>
      <c r="G125" s="17"/>
      <c r="H125" s="17"/>
      <c r="I125" s="17" t="s">
        <v>57</v>
      </c>
      <c r="J125" s="17" t="s">
        <v>408</v>
      </c>
      <c r="K125" s="17"/>
      <c r="L125" s="17" t="s">
        <v>35</v>
      </c>
      <c r="M125" s="17" t="s">
        <v>146</v>
      </c>
      <c r="N125" s="17" t="s">
        <v>579</v>
      </c>
      <c r="O125" s="17"/>
      <c r="P125" s="17"/>
      <c r="Q125" s="17"/>
      <c r="R125" s="17"/>
      <c r="S125" s="17" t="e" cm="1">
        <f t="array" ref="S125">_xlfn.LET(_xlpm.r,_xlfn.XLOOKUP(1,MappingGuide[[#This Row],[API]:[API_3]],'[1]Squirrel SQL Export 1'!$K:$N,[1]!Table1[[#This Row],[Responsible from HJ]]),IF(_xlpm.r=0,"",_xlpm.r))</f>
        <v>#REF!</v>
      </c>
      <c r="T125" s="17"/>
      <c r="U125" s="17"/>
      <c r="V125" s="17" t="e" cm="1">
        <f t="array" ref="V125">_xlfn.LET(_xlpm.r,_xlfn.XLOOKUP(1,MappingGuide[[#This Row],[API]:[API_3]],'[1]Squirrel SQL Export 1'!$K:$N,[1]!Table1[[#This Row],[MDM Comments]]),IF(_xlpm.r=0,"",_xlpm.r))</f>
        <v>#REF!</v>
      </c>
      <c r="W125" s="17" t="e" cm="1">
        <f t="array" ref="W125">_xlfn.LET(_xlpm.r,_xlfn.XLOOKUP(1,MappingGuide[[#This Row],[API]:[API_3]],'[1]Squirrel SQL Export 1'!$K:$N,[1]!Table1[[#This Row],[Exists In Syndigo?]]),IF(_xlpm.r=0,"",_xlpm.r))</f>
        <v>#REF!</v>
      </c>
      <c r="X125" s="17" t="e" cm="1">
        <f t="array" ref="X125">_xlfn.LET(_xlpm.r,_xlfn.XLOOKUP(1,MappingGuide[[#This Row],[API]:[API_3]],'[1]Squirrel SQL Export 1'!$K:$N,[1]!Table1[[#This Row],[Syndigo Name]]),IF(_xlpm.r=0,"",_xlpm.r))</f>
        <v>#REF!</v>
      </c>
      <c r="Y125" s="17"/>
      <c r="Z125" s="17" t="s">
        <v>580</v>
      </c>
      <c r="AA125" s="17"/>
      <c r="AB125" s="17"/>
      <c r="AC125" s="17" t="e" cm="1">
        <f t="array" ref="AC125">_xlfn.XLOOKUP(1,MappingGuide[[#This Row],[API]:[API_3]],'[1]Squirrel SQL Export 1'!$K:$N,[1]!Table1[[#This Row],[Doppio Notes2]])</f>
        <v>#REF!</v>
      </c>
      <c r="AD125" s="17"/>
      <c r="AE125" s="17" t="e" cm="1">
        <f t="array" ref="AE125">_xlfn.XLOOKUP(1,MappingGuide[[#This Row],[API]:[API_3]],'[1]Squirrel SQL Export 1'!$K:$N,[1]!Table1[[#This Row],[DG_required]])</f>
        <v>#REF!</v>
      </c>
      <c r="AF125" s="21" t="s">
        <v>1306</v>
      </c>
      <c r="AG125" s="21"/>
      <c r="AH125" s="22" t="e" cm="1">
        <f t="array" ref="AH125">_xlfn.LET(_xlpm.r,_xlfn.XLOOKUP(1,MappingGuide[[#This Row],[API]:[API_3]],'[1]Squirrel SQL Export 1'!$K:$N,[1]!Table1[[#This Row],[Pending Items]]),IF(_xlpm.r=0,"",_xlpm.r))</f>
        <v>#REF!</v>
      </c>
      <c r="AI125" s="22" t="e" cm="1">
        <f t="array" ref="AI125">_xlfn.LET(_xlpm.r,_xlfn.XLOOKUP(1,MappingGuide[[#This Row],[API]:[API_3]],'[1]Squirrel SQL Export 1'!$K:$N,[1]!Table1[[#This Row],[Syndigo Name]]),IF(_xlpm.r=0,"",_xlpm.r))</f>
        <v>#REF!</v>
      </c>
      <c r="AJ125" s="17"/>
    </row>
    <row r="126" spans="1:36" ht="17" hidden="1">
      <c r="A126" s="17">
        <v>124</v>
      </c>
      <c r="B126" s="17" t="s">
        <v>40</v>
      </c>
      <c r="C126" s="17" t="s">
        <v>581</v>
      </c>
      <c r="D126" s="17" t="s">
        <v>582</v>
      </c>
      <c r="E126" s="17" t="s">
        <v>33</v>
      </c>
      <c r="F126" s="17" t="s">
        <v>63</v>
      </c>
      <c r="G126" s="17"/>
      <c r="H126" s="17"/>
      <c r="I126" s="17" t="s">
        <v>57</v>
      </c>
      <c r="J126" s="17" t="s">
        <v>408</v>
      </c>
      <c r="K126" s="17"/>
      <c r="L126" s="17" t="s">
        <v>35</v>
      </c>
      <c r="M126" s="17" t="s">
        <v>146</v>
      </c>
      <c r="N126" s="17" t="s">
        <v>583</v>
      </c>
      <c r="O126" s="17"/>
      <c r="P126" s="17"/>
      <c r="Q126" s="17"/>
      <c r="R126" s="17"/>
      <c r="S126" s="17" t="e" cm="1">
        <f t="array" ref="S126">_xlfn.LET(_xlpm.r,_xlfn.XLOOKUP(1,MappingGuide[[#This Row],[API]:[API_3]],'[1]Squirrel SQL Export 1'!$K:$N,[1]!Table1[[#This Row],[Responsible from HJ]]),IF(_xlpm.r=0,"",_xlpm.r))</f>
        <v>#REF!</v>
      </c>
      <c r="T126" s="17"/>
      <c r="U126" s="17"/>
      <c r="V126" s="17" t="e" cm="1">
        <f t="array" ref="V126">_xlfn.LET(_xlpm.r,_xlfn.XLOOKUP(1,MappingGuide[[#This Row],[API]:[API_3]],'[1]Squirrel SQL Export 1'!$K:$N,[1]!Table1[[#This Row],[MDM Comments]]),IF(_xlpm.r=0,"",_xlpm.r))</f>
        <v>#REF!</v>
      </c>
      <c r="W126" s="17" t="e" cm="1">
        <f t="array" ref="W126">_xlfn.LET(_xlpm.r,_xlfn.XLOOKUP(1,MappingGuide[[#This Row],[API]:[API_3]],'[1]Squirrel SQL Export 1'!$K:$N,[1]!Table1[[#This Row],[Exists In Syndigo?]]),IF(_xlpm.r=0,"",_xlpm.r))</f>
        <v>#REF!</v>
      </c>
      <c r="X126" s="17" t="e" cm="1">
        <f t="array" ref="X126">_xlfn.LET(_xlpm.r,_xlfn.XLOOKUP(1,MappingGuide[[#This Row],[API]:[API_3]],'[1]Squirrel SQL Export 1'!$K:$N,[1]!Table1[[#This Row],[Syndigo Name]]),IF(_xlpm.r=0,"",_xlpm.r))</f>
        <v>#REF!</v>
      </c>
      <c r="Y126" s="17"/>
      <c r="Z126" s="17" t="s">
        <v>584</v>
      </c>
      <c r="AA126" s="17"/>
      <c r="AB126" s="17"/>
      <c r="AC126" s="17" t="e" cm="1">
        <f t="array" ref="AC126">_xlfn.XLOOKUP(1,MappingGuide[[#This Row],[API]:[API_3]],'[1]Squirrel SQL Export 1'!$K:$N,[1]!Table1[[#This Row],[Doppio Notes2]])</f>
        <v>#REF!</v>
      </c>
      <c r="AD126" s="17"/>
      <c r="AE126" s="17" t="e" cm="1">
        <f t="array" ref="AE126">_xlfn.XLOOKUP(1,MappingGuide[[#This Row],[API]:[API_3]],'[1]Squirrel SQL Export 1'!$K:$N,[1]!Table1[[#This Row],[DG_required]])</f>
        <v>#REF!</v>
      </c>
      <c r="AF126" s="21" t="s">
        <v>1306</v>
      </c>
      <c r="AG126" s="21"/>
      <c r="AH126" s="22" t="e" cm="1">
        <f t="array" ref="AH126">_xlfn.LET(_xlpm.r,_xlfn.XLOOKUP(1,MappingGuide[[#This Row],[API]:[API_3]],'[1]Squirrel SQL Export 1'!$K:$N,[1]!Table1[[#This Row],[Pending Items]]),IF(_xlpm.r=0,"",_xlpm.r))</f>
        <v>#REF!</v>
      </c>
      <c r="AI126" s="22" t="e" cm="1">
        <f t="array" ref="AI126">_xlfn.LET(_xlpm.r,_xlfn.XLOOKUP(1,MappingGuide[[#This Row],[API]:[API_3]],'[1]Squirrel SQL Export 1'!$K:$N,[1]!Table1[[#This Row],[Syndigo Name]]),IF(_xlpm.r=0,"",_xlpm.r))</f>
        <v>#REF!</v>
      </c>
      <c r="AJ126" s="17"/>
    </row>
    <row r="127" spans="1:36" ht="17" hidden="1">
      <c r="A127" s="17">
        <v>125</v>
      </c>
      <c r="B127" s="17" t="s">
        <v>40</v>
      </c>
      <c r="C127" s="17" t="s">
        <v>585</v>
      </c>
      <c r="D127" s="17" t="s">
        <v>586</v>
      </c>
      <c r="E127" s="17" t="s">
        <v>33</v>
      </c>
      <c r="F127" s="17" t="s">
        <v>34</v>
      </c>
      <c r="G127" s="17"/>
      <c r="H127" s="17"/>
      <c r="I127" s="17" t="s">
        <v>57</v>
      </c>
      <c r="J127" s="17" t="s">
        <v>408</v>
      </c>
      <c r="K127" s="17"/>
      <c r="L127" s="17" t="s">
        <v>35</v>
      </c>
      <c r="M127" s="17" t="s">
        <v>146</v>
      </c>
      <c r="N127" s="17" t="s">
        <v>587</v>
      </c>
      <c r="O127" s="17"/>
      <c r="P127" s="17"/>
      <c r="Q127" s="17"/>
      <c r="R127" s="17"/>
      <c r="S127" s="17" t="e" cm="1">
        <f t="array" ref="S127">_xlfn.LET(_xlpm.r,_xlfn.XLOOKUP(1,MappingGuide[[#This Row],[API]:[API_3]],'[1]Squirrel SQL Export 1'!$K:$N,[1]!Table1[[#This Row],[Responsible from HJ]]),IF(_xlpm.r=0,"",_xlpm.r))</f>
        <v>#REF!</v>
      </c>
      <c r="T127" s="17"/>
      <c r="U127" s="17"/>
      <c r="V127" s="17" t="e" cm="1">
        <f t="array" ref="V127">_xlfn.LET(_xlpm.r,_xlfn.XLOOKUP(1,MappingGuide[[#This Row],[API]:[API_3]],'[1]Squirrel SQL Export 1'!$K:$N,[1]!Table1[[#This Row],[MDM Comments]]),IF(_xlpm.r=0,"",_xlpm.r))</f>
        <v>#REF!</v>
      </c>
      <c r="W127" s="17" t="e" cm="1">
        <f t="array" ref="W127">_xlfn.LET(_xlpm.r,_xlfn.XLOOKUP(1,MappingGuide[[#This Row],[API]:[API_3]],'[1]Squirrel SQL Export 1'!$K:$N,[1]!Table1[[#This Row],[Exists In Syndigo?]]),IF(_xlpm.r=0,"",_xlpm.r))</f>
        <v>#REF!</v>
      </c>
      <c r="X127" s="17" t="e" cm="1">
        <f t="array" ref="X127">_xlfn.LET(_xlpm.r,_xlfn.XLOOKUP(1,MappingGuide[[#This Row],[API]:[API_3]],'[1]Squirrel SQL Export 1'!$K:$N,[1]!Table1[[#This Row],[Syndigo Name]]),IF(_xlpm.r=0,"",_xlpm.r))</f>
        <v>#REF!</v>
      </c>
      <c r="Y127" s="17"/>
      <c r="Z127" s="17" t="s">
        <v>588</v>
      </c>
      <c r="AA127" s="17"/>
      <c r="AB127" s="17"/>
      <c r="AC127" s="17" t="e" cm="1">
        <f t="array" ref="AC127">_xlfn.XLOOKUP(1,MappingGuide[[#This Row],[API]:[API_3]],'[1]Squirrel SQL Export 1'!$K:$N,[1]!Table1[[#This Row],[Doppio Notes2]])</f>
        <v>#REF!</v>
      </c>
      <c r="AD127" s="17"/>
      <c r="AE127" s="17" t="e" cm="1">
        <f t="array" ref="AE127">_xlfn.XLOOKUP(1,MappingGuide[[#This Row],[API]:[API_3]],'[1]Squirrel SQL Export 1'!$K:$N,[1]!Table1[[#This Row],[DG_required]])</f>
        <v>#REF!</v>
      </c>
      <c r="AF127" s="21" t="s">
        <v>1306</v>
      </c>
      <c r="AG127" s="21"/>
      <c r="AH127" s="22" t="e" cm="1">
        <f t="array" ref="AH127">_xlfn.LET(_xlpm.r,_xlfn.XLOOKUP(1,MappingGuide[[#This Row],[API]:[API_3]],'[1]Squirrel SQL Export 1'!$K:$N,[1]!Table1[[#This Row],[Pending Items]]),IF(_xlpm.r=0,"",_xlpm.r))</f>
        <v>#REF!</v>
      </c>
      <c r="AI127" s="22" t="e" cm="1">
        <f t="array" ref="AI127">_xlfn.LET(_xlpm.r,_xlfn.XLOOKUP(1,MappingGuide[[#This Row],[API]:[API_3]],'[1]Squirrel SQL Export 1'!$K:$N,[1]!Table1[[#This Row],[Syndigo Name]]),IF(_xlpm.r=0,"",_xlpm.r))</f>
        <v>#REF!</v>
      </c>
      <c r="AJ127" s="17"/>
    </row>
    <row r="128" spans="1:36" ht="17" hidden="1">
      <c r="A128" s="17">
        <v>126</v>
      </c>
      <c r="B128" s="17" t="s">
        <v>40</v>
      </c>
      <c r="C128" s="17" t="s">
        <v>589</v>
      </c>
      <c r="D128" s="17" t="s">
        <v>590</v>
      </c>
      <c r="E128" s="17" t="s">
        <v>43</v>
      </c>
      <c r="F128" s="17" t="s">
        <v>80</v>
      </c>
      <c r="G128" s="17"/>
      <c r="H128" s="17"/>
      <c r="I128" s="17" t="s">
        <v>57</v>
      </c>
      <c r="J128" s="17" t="s">
        <v>408</v>
      </c>
      <c r="K128" s="17"/>
      <c r="L128" s="17" t="s">
        <v>35</v>
      </c>
      <c r="M128" s="17" t="s">
        <v>146</v>
      </c>
      <c r="N128" s="17" t="s">
        <v>591</v>
      </c>
      <c r="O128" s="17"/>
      <c r="P128" s="17"/>
      <c r="Q128" s="17"/>
      <c r="R128" s="17"/>
      <c r="S128" s="17" t="e" cm="1">
        <f t="array" ref="S128">_xlfn.LET(_xlpm.r,_xlfn.XLOOKUP(1,MappingGuide[[#This Row],[API]:[API_3]],'[1]Squirrel SQL Export 1'!$K:$N,[1]!Table1[[#This Row],[Responsible from HJ]]),IF(_xlpm.r=0,"",_xlpm.r))</f>
        <v>#REF!</v>
      </c>
      <c r="T128" s="17"/>
      <c r="U128" s="17"/>
      <c r="V128" s="17" t="e" cm="1">
        <f t="array" ref="V128">_xlfn.LET(_xlpm.r,_xlfn.XLOOKUP(1,MappingGuide[[#This Row],[API]:[API_3]],'[1]Squirrel SQL Export 1'!$K:$N,[1]!Table1[[#This Row],[MDM Comments]]),IF(_xlpm.r=0,"",_xlpm.r))</f>
        <v>#REF!</v>
      </c>
      <c r="W128" s="17" t="e" cm="1">
        <f t="array" ref="W128">_xlfn.LET(_xlpm.r,_xlfn.XLOOKUP(1,MappingGuide[[#This Row],[API]:[API_3]],'[1]Squirrel SQL Export 1'!$K:$N,[1]!Table1[[#This Row],[Exists In Syndigo?]]),IF(_xlpm.r=0,"",_xlpm.r))</f>
        <v>#REF!</v>
      </c>
      <c r="X128" s="17" t="e" cm="1">
        <f t="array" ref="X128">_xlfn.LET(_xlpm.r,_xlfn.XLOOKUP(1,MappingGuide[[#This Row],[API]:[API_3]],'[1]Squirrel SQL Export 1'!$K:$N,[1]!Table1[[#This Row],[Syndigo Name]]),IF(_xlpm.r=0,"",_xlpm.r))</f>
        <v>#REF!</v>
      </c>
      <c r="Y128" s="17"/>
      <c r="Z128" s="17" t="s">
        <v>592</v>
      </c>
      <c r="AA128" s="17"/>
      <c r="AB128" s="17"/>
      <c r="AC128" s="17" t="e" cm="1">
        <f t="array" ref="AC128">_xlfn.XLOOKUP(1,MappingGuide[[#This Row],[API]:[API_3]],'[1]Squirrel SQL Export 1'!$K:$N,[1]!Table1[[#This Row],[Doppio Notes2]])</f>
        <v>#REF!</v>
      </c>
      <c r="AD128" s="17"/>
      <c r="AE128" s="17" t="e" cm="1">
        <f t="array" ref="AE128">_xlfn.XLOOKUP(1,MappingGuide[[#This Row],[API]:[API_3]],'[1]Squirrel SQL Export 1'!$K:$N,[1]!Table1[[#This Row],[DG_required]])</f>
        <v>#REF!</v>
      </c>
      <c r="AF128" s="21" t="s">
        <v>1290</v>
      </c>
      <c r="AG128" s="21"/>
      <c r="AH128" s="22" t="e" cm="1">
        <f t="array" ref="AH128">_xlfn.LET(_xlpm.r,_xlfn.XLOOKUP(1,MappingGuide[[#This Row],[API]:[API_3]],'[1]Squirrel SQL Export 1'!$K:$N,[1]!Table1[[#This Row],[Pending Items]]),IF(_xlpm.r=0,"",_xlpm.r))</f>
        <v>#REF!</v>
      </c>
      <c r="AI128" s="22" t="e" cm="1">
        <f t="array" ref="AI128">_xlfn.LET(_xlpm.r,_xlfn.XLOOKUP(1,MappingGuide[[#This Row],[API]:[API_3]],'[1]Squirrel SQL Export 1'!$K:$N,[1]!Table1[[#This Row],[Syndigo Name]]),IF(_xlpm.r=0,"",_xlpm.r))</f>
        <v>#REF!</v>
      </c>
      <c r="AJ128" s="17"/>
    </row>
    <row r="129" spans="1:36" ht="17" hidden="1">
      <c r="A129" s="17">
        <v>127</v>
      </c>
      <c r="B129" s="17" t="s">
        <v>40</v>
      </c>
      <c r="C129" s="17" t="s">
        <v>593</v>
      </c>
      <c r="D129" s="17" t="s">
        <v>594</v>
      </c>
      <c r="E129" s="17" t="s">
        <v>43</v>
      </c>
      <c r="F129" s="17" t="s">
        <v>341</v>
      </c>
      <c r="G129" s="17" t="s">
        <v>56</v>
      </c>
      <c r="H129" s="17"/>
      <c r="I129" s="17" t="s">
        <v>57</v>
      </c>
      <c r="J129" s="17" t="s">
        <v>408</v>
      </c>
      <c r="K129" s="17"/>
      <c r="L129" s="17" t="s">
        <v>35</v>
      </c>
      <c r="M129" s="17" t="s">
        <v>146</v>
      </c>
      <c r="N129" s="17" t="s">
        <v>595</v>
      </c>
      <c r="O129" s="17"/>
      <c r="P129" s="17"/>
      <c r="Q129" s="17"/>
      <c r="R129" s="17"/>
      <c r="S129" s="17" t="e" cm="1">
        <f t="array" ref="S129">_xlfn.LET(_xlpm.r,_xlfn.XLOOKUP(1,MappingGuide[[#This Row],[API]:[API_3]],'[1]Squirrel SQL Export 1'!$K:$N,[1]!Table1[[#This Row],[Responsible from HJ]]),IF(_xlpm.r=0,"",_xlpm.r))</f>
        <v>#REF!</v>
      </c>
      <c r="T129" s="17"/>
      <c r="U129" s="17"/>
      <c r="V129" s="17" t="e" cm="1">
        <f t="array" ref="V129">_xlfn.LET(_xlpm.r,_xlfn.XLOOKUP(1,MappingGuide[[#This Row],[API]:[API_3]],'[1]Squirrel SQL Export 1'!$K:$N,[1]!Table1[[#This Row],[MDM Comments]]),IF(_xlpm.r=0,"",_xlpm.r))</f>
        <v>#REF!</v>
      </c>
      <c r="W129" s="17" t="e" cm="1">
        <f t="array" ref="W129">_xlfn.LET(_xlpm.r,_xlfn.XLOOKUP(1,MappingGuide[[#This Row],[API]:[API_3]],'[1]Squirrel SQL Export 1'!$K:$N,[1]!Table1[[#This Row],[Exists In Syndigo?]]),IF(_xlpm.r=0,"",_xlpm.r))</f>
        <v>#REF!</v>
      </c>
      <c r="X129" s="17" t="e" cm="1">
        <f t="array" ref="X129">_xlfn.LET(_xlpm.r,_xlfn.XLOOKUP(1,MappingGuide[[#This Row],[API]:[API_3]],'[1]Squirrel SQL Export 1'!$K:$N,[1]!Table1[[#This Row],[Syndigo Name]]),IF(_xlpm.r=0,"",_xlpm.r))</f>
        <v>#REF!</v>
      </c>
      <c r="Y129" s="17"/>
      <c r="Z129" s="17" t="s">
        <v>596</v>
      </c>
      <c r="AA129" s="17"/>
      <c r="AB129" s="17"/>
      <c r="AC129" s="17" t="e" cm="1">
        <f t="array" ref="AC129">_xlfn.XLOOKUP(1,MappingGuide[[#This Row],[API]:[API_3]],'[1]Squirrel SQL Export 1'!$K:$N,[1]!Table1[[#This Row],[Doppio Notes2]])</f>
        <v>#REF!</v>
      </c>
      <c r="AD129" s="17"/>
      <c r="AE129" s="17" t="e" cm="1">
        <f t="array" ref="AE129">_xlfn.XLOOKUP(1,MappingGuide[[#This Row],[API]:[API_3]],'[1]Squirrel SQL Export 1'!$K:$N,[1]!Table1[[#This Row],[DG_required]])</f>
        <v>#REF!</v>
      </c>
      <c r="AF129" s="21" t="s">
        <v>1295</v>
      </c>
      <c r="AG129" s="21"/>
      <c r="AH129" s="22" t="e" cm="1">
        <f t="array" ref="AH129">_xlfn.LET(_xlpm.r,_xlfn.XLOOKUP(1,MappingGuide[[#This Row],[API]:[API_3]],'[1]Squirrel SQL Export 1'!$K:$N,[1]!Table1[[#This Row],[Pending Items]]),IF(_xlpm.r=0,"",_xlpm.r))</f>
        <v>#REF!</v>
      </c>
      <c r="AI129" s="22" t="e" cm="1">
        <f t="array" ref="AI129">_xlfn.LET(_xlpm.r,_xlfn.XLOOKUP(1,MappingGuide[[#This Row],[API]:[API_3]],'[1]Squirrel SQL Export 1'!$K:$N,[1]!Table1[[#This Row],[Syndigo Name]]),IF(_xlpm.r=0,"",_xlpm.r))</f>
        <v>#REF!</v>
      </c>
      <c r="AJ129" s="17"/>
    </row>
    <row r="130" spans="1:36" ht="17" hidden="1">
      <c r="A130" s="17">
        <v>128</v>
      </c>
      <c r="B130" s="17" t="s">
        <v>40</v>
      </c>
      <c r="C130" s="17" t="s">
        <v>597</v>
      </c>
      <c r="D130" s="17" t="s">
        <v>598</v>
      </c>
      <c r="E130" s="17" t="s">
        <v>43</v>
      </c>
      <c r="F130" s="17" t="s">
        <v>373</v>
      </c>
      <c r="G130" s="17"/>
      <c r="H130" s="17"/>
      <c r="I130" s="17" t="s">
        <v>57</v>
      </c>
      <c r="J130" s="17" t="s">
        <v>408</v>
      </c>
      <c r="K130" s="17"/>
      <c r="L130" s="17"/>
      <c r="M130" s="17"/>
      <c r="N130" s="17" t="s">
        <v>599</v>
      </c>
      <c r="O130" s="17"/>
      <c r="P130" s="17"/>
      <c r="Q130" s="17"/>
      <c r="R130" s="17"/>
      <c r="S130" s="17" t="e" cm="1">
        <f t="array" ref="S130">_xlfn.LET(_xlpm.r,_xlfn.XLOOKUP(1,MappingGuide[[#This Row],[API]:[API_3]],'[1]Squirrel SQL Export 1'!$K:$N,[1]!Table1[[#This Row],[Responsible from HJ]]),IF(_xlpm.r=0,"",_xlpm.r))</f>
        <v>#REF!</v>
      </c>
      <c r="T130" s="17"/>
      <c r="U130" s="17"/>
      <c r="V130" s="17" t="e" cm="1">
        <f t="array" ref="V130">_xlfn.LET(_xlpm.r,_xlfn.XLOOKUP(1,MappingGuide[[#This Row],[API]:[API_3]],'[1]Squirrel SQL Export 1'!$K:$N,[1]!Table1[[#This Row],[MDM Comments]]),IF(_xlpm.r=0,"",_xlpm.r))</f>
        <v>#REF!</v>
      </c>
      <c r="W130" s="17" t="e" cm="1">
        <f t="array" ref="W130">_xlfn.LET(_xlpm.r,_xlfn.XLOOKUP(1,MappingGuide[[#This Row],[API]:[API_3]],'[1]Squirrel SQL Export 1'!$K:$N,[1]!Table1[[#This Row],[Exists In Syndigo?]]),IF(_xlpm.r=0,"",_xlpm.r))</f>
        <v>#REF!</v>
      </c>
      <c r="X130" s="17" t="e" cm="1">
        <f t="array" ref="X130">_xlfn.LET(_xlpm.r,_xlfn.XLOOKUP(1,MappingGuide[[#This Row],[API]:[API_3]],'[1]Squirrel SQL Export 1'!$K:$N,[1]!Table1[[#This Row],[Syndigo Name]]),IF(_xlpm.r=0,"",_xlpm.r))</f>
        <v>#REF!</v>
      </c>
      <c r="Y130" s="17"/>
      <c r="Z130" s="17" t="s">
        <v>600</v>
      </c>
      <c r="AA130" s="17"/>
      <c r="AB130" s="17"/>
      <c r="AC130" s="17" t="e" cm="1">
        <f t="array" ref="AC130">_xlfn.XLOOKUP(1,MappingGuide[[#This Row],[API]:[API_3]],'[1]Squirrel SQL Export 1'!$K:$N,[1]!Table1[[#This Row],[Doppio Notes2]])</f>
        <v>#REF!</v>
      </c>
      <c r="AD130" s="17"/>
      <c r="AE130" s="17" t="e" cm="1">
        <f t="array" ref="AE130">_xlfn.XLOOKUP(1,MappingGuide[[#This Row],[API]:[API_3]],'[1]Squirrel SQL Export 1'!$K:$N,[1]!Table1[[#This Row],[DG_required]])</f>
        <v>#REF!</v>
      </c>
      <c r="AF130" s="21" t="s">
        <v>1290</v>
      </c>
      <c r="AG130" s="21"/>
      <c r="AH130" s="22" t="e" cm="1">
        <f t="array" ref="AH130">_xlfn.LET(_xlpm.r,_xlfn.XLOOKUP(1,MappingGuide[[#This Row],[API]:[API_3]],'[1]Squirrel SQL Export 1'!$K:$N,[1]!Table1[[#This Row],[Pending Items]]),IF(_xlpm.r=0,"",_xlpm.r))</f>
        <v>#REF!</v>
      </c>
      <c r="AI130" s="22" t="e" cm="1">
        <f t="array" ref="AI130">_xlfn.LET(_xlpm.r,_xlfn.XLOOKUP(1,MappingGuide[[#This Row],[API]:[API_3]],'[1]Squirrel SQL Export 1'!$K:$N,[1]!Table1[[#This Row],[Syndigo Name]]),IF(_xlpm.r=0,"",_xlpm.r))</f>
        <v>#REF!</v>
      </c>
      <c r="AJ130" s="17"/>
    </row>
    <row r="131" spans="1:36" ht="17" hidden="1">
      <c r="A131" s="17">
        <v>129</v>
      </c>
      <c r="B131" s="17" t="s">
        <v>40</v>
      </c>
      <c r="C131" s="17" t="s">
        <v>601</v>
      </c>
      <c r="D131" s="17" t="s">
        <v>602</v>
      </c>
      <c r="E131" s="17" t="s">
        <v>33</v>
      </c>
      <c r="F131" s="17" t="s">
        <v>34</v>
      </c>
      <c r="G131" s="17"/>
      <c r="H131" s="17"/>
      <c r="I131" s="17" t="s">
        <v>57</v>
      </c>
      <c r="J131" s="17" t="s">
        <v>408</v>
      </c>
      <c r="K131" s="17"/>
      <c r="L131" s="17"/>
      <c r="M131" s="17"/>
      <c r="N131" s="17" t="s">
        <v>603</v>
      </c>
      <c r="O131" s="17"/>
      <c r="P131" s="17"/>
      <c r="Q131" s="17"/>
      <c r="R131" s="17"/>
      <c r="S131" s="17" t="e" cm="1">
        <f t="array" ref="S131">_xlfn.LET(_xlpm.r,_xlfn.XLOOKUP(1,MappingGuide[[#This Row],[API]:[API_3]],'[1]Squirrel SQL Export 1'!$K:$N,[1]!Table1[[#This Row],[Responsible from HJ]]),IF(_xlpm.r=0,"",_xlpm.r))</f>
        <v>#REF!</v>
      </c>
      <c r="T131" s="17"/>
      <c r="U131" s="17"/>
      <c r="V131" s="17" t="e" cm="1">
        <f t="array" ref="V131">_xlfn.LET(_xlpm.r,_xlfn.XLOOKUP(1,MappingGuide[[#This Row],[API]:[API_3]],'[1]Squirrel SQL Export 1'!$K:$N,[1]!Table1[[#This Row],[MDM Comments]]),IF(_xlpm.r=0,"",_xlpm.r))</f>
        <v>#REF!</v>
      </c>
      <c r="W131" s="17" t="e" cm="1">
        <f t="array" ref="W131">_xlfn.LET(_xlpm.r,_xlfn.XLOOKUP(1,MappingGuide[[#This Row],[API]:[API_3]],'[1]Squirrel SQL Export 1'!$K:$N,[1]!Table1[[#This Row],[Exists In Syndigo?]]),IF(_xlpm.r=0,"",_xlpm.r))</f>
        <v>#REF!</v>
      </c>
      <c r="X131" s="17" t="e" cm="1">
        <f t="array" ref="X131">_xlfn.LET(_xlpm.r,_xlfn.XLOOKUP(1,MappingGuide[[#This Row],[API]:[API_3]],'[1]Squirrel SQL Export 1'!$K:$N,[1]!Table1[[#This Row],[Syndigo Name]]),IF(_xlpm.r=0,"",_xlpm.r))</f>
        <v>#REF!</v>
      </c>
      <c r="Y131" s="17"/>
      <c r="Z131" s="17" t="s">
        <v>604</v>
      </c>
      <c r="AA131" s="17"/>
      <c r="AB131" s="17"/>
      <c r="AC131" s="17" t="e" cm="1">
        <f t="array" ref="AC131">_xlfn.XLOOKUP(1,MappingGuide[[#This Row],[API]:[API_3]],'[1]Squirrel SQL Export 1'!$K:$N,[1]!Table1[[#This Row],[Doppio Notes2]])</f>
        <v>#REF!</v>
      </c>
      <c r="AD131" s="17"/>
      <c r="AE131" s="17" t="e" cm="1">
        <f t="array" ref="AE131">_xlfn.XLOOKUP(1,MappingGuide[[#This Row],[API]:[API_3]],'[1]Squirrel SQL Export 1'!$K:$N,[1]!Table1[[#This Row],[DG_required]])</f>
        <v>#REF!</v>
      </c>
      <c r="AF131" s="21" t="s">
        <v>1306</v>
      </c>
      <c r="AG131" s="21"/>
      <c r="AH131" s="22" t="e" cm="1">
        <f t="array" ref="AH131">_xlfn.LET(_xlpm.r,_xlfn.XLOOKUP(1,MappingGuide[[#This Row],[API]:[API_3]],'[1]Squirrel SQL Export 1'!$K:$N,[1]!Table1[[#This Row],[Pending Items]]),IF(_xlpm.r=0,"",_xlpm.r))</f>
        <v>#REF!</v>
      </c>
      <c r="AI131" s="22" t="e" cm="1">
        <f t="array" ref="AI131">_xlfn.LET(_xlpm.r,_xlfn.XLOOKUP(1,MappingGuide[[#This Row],[API]:[API_3]],'[1]Squirrel SQL Export 1'!$K:$N,[1]!Table1[[#This Row],[Syndigo Name]]),IF(_xlpm.r=0,"",_xlpm.r))</f>
        <v>#REF!</v>
      </c>
      <c r="AJ131" s="17"/>
    </row>
    <row r="132" spans="1:36" ht="17" hidden="1">
      <c r="A132" s="17">
        <v>130</v>
      </c>
      <c r="B132" s="17" t="s">
        <v>40</v>
      </c>
      <c r="C132" s="17" t="s">
        <v>605</v>
      </c>
      <c r="D132" s="17" t="s">
        <v>606</v>
      </c>
      <c r="E132" s="17" t="s">
        <v>43</v>
      </c>
      <c r="F132" s="17" t="s">
        <v>341</v>
      </c>
      <c r="G132" s="17" t="s">
        <v>56</v>
      </c>
      <c r="H132" s="17"/>
      <c r="I132" s="17" t="s">
        <v>57</v>
      </c>
      <c r="J132" s="17" t="s">
        <v>408</v>
      </c>
      <c r="K132" s="17"/>
      <c r="L132" s="17" t="s">
        <v>35</v>
      </c>
      <c r="M132" s="17" t="s">
        <v>146</v>
      </c>
      <c r="N132" s="17" t="s">
        <v>607</v>
      </c>
      <c r="O132" s="17"/>
      <c r="P132" s="17"/>
      <c r="Q132" s="17"/>
      <c r="R132" s="17"/>
      <c r="S132" s="17" t="e" cm="1">
        <f t="array" ref="S132">_xlfn.LET(_xlpm.r,_xlfn.XLOOKUP(1,MappingGuide[[#This Row],[API]:[API_3]],'[1]Squirrel SQL Export 1'!$K:$N,[1]!Table1[[#This Row],[Responsible from HJ]]),IF(_xlpm.r=0,"",_xlpm.r))</f>
        <v>#REF!</v>
      </c>
      <c r="T132" s="17"/>
      <c r="U132" s="17"/>
      <c r="V132" s="17" t="e" cm="1">
        <f t="array" ref="V132">_xlfn.LET(_xlpm.r,_xlfn.XLOOKUP(1,MappingGuide[[#This Row],[API]:[API_3]],'[1]Squirrel SQL Export 1'!$K:$N,[1]!Table1[[#This Row],[MDM Comments]]),IF(_xlpm.r=0,"",_xlpm.r))</f>
        <v>#REF!</v>
      </c>
      <c r="W132" s="17" t="e" cm="1">
        <f t="array" ref="W132">_xlfn.LET(_xlpm.r,_xlfn.XLOOKUP(1,MappingGuide[[#This Row],[API]:[API_3]],'[1]Squirrel SQL Export 1'!$K:$N,[1]!Table1[[#This Row],[Exists In Syndigo?]]),IF(_xlpm.r=0,"",_xlpm.r))</f>
        <v>#REF!</v>
      </c>
      <c r="X132" s="17" t="e" cm="1">
        <f t="array" ref="X132">_xlfn.LET(_xlpm.r,_xlfn.XLOOKUP(1,MappingGuide[[#This Row],[API]:[API_3]],'[1]Squirrel SQL Export 1'!$K:$N,[1]!Table1[[#This Row],[Syndigo Name]]),IF(_xlpm.r=0,"",_xlpm.r))</f>
        <v>#REF!</v>
      </c>
      <c r="Y132" s="17"/>
      <c r="Z132" s="17" t="s">
        <v>608</v>
      </c>
      <c r="AA132" s="17"/>
      <c r="AB132" s="17"/>
      <c r="AC132" s="17" t="e" cm="1">
        <f t="array" ref="AC132">_xlfn.XLOOKUP(1,MappingGuide[[#This Row],[API]:[API_3]],'[1]Squirrel SQL Export 1'!$K:$N,[1]!Table1[[#This Row],[Doppio Notes2]])</f>
        <v>#REF!</v>
      </c>
      <c r="AD132" s="17"/>
      <c r="AE132" s="17" t="e" cm="1">
        <f t="array" ref="AE132">_xlfn.XLOOKUP(1,MappingGuide[[#This Row],[API]:[API_3]],'[1]Squirrel SQL Export 1'!$K:$N,[1]!Table1[[#This Row],[DG_required]])</f>
        <v>#REF!</v>
      </c>
      <c r="AF132" s="21" t="s">
        <v>1295</v>
      </c>
      <c r="AG132" s="21"/>
      <c r="AH132" s="22" t="e" cm="1">
        <f t="array" ref="AH132">_xlfn.LET(_xlpm.r,_xlfn.XLOOKUP(1,MappingGuide[[#This Row],[API]:[API_3]],'[1]Squirrel SQL Export 1'!$K:$N,[1]!Table1[[#This Row],[Pending Items]]),IF(_xlpm.r=0,"",_xlpm.r))</f>
        <v>#REF!</v>
      </c>
      <c r="AI132" s="22" t="e" cm="1">
        <f t="array" ref="AI132">_xlfn.LET(_xlpm.r,_xlfn.XLOOKUP(1,MappingGuide[[#This Row],[API]:[API_3]],'[1]Squirrel SQL Export 1'!$K:$N,[1]!Table1[[#This Row],[Syndigo Name]]),IF(_xlpm.r=0,"",_xlpm.r))</f>
        <v>#REF!</v>
      </c>
      <c r="AJ132" s="17"/>
    </row>
    <row r="133" spans="1:36" ht="17" hidden="1">
      <c r="A133" s="17">
        <v>131</v>
      </c>
      <c r="B133" s="17" t="s">
        <v>40</v>
      </c>
      <c r="C133" s="17" t="s">
        <v>609</v>
      </c>
      <c r="D133" s="17" t="s">
        <v>610</v>
      </c>
      <c r="E133" s="17" t="s">
        <v>43</v>
      </c>
      <c r="F133" s="17" t="s">
        <v>373</v>
      </c>
      <c r="G133" s="17"/>
      <c r="H133" s="17"/>
      <c r="I133" s="17" t="s">
        <v>57</v>
      </c>
      <c r="J133" s="17" t="s">
        <v>408</v>
      </c>
      <c r="K133" s="17"/>
      <c r="L133" s="17"/>
      <c r="M133" s="17"/>
      <c r="N133" s="17" t="s">
        <v>611</v>
      </c>
      <c r="O133" s="17"/>
      <c r="P133" s="17"/>
      <c r="Q133" s="17"/>
      <c r="R133" s="17"/>
      <c r="S133" s="17" t="e" cm="1">
        <f t="array" ref="S133">_xlfn.LET(_xlpm.r,_xlfn.XLOOKUP(1,MappingGuide[[#This Row],[API]:[API_3]],'[1]Squirrel SQL Export 1'!$K:$N,[1]!Table1[[#This Row],[Responsible from HJ]]),IF(_xlpm.r=0,"",_xlpm.r))</f>
        <v>#REF!</v>
      </c>
      <c r="T133" s="17"/>
      <c r="U133" s="17"/>
      <c r="V133" s="17" t="e" cm="1">
        <f t="array" ref="V133">_xlfn.LET(_xlpm.r,_xlfn.XLOOKUP(1,MappingGuide[[#This Row],[API]:[API_3]],'[1]Squirrel SQL Export 1'!$K:$N,[1]!Table1[[#This Row],[MDM Comments]]),IF(_xlpm.r=0,"",_xlpm.r))</f>
        <v>#REF!</v>
      </c>
      <c r="W133" s="17" t="e" cm="1">
        <f t="array" ref="W133">_xlfn.LET(_xlpm.r,_xlfn.XLOOKUP(1,MappingGuide[[#This Row],[API]:[API_3]],'[1]Squirrel SQL Export 1'!$K:$N,[1]!Table1[[#This Row],[Exists In Syndigo?]]),IF(_xlpm.r=0,"",_xlpm.r))</f>
        <v>#REF!</v>
      </c>
      <c r="X133" s="17" t="e" cm="1">
        <f t="array" ref="X133">_xlfn.LET(_xlpm.r,_xlfn.XLOOKUP(1,MappingGuide[[#This Row],[API]:[API_3]],'[1]Squirrel SQL Export 1'!$K:$N,[1]!Table1[[#This Row],[Syndigo Name]]),IF(_xlpm.r=0,"",_xlpm.r))</f>
        <v>#REF!</v>
      </c>
      <c r="Y133" s="17"/>
      <c r="Z133" s="17" t="s">
        <v>612</v>
      </c>
      <c r="AA133" s="17"/>
      <c r="AB133" s="17"/>
      <c r="AC133" s="17" t="e" cm="1">
        <f t="array" ref="AC133">_xlfn.XLOOKUP(1,MappingGuide[[#This Row],[API]:[API_3]],'[1]Squirrel SQL Export 1'!$K:$N,[1]!Table1[[#This Row],[Doppio Notes2]])</f>
        <v>#REF!</v>
      </c>
      <c r="AD133" s="17"/>
      <c r="AE133" s="17" t="e" cm="1">
        <f t="array" ref="AE133">_xlfn.XLOOKUP(1,MappingGuide[[#This Row],[API]:[API_3]],'[1]Squirrel SQL Export 1'!$K:$N,[1]!Table1[[#This Row],[DG_required]])</f>
        <v>#REF!</v>
      </c>
      <c r="AF133" s="21" t="s">
        <v>1290</v>
      </c>
      <c r="AG133" s="21"/>
      <c r="AH133" s="22" t="e" cm="1">
        <f t="array" ref="AH133">_xlfn.LET(_xlpm.r,_xlfn.XLOOKUP(1,MappingGuide[[#This Row],[API]:[API_3]],'[1]Squirrel SQL Export 1'!$K:$N,[1]!Table1[[#This Row],[Pending Items]]),IF(_xlpm.r=0,"",_xlpm.r))</f>
        <v>#REF!</v>
      </c>
      <c r="AI133" s="22" t="e" cm="1">
        <f t="array" ref="AI133">_xlfn.LET(_xlpm.r,_xlfn.XLOOKUP(1,MappingGuide[[#This Row],[API]:[API_3]],'[1]Squirrel SQL Export 1'!$K:$N,[1]!Table1[[#This Row],[Syndigo Name]]),IF(_xlpm.r=0,"",_xlpm.r))</f>
        <v>#REF!</v>
      </c>
      <c r="AJ133" s="17"/>
    </row>
    <row r="134" spans="1:36" ht="17" hidden="1">
      <c r="A134" s="17">
        <v>132</v>
      </c>
      <c r="B134" s="17" t="s">
        <v>40</v>
      </c>
      <c r="C134" s="17" t="s">
        <v>613</v>
      </c>
      <c r="D134" s="17" t="s">
        <v>602</v>
      </c>
      <c r="E134" s="17" t="s">
        <v>33</v>
      </c>
      <c r="F134" s="17" t="s">
        <v>34</v>
      </c>
      <c r="G134" s="17"/>
      <c r="H134" s="17"/>
      <c r="I134" s="17" t="s">
        <v>57</v>
      </c>
      <c r="J134" s="17" t="s">
        <v>408</v>
      </c>
      <c r="K134" s="17"/>
      <c r="L134" s="17"/>
      <c r="M134" s="17"/>
      <c r="N134" s="17" t="s">
        <v>614</v>
      </c>
      <c r="O134" s="17"/>
      <c r="P134" s="17"/>
      <c r="Q134" s="17"/>
      <c r="R134" s="17"/>
      <c r="S134" s="17" t="e" cm="1">
        <f t="array" ref="S134">_xlfn.LET(_xlpm.r,_xlfn.XLOOKUP(1,MappingGuide[[#This Row],[API]:[API_3]],'[1]Squirrel SQL Export 1'!$K:$N,[1]!Table1[[#This Row],[Responsible from HJ]]),IF(_xlpm.r=0,"",_xlpm.r))</f>
        <v>#REF!</v>
      </c>
      <c r="T134" s="17"/>
      <c r="U134" s="17"/>
      <c r="V134" s="17" t="e" cm="1">
        <f t="array" ref="V134">_xlfn.LET(_xlpm.r,_xlfn.XLOOKUP(1,MappingGuide[[#This Row],[API]:[API_3]],'[1]Squirrel SQL Export 1'!$K:$N,[1]!Table1[[#This Row],[MDM Comments]]),IF(_xlpm.r=0,"",_xlpm.r))</f>
        <v>#REF!</v>
      </c>
      <c r="W134" s="17" t="e" cm="1">
        <f t="array" ref="W134">_xlfn.LET(_xlpm.r,_xlfn.XLOOKUP(1,MappingGuide[[#This Row],[API]:[API_3]],'[1]Squirrel SQL Export 1'!$K:$N,[1]!Table1[[#This Row],[Exists In Syndigo?]]),IF(_xlpm.r=0,"",_xlpm.r))</f>
        <v>#REF!</v>
      </c>
      <c r="X134" s="17" t="e" cm="1">
        <f t="array" ref="X134">_xlfn.LET(_xlpm.r,_xlfn.XLOOKUP(1,MappingGuide[[#This Row],[API]:[API_3]],'[1]Squirrel SQL Export 1'!$K:$N,[1]!Table1[[#This Row],[Syndigo Name]]),IF(_xlpm.r=0,"",_xlpm.r))</f>
        <v>#REF!</v>
      </c>
      <c r="Y134" s="17"/>
      <c r="Z134" s="17" t="s">
        <v>615</v>
      </c>
      <c r="AA134" s="17"/>
      <c r="AB134" s="17"/>
      <c r="AC134" s="17" t="e" cm="1">
        <f t="array" ref="AC134">_xlfn.XLOOKUP(1,MappingGuide[[#This Row],[API]:[API_3]],'[1]Squirrel SQL Export 1'!$K:$N,[1]!Table1[[#This Row],[Doppio Notes2]])</f>
        <v>#REF!</v>
      </c>
      <c r="AD134" s="17"/>
      <c r="AE134" s="17" t="e" cm="1">
        <f t="array" ref="AE134">_xlfn.XLOOKUP(1,MappingGuide[[#This Row],[API]:[API_3]],'[1]Squirrel SQL Export 1'!$K:$N,[1]!Table1[[#This Row],[DG_required]])</f>
        <v>#REF!</v>
      </c>
      <c r="AF134" s="21" t="s">
        <v>1306</v>
      </c>
      <c r="AG134" s="21"/>
      <c r="AH134" s="22" t="e" cm="1">
        <f t="array" ref="AH134">_xlfn.LET(_xlpm.r,_xlfn.XLOOKUP(1,MappingGuide[[#This Row],[API]:[API_3]],'[1]Squirrel SQL Export 1'!$K:$N,[1]!Table1[[#This Row],[Pending Items]]),IF(_xlpm.r=0,"",_xlpm.r))</f>
        <v>#REF!</v>
      </c>
      <c r="AI134" s="22" t="e" cm="1">
        <f t="array" ref="AI134">_xlfn.LET(_xlpm.r,_xlfn.XLOOKUP(1,MappingGuide[[#This Row],[API]:[API_3]],'[1]Squirrel SQL Export 1'!$K:$N,[1]!Table1[[#This Row],[Syndigo Name]]),IF(_xlpm.r=0,"",_xlpm.r))</f>
        <v>#REF!</v>
      </c>
      <c r="AJ134" s="17"/>
    </row>
    <row r="135" spans="1:36" ht="17" hidden="1">
      <c r="A135" s="17">
        <v>133</v>
      </c>
      <c r="B135" s="17" t="s">
        <v>40</v>
      </c>
      <c r="C135" s="17" t="s">
        <v>616</v>
      </c>
      <c r="D135" s="17" t="s">
        <v>617</v>
      </c>
      <c r="E135" s="17" t="s">
        <v>33</v>
      </c>
      <c r="F135" s="17" t="s">
        <v>56</v>
      </c>
      <c r="G135" s="17"/>
      <c r="H135" s="17"/>
      <c r="I135" s="17"/>
      <c r="J135" s="17"/>
      <c r="K135" s="17"/>
      <c r="L135" s="17"/>
      <c r="M135" s="17"/>
      <c r="N135" s="17" t="s">
        <v>618</v>
      </c>
      <c r="O135" s="17"/>
      <c r="P135" s="17"/>
      <c r="Q135" s="17"/>
      <c r="R135" s="17"/>
      <c r="S135" s="17" t="e" cm="1">
        <f t="array" ref="S135">_xlfn.LET(_xlpm.r,_xlfn.XLOOKUP(1,MappingGuide[[#This Row],[API]:[API_3]],'[1]Squirrel SQL Export 1'!$K:$N,[1]!Table1[[#This Row],[Responsible from HJ]]),IF(_xlpm.r=0,"",_xlpm.r))</f>
        <v>#REF!</v>
      </c>
      <c r="T135" s="17"/>
      <c r="U135" s="17"/>
      <c r="V135" s="17" t="e" cm="1">
        <f t="array" ref="V135">_xlfn.LET(_xlpm.r,_xlfn.XLOOKUP(1,MappingGuide[[#This Row],[API]:[API_3]],'[1]Squirrel SQL Export 1'!$K:$N,[1]!Table1[[#This Row],[MDM Comments]]),IF(_xlpm.r=0,"",_xlpm.r))</f>
        <v>#REF!</v>
      </c>
      <c r="W135" s="17" t="e" cm="1">
        <f t="array" ref="W135">_xlfn.LET(_xlpm.r,_xlfn.XLOOKUP(1,MappingGuide[[#This Row],[API]:[API_3]],'[1]Squirrel SQL Export 1'!$K:$N,[1]!Table1[[#This Row],[Exists In Syndigo?]]),IF(_xlpm.r=0,"",_xlpm.r))</f>
        <v>#REF!</v>
      </c>
      <c r="X135" s="17" t="e" cm="1">
        <f t="array" ref="X135">_xlfn.LET(_xlpm.r,_xlfn.XLOOKUP(1,MappingGuide[[#This Row],[API]:[API_3]],'[1]Squirrel SQL Export 1'!$K:$N,[1]!Table1[[#This Row],[Syndigo Name]]),IF(_xlpm.r=0,"",_xlpm.r))</f>
        <v>#REF!</v>
      </c>
      <c r="Y135" s="17"/>
      <c r="Z135" s="17" t="s">
        <v>619</v>
      </c>
      <c r="AA135" s="17"/>
      <c r="AB135" s="17"/>
      <c r="AC135" s="17" t="e" cm="1">
        <f t="array" ref="AC135">_xlfn.XLOOKUP(1,MappingGuide[[#This Row],[API]:[API_3]],'[1]Squirrel SQL Export 1'!$K:$N,[1]!Table1[[#This Row],[Doppio Notes2]])</f>
        <v>#REF!</v>
      </c>
      <c r="AD135" s="17"/>
      <c r="AE135" s="17" t="e" cm="1">
        <f t="array" ref="AE135">_xlfn.XLOOKUP(1,MappingGuide[[#This Row],[API]:[API_3]],'[1]Squirrel SQL Export 1'!$K:$N,[1]!Table1[[#This Row],[DG_required]])</f>
        <v>#REF!</v>
      </c>
      <c r="AF135" s="21" t="s">
        <v>1306</v>
      </c>
      <c r="AG135" s="21"/>
      <c r="AH135" s="22" t="e" cm="1">
        <f t="array" ref="AH135">_xlfn.LET(_xlpm.r,_xlfn.XLOOKUP(1,MappingGuide[[#This Row],[API]:[API_3]],'[1]Squirrel SQL Export 1'!$K:$N,[1]!Table1[[#This Row],[Pending Items]]),IF(_xlpm.r=0,"",_xlpm.r))</f>
        <v>#REF!</v>
      </c>
      <c r="AI135" s="22" t="e" cm="1">
        <f t="array" ref="AI135">_xlfn.LET(_xlpm.r,_xlfn.XLOOKUP(1,MappingGuide[[#This Row],[API]:[API_3]],'[1]Squirrel SQL Export 1'!$K:$N,[1]!Table1[[#This Row],[Syndigo Name]]),IF(_xlpm.r=0,"",_xlpm.r))</f>
        <v>#REF!</v>
      </c>
      <c r="AJ135" s="17"/>
    </row>
    <row r="136" spans="1:36" ht="18" hidden="1">
      <c r="A136" s="17">
        <v>134</v>
      </c>
      <c r="B136" s="17" t="s">
        <v>40</v>
      </c>
      <c r="C136" s="17" t="s">
        <v>620</v>
      </c>
      <c r="D136" s="17" t="s">
        <v>621</v>
      </c>
      <c r="E136" s="17" t="s">
        <v>33</v>
      </c>
      <c r="F136" s="17" t="s">
        <v>34</v>
      </c>
      <c r="G136" s="17"/>
      <c r="H136" s="17"/>
      <c r="I136" s="17" t="s">
        <v>57</v>
      </c>
      <c r="J136" s="17" t="s">
        <v>119</v>
      </c>
      <c r="K136" s="17"/>
      <c r="L136" s="17" t="s">
        <v>35</v>
      </c>
      <c r="M136" s="17" t="s">
        <v>36</v>
      </c>
      <c r="N136" s="17" t="s">
        <v>622</v>
      </c>
      <c r="O136" s="17"/>
      <c r="P136" s="17"/>
      <c r="Q136" s="17"/>
      <c r="R136" s="17"/>
      <c r="S136" s="17" t="e" cm="1">
        <f t="array" ref="S136">_xlfn.LET(_xlpm.r,_xlfn.XLOOKUP(1,MappingGuide[[#This Row],[API]:[API_3]],'[1]Squirrel SQL Export 1'!$K:$N,[1]!Table1[[#This Row],[Responsible from HJ]]),IF(_xlpm.r=0,"",_xlpm.r))</f>
        <v>#REF!</v>
      </c>
      <c r="T136" s="17"/>
      <c r="U136" s="17"/>
      <c r="V136" s="17" t="e" cm="1">
        <f t="array" ref="V136">_xlfn.LET(_xlpm.r,_xlfn.XLOOKUP(1,MappingGuide[[#This Row],[API]:[API_3]],'[1]Squirrel SQL Export 1'!$K:$N,[1]!Table1[[#This Row],[MDM Comments]]),IF(_xlpm.r=0,"",_xlpm.r))</f>
        <v>#REF!</v>
      </c>
      <c r="W136" s="17" t="e" cm="1">
        <f t="array" ref="W136">_xlfn.LET(_xlpm.r,_xlfn.XLOOKUP(1,MappingGuide[[#This Row],[API]:[API_3]],'[1]Squirrel SQL Export 1'!$K:$N,[1]!Table1[[#This Row],[Exists In Syndigo?]]),IF(_xlpm.r=0,"",_xlpm.r))</f>
        <v>#REF!</v>
      </c>
      <c r="X136" s="17" t="e" cm="1">
        <f t="array" ref="X136">_xlfn.LET(_xlpm.r,_xlfn.XLOOKUP(1,MappingGuide[[#This Row],[API]:[API_3]],'[1]Squirrel SQL Export 1'!$K:$N,[1]!Table1[[#This Row],[Syndigo Name]]),IF(_xlpm.r=0,"",_xlpm.r))</f>
        <v>#REF!</v>
      </c>
      <c r="Y136" s="17"/>
      <c r="Z136" s="17" t="s">
        <v>623</v>
      </c>
      <c r="AA136" s="17"/>
      <c r="AB136" s="17"/>
      <c r="AC136" s="17" t="e" cm="1">
        <f t="array" ref="AC136">_xlfn.XLOOKUP(1,MappingGuide[[#This Row],[API]:[API_3]],'[1]Squirrel SQL Export 1'!$K:$N,[1]!Table1[[#This Row],[Doppio Notes2]])</f>
        <v>#REF!</v>
      </c>
      <c r="AD136" s="17" t="s">
        <v>1279</v>
      </c>
      <c r="AE136" s="17" t="e" cm="1">
        <f t="array" ref="AE136">_xlfn.XLOOKUP(1,MappingGuide[[#This Row],[API]:[API_3]],'[1]Squirrel SQL Export 1'!$K:$N,[1]!Table1[[#This Row],[DG_required]])</f>
        <v>#REF!</v>
      </c>
      <c r="AF136" s="21" t="s">
        <v>1286</v>
      </c>
      <c r="AG136" s="21"/>
      <c r="AH136" s="24" t="e" cm="1">
        <f t="array" ref="AH136">_xlfn.LET(_xlpm.r,_xlfn.XLOOKUP(1,MappingGuide[[#This Row],[API]:[API_3]],'[1]Squirrel SQL Export 1'!$K:$N,[1]!Table1[[#This Row],[Pending Items]]),IF(_xlpm.r=0,"",_xlpm.r))</f>
        <v>#REF!</v>
      </c>
      <c r="AI136" s="22" t="e" cm="1">
        <f t="array" ref="AI136">_xlfn.LET(_xlpm.r,_xlfn.XLOOKUP(1,MappingGuide[[#This Row],[API]:[API_3]],'[1]Squirrel SQL Export 1'!$K:$N,[1]!Table1[[#This Row],[Syndigo Name]]),IF(_xlpm.r=0,"",_xlpm.r))</f>
        <v>#REF!</v>
      </c>
      <c r="AJ136" s="17"/>
    </row>
    <row r="137" spans="1:36" ht="17" hidden="1">
      <c r="A137" s="17">
        <v>135</v>
      </c>
      <c r="B137" s="17" t="s">
        <v>40</v>
      </c>
      <c r="C137" s="17" t="s">
        <v>624</v>
      </c>
      <c r="D137" s="17" t="s">
        <v>625</v>
      </c>
      <c r="E137" s="17" t="s">
        <v>33</v>
      </c>
      <c r="F137" s="17" t="s">
        <v>118</v>
      </c>
      <c r="G137" s="17"/>
      <c r="H137" s="17"/>
      <c r="I137" s="17"/>
      <c r="J137" s="17"/>
      <c r="K137" s="17"/>
      <c r="L137" s="17"/>
      <c r="M137" s="17"/>
      <c r="N137" s="17" t="s">
        <v>626</v>
      </c>
      <c r="O137" s="17"/>
      <c r="P137" s="17"/>
      <c r="Q137" s="17"/>
      <c r="R137" s="17"/>
      <c r="S137" s="17" t="e" cm="1">
        <f t="array" ref="S137">_xlfn.LET(_xlpm.r,_xlfn.XLOOKUP(1,MappingGuide[[#This Row],[API]:[API_3]],'[1]Squirrel SQL Export 1'!$K:$N,[1]!Table1[[#This Row],[Responsible from HJ]]),IF(_xlpm.r=0,"",_xlpm.r))</f>
        <v>#REF!</v>
      </c>
      <c r="T137" s="17"/>
      <c r="U137" s="17"/>
      <c r="V137" s="17" t="e" cm="1">
        <f t="array" ref="V137">_xlfn.LET(_xlpm.r,_xlfn.XLOOKUP(1,MappingGuide[[#This Row],[API]:[API_3]],'[1]Squirrel SQL Export 1'!$K:$N,[1]!Table1[[#This Row],[MDM Comments]]),IF(_xlpm.r=0,"",_xlpm.r))</f>
        <v>#REF!</v>
      </c>
      <c r="W137" s="17" t="e" cm="1">
        <f t="array" ref="W137">_xlfn.LET(_xlpm.r,_xlfn.XLOOKUP(1,MappingGuide[[#This Row],[API]:[API_3]],'[1]Squirrel SQL Export 1'!$K:$N,[1]!Table1[[#This Row],[Exists In Syndigo?]]),IF(_xlpm.r=0,"",_xlpm.r))</f>
        <v>#REF!</v>
      </c>
      <c r="X137" s="17" t="e" cm="1">
        <f t="array" ref="X137">_xlfn.LET(_xlpm.r,_xlfn.XLOOKUP(1,MappingGuide[[#This Row],[API]:[API_3]],'[1]Squirrel SQL Export 1'!$K:$N,[1]!Table1[[#This Row],[Syndigo Name]]),IF(_xlpm.r=0,"",_xlpm.r))</f>
        <v>#REF!</v>
      </c>
      <c r="Y137" s="17"/>
      <c r="Z137" s="17" t="s">
        <v>627</v>
      </c>
      <c r="AA137" s="17"/>
      <c r="AB137" s="17"/>
      <c r="AC137" s="17" t="e" cm="1">
        <f t="array" ref="AC137">_xlfn.XLOOKUP(1,MappingGuide[[#This Row],[API]:[API_3]],'[1]Squirrel SQL Export 1'!$K:$N,[1]!Table1[[#This Row],[Doppio Notes2]])</f>
        <v>#REF!</v>
      </c>
      <c r="AD137" s="17"/>
      <c r="AE137" s="17" t="e" cm="1">
        <f t="array" ref="AE137">_xlfn.XLOOKUP(1,MappingGuide[[#This Row],[API]:[API_3]],'[1]Squirrel SQL Export 1'!$K:$N,[1]!Table1[[#This Row],[DG_required]])</f>
        <v>#REF!</v>
      </c>
      <c r="AF137" s="21" t="s">
        <v>1306</v>
      </c>
      <c r="AG137" s="21"/>
      <c r="AH137" s="22" t="e" cm="1">
        <f t="array" ref="AH137">_xlfn.LET(_xlpm.r,_xlfn.XLOOKUP(1,MappingGuide[[#This Row],[API]:[API_3]],'[1]Squirrel SQL Export 1'!$K:$N,[1]!Table1[[#This Row],[Pending Items]]),IF(_xlpm.r=0,"",_xlpm.r))</f>
        <v>#REF!</v>
      </c>
      <c r="AI137" s="22" t="e" cm="1">
        <f t="array" ref="AI137">_xlfn.LET(_xlpm.r,_xlfn.XLOOKUP(1,MappingGuide[[#This Row],[API]:[API_3]],'[1]Squirrel SQL Export 1'!$K:$N,[1]!Table1[[#This Row],[Syndigo Name]]),IF(_xlpm.r=0,"",_xlpm.r))</f>
        <v>#REF!</v>
      </c>
      <c r="AJ137" s="17"/>
    </row>
    <row r="138" spans="1:36" ht="17" hidden="1">
      <c r="A138" s="17">
        <v>136</v>
      </c>
      <c r="B138" s="17" t="s">
        <v>40</v>
      </c>
      <c r="C138" s="17" t="s">
        <v>628</v>
      </c>
      <c r="D138" s="17" t="s">
        <v>629</v>
      </c>
      <c r="E138" s="17" t="s">
        <v>43</v>
      </c>
      <c r="F138" s="17" t="s">
        <v>44</v>
      </c>
      <c r="G138" s="17"/>
      <c r="H138" s="17"/>
      <c r="I138" s="17"/>
      <c r="J138" s="17"/>
      <c r="K138" s="17"/>
      <c r="L138" s="17"/>
      <c r="M138" s="17"/>
      <c r="N138" s="17" t="s">
        <v>630</v>
      </c>
      <c r="O138" s="17"/>
      <c r="P138" s="17"/>
      <c r="Q138" s="17"/>
      <c r="R138" s="17"/>
      <c r="S138" s="17" t="e" cm="1">
        <f t="array" ref="S138">_xlfn.LET(_xlpm.r,_xlfn.XLOOKUP(1,MappingGuide[[#This Row],[API]:[API_3]],'[1]Squirrel SQL Export 1'!$K:$N,[1]!Table1[[#This Row],[Responsible from HJ]]),IF(_xlpm.r=0,"",_xlpm.r))</f>
        <v>#REF!</v>
      </c>
      <c r="T138" s="17"/>
      <c r="U138" s="17"/>
      <c r="V138" s="17" t="e" cm="1">
        <f t="array" ref="V138">_xlfn.LET(_xlpm.r,_xlfn.XLOOKUP(1,MappingGuide[[#This Row],[API]:[API_3]],'[1]Squirrel SQL Export 1'!$K:$N,[1]!Table1[[#This Row],[MDM Comments]]),IF(_xlpm.r=0,"",_xlpm.r))</f>
        <v>#REF!</v>
      </c>
      <c r="W138" s="17" t="e" cm="1">
        <f t="array" ref="W138">_xlfn.LET(_xlpm.r,_xlfn.XLOOKUP(1,MappingGuide[[#This Row],[API]:[API_3]],'[1]Squirrel SQL Export 1'!$K:$N,[1]!Table1[[#This Row],[Exists In Syndigo?]]),IF(_xlpm.r=0,"",_xlpm.r))</f>
        <v>#REF!</v>
      </c>
      <c r="X138" s="17" t="e" cm="1">
        <f t="array" ref="X138">_xlfn.LET(_xlpm.r,_xlfn.XLOOKUP(1,MappingGuide[[#This Row],[API]:[API_3]],'[1]Squirrel SQL Export 1'!$K:$N,[1]!Table1[[#This Row],[Syndigo Name]]),IF(_xlpm.r=0,"",_xlpm.r))</f>
        <v>#REF!</v>
      </c>
      <c r="Y138" s="17"/>
      <c r="Z138" s="17" t="s">
        <v>631</v>
      </c>
      <c r="AA138" s="17"/>
      <c r="AB138" s="17"/>
      <c r="AC138" s="17" t="e" cm="1">
        <f t="array" ref="AC138">_xlfn.XLOOKUP(1,MappingGuide[[#This Row],[API]:[API_3]],'[1]Squirrel SQL Export 1'!$K:$N,[1]!Table1[[#This Row],[Doppio Notes2]])</f>
        <v>#REF!</v>
      </c>
      <c r="AD138" s="17"/>
      <c r="AE138" s="17" t="e" cm="1">
        <f t="array" ref="AE138">_xlfn.XLOOKUP(1,MappingGuide[[#This Row],[API]:[API_3]],'[1]Squirrel SQL Export 1'!$K:$N,[1]!Table1[[#This Row],[DG_required]])</f>
        <v>#REF!</v>
      </c>
      <c r="AF138" s="21" t="s">
        <v>1290</v>
      </c>
      <c r="AG138" s="21"/>
      <c r="AH138" s="22" t="e" cm="1">
        <f t="array" ref="AH138">_xlfn.LET(_xlpm.r,_xlfn.XLOOKUP(1,MappingGuide[[#This Row],[API]:[API_3]],'[1]Squirrel SQL Export 1'!$K:$N,[1]!Table1[[#This Row],[Pending Items]]),IF(_xlpm.r=0,"",_xlpm.r))</f>
        <v>#REF!</v>
      </c>
      <c r="AI138" s="22" t="e" cm="1">
        <f t="array" ref="AI138">_xlfn.LET(_xlpm.r,_xlfn.XLOOKUP(1,MappingGuide[[#This Row],[API]:[API_3]],'[1]Squirrel SQL Export 1'!$K:$N,[1]!Table1[[#This Row],[Syndigo Name]]),IF(_xlpm.r=0,"",_xlpm.r))</f>
        <v>#REF!</v>
      </c>
      <c r="AJ138" s="17"/>
    </row>
    <row r="139" spans="1:36" ht="17" hidden="1">
      <c r="A139" s="17">
        <v>137</v>
      </c>
      <c r="B139" s="17" t="s">
        <v>40</v>
      </c>
      <c r="C139" s="17" t="s">
        <v>632</v>
      </c>
      <c r="D139" s="17" t="s">
        <v>633</v>
      </c>
      <c r="E139" s="17" t="s">
        <v>33</v>
      </c>
      <c r="F139" s="17" t="s">
        <v>213</v>
      </c>
      <c r="G139" s="17"/>
      <c r="H139" s="17"/>
      <c r="I139" s="17" t="s">
        <v>57</v>
      </c>
      <c r="J139" s="17" t="s">
        <v>119</v>
      </c>
      <c r="K139" s="17"/>
      <c r="L139" s="17" t="s">
        <v>35</v>
      </c>
      <c r="M139" s="17" t="s">
        <v>73</v>
      </c>
      <c r="N139" s="17" t="s">
        <v>634</v>
      </c>
      <c r="O139" s="17"/>
      <c r="P139" s="17"/>
      <c r="Q139" s="17"/>
      <c r="R139" s="17"/>
      <c r="S139" s="17" t="e" cm="1">
        <f t="array" ref="S139">_xlfn.LET(_xlpm.r,_xlfn.XLOOKUP(1,MappingGuide[[#This Row],[API]:[API_3]],'[1]Squirrel SQL Export 1'!$K:$N,[1]!Table1[[#This Row],[Responsible from HJ]]),IF(_xlpm.r=0,"",_xlpm.r))</f>
        <v>#REF!</v>
      </c>
      <c r="T139" s="17"/>
      <c r="U139" s="17"/>
      <c r="V139" s="17" t="e" cm="1">
        <f t="array" ref="V139">_xlfn.LET(_xlpm.r,_xlfn.XLOOKUP(1,MappingGuide[[#This Row],[API]:[API_3]],'[1]Squirrel SQL Export 1'!$K:$N,[1]!Table1[[#This Row],[MDM Comments]]),IF(_xlpm.r=0,"",_xlpm.r))</f>
        <v>#REF!</v>
      </c>
      <c r="W139" s="17" t="e" cm="1">
        <f t="array" ref="W139">_xlfn.LET(_xlpm.r,_xlfn.XLOOKUP(1,MappingGuide[[#This Row],[API]:[API_3]],'[1]Squirrel SQL Export 1'!$K:$N,[1]!Table1[[#This Row],[Exists In Syndigo?]]),IF(_xlpm.r=0,"",_xlpm.r))</f>
        <v>#REF!</v>
      </c>
      <c r="X139" s="17" t="e" cm="1">
        <f t="array" ref="X139">_xlfn.LET(_xlpm.r,_xlfn.XLOOKUP(1,MappingGuide[[#This Row],[API]:[API_3]],'[1]Squirrel SQL Export 1'!$K:$N,[1]!Table1[[#This Row],[Syndigo Name]]),IF(_xlpm.r=0,"",_xlpm.r))</f>
        <v>#REF!</v>
      </c>
      <c r="Y139" s="17"/>
      <c r="Z139" s="17" t="s">
        <v>635</v>
      </c>
      <c r="AA139" s="17"/>
      <c r="AB139" s="17"/>
      <c r="AC139" s="17" t="e" cm="1">
        <f t="array" ref="AC139">_xlfn.XLOOKUP(1,MappingGuide[[#This Row],[API]:[API_3]],'[1]Squirrel SQL Export 1'!$K:$N,[1]!Table1[[#This Row],[Doppio Notes2]])</f>
        <v>#REF!</v>
      </c>
      <c r="AD139" s="17"/>
      <c r="AE139" s="17" t="e" cm="1">
        <f t="array" ref="AE139">_xlfn.XLOOKUP(1,MappingGuide[[#This Row],[API]:[API_3]],'[1]Squirrel SQL Export 1'!$K:$N,[1]!Table1[[#This Row],[DG_required]])</f>
        <v>#REF!</v>
      </c>
      <c r="AF139" s="21" t="s">
        <v>1306</v>
      </c>
      <c r="AG139" s="21"/>
      <c r="AH139" s="22" t="e" cm="1">
        <f t="array" ref="AH139">_xlfn.LET(_xlpm.r,_xlfn.XLOOKUP(1,MappingGuide[[#This Row],[API]:[API_3]],'[1]Squirrel SQL Export 1'!$K:$N,[1]!Table1[[#This Row],[Pending Items]]),IF(_xlpm.r=0,"",_xlpm.r))</f>
        <v>#REF!</v>
      </c>
      <c r="AI139" s="22" t="e" cm="1">
        <f t="array" ref="AI139">_xlfn.LET(_xlpm.r,_xlfn.XLOOKUP(1,MappingGuide[[#This Row],[API]:[API_3]],'[1]Squirrel SQL Export 1'!$K:$N,[1]!Table1[[#This Row],[Syndigo Name]]),IF(_xlpm.r=0,"",_xlpm.r))</f>
        <v>#REF!</v>
      </c>
      <c r="AJ139" s="17"/>
    </row>
    <row r="140" spans="1:36" ht="17" hidden="1">
      <c r="A140" s="17">
        <v>138</v>
      </c>
      <c r="B140" s="17" t="s">
        <v>40</v>
      </c>
      <c r="C140" s="17" t="s">
        <v>636</v>
      </c>
      <c r="D140" s="17" t="s">
        <v>637</v>
      </c>
      <c r="E140" s="17" t="s">
        <v>33</v>
      </c>
      <c r="F140" s="17" t="s">
        <v>56</v>
      </c>
      <c r="G140" s="17"/>
      <c r="H140" s="17"/>
      <c r="I140" s="17" t="s">
        <v>57</v>
      </c>
      <c r="J140" s="17" t="s">
        <v>119</v>
      </c>
      <c r="K140" s="17"/>
      <c r="L140" s="17" t="s">
        <v>35</v>
      </c>
      <c r="M140" s="17" t="s">
        <v>73</v>
      </c>
      <c r="N140" s="17" t="s">
        <v>638</v>
      </c>
      <c r="O140" s="17"/>
      <c r="P140" s="17"/>
      <c r="Q140" s="17"/>
      <c r="R140" s="17"/>
      <c r="S140" s="17" t="e" cm="1">
        <f t="array" ref="S140">_xlfn.LET(_xlpm.r,_xlfn.XLOOKUP(1,MappingGuide[[#This Row],[API]:[API_3]],'[1]Squirrel SQL Export 1'!$K:$N,[1]!Table1[[#This Row],[Responsible from HJ]]),IF(_xlpm.r=0,"",_xlpm.r))</f>
        <v>#REF!</v>
      </c>
      <c r="T140" s="17"/>
      <c r="U140" s="17"/>
      <c r="V140" s="17" t="e" cm="1">
        <f t="array" ref="V140">_xlfn.LET(_xlpm.r,_xlfn.XLOOKUP(1,MappingGuide[[#This Row],[API]:[API_3]],'[1]Squirrel SQL Export 1'!$K:$N,[1]!Table1[[#This Row],[MDM Comments]]),IF(_xlpm.r=0,"",_xlpm.r))</f>
        <v>#REF!</v>
      </c>
      <c r="W140" s="17" t="e" cm="1">
        <f t="array" ref="W140">_xlfn.LET(_xlpm.r,_xlfn.XLOOKUP(1,MappingGuide[[#This Row],[API]:[API_3]],'[1]Squirrel SQL Export 1'!$K:$N,[1]!Table1[[#This Row],[Exists In Syndigo?]]),IF(_xlpm.r=0,"",_xlpm.r))</f>
        <v>#REF!</v>
      </c>
      <c r="X140" s="17" t="e" cm="1">
        <f t="array" ref="X140">_xlfn.LET(_xlpm.r,_xlfn.XLOOKUP(1,MappingGuide[[#This Row],[API]:[API_3]],'[1]Squirrel SQL Export 1'!$K:$N,[1]!Table1[[#This Row],[Syndigo Name]]),IF(_xlpm.r=0,"",_xlpm.r))</f>
        <v>#REF!</v>
      </c>
      <c r="Y140" s="17"/>
      <c r="Z140" s="17" t="s">
        <v>639</v>
      </c>
      <c r="AA140" s="17"/>
      <c r="AB140" s="17"/>
      <c r="AC140" s="17" t="e" cm="1">
        <f t="array" ref="AC140">_xlfn.XLOOKUP(1,MappingGuide[[#This Row],[API]:[API_3]],'[1]Squirrel SQL Export 1'!$K:$N,[1]!Table1[[#This Row],[Doppio Notes2]])</f>
        <v>#REF!</v>
      </c>
      <c r="AD140" s="17"/>
      <c r="AE140" s="17" t="e" cm="1">
        <f t="array" ref="AE140">_xlfn.XLOOKUP(1,MappingGuide[[#This Row],[API]:[API_3]],'[1]Squirrel SQL Export 1'!$K:$N,[1]!Table1[[#This Row],[DG_required]])</f>
        <v>#REF!</v>
      </c>
      <c r="AF140" s="21" t="s">
        <v>1306</v>
      </c>
      <c r="AG140" s="21"/>
      <c r="AH140" s="22" t="e" cm="1">
        <f t="array" ref="AH140">_xlfn.LET(_xlpm.r,_xlfn.XLOOKUP(1,MappingGuide[[#This Row],[API]:[API_3]],'[1]Squirrel SQL Export 1'!$K:$N,[1]!Table1[[#This Row],[Pending Items]]),IF(_xlpm.r=0,"",_xlpm.r))</f>
        <v>#REF!</v>
      </c>
      <c r="AI140" s="22" t="e" cm="1">
        <f t="array" ref="AI140">_xlfn.LET(_xlpm.r,_xlfn.XLOOKUP(1,MappingGuide[[#This Row],[API]:[API_3]],'[1]Squirrel SQL Export 1'!$K:$N,[1]!Table1[[#This Row],[Syndigo Name]]),IF(_xlpm.r=0,"",_xlpm.r))</f>
        <v>#REF!</v>
      </c>
      <c r="AJ140" s="17"/>
    </row>
    <row r="141" spans="1:36" ht="17" hidden="1">
      <c r="A141" s="17">
        <v>139</v>
      </c>
      <c r="B141" s="17" t="s">
        <v>40</v>
      </c>
      <c r="C141" s="17" t="s">
        <v>640</v>
      </c>
      <c r="D141" s="17" t="s">
        <v>641</v>
      </c>
      <c r="E141" s="17" t="s">
        <v>33</v>
      </c>
      <c r="F141" s="17" t="s">
        <v>213</v>
      </c>
      <c r="G141" s="17"/>
      <c r="H141" s="17"/>
      <c r="I141" s="17"/>
      <c r="J141" s="17"/>
      <c r="K141" s="17"/>
      <c r="L141" s="17"/>
      <c r="M141" s="17"/>
      <c r="N141" s="17" t="s">
        <v>642</v>
      </c>
      <c r="O141" s="17"/>
      <c r="P141" s="17"/>
      <c r="Q141" s="17"/>
      <c r="R141" s="17"/>
      <c r="S141" s="17" t="e" cm="1">
        <f t="array" ref="S141">_xlfn.LET(_xlpm.r,_xlfn.XLOOKUP(1,MappingGuide[[#This Row],[API]:[API_3]],'[1]Squirrel SQL Export 1'!$K:$N,[1]!Table1[[#This Row],[Responsible from HJ]]),IF(_xlpm.r=0,"",_xlpm.r))</f>
        <v>#REF!</v>
      </c>
      <c r="T141" s="17"/>
      <c r="U141" s="17"/>
      <c r="V141" s="17" t="e" cm="1">
        <f t="array" ref="V141">_xlfn.LET(_xlpm.r,_xlfn.XLOOKUP(1,MappingGuide[[#This Row],[API]:[API_3]],'[1]Squirrel SQL Export 1'!$K:$N,[1]!Table1[[#This Row],[MDM Comments]]),IF(_xlpm.r=0,"",_xlpm.r))</f>
        <v>#REF!</v>
      </c>
      <c r="W141" s="17" t="e" cm="1">
        <f t="array" ref="W141">_xlfn.LET(_xlpm.r,_xlfn.XLOOKUP(1,MappingGuide[[#This Row],[API]:[API_3]],'[1]Squirrel SQL Export 1'!$K:$N,[1]!Table1[[#This Row],[Exists In Syndigo?]]),IF(_xlpm.r=0,"",_xlpm.r))</f>
        <v>#REF!</v>
      </c>
      <c r="X141" s="17" t="e" cm="1">
        <f t="array" ref="X141">_xlfn.LET(_xlpm.r,_xlfn.XLOOKUP(1,MappingGuide[[#This Row],[API]:[API_3]],'[1]Squirrel SQL Export 1'!$K:$N,[1]!Table1[[#This Row],[Syndigo Name]]),IF(_xlpm.r=0,"",_xlpm.r))</f>
        <v>#REF!</v>
      </c>
      <c r="Y141" s="17"/>
      <c r="Z141" s="17" t="s">
        <v>643</v>
      </c>
      <c r="AA141" s="17"/>
      <c r="AB141" s="17"/>
      <c r="AC141" s="17" t="e" cm="1">
        <f t="array" ref="AC141">_xlfn.XLOOKUP(1,MappingGuide[[#This Row],[API]:[API_3]],'[1]Squirrel SQL Export 1'!$K:$N,[1]!Table1[[#This Row],[Doppio Notes2]])</f>
        <v>#REF!</v>
      </c>
      <c r="AD141" s="17"/>
      <c r="AE141" s="17" t="e" cm="1">
        <f t="array" ref="AE141">_xlfn.XLOOKUP(1,MappingGuide[[#This Row],[API]:[API_3]],'[1]Squirrel SQL Export 1'!$K:$N,[1]!Table1[[#This Row],[DG_required]])</f>
        <v>#REF!</v>
      </c>
      <c r="AF141" s="21" t="s">
        <v>1306</v>
      </c>
      <c r="AG141" s="21"/>
      <c r="AH141" s="22" t="e" cm="1">
        <f t="array" ref="AH141">_xlfn.LET(_xlpm.r,_xlfn.XLOOKUP(1,MappingGuide[[#This Row],[API]:[API_3]],'[1]Squirrel SQL Export 1'!$K:$N,[1]!Table1[[#This Row],[Pending Items]]),IF(_xlpm.r=0,"",_xlpm.r))</f>
        <v>#REF!</v>
      </c>
      <c r="AI141" s="22" t="e" cm="1">
        <f t="array" ref="AI141">_xlfn.LET(_xlpm.r,_xlfn.XLOOKUP(1,MappingGuide[[#This Row],[API]:[API_3]],'[1]Squirrel SQL Export 1'!$K:$N,[1]!Table1[[#This Row],[Syndigo Name]]),IF(_xlpm.r=0,"",_xlpm.r))</f>
        <v>#REF!</v>
      </c>
      <c r="AJ141" s="17"/>
    </row>
    <row r="142" spans="1:36" ht="17" hidden="1">
      <c r="A142" s="17">
        <v>140</v>
      </c>
      <c r="B142" s="17" t="s">
        <v>40</v>
      </c>
      <c r="C142" s="17" t="s">
        <v>644</v>
      </c>
      <c r="D142" s="17" t="s">
        <v>645</v>
      </c>
      <c r="E142" s="17" t="s">
        <v>33</v>
      </c>
      <c r="F142" s="17" t="s">
        <v>213</v>
      </c>
      <c r="G142" s="17"/>
      <c r="H142" s="17"/>
      <c r="I142" s="17"/>
      <c r="J142" s="17"/>
      <c r="K142" s="17"/>
      <c r="L142" s="17"/>
      <c r="M142" s="17"/>
      <c r="N142" s="17" t="s">
        <v>646</v>
      </c>
      <c r="O142" s="17"/>
      <c r="P142" s="17"/>
      <c r="Q142" s="17"/>
      <c r="R142" s="17"/>
      <c r="S142" s="17" t="e" cm="1">
        <f t="array" ref="S142">_xlfn.LET(_xlpm.r,_xlfn.XLOOKUP(1,MappingGuide[[#This Row],[API]:[API_3]],'[1]Squirrel SQL Export 1'!$K:$N,[1]!Table1[[#This Row],[Responsible from HJ]]),IF(_xlpm.r=0,"",_xlpm.r))</f>
        <v>#REF!</v>
      </c>
      <c r="T142" s="17"/>
      <c r="U142" s="17"/>
      <c r="V142" s="17" t="e" cm="1">
        <f t="array" ref="V142">_xlfn.LET(_xlpm.r,_xlfn.XLOOKUP(1,MappingGuide[[#This Row],[API]:[API_3]],'[1]Squirrel SQL Export 1'!$K:$N,[1]!Table1[[#This Row],[MDM Comments]]),IF(_xlpm.r=0,"",_xlpm.r))</f>
        <v>#REF!</v>
      </c>
      <c r="W142" s="17" t="e" cm="1">
        <f t="array" ref="W142">_xlfn.LET(_xlpm.r,_xlfn.XLOOKUP(1,MappingGuide[[#This Row],[API]:[API_3]],'[1]Squirrel SQL Export 1'!$K:$N,[1]!Table1[[#This Row],[Exists In Syndigo?]]),IF(_xlpm.r=0,"",_xlpm.r))</f>
        <v>#REF!</v>
      </c>
      <c r="X142" s="17" t="e" cm="1">
        <f t="array" ref="X142">_xlfn.LET(_xlpm.r,_xlfn.XLOOKUP(1,MappingGuide[[#This Row],[API]:[API_3]],'[1]Squirrel SQL Export 1'!$K:$N,[1]!Table1[[#This Row],[Syndigo Name]]),IF(_xlpm.r=0,"",_xlpm.r))</f>
        <v>#REF!</v>
      </c>
      <c r="Y142" s="17"/>
      <c r="Z142" s="17" t="s">
        <v>643</v>
      </c>
      <c r="AA142" s="17"/>
      <c r="AB142" s="17"/>
      <c r="AC142" s="17" t="e" cm="1">
        <f t="array" ref="AC142">_xlfn.XLOOKUP(1,MappingGuide[[#This Row],[API]:[API_3]],'[1]Squirrel SQL Export 1'!$K:$N,[1]!Table1[[#This Row],[Doppio Notes2]])</f>
        <v>#REF!</v>
      </c>
      <c r="AD142" s="17"/>
      <c r="AE142" s="17" t="e" cm="1">
        <f t="array" ref="AE142">_xlfn.XLOOKUP(1,MappingGuide[[#This Row],[API]:[API_3]],'[1]Squirrel SQL Export 1'!$K:$N,[1]!Table1[[#This Row],[DG_required]])</f>
        <v>#REF!</v>
      </c>
      <c r="AF142" s="21" t="s">
        <v>1306</v>
      </c>
      <c r="AG142" s="21"/>
      <c r="AH142" s="22" t="e" cm="1">
        <f t="array" ref="AH142">_xlfn.LET(_xlpm.r,_xlfn.XLOOKUP(1,MappingGuide[[#This Row],[API]:[API_3]],'[1]Squirrel SQL Export 1'!$K:$N,[1]!Table1[[#This Row],[Pending Items]]),IF(_xlpm.r=0,"",_xlpm.r))</f>
        <v>#REF!</v>
      </c>
      <c r="AI142" s="22" t="e" cm="1">
        <f t="array" ref="AI142">_xlfn.LET(_xlpm.r,_xlfn.XLOOKUP(1,MappingGuide[[#This Row],[API]:[API_3]],'[1]Squirrel SQL Export 1'!$K:$N,[1]!Table1[[#This Row],[Syndigo Name]]),IF(_xlpm.r=0,"",_xlpm.r))</f>
        <v>#REF!</v>
      </c>
      <c r="AJ142" s="17"/>
    </row>
    <row r="143" spans="1:36" ht="17" hidden="1">
      <c r="A143" s="17">
        <v>141</v>
      </c>
      <c r="B143" s="17" t="s">
        <v>40</v>
      </c>
      <c r="C143" s="17" t="s">
        <v>647</v>
      </c>
      <c r="D143" s="17" t="s">
        <v>648</v>
      </c>
      <c r="E143" s="17" t="s">
        <v>33</v>
      </c>
      <c r="F143" s="17" t="s">
        <v>213</v>
      </c>
      <c r="G143" s="17"/>
      <c r="H143" s="17"/>
      <c r="I143" s="17"/>
      <c r="J143" s="17"/>
      <c r="K143" s="17"/>
      <c r="L143" s="17"/>
      <c r="M143" s="17"/>
      <c r="N143" s="17" t="s">
        <v>649</v>
      </c>
      <c r="O143" s="17"/>
      <c r="P143" s="17"/>
      <c r="Q143" s="17"/>
      <c r="R143" s="17"/>
      <c r="S143" s="17" t="e" cm="1">
        <f t="array" ref="S143">_xlfn.LET(_xlpm.r,_xlfn.XLOOKUP(1,MappingGuide[[#This Row],[API]:[API_3]],'[1]Squirrel SQL Export 1'!$K:$N,[1]!Table1[[#This Row],[Responsible from HJ]]),IF(_xlpm.r=0,"",_xlpm.r))</f>
        <v>#REF!</v>
      </c>
      <c r="T143" s="17"/>
      <c r="U143" s="17"/>
      <c r="V143" s="17" t="e" cm="1">
        <f t="array" ref="V143">_xlfn.LET(_xlpm.r,_xlfn.XLOOKUP(1,MappingGuide[[#This Row],[API]:[API_3]],'[1]Squirrel SQL Export 1'!$K:$N,[1]!Table1[[#This Row],[MDM Comments]]),IF(_xlpm.r=0,"",_xlpm.r))</f>
        <v>#REF!</v>
      </c>
      <c r="W143" s="17" t="e" cm="1">
        <f t="array" ref="W143">_xlfn.LET(_xlpm.r,_xlfn.XLOOKUP(1,MappingGuide[[#This Row],[API]:[API_3]],'[1]Squirrel SQL Export 1'!$K:$N,[1]!Table1[[#This Row],[Exists In Syndigo?]]),IF(_xlpm.r=0,"",_xlpm.r))</f>
        <v>#REF!</v>
      </c>
      <c r="X143" s="17" t="e" cm="1">
        <f t="array" ref="X143">_xlfn.LET(_xlpm.r,_xlfn.XLOOKUP(1,MappingGuide[[#This Row],[API]:[API_3]],'[1]Squirrel SQL Export 1'!$K:$N,[1]!Table1[[#This Row],[Syndigo Name]]),IF(_xlpm.r=0,"",_xlpm.r))</f>
        <v>#REF!</v>
      </c>
      <c r="Y143" s="17"/>
      <c r="Z143" s="17" t="s">
        <v>643</v>
      </c>
      <c r="AA143" s="17"/>
      <c r="AB143" s="17"/>
      <c r="AC143" s="17" t="e" cm="1">
        <f t="array" ref="AC143">_xlfn.XLOOKUP(1,MappingGuide[[#This Row],[API]:[API_3]],'[1]Squirrel SQL Export 1'!$K:$N,[1]!Table1[[#This Row],[Doppio Notes2]])</f>
        <v>#REF!</v>
      </c>
      <c r="AD143" s="17"/>
      <c r="AE143" s="17" t="e" cm="1">
        <f t="array" ref="AE143">_xlfn.XLOOKUP(1,MappingGuide[[#This Row],[API]:[API_3]],'[1]Squirrel SQL Export 1'!$K:$N,[1]!Table1[[#This Row],[DG_required]])</f>
        <v>#REF!</v>
      </c>
      <c r="AF143" s="21" t="s">
        <v>1306</v>
      </c>
      <c r="AG143" s="21"/>
      <c r="AH143" s="22" t="e" cm="1">
        <f t="array" ref="AH143">_xlfn.LET(_xlpm.r,_xlfn.XLOOKUP(1,MappingGuide[[#This Row],[API]:[API_3]],'[1]Squirrel SQL Export 1'!$K:$N,[1]!Table1[[#This Row],[Pending Items]]),IF(_xlpm.r=0,"",_xlpm.r))</f>
        <v>#REF!</v>
      </c>
      <c r="AI143" s="22" t="e" cm="1">
        <f t="array" ref="AI143">_xlfn.LET(_xlpm.r,_xlfn.XLOOKUP(1,MappingGuide[[#This Row],[API]:[API_3]],'[1]Squirrel SQL Export 1'!$K:$N,[1]!Table1[[#This Row],[Syndigo Name]]),IF(_xlpm.r=0,"",_xlpm.r))</f>
        <v>#REF!</v>
      </c>
      <c r="AJ143" s="17"/>
    </row>
    <row r="144" spans="1:36" ht="17" hidden="1">
      <c r="A144" s="17">
        <v>142</v>
      </c>
      <c r="B144" s="17" t="s">
        <v>40</v>
      </c>
      <c r="C144" s="17" t="s">
        <v>650</v>
      </c>
      <c r="D144" s="17" t="s">
        <v>651</v>
      </c>
      <c r="E144" s="17" t="s">
        <v>33</v>
      </c>
      <c r="F144" s="17" t="s">
        <v>213</v>
      </c>
      <c r="G144" s="17"/>
      <c r="H144" s="17"/>
      <c r="I144" s="17"/>
      <c r="J144" s="17"/>
      <c r="K144" s="17"/>
      <c r="L144" s="17"/>
      <c r="M144" s="17"/>
      <c r="N144" s="17" t="s">
        <v>652</v>
      </c>
      <c r="O144" s="17"/>
      <c r="P144" s="17"/>
      <c r="Q144" s="17"/>
      <c r="R144" s="17"/>
      <c r="S144" s="17" t="e" cm="1">
        <f t="array" ref="S144">_xlfn.LET(_xlpm.r,_xlfn.XLOOKUP(1,MappingGuide[[#This Row],[API]:[API_3]],'[1]Squirrel SQL Export 1'!$K:$N,[1]!Table1[[#This Row],[Responsible from HJ]]),IF(_xlpm.r=0,"",_xlpm.r))</f>
        <v>#REF!</v>
      </c>
      <c r="T144" s="17"/>
      <c r="U144" s="17"/>
      <c r="V144" s="17" t="e" cm="1">
        <f t="array" ref="V144">_xlfn.LET(_xlpm.r,_xlfn.XLOOKUP(1,MappingGuide[[#This Row],[API]:[API_3]],'[1]Squirrel SQL Export 1'!$K:$N,[1]!Table1[[#This Row],[MDM Comments]]),IF(_xlpm.r=0,"",_xlpm.r))</f>
        <v>#REF!</v>
      </c>
      <c r="W144" s="17" t="e" cm="1">
        <f t="array" ref="W144">_xlfn.LET(_xlpm.r,_xlfn.XLOOKUP(1,MappingGuide[[#This Row],[API]:[API_3]],'[1]Squirrel SQL Export 1'!$K:$N,[1]!Table1[[#This Row],[Exists In Syndigo?]]),IF(_xlpm.r=0,"",_xlpm.r))</f>
        <v>#REF!</v>
      </c>
      <c r="X144" s="17" t="e" cm="1">
        <f t="array" ref="X144">_xlfn.LET(_xlpm.r,_xlfn.XLOOKUP(1,MappingGuide[[#This Row],[API]:[API_3]],'[1]Squirrel SQL Export 1'!$K:$N,[1]!Table1[[#This Row],[Syndigo Name]]),IF(_xlpm.r=0,"",_xlpm.r))</f>
        <v>#REF!</v>
      </c>
      <c r="Y144" s="17"/>
      <c r="Z144" s="17" t="s">
        <v>643</v>
      </c>
      <c r="AA144" s="17"/>
      <c r="AB144" s="17"/>
      <c r="AC144" s="17" t="e" cm="1">
        <f t="array" ref="AC144">_xlfn.XLOOKUP(1,MappingGuide[[#This Row],[API]:[API_3]],'[1]Squirrel SQL Export 1'!$K:$N,[1]!Table1[[#This Row],[Doppio Notes2]])</f>
        <v>#REF!</v>
      </c>
      <c r="AD144" s="17"/>
      <c r="AE144" s="17" t="e" cm="1">
        <f t="array" ref="AE144">_xlfn.XLOOKUP(1,MappingGuide[[#This Row],[API]:[API_3]],'[1]Squirrel SQL Export 1'!$K:$N,[1]!Table1[[#This Row],[DG_required]])</f>
        <v>#REF!</v>
      </c>
      <c r="AF144" s="21" t="s">
        <v>1306</v>
      </c>
      <c r="AG144" s="21"/>
      <c r="AH144" s="22" t="e" cm="1">
        <f t="array" ref="AH144">_xlfn.LET(_xlpm.r,_xlfn.XLOOKUP(1,MappingGuide[[#This Row],[API]:[API_3]],'[1]Squirrel SQL Export 1'!$K:$N,[1]!Table1[[#This Row],[Pending Items]]),IF(_xlpm.r=0,"",_xlpm.r))</f>
        <v>#REF!</v>
      </c>
      <c r="AI144" s="22" t="e" cm="1">
        <f t="array" ref="AI144">_xlfn.LET(_xlpm.r,_xlfn.XLOOKUP(1,MappingGuide[[#This Row],[API]:[API_3]],'[1]Squirrel SQL Export 1'!$K:$N,[1]!Table1[[#This Row],[Syndigo Name]]),IF(_xlpm.r=0,"",_xlpm.r))</f>
        <v>#REF!</v>
      </c>
      <c r="AJ144" s="17"/>
    </row>
    <row r="145" spans="1:36" ht="17" hidden="1">
      <c r="A145" s="17">
        <v>143</v>
      </c>
      <c r="B145" s="17" t="s">
        <v>40</v>
      </c>
      <c r="C145" s="17" t="s">
        <v>653</v>
      </c>
      <c r="D145" s="17" t="s">
        <v>654</v>
      </c>
      <c r="E145" s="17" t="s">
        <v>33</v>
      </c>
      <c r="F145" s="17" t="s">
        <v>213</v>
      </c>
      <c r="G145" s="17"/>
      <c r="H145" s="17"/>
      <c r="I145" s="17"/>
      <c r="J145" s="17"/>
      <c r="K145" s="17"/>
      <c r="L145" s="17"/>
      <c r="M145" s="17"/>
      <c r="N145" s="17" t="s">
        <v>655</v>
      </c>
      <c r="O145" s="17"/>
      <c r="P145" s="17"/>
      <c r="Q145" s="17"/>
      <c r="R145" s="17"/>
      <c r="S145" s="17" t="e" cm="1">
        <f t="array" ref="S145">_xlfn.LET(_xlpm.r,_xlfn.XLOOKUP(1,MappingGuide[[#This Row],[API]:[API_3]],'[1]Squirrel SQL Export 1'!$K:$N,[1]!Table1[[#This Row],[Responsible from HJ]]),IF(_xlpm.r=0,"",_xlpm.r))</f>
        <v>#REF!</v>
      </c>
      <c r="T145" s="17"/>
      <c r="U145" s="17"/>
      <c r="V145" s="17" t="e" cm="1">
        <f t="array" ref="V145">_xlfn.LET(_xlpm.r,_xlfn.XLOOKUP(1,MappingGuide[[#This Row],[API]:[API_3]],'[1]Squirrel SQL Export 1'!$K:$N,[1]!Table1[[#This Row],[MDM Comments]]),IF(_xlpm.r=0,"",_xlpm.r))</f>
        <v>#REF!</v>
      </c>
      <c r="W145" s="17" t="e" cm="1">
        <f t="array" ref="W145">_xlfn.LET(_xlpm.r,_xlfn.XLOOKUP(1,MappingGuide[[#This Row],[API]:[API_3]],'[1]Squirrel SQL Export 1'!$K:$N,[1]!Table1[[#This Row],[Exists In Syndigo?]]),IF(_xlpm.r=0,"",_xlpm.r))</f>
        <v>#REF!</v>
      </c>
      <c r="X145" s="17" t="e" cm="1">
        <f t="array" ref="X145">_xlfn.LET(_xlpm.r,_xlfn.XLOOKUP(1,MappingGuide[[#This Row],[API]:[API_3]],'[1]Squirrel SQL Export 1'!$K:$N,[1]!Table1[[#This Row],[Syndigo Name]]),IF(_xlpm.r=0,"",_xlpm.r))</f>
        <v>#REF!</v>
      </c>
      <c r="Y145" s="17"/>
      <c r="Z145" s="17" t="s">
        <v>643</v>
      </c>
      <c r="AA145" s="17"/>
      <c r="AB145" s="17"/>
      <c r="AC145" s="17" t="e" cm="1">
        <f t="array" ref="AC145">_xlfn.XLOOKUP(1,MappingGuide[[#This Row],[API]:[API_3]],'[1]Squirrel SQL Export 1'!$K:$N,[1]!Table1[[#This Row],[Doppio Notes2]])</f>
        <v>#REF!</v>
      </c>
      <c r="AD145" s="17"/>
      <c r="AE145" s="17" t="e" cm="1">
        <f t="array" ref="AE145">_xlfn.XLOOKUP(1,MappingGuide[[#This Row],[API]:[API_3]],'[1]Squirrel SQL Export 1'!$K:$N,[1]!Table1[[#This Row],[DG_required]])</f>
        <v>#REF!</v>
      </c>
      <c r="AF145" s="21" t="s">
        <v>1306</v>
      </c>
      <c r="AG145" s="21"/>
      <c r="AH145" s="22" t="e" cm="1">
        <f t="array" ref="AH145">_xlfn.LET(_xlpm.r,_xlfn.XLOOKUP(1,MappingGuide[[#This Row],[API]:[API_3]],'[1]Squirrel SQL Export 1'!$K:$N,[1]!Table1[[#This Row],[Pending Items]]),IF(_xlpm.r=0,"",_xlpm.r))</f>
        <v>#REF!</v>
      </c>
      <c r="AI145" s="22" t="e" cm="1">
        <f t="array" ref="AI145">_xlfn.LET(_xlpm.r,_xlfn.XLOOKUP(1,MappingGuide[[#This Row],[API]:[API_3]],'[1]Squirrel SQL Export 1'!$K:$N,[1]!Table1[[#This Row],[Syndigo Name]]),IF(_xlpm.r=0,"",_xlpm.r))</f>
        <v>#REF!</v>
      </c>
      <c r="AJ145" s="17"/>
    </row>
    <row r="146" spans="1:36" ht="17" hidden="1">
      <c r="A146" s="17">
        <v>144</v>
      </c>
      <c r="B146" s="17" t="s">
        <v>40</v>
      </c>
      <c r="C146" s="17" t="s">
        <v>656</v>
      </c>
      <c r="D146" s="17" t="s">
        <v>657</v>
      </c>
      <c r="E146" s="17" t="s">
        <v>33</v>
      </c>
      <c r="F146" s="17" t="s">
        <v>44</v>
      </c>
      <c r="G146" s="17"/>
      <c r="H146" s="17"/>
      <c r="I146" s="17" t="s">
        <v>57</v>
      </c>
      <c r="J146" s="17" t="s">
        <v>145</v>
      </c>
      <c r="K146" s="17"/>
      <c r="L146" s="17" t="s">
        <v>35</v>
      </c>
      <c r="M146" s="17" t="s">
        <v>146</v>
      </c>
      <c r="N146" s="17" t="s">
        <v>658</v>
      </c>
      <c r="O146" s="17"/>
      <c r="P146" s="17" t="s">
        <v>659</v>
      </c>
      <c r="Q146" s="17"/>
      <c r="R146" s="17"/>
      <c r="S146" s="17" t="e" cm="1">
        <f t="array" ref="S146">_xlfn.LET(_xlpm.r,_xlfn.XLOOKUP(1,MappingGuide[[#This Row],[API]:[API_3]],'[1]Squirrel SQL Export 1'!$K:$N,[1]!Table1[[#This Row],[Responsible from HJ]]),IF(_xlpm.r=0,"",_xlpm.r))</f>
        <v>#REF!</v>
      </c>
      <c r="T146" s="17"/>
      <c r="U146" s="17"/>
      <c r="V146" s="17" t="e" cm="1">
        <f t="array" ref="V146">_xlfn.LET(_xlpm.r,_xlfn.XLOOKUP(1,MappingGuide[[#This Row],[API]:[API_3]],'[1]Squirrel SQL Export 1'!$K:$N,[1]!Table1[[#This Row],[MDM Comments]]),IF(_xlpm.r=0,"",_xlpm.r))</f>
        <v>#REF!</v>
      </c>
      <c r="W146" s="17" t="e" cm="1">
        <f t="array" ref="W146">_xlfn.LET(_xlpm.r,_xlfn.XLOOKUP(1,MappingGuide[[#This Row],[API]:[API_3]],'[1]Squirrel SQL Export 1'!$K:$N,[1]!Table1[[#This Row],[Exists In Syndigo?]]),IF(_xlpm.r=0,"",_xlpm.r))</f>
        <v>#REF!</v>
      </c>
      <c r="X146" s="17" t="e" cm="1">
        <f t="array" ref="X146">_xlfn.LET(_xlpm.r,_xlfn.XLOOKUP(1,MappingGuide[[#This Row],[API]:[API_3]],'[1]Squirrel SQL Export 1'!$K:$N,[1]!Table1[[#This Row],[Syndigo Name]]),IF(_xlpm.r=0,"",_xlpm.r))</f>
        <v>#REF!</v>
      </c>
      <c r="Y146" s="17"/>
      <c r="Z146" s="17" t="s">
        <v>660</v>
      </c>
      <c r="AA146" s="17"/>
      <c r="AB146" s="17"/>
      <c r="AC146" s="17" t="e" cm="1">
        <f t="array" ref="AC146">_xlfn.XLOOKUP(1,MappingGuide[[#This Row],[API]:[API_3]],'[1]Squirrel SQL Export 1'!$K:$N,[1]!Table1[[#This Row],[Doppio Notes2]])</f>
        <v>#REF!</v>
      </c>
      <c r="AD146" s="17"/>
      <c r="AE146" s="17" t="e" cm="1">
        <f t="array" ref="AE146">_xlfn.XLOOKUP(1,MappingGuide[[#This Row],[API]:[API_3]],'[1]Squirrel SQL Export 1'!$K:$N,[1]!Table1[[#This Row],[DG_required]])</f>
        <v>#REF!</v>
      </c>
      <c r="AF146" s="21" t="s">
        <v>661</v>
      </c>
      <c r="AG146" s="21"/>
      <c r="AH146" s="22" t="e" cm="1">
        <f t="array" ref="AH146">_xlfn.LET(_xlpm.r,_xlfn.XLOOKUP(1,MappingGuide[[#This Row],[API]:[API_3]],'[1]Squirrel SQL Export 1'!$K:$N,[1]!Table1[[#This Row],[Pending Items]]),IF(_xlpm.r=0,"",_xlpm.r))</f>
        <v>#REF!</v>
      </c>
      <c r="AI146" s="22" t="e" cm="1">
        <f t="array" ref="AI146">_xlfn.LET(_xlpm.r,_xlfn.XLOOKUP(1,MappingGuide[[#This Row],[API]:[API_3]],'[1]Squirrel SQL Export 1'!$K:$N,[1]!Table1[[#This Row],[Syndigo Name]]),IF(_xlpm.r=0,"",_xlpm.r))</f>
        <v>#REF!</v>
      </c>
      <c r="AJ146" s="17"/>
    </row>
    <row r="147" spans="1:36" ht="17" hidden="1">
      <c r="A147" s="17">
        <v>145</v>
      </c>
      <c r="B147" s="17" t="s">
        <v>40</v>
      </c>
      <c r="C147" s="17" t="s">
        <v>662</v>
      </c>
      <c r="D147" s="17" t="s">
        <v>663</v>
      </c>
      <c r="E147" s="17" t="s">
        <v>43</v>
      </c>
      <c r="F147" s="17" t="s">
        <v>80</v>
      </c>
      <c r="G147" s="17"/>
      <c r="H147" s="17"/>
      <c r="I147" s="17" t="s">
        <v>57</v>
      </c>
      <c r="J147" s="17" t="s">
        <v>124</v>
      </c>
      <c r="K147" s="17"/>
      <c r="L147" s="17" t="s">
        <v>35</v>
      </c>
      <c r="M147" s="17" t="s">
        <v>73</v>
      </c>
      <c r="N147" s="17" t="s">
        <v>664</v>
      </c>
      <c r="O147" s="17"/>
      <c r="P147" s="17"/>
      <c r="Q147" s="17"/>
      <c r="R147" s="17"/>
      <c r="S147" s="17" t="e" cm="1">
        <f t="array" ref="S147">_xlfn.LET(_xlpm.r,_xlfn.XLOOKUP(1,MappingGuide[[#This Row],[API]:[API_3]],'[1]Squirrel SQL Export 1'!$K:$N,[1]!Table1[[#This Row],[Responsible from HJ]]),IF(_xlpm.r=0,"",_xlpm.r))</f>
        <v>#REF!</v>
      </c>
      <c r="T147" s="17"/>
      <c r="U147" s="17"/>
      <c r="V147" s="17" t="e" cm="1">
        <f t="array" ref="V147">_xlfn.LET(_xlpm.r,_xlfn.XLOOKUP(1,MappingGuide[[#This Row],[API]:[API_3]],'[1]Squirrel SQL Export 1'!$K:$N,[1]!Table1[[#This Row],[MDM Comments]]),IF(_xlpm.r=0,"",_xlpm.r))</f>
        <v>#REF!</v>
      </c>
      <c r="W147" s="17" t="e" cm="1">
        <f t="array" ref="W147">_xlfn.LET(_xlpm.r,_xlfn.XLOOKUP(1,MappingGuide[[#This Row],[API]:[API_3]],'[1]Squirrel SQL Export 1'!$K:$N,[1]!Table1[[#This Row],[Exists In Syndigo?]]),IF(_xlpm.r=0,"",_xlpm.r))</f>
        <v>#REF!</v>
      </c>
      <c r="X147" s="17" t="e" cm="1">
        <f t="array" ref="X147">_xlfn.LET(_xlpm.r,_xlfn.XLOOKUP(1,MappingGuide[[#This Row],[API]:[API_3]],'[1]Squirrel SQL Export 1'!$K:$N,[1]!Table1[[#This Row],[Syndigo Name]]),IF(_xlpm.r=0,"",_xlpm.r))</f>
        <v>#REF!</v>
      </c>
      <c r="Y147" s="17"/>
      <c r="Z147" s="17" t="s">
        <v>665</v>
      </c>
      <c r="AA147" s="17"/>
      <c r="AB147" s="17"/>
      <c r="AC147" s="17" t="e" cm="1">
        <f t="array" ref="AC147">_xlfn.XLOOKUP(1,MappingGuide[[#This Row],[API]:[API_3]],'[1]Squirrel SQL Export 1'!$K:$N,[1]!Table1[[#This Row],[Doppio Notes2]])</f>
        <v>#REF!</v>
      </c>
      <c r="AD147" s="17"/>
      <c r="AE147" s="17" t="e" cm="1">
        <f t="array" ref="AE147">_xlfn.XLOOKUP(1,MappingGuide[[#This Row],[API]:[API_3]],'[1]Squirrel SQL Export 1'!$K:$N,[1]!Table1[[#This Row],[DG_required]])</f>
        <v>#REF!</v>
      </c>
      <c r="AF147" s="21" t="s">
        <v>1290</v>
      </c>
      <c r="AG147" s="21"/>
      <c r="AH147" s="22" t="e" cm="1">
        <f t="array" ref="AH147">_xlfn.LET(_xlpm.r,_xlfn.XLOOKUP(1,MappingGuide[[#This Row],[API]:[API_3]],'[1]Squirrel SQL Export 1'!$K:$N,[1]!Table1[[#This Row],[Pending Items]]),IF(_xlpm.r=0,"",_xlpm.r))</f>
        <v>#REF!</v>
      </c>
      <c r="AI147" s="22" t="e" cm="1">
        <f t="array" ref="AI147">_xlfn.LET(_xlpm.r,_xlfn.XLOOKUP(1,MappingGuide[[#This Row],[API]:[API_3]],'[1]Squirrel SQL Export 1'!$K:$N,[1]!Table1[[#This Row],[Syndigo Name]]),IF(_xlpm.r=0,"",_xlpm.r))</f>
        <v>#REF!</v>
      </c>
      <c r="AJ147" s="17"/>
    </row>
    <row r="148" spans="1:36" ht="17" hidden="1">
      <c r="A148" s="17">
        <v>146</v>
      </c>
      <c r="B148" s="17" t="s">
        <v>40</v>
      </c>
      <c r="C148" s="17" t="s">
        <v>666</v>
      </c>
      <c r="D148" s="17" t="s">
        <v>667</v>
      </c>
      <c r="E148" s="17" t="s">
        <v>43</v>
      </c>
      <c r="F148" s="17" t="s">
        <v>668</v>
      </c>
      <c r="G148" s="17"/>
      <c r="H148" s="17"/>
      <c r="I148" s="17"/>
      <c r="J148" s="17"/>
      <c r="K148" s="17"/>
      <c r="L148" s="17"/>
      <c r="M148" s="17"/>
      <c r="N148" s="17" t="s">
        <v>669</v>
      </c>
      <c r="O148" s="17"/>
      <c r="P148" s="17"/>
      <c r="Q148" s="17"/>
      <c r="R148" s="17"/>
      <c r="S148" s="17" t="e" cm="1">
        <f t="array" ref="S148">_xlfn.LET(_xlpm.r,_xlfn.XLOOKUP(1,MappingGuide[[#This Row],[API]:[API_3]],'[1]Squirrel SQL Export 1'!$K:$N,[1]!Table1[[#This Row],[Responsible from HJ]]),IF(_xlpm.r=0,"",_xlpm.r))</f>
        <v>#REF!</v>
      </c>
      <c r="T148" s="17"/>
      <c r="U148" s="17"/>
      <c r="V148" s="17" t="e" cm="1">
        <f t="array" ref="V148">_xlfn.LET(_xlpm.r,_xlfn.XLOOKUP(1,MappingGuide[[#This Row],[API]:[API_3]],'[1]Squirrel SQL Export 1'!$K:$N,[1]!Table1[[#This Row],[MDM Comments]]),IF(_xlpm.r=0,"",_xlpm.r))</f>
        <v>#REF!</v>
      </c>
      <c r="W148" s="17" t="e" cm="1">
        <f t="array" ref="W148">_xlfn.LET(_xlpm.r,_xlfn.XLOOKUP(1,MappingGuide[[#This Row],[API]:[API_3]],'[1]Squirrel SQL Export 1'!$K:$N,[1]!Table1[[#This Row],[Exists In Syndigo?]]),IF(_xlpm.r=0,"",_xlpm.r))</f>
        <v>#REF!</v>
      </c>
      <c r="X148" s="17" t="e" cm="1">
        <f t="array" ref="X148">_xlfn.LET(_xlpm.r,_xlfn.XLOOKUP(1,MappingGuide[[#This Row],[API]:[API_3]],'[1]Squirrel SQL Export 1'!$K:$N,[1]!Table1[[#This Row],[Syndigo Name]]),IF(_xlpm.r=0,"",_xlpm.r))</f>
        <v>#REF!</v>
      </c>
      <c r="Y148" s="17"/>
      <c r="Z148" s="17" t="s">
        <v>670</v>
      </c>
      <c r="AA148" s="17"/>
      <c r="AB148" s="17"/>
      <c r="AC148" s="17" t="e" cm="1">
        <f t="array" ref="AC148">_xlfn.XLOOKUP(1,MappingGuide[[#This Row],[API]:[API_3]],'[1]Squirrel SQL Export 1'!$K:$N,[1]!Table1[[#This Row],[Doppio Notes2]])</f>
        <v>#REF!</v>
      </c>
      <c r="AD148" s="17"/>
      <c r="AE148" s="17" t="e" cm="1">
        <f t="array" ref="AE148">_xlfn.XLOOKUP(1,MappingGuide[[#This Row],[API]:[API_3]],'[1]Squirrel SQL Export 1'!$K:$N,[1]!Table1[[#This Row],[DG_required]])</f>
        <v>#REF!</v>
      </c>
      <c r="AF148" s="21" t="s">
        <v>1290</v>
      </c>
      <c r="AG148" s="21"/>
      <c r="AH148" s="22" t="e" cm="1">
        <f t="array" ref="AH148">_xlfn.LET(_xlpm.r,_xlfn.XLOOKUP(1,MappingGuide[[#This Row],[API]:[API_3]],'[1]Squirrel SQL Export 1'!$K:$N,[1]!Table1[[#This Row],[Pending Items]]),IF(_xlpm.r=0,"",_xlpm.r))</f>
        <v>#REF!</v>
      </c>
      <c r="AI148" s="22" t="e" cm="1">
        <f t="array" ref="AI148">_xlfn.LET(_xlpm.r,_xlfn.XLOOKUP(1,MappingGuide[[#This Row],[API]:[API_3]],'[1]Squirrel SQL Export 1'!$K:$N,[1]!Table1[[#This Row],[Syndigo Name]]),IF(_xlpm.r=0,"",_xlpm.r))</f>
        <v>#REF!</v>
      </c>
      <c r="AJ148" s="17"/>
    </row>
    <row r="149" spans="1:36" ht="17" hidden="1">
      <c r="A149" s="17">
        <v>147</v>
      </c>
      <c r="B149" s="17" t="s">
        <v>40</v>
      </c>
      <c r="C149" s="17" t="s">
        <v>671</v>
      </c>
      <c r="D149" s="17" t="s">
        <v>672</v>
      </c>
      <c r="E149" s="17" t="s">
        <v>43</v>
      </c>
      <c r="F149" s="17" t="s">
        <v>56</v>
      </c>
      <c r="G149" s="17"/>
      <c r="H149" s="17"/>
      <c r="I149" s="17" t="s">
        <v>57</v>
      </c>
      <c r="J149" s="17" t="s">
        <v>145</v>
      </c>
      <c r="K149" s="17"/>
      <c r="L149" s="17" t="s">
        <v>35</v>
      </c>
      <c r="M149" s="17" t="s">
        <v>146</v>
      </c>
      <c r="N149" s="17" t="s">
        <v>673</v>
      </c>
      <c r="O149" s="17"/>
      <c r="P149" s="17"/>
      <c r="Q149" s="17"/>
      <c r="R149" s="17"/>
      <c r="S149" s="17" t="e" cm="1">
        <f t="array" ref="S149">_xlfn.LET(_xlpm.r,_xlfn.XLOOKUP(1,MappingGuide[[#This Row],[API]:[API_3]],'[1]Squirrel SQL Export 1'!$K:$N,[1]!Table1[[#This Row],[Responsible from HJ]]),IF(_xlpm.r=0,"",_xlpm.r))</f>
        <v>#REF!</v>
      </c>
      <c r="T149" s="17"/>
      <c r="U149" s="17"/>
      <c r="V149" s="17" t="e" cm="1">
        <f t="array" ref="V149">_xlfn.LET(_xlpm.r,_xlfn.XLOOKUP(1,MappingGuide[[#This Row],[API]:[API_3]],'[1]Squirrel SQL Export 1'!$K:$N,[1]!Table1[[#This Row],[MDM Comments]]),IF(_xlpm.r=0,"",_xlpm.r))</f>
        <v>#REF!</v>
      </c>
      <c r="W149" s="17" t="e" cm="1">
        <f t="array" ref="W149">_xlfn.LET(_xlpm.r,_xlfn.XLOOKUP(1,MappingGuide[[#This Row],[API]:[API_3]],'[1]Squirrel SQL Export 1'!$K:$N,[1]!Table1[[#This Row],[Exists In Syndigo?]]),IF(_xlpm.r=0,"",_xlpm.r))</f>
        <v>#REF!</v>
      </c>
      <c r="X149" s="17" t="e" cm="1">
        <f t="array" ref="X149">_xlfn.LET(_xlpm.r,_xlfn.XLOOKUP(1,MappingGuide[[#This Row],[API]:[API_3]],'[1]Squirrel SQL Export 1'!$K:$N,[1]!Table1[[#This Row],[Syndigo Name]]),IF(_xlpm.r=0,"",_xlpm.r))</f>
        <v>#REF!</v>
      </c>
      <c r="Y149" s="17"/>
      <c r="Z149" s="17" t="s">
        <v>674</v>
      </c>
      <c r="AA149" s="17"/>
      <c r="AB149" s="17"/>
      <c r="AC149" s="17" t="e" cm="1">
        <f t="array" ref="AC149">_xlfn.XLOOKUP(1,MappingGuide[[#This Row],[API]:[API_3]],'[1]Squirrel SQL Export 1'!$K:$N,[1]!Table1[[#This Row],[Doppio Notes2]])</f>
        <v>#REF!</v>
      </c>
      <c r="AD149" s="17"/>
      <c r="AE149" s="17" t="e" cm="1">
        <f t="array" ref="AE149">_xlfn.XLOOKUP(1,MappingGuide[[#This Row],[API]:[API_3]],'[1]Squirrel SQL Export 1'!$K:$N,[1]!Table1[[#This Row],[DG_required]])</f>
        <v>#REF!</v>
      </c>
      <c r="AF149" s="21" t="s">
        <v>1290</v>
      </c>
      <c r="AG149" s="21"/>
      <c r="AH149" s="22" t="e" cm="1">
        <f t="array" ref="AH149">_xlfn.LET(_xlpm.r,_xlfn.XLOOKUP(1,MappingGuide[[#This Row],[API]:[API_3]],'[1]Squirrel SQL Export 1'!$K:$N,[1]!Table1[[#This Row],[Pending Items]]),IF(_xlpm.r=0,"",_xlpm.r))</f>
        <v>#REF!</v>
      </c>
      <c r="AI149" s="22" t="e" cm="1">
        <f t="array" ref="AI149">_xlfn.LET(_xlpm.r,_xlfn.XLOOKUP(1,MappingGuide[[#This Row],[API]:[API_3]],'[1]Squirrel SQL Export 1'!$K:$N,[1]!Table1[[#This Row],[Syndigo Name]]),IF(_xlpm.r=0,"",_xlpm.r))</f>
        <v>#REF!</v>
      </c>
      <c r="AJ149" s="17"/>
    </row>
    <row r="150" spans="1:36" ht="17" hidden="1">
      <c r="A150" s="17">
        <v>148</v>
      </c>
      <c r="B150" s="17" t="s">
        <v>40</v>
      </c>
      <c r="C150" s="17" t="s">
        <v>675</v>
      </c>
      <c r="D150" s="17" t="s">
        <v>676</v>
      </c>
      <c r="E150" s="17" t="s">
        <v>33</v>
      </c>
      <c r="F150" s="17" t="s">
        <v>34</v>
      </c>
      <c r="G150" s="17"/>
      <c r="H150" s="17"/>
      <c r="I150" s="17"/>
      <c r="J150" s="17"/>
      <c r="K150" s="17"/>
      <c r="L150" s="17" t="s">
        <v>35</v>
      </c>
      <c r="M150" s="17" t="s">
        <v>677</v>
      </c>
      <c r="N150" s="17" t="s">
        <v>678</v>
      </c>
      <c r="O150" s="17"/>
      <c r="P150" s="17"/>
      <c r="Q150" s="17"/>
      <c r="R150" s="17"/>
      <c r="S150" s="17" t="e" cm="1">
        <f t="array" ref="S150">_xlfn.LET(_xlpm.r,_xlfn.XLOOKUP(1,MappingGuide[[#This Row],[API]:[API_3]],'[1]Squirrel SQL Export 1'!$K:$N,[1]!Table1[[#This Row],[Responsible from HJ]]),IF(_xlpm.r=0,"",_xlpm.r))</f>
        <v>#REF!</v>
      </c>
      <c r="T150" s="17"/>
      <c r="U150" s="17"/>
      <c r="V150" s="17" t="e" cm="1">
        <f t="array" ref="V150">_xlfn.LET(_xlpm.r,_xlfn.XLOOKUP(1,MappingGuide[[#This Row],[API]:[API_3]],'[1]Squirrel SQL Export 1'!$K:$N,[1]!Table1[[#This Row],[MDM Comments]]),IF(_xlpm.r=0,"",_xlpm.r))</f>
        <v>#REF!</v>
      </c>
      <c r="W150" s="17" t="e" cm="1">
        <f t="array" ref="W150">_xlfn.LET(_xlpm.r,_xlfn.XLOOKUP(1,MappingGuide[[#This Row],[API]:[API_3]],'[1]Squirrel SQL Export 1'!$K:$N,[1]!Table1[[#This Row],[Exists In Syndigo?]]),IF(_xlpm.r=0,"",_xlpm.r))</f>
        <v>#REF!</v>
      </c>
      <c r="X150" s="17" t="e" cm="1">
        <f t="array" ref="X150">_xlfn.LET(_xlpm.r,_xlfn.XLOOKUP(1,MappingGuide[[#This Row],[API]:[API_3]],'[1]Squirrel SQL Export 1'!$K:$N,[1]!Table1[[#This Row],[Syndigo Name]]),IF(_xlpm.r=0,"",_xlpm.r))</f>
        <v>#REF!</v>
      </c>
      <c r="Y150" s="17"/>
      <c r="Z150" s="17" t="s">
        <v>679</v>
      </c>
      <c r="AA150" s="17"/>
      <c r="AB150" s="17"/>
      <c r="AC150" s="17" t="e" cm="1">
        <f t="array" ref="AC150">_xlfn.XLOOKUP(1,MappingGuide[[#This Row],[API]:[API_3]],'[1]Squirrel SQL Export 1'!$K:$N,[1]!Table1[[#This Row],[Doppio Notes2]])</f>
        <v>#REF!</v>
      </c>
      <c r="AD150" s="17"/>
      <c r="AE150" s="17" t="e" cm="1">
        <f t="array" ref="AE150">_xlfn.XLOOKUP(1,MappingGuide[[#This Row],[API]:[API_3]],'[1]Squirrel SQL Export 1'!$K:$N,[1]!Table1[[#This Row],[DG_required]])</f>
        <v>#REF!</v>
      </c>
      <c r="AF150" s="21" t="s">
        <v>1306</v>
      </c>
      <c r="AG150" s="21"/>
      <c r="AH150" s="22" t="e" cm="1">
        <f t="array" ref="AH150">_xlfn.LET(_xlpm.r,_xlfn.XLOOKUP(1,MappingGuide[[#This Row],[API]:[API_3]],'[1]Squirrel SQL Export 1'!$K:$N,[1]!Table1[[#This Row],[Pending Items]]),IF(_xlpm.r=0,"",_xlpm.r))</f>
        <v>#REF!</v>
      </c>
      <c r="AI150" s="22" t="e" cm="1">
        <f t="array" ref="AI150">_xlfn.LET(_xlpm.r,_xlfn.XLOOKUP(1,MappingGuide[[#This Row],[API]:[API_3]],'[1]Squirrel SQL Export 1'!$K:$N,[1]!Table1[[#This Row],[Syndigo Name]]),IF(_xlpm.r=0,"",_xlpm.r))</f>
        <v>#REF!</v>
      </c>
      <c r="AJ150" s="17"/>
    </row>
    <row r="151" spans="1:36" ht="17" hidden="1">
      <c r="A151" s="17">
        <v>149</v>
      </c>
      <c r="B151" s="17" t="s">
        <v>40</v>
      </c>
      <c r="C151" s="17" t="s">
        <v>680</v>
      </c>
      <c r="D151" s="17" t="s">
        <v>681</v>
      </c>
      <c r="E151" s="17" t="s">
        <v>33</v>
      </c>
      <c r="F151" s="17" t="s">
        <v>34</v>
      </c>
      <c r="G151" s="17"/>
      <c r="H151" s="17"/>
      <c r="I151" s="17"/>
      <c r="J151" s="17"/>
      <c r="K151" s="17"/>
      <c r="L151" s="17" t="s">
        <v>35</v>
      </c>
      <c r="M151" s="17" t="s">
        <v>677</v>
      </c>
      <c r="N151" s="17" t="s">
        <v>682</v>
      </c>
      <c r="O151" s="17"/>
      <c r="P151" s="17"/>
      <c r="Q151" s="17"/>
      <c r="R151" s="17"/>
      <c r="S151" s="17" t="e" cm="1">
        <f t="array" ref="S151">_xlfn.LET(_xlpm.r,_xlfn.XLOOKUP(1,MappingGuide[[#This Row],[API]:[API_3]],'[1]Squirrel SQL Export 1'!$K:$N,[1]!Table1[[#This Row],[Responsible from HJ]]),IF(_xlpm.r=0,"",_xlpm.r))</f>
        <v>#REF!</v>
      </c>
      <c r="T151" s="17"/>
      <c r="U151" s="17"/>
      <c r="V151" s="17" t="e" cm="1">
        <f t="array" ref="V151">_xlfn.LET(_xlpm.r,_xlfn.XLOOKUP(1,MappingGuide[[#This Row],[API]:[API_3]],'[1]Squirrel SQL Export 1'!$K:$N,[1]!Table1[[#This Row],[MDM Comments]]),IF(_xlpm.r=0,"",_xlpm.r))</f>
        <v>#REF!</v>
      </c>
      <c r="W151" s="17" t="e" cm="1">
        <f t="array" ref="W151">_xlfn.LET(_xlpm.r,_xlfn.XLOOKUP(1,MappingGuide[[#This Row],[API]:[API_3]],'[1]Squirrel SQL Export 1'!$K:$N,[1]!Table1[[#This Row],[Exists In Syndigo?]]),IF(_xlpm.r=0,"",_xlpm.r))</f>
        <v>#REF!</v>
      </c>
      <c r="X151" s="17" t="e" cm="1">
        <f t="array" ref="X151">_xlfn.LET(_xlpm.r,_xlfn.XLOOKUP(1,MappingGuide[[#This Row],[API]:[API_3]],'[1]Squirrel SQL Export 1'!$K:$N,[1]!Table1[[#This Row],[Syndigo Name]]),IF(_xlpm.r=0,"",_xlpm.r))</f>
        <v>#REF!</v>
      </c>
      <c r="Y151" s="17"/>
      <c r="Z151" s="17" t="s">
        <v>683</v>
      </c>
      <c r="AA151" s="17"/>
      <c r="AB151" s="17"/>
      <c r="AC151" s="17" t="e" cm="1">
        <f t="array" ref="AC151">_xlfn.XLOOKUP(1,MappingGuide[[#This Row],[API]:[API_3]],'[1]Squirrel SQL Export 1'!$K:$N,[1]!Table1[[#This Row],[Doppio Notes2]])</f>
        <v>#REF!</v>
      </c>
      <c r="AD151" s="17"/>
      <c r="AE151" s="17" t="e" cm="1">
        <f t="array" ref="AE151">_xlfn.XLOOKUP(1,MappingGuide[[#This Row],[API]:[API_3]],'[1]Squirrel SQL Export 1'!$K:$N,[1]!Table1[[#This Row],[DG_required]])</f>
        <v>#REF!</v>
      </c>
      <c r="AF151" s="21" t="s">
        <v>1306</v>
      </c>
      <c r="AG151" s="21"/>
      <c r="AH151" s="22" t="e" cm="1">
        <f t="array" ref="AH151">_xlfn.LET(_xlpm.r,_xlfn.XLOOKUP(1,MappingGuide[[#This Row],[API]:[API_3]],'[1]Squirrel SQL Export 1'!$K:$N,[1]!Table1[[#This Row],[Pending Items]]),IF(_xlpm.r=0,"",_xlpm.r))</f>
        <v>#REF!</v>
      </c>
      <c r="AI151" s="22" t="e" cm="1">
        <f t="array" ref="AI151">_xlfn.LET(_xlpm.r,_xlfn.XLOOKUP(1,MappingGuide[[#This Row],[API]:[API_3]],'[1]Squirrel SQL Export 1'!$K:$N,[1]!Table1[[#This Row],[Syndigo Name]]),IF(_xlpm.r=0,"",_xlpm.r))</f>
        <v>#REF!</v>
      </c>
      <c r="AJ151" s="17"/>
    </row>
    <row r="152" spans="1:36" ht="17" hidden="1">
      <c r="A152" s="17">
        <v>150</v>
      </c>
      <c r="B152" s="17" t="s">
        <v>40</v>
      </c>
      <c r="C152" s="17" t="s">
        <v>684</v>
      </c>
      <c r="D152" s="17" t="s">
        <v>685</v>
      </c>
      <c r="E152" s="17" t="s">
        <v>43</v>
      </c>
      <c r="F152" s="17" t="s">
        <v>686</v>
      </c>
      <c r="G152" s="17" t="s">
        <v>56</v>
      </c>
      <c r="H152" s="17"/>
      <c r="I152" s="17"/>
      <c r="J152" s="17"/>
      <c r="K152" s="17"/>
      <c r="L152" s="17"/>
      <c r="M152" s="17"/>
      <c r="N152" s="17" t="s">
        <v>687</v>
      </c>
      <c r="O152" s="17"/>
      <c r="P152" s="17"/>
      <c r="Q152" s="17"/>
      <c r="R152" s="17"/>
      <c r="S152" s="17" t="e" cm="1">
        <f t="array" ref="S152">_xlfn.LET(_xlpm.r,_xlfn.XLOOKUP(1,MappingGuide[[#This Row],[API]:[API_3]],'[1]Squirrel SQL Export 1'!$K:$N,[1]!Table1[[#This Row],[Responsible from HJ]]),IF(_xlpm.r=0,"",_xlpm.r))</f>
        <v>#REF!</v>
      </c>
      <c r="T152" s="17"/>
      <c r="U152" s="17"/>
      <c r="V152" s="17" t="e" cm="1">
        <f t="array" ref="V152">_xlfn.LET(_xlpm.r,_xlfn.XLOOKUP(1,MappingGuide[[#This Row],[API]:[API_3]],'[1]Squirrel SQL Export 1'!$K:$N,[1]!Table1[[#This Row],[MDM Comments]]),IF(_xlpm.r=0,"",_xlpm.r))</f>
        <v>#REF!</v>
      </c>
      <c r="W152" s="17" t="e" cm="1">
        <f t="array" ref="W152">_xlfn.LET(_xlpm.r,_xlfn.XLOOKUP(1,MappingGuide[[#This Row],[API]:[API_3]],'[1]Squirrel SQL Export 1'!$K:$N,[1]!Table1[[#This Row],[Exists In Syndigo?]]),IF(_xlpm.r=0,"",_xlpm.r))</f>
        <v>#REF!</v>
      </c>
      <c r="X152" s="17" t="e" cm="1">
        <f t="array" ref="X152">_xlfn.LET(_xlpm.r,_xlfn.XLOOKUP(1,MappingGuide[[#This Row],[API]:[API_3]],'[1]Squirrel SQL Export 1'!$K:$N,[1]!Table1[[#This Row],[Syndigo Name]]),IF(_xlpm.r=0,"",_xlpm.r))</f>
        <v>#REF!</v>
      </c>
      <c r="Y152" s="17"/>
      <c r="Z152" s="17" t="s">
        <v>688</v>
      </c>
      <c r="AA152" s="17"/>
      <c r="AB152" s="17"/>
      <c r="AC152" s="17" t="e" cm="1">
        <f t="array" ref="AC152">_xlfn.XLOOKUP(1,MappingGuide[[#This Row],[API]:[API_3]],'[1]Squirrel SQL Export 1'!$K:$N,[1]!Table1[[#This Row],[Doppio Notes2]])</f>
        <v>#REF!</v>
      </c>
      <c r="AD152" s="17"/>
      <c r="AE152" s="17" t="e" cm="1">
        <f t="array" ref="AE152">_xlfn.XLOOKUP(1,MappingGuide[[#This Row],[API]:[API_3]],'[1]Squirrel SQL Export 1'!$K:$N,[1]!Table1[[#This Row],[DG_required]])</f>
        <v>#REF!</v>
      </c>
      <c r="AF152" s="21" t="s">
        <v>1295</v>
      </c>
      <c r="AG152" s="21"/>
      <c r="AH152" s="22" t="e" cm="1">
        <f t="array" ref="AH152">_xlfn.LET(_xlpm.r,_xlfn.XLOOKUP(1,MappingGuide[[#This Row],[API]:[API_3]],'[1]Squirrel SQL Export 1'!$K:$N,[1]!Table1[[#This Row],[Pending Items]]),IF(_xlpm.r=0,"",_xlpm.r))</f>
        <v>#REF!</v>
      </c>
      <c r="AI152" s="22" t="e" cm="1">
        <f t="array" ref="AI152">_xlfn.LET(_xlpm.r,_xlfn.XLOOKUP(1,MappingGuide[[#This Row],[API]:[API_3]],'[1]Squirrel SQL Export 1'!$K:$N,[1]!Table1[[#This Row],[Syndigo Name]]),IF(_xlpm.r=0,"",_xlpm.r))</f>
        <v>#REF!</v>
      </c>
      <c r="AJ152" s="17"/>
    </row>
    <row r="153" spans="1:36" ht="17" hidden="1">
      <c r="A153" s="17">
        <v>151</v>
      </c>
      <c r="B153" s="17" t="s">
        <v>40</v>
      </c>
      <c r="C153" s="17" t="s">
        <v>689</v>
      </c>
      <c r="D153" s="17" t="s">
        <v>690</v>
      </c>
      <c r="E153" s="17" t="s">
        <v>43</v>
      </c>
      <c r="F153" s="17" t="s">
        <v>56</v>
      </c>
      <c r="G153" s="17"/>
      <c r="H153" s="17"/>
      <c r="I153" s="17"/>
      <c r="J153" s="17"/>
      <c r="K153" s="17"/>
      <c r="L153" s="17"/>
      <c r="M153" s="17"/>
      <c r="N153" s="17" t="s">
        <v>691</v>
      </c>
      <c r="O153" s="17"/>
      <c r="P153" s="17"/>
      <c r="Q153" s="17"/>
      <c r="R153" s="17"/>
      <c r="S153" s="17" t="e" cm="1">
        <f t="array" ref="S153">_xlfn.LET(_xlpm.r,_xlfn.XLOOKUP(1,MappingGuide[[#This Row],[API]:[API_3]],'[1]Squirrel SQL Export 1'!$K:$N,[1]!Table1[[#This Row],[Responsible from HJ]]),IF(_xlpm.r=0,"",_xlpm.r))</f>
        <v>#REF!</v>
      </c>
      <c r="T153" s="17"/>
      <c r="U153" s="17"/>
      <c r="V153" s="17" t="e" cm="1">
        <f t="array" ref="V153">_xlfn.LET(_xlpm.r,_xlfn.XLOOKUP(1,MappingGuide[[#This Row],[API]:[API_3]],'[1]Squirrel SQL Export 1'!$K:$N,[1]!Table1[[#This Row],[MDM Comments]]),IF(_xlpm.r=0,"",_xlpm.r))</f>
        <v>#REF!</v>
      </c>
      <c r="W153" s="17" t="e" cm="1">
        <f t="array" ref="W153">_xlfn.LET(_xlpm.r,_xlfn.XLOOKUP(1,MappingGuide[[#This Row],[API]:[API_3]],'[1]Squirrel SQL Export 1'!$K:$N,[1]!Table1[[#This Row],[Exists In Syndigo?]]),IF(_xlpm.r=0,"",_xlpm.r))</f>
        <v>#REF!</v>
      </c>
      <c r="X153" s="17" t="e" cm="1">
        <f t="array" ref="X153">_xlfn.LET(_xlpm.r,_xlfn.XLOOKUP(1,MappingGuide[[#This Row],[API]:[API_3]],'[1]Squirrel SQL Export 1'!$K:$N,[1]!Table1[[#This Row],[Syndigo Name]]),IF(_xlpm.r=0,"",_xlpm.r))</f>
        <v>#REF!</v>
      </c>
      <c r="Y153" s="17"/>
      <c r="Z153" s="17" t="s">
        <v>692</v>
      </c>
      <c r="AA153" s="17"/>
      <c r="AB153" s="17"/>
      <c r="AC153" s="17" t="e" cm="1">
        <f t="array" ref="AC153">_xlfn.XLOOKUP(1,MappingGuide[[#This Row],[API]:[API_3]],'[1]Squirrel SQL Export 1'!$K:$N,[1]!Table1[[#This Row],[Doppio Notes2]])</f>
        <v>#REF!</v>
      </c>
      <c r="AD153" s="17"/>
      <c r="AE153" s="17" t="e" cm="1">
        <f t="array" ref="AE153">_xlfn.XLOOKUP(1,MappingGuide[[#This Row],[API]:[API_3]],'[1]Squirrel SQL Export 1'!$K:$N,[1]!Table1[[#This Row],[DG_required]])</f>
        <v>#REF!</v>
      </c>
      <c r="AF153" s="21" t="s">
        <v>1290</v>
      </c>
      <c r="AG153" s="21"/>
      <c r="AH153" s="22" t="e" cm="1">
        <f t="array" ref="AH153">_xlfn.LET(_xlpm.r,_xlfn.XLOOKUP(1,MappingGuide[[#This Row],[API]:[API_3]],'[1]Squirrel SQL Export 1'!$K:$N,[1]!Table1[[#This Row],[Pending Items]]),IF(_xlpm.r=0,"",_xlpm.r))</f>
        <v>#REF!</v>
      </c>
      <c r="AI153" s="22" t="e" cm="1">
        <f t="array" ref="AI153">_xlfn.LET(_xlpm.r,_xlfn.XLOOKUP(1,MappingGuide[[#This Row],[API]:[API_3]],'[1]Squirrel SQL Export 1'!$K:$N,[1]!Table1[[#This Row],[Syndigo Name]]),IF(_xlpm.r=0,"",_xlpm.r))</f>
        <v>#REF!</v>
      </c>
      <c r="AJ153" s="17"/>
    </row>
    <row r="154" spans="1:36" ht="17" hidden="1">
      <c r="A154" s="17">
        <v>152</v>
      </c>
      <c r="B154" s="17" t="s">
        <v>40</v>
      </c>
      <c r="C154" s="17" t="s">
        <v>693</v>
      </c>
      <c r="D154" s="17" t="s">
        <v>694</v>
      </c>
      <c r="E154" s="17" t="s">
        <v>43</v>
      </c>
      <c r="F154" s="17" t="s">
        <v>213</v>
      </c>
      <c r="G154" s="17"/>
      <c r="H154" s="17"/>
      <c r="I154" s="17"/>
      <c r="J154" s="17"/>
      <c r="K154" s="17"/>
      <c r="L154" s="17"/>
      <c r="M154" s="17"/>
      <c r="N154" s="17" t="s">
        <v>695</v>
      </c>
      <c r="O154" s="17"/>
      <c r="P154" s="17"/>
      <c r="Q154" s="17"/>
      <c r="R154" s="17"/>
      <c r="S154" s="17" t="e" cm="1">
        <f t="array" ref="S154">_xlfn.LET(_xlpm.r,_xlfn.XLOOKUP(1,MappingGuide[[#This Row],[API]:[API_3]],'[1]Squirrel SQL Export 1'!$K:$N,[1]!Table1[[#This Row],[Responsible from HJ]]),IF(_xlpm.r=0,"",_xlpm.r))</f>
        <v>#REF!</v>
      </c>
      <c r="T154" s="17"/>
      <c r="U154" s="17"/>
      <c r="V154" s="17" t="e" cm="1">
        <f t="array" ref="V154">_xlfn.LET(_xlpm.r,_xlfn.XLOOKUP(1,MappingGuide[[#This Row],[API]:[API_3]],'[1]Squirrel SQL Export 1'!$K:$N,[1]!Table1[[#This Row],[MDM Comments]]),IF(_xlpm.r=0,"",_xlpm.r))</f>
        <v>#REF!</v>
      </c>
      <c r="W154" s="17" t="e" cm="1">
        <f t="array" ref="W154">_xlfn.LET(_xlpm.r,_xlfn.XLOOKUP(1,MappingGuide[[#This Row],[API]:[API_3]],'[1]Squirrel SQL Export 1'!$K:$N,[1]!Table1[[#This Row],[Exists In Syndigo?]]),IF(_xlpm.r=0,"",_xlpm.r))</f>
        <v>#REF!</v>
      </c>
      <c r="X154" s="17" t="e" cm="1">
        <f t="array" ref="X154">_xlfn.LET(_xlpm.r,_xlfn.XLOOKUP(1,MappingGuide[[#This Row],[API]:[API_3]],'[1]Squirrel SQL Export 1'!$K:$N,[1]!Table1[[#This Row],[Syndigo Name]]),IF(_xlpm.r=0,"",_xlpm.r))</f>
        <v>#REF!</v>
      </c>
      <c r="Y154" s="17"/>
      <c r="Z154" s="17" t="s">
        <v>696</v>
      </c>
      <c r="AA154" s="17"/>
      <c r="AB154" s="17"/>
      <c r="AC154" s="17" t="e" cm="1">
        <f t="array" ref="AC154">_xlfn.XLOOKUP(1,MappingGuide[[#This Row],[API]:[API_3]],'[1]Squirrel SQL Export 1'!$K:$N,[1]!Table1[[#This Row],[Doppio Notes2]])</f>
        <v>#REF!</v>
      </c>
      <c r="AD154" s="17"/>
      <c r="AE154" s="17" t="e" cm="1">
        <f t="array" ref="AE154">_xlfn.XLOOKUP(1,MappingGuide[[#This Row],[API]:[API_3]],'[1]Squirrel SQL Export 1'!$K:$N,[1]!Table1[[#This Row],[DG_required]])</f>
        <v>#REF!</v>
      </c>
      <c r="AF154" s="21" t="s">
        <v>1290</v>
      </c>
      <c r="AG154" s="21"/>
      <c r="AH154" s="22" t="e" cm="1">
        <f t="array" ref="AH154">_xlfn.LET(_xlpm.r,_xlfn.XLOOKUP(1,MappingGuide[[#This Row],[API]:[API_3]],'[1]Squirrel SQL Export 1'!$K:$N,[1]!Table1[[#This Row],[Pending Items]]),IF(_xlpm.r=0,"",_xlpm.r))</f>
        <v>#REF!</v>
      </c>
      <c r="AI154" s="22" t="e" cm="1">
        <f t="array" ref="AI154">_xlfn.LET(_xlpm.r,_xlfn.XLOOKUP(1,MappingGuide[[#This Row],[API]:[API_3]],'[1]Squirrel SQL Export 1'!$K:$N,[1]!Table1[[#This Row],[Syndigo Name]]),IF(_xlpm.r=0,"",_xlpm.r))</f>
        <v>#REF!</v>
      </c>
      <c r="AJ154" s="17"/>
    </row>
    <row r="155" spans="1:36" ht="17" hidden="1">
      <c r="A155" s="17">
        <v>153</v>
      </c>
      <c r="B155" s="17" t="s">
        <v>40</v>
      </c>
      <c r="C155" s="17" t="s">
        <v>697</v>
      </c>
      <c r="D155" s="17" t="s">
        <v>698</v>
      </c>
      <c r="E155" s="17" t="s">
        <v>33</v>
      </c>
      <c r="F155" s="17" t="s">
        <v>56</v>
      </c>
      <c r="G155" s="17"/>
      <c r="H155" s="17"/>
      <c r="I155" s="17"/>
      <c r="J155" s="17"/>
      <c r="K155" s="17"/>
      <c r="L155" s="17"/>
      <c r="M155" s="17"/>
      <c r="N155" s="17" t="s">
        <v>699</v>
      </c>
      <c r="O155" s="17"/>
      <c r="P155" s="17"/>
      <c r="Q155" s="17"/>
      <c r="R155" s="17"/>
      <c r="S155" s="17" t="e" cm="1">
        <f t="array" ref="S155">_xlfn.LET(_xlpm.r,_xlfn.XLOOKUP(1,MappingGuide[[#This Row],[API]:[API_3]],'[1]Squirrel SQL Export 1'!$K:$N,[1]!Table1[[#This Row],[Responsible from HJ]]),IF(_xlpm.r=0,"",_xlpm.r))</f>
        <v>#REF!</v>
      </c>
      <c r="T155" s="17"/>
      <c r="U155" s="17"/>
      <c r="V155" s="17" t="e" cm="1">
        <f t="array" ref="V155">_xlfn.LET(_xlpm.r,_xlfn.XLOOKUP(1,MappingGuide[[#This Row],[API]:[API_3]],'[1]Squirrel SQL Export 1'!$K:$N,[1]!Table1[[#This Row],[MDM Comments]]),IF(_xlpm.r=0,"",_xlpm.r))</f>
        <v>#REF!</v>
      </c>
      <c r="W155" s="17" t="e" cm="1">
        <f t="array" ref="W155">_xlfn.LET(_xlpm.r,_xlfn.XLOOKUP(1,MappingGuide[[#This Row],[API]:[API_3]],'[1]Squirrel SQL Export 1'!$K:$N,[1]!Table1[[#This Row],[Exists In Syndigo?]]),IF(_xlpm.r=0,"",_xlpm.r))</f>
        <v>#REF!</v>
      </c>
      <c r="X155" s="17" t="e" cm="1">
        <f t="array" ref="X155">_xlfn.LET(_xlpm.r,_xlfn.XLOOKUP(1,MappingGuide[[#This Row],[API]:[API_3]],'[1]Squirrel SQL Export 1'!$K:$N,[1]!Table1[[#This Row],[Syndigo Name]]),IF(_xlpm.r=0,"",_xlpm.r))</f>
        <v>#REF!</v>
      </c>
      <c r="Y155" s="17"/>
      <c r="Z155" s="17" t="s">
        <v>700</v>
      </c>
      <c r="AA155" s="17"/>
      <c r="AB155" s="17"/>
      <c r="AC155" s="17" t="e" cm="1">
        <f t="array" ref="AC155">_xlfn.XLOOKUP(1,MappingGuide[[#This Row],[API]:[API_3]],'[1]Squirrel SQL Export 1'!$K:$N,[1]!Table1[[#This Row],[Doppio Notes2]])</f>
        <v>#REF!</v>
      </c>
      <c r="AD155" s="17"/>
      <c r="AE155" s="17" t="e" cm="1">
        <f t="array" ref="AE155">_xlfn.XLOOKUP(1,MappingGuide[[#This Row],[API]:[API_3]],'[1]Squirrel SQL Export 1'!$K:$N,[1]!Table1[[#This Row],[DG_required]])</f>
        <v>#REF!</v>
      </c>
      <c r="AF155" s="21" t="s">
        <v>1306</v>
      </c>
      <c r="AG155" s="21"/>
      <c r="AH155" s="22" t="e" cm="1">
        <f t="array" ref="AH155">_xlfn.LET(_xlpm.r,_xlfn.XLOOKUP(1,MappingGuide[[#This Row],[API]:[API_3]],'[1]Squirrel SQL Export 1'!$K:$N,[1]!Table1[[#This Row],[Pending Items]]),IF(_xlpm.r=0,"",_xlpm.r))</f>
        <v>#REF!</v>
      </c>
      <c r="AI155" s="22" t="e" cm="1">
        <f t="array" ref="AI155">_xlfn.LET(_xlpm.r,_xlfn.XLOOKUP(1,MappingGuide[[#This Row],[API]:[API_3]],'[1]Squirrel SQL Export 1'!$K:$N,[1]!Table1[[#This Row],[Syndigo Name]]),IF(_xlpm.r=0,"",_xlpm.r))</f>
        <v>#REF!</v>
      </c>
      <c r="AJ155" s="17"/>
    </row>
    <row r="156" spans="1:36" ht="17" hidden="1">
      <c r="A156" s="17">
        <v>154</v>
      </c>
      <c r="B156" s="17" t="s">
        <v>40</v>
      </c>
      <c r="C156" s="17" t="s">
        <v>701</v>
      </c>
      <c r="D156" s="17" t="s">
        <v>702</v>
      </c>
      <c r="E156" s="17" t="s">
        <v>33</v>
      </c>
      <c r="F156" s="17" t="s">
        <v>44</v>
      </c>
      <c r="G156" s="17"/>
      <c r="H156" s="17"/>
      <c r="I156" s="17"/>
      <c r="J156" s="17"/>
      <c r="K156" s="17"/>
      <c r="L156" s="17" t="s">
        <v>35</v>
      </c>
      <c r="M156" s="17" t="s">
        <v>677</v>
      </c>
      <c r="N156" s="17" t="s">
        <v>703</v>
      </c>
      <c r="O156" s="17"/>
      <c r="P156" s="17"/>
      <c r="Q156" s="17"/>
      <c r="R156" s="17"/>
      <c r="S156" s="17" t="e" cm="1">
        <f t="array" ref="S156">_xlfn.LET(_xlpm.r,_xlfn.XLOOKUP(1,MappingGuide[[#This Row],[API]:[API_3]],'[1]Squirrel SQL Export 1'!$K:$N,[1]!Table1[[#This Row],[Responsible from HJ]]),IF(_xlpm.r=0,"",_xlpm.r))</f>
        <v>#REF!</v>
      </c>
      <c r="T156" s="17"/>
      <c r="U156" s="17"/>
      <c r="V156" s="17" t="e" cm="1">
        <f t="array" ref="V156">_xlfn.LET(_xlpm.r,_xlfn.XLOOKUP(1,MappingGuide[[#This Row],[API]:[API_3]],'[1]Squirrel SQL Export 1'!$K:$N,[1]!Table1[[#This Row],[MDM Comments]]),IF(_xlpm.r=0,"",_xlpm.r))</f>
        <v>#REF!</v>
      </c>
      <c r="W156" s="17" t="e" cm="1">
        <f t="array" ref="W156">_xlfn.LET(_xlpm.r,_xlfn.XLOOKUP(1,MappingGuide[[#This Row],[API]:[API_3]],'[1]Squirrel SQL Export 1'!$K:$N,[1]!Table1[[#This Row],[Exists In Syndigo?]]),IF(_xlpm.r=0,"",_xlpm.r))</f>
        <v>#REF!</v>
      </c>
      <c r="X156" s="17" t="e" cm="1">
        <f t="array" ref="X156">_xlfn.LET(_xlpm.r,_xlfn.XLOOKUP(1,MappingGuide[[#This Row],[API]:[API_3]],'[1]Squirrel SQL Export 1'!$K:$N,[1]!Table1[[#This Row],[Syndigo Name]]),IF(_xlpm.r=0,"",_xlpm.r))</f>
        <v>#REF!</v>
      </c>
      <c r="Y156" s="17"/>
      <c r="Z156" s="17" t="s">
        <v>704</v>
      </c>
      <c r="AA156" s="17"/>
      <c r="AB156" s="17"/>
      <c r="AC156" s="17" t="e" cm="1">
        <f t="array" ref="AC156">_xlfn.XLOOKUP(1,MappingGuide[[#This Row],[API]:[API_3]],'[1]Squirrel SQL Export 1'!$K:$N,[1]!Table1[[#This Row],[Doppio Notes2]])</f>
        <v>#REF!</v>
      </c>
      <c r="AD156" s="17"/>
      <c r="AE156" s="17" t="e" cm="1">
        <f t="array" ref="AE156">_xlfn.XLOOKUP(1,MappingGuide[[#This Row],[API]:[API_3]],'[1]Squirrel SQL Export 1'!$K:$N,[1]!Table1[[#This Row],[DG_required]])</f>
        <v>#REF!</v>
      </c>
      <c r="AF156" s="21" t="s">
        <v>1306</v>
      </c>
      <c r="AG156" s="21"/>
      <c r="AH156" s="22" t="e" cm="1">
        <f t="array" ref="AH156">_xlfn.LET(_xlpm.r,_xlfn.XLOOKUP(1,MappingGuide[[#This Row],[API]:[API_3]],'[1]Squirrel SQL Export 1'!$K:$N,[1]!Table1[[#This Row],[Pending Items]]),IF(_xlpm.r=0,"",_xlpm.r))</f>
        <v>#REF!</v>
      </c>
      <c r="AI156" s="22" t="e" cm="1">
        <f t="array" ref="AI156">_xlfn.LET(_xlpm.r,_xlfn.XLOOKUP(1,MappingGuide[[#This Row],[API]:[API_3]],'[1]Squirrel SQL Export 1'!$K:$N,[1]!Table1[[#This Row],[Syndigo Name]]),IF(_xlpm.r=0,"",_xlpm.r))</f>
        <v>#REF!</v>
      </c>
      <c r="AJ156" s="17"/>
    </row>
    <row r="157" spans="1:36" ht="17" hidden="1">
      <c r="A157" s="17">
        <v>155</v>
      </c>
      <c r="B157" s="17" t="s">
        <v>40</v>
      </c>
      <c r="C157" s="17" t="s">
        <v>705</v>
      </c>
      <c r="D157" s="17" t="s">
        <v>706</v>
      </c>
      <c r="E157" s="17" t="s">
        <v>43</v>
      </c>
      <c r="F157" s="17" t="s">
        <v>80</v>
      </c>
      <c r="G157" s="17"/>
      <c r="H157" s="17"/>
      <c r="I157" s="17" t="s">
        <v>57</v>
      </c>
      <c r="J157" s="17" t="s">
        <v>72</v>
      </c>
      <c r="K157" s="17"/>
      <c r="L157" s="17"/>
      <c r="M157" s="17"/>
      <c r="N157" s="17" t="s">
        <v>707</v>
      </c>
      <c r="O157" s="17"/>
      <c r="P157" s="17"/>
      <c r="Q157" s="17"/>
      <c r="R157" s="17"/>
      <c r="S157" s="17" t="e" cm="1">
        <f t="array" ref="S157">_xlfn.LET(_xlpm.r,_xlfn.XLOOKUP(1,MappingGuide[[#This Row],[API]:[API_3]],'[1]Squirrel SQL Export 1'!$K:$N,[1]!Table1[[#This Row],[Responsible from HJ]]),IF(_xlpm.r=0,"",_xlpm.r))</f>
        <v>#REF!</v>
      </c>
      <c r="T157" s="17"/>
      <c r="U157" s="17"/>
      <c r="V157" s="17" t="e" cm="1">
        <f t="array" ref="V157">_xlfn.LET(_xlpm.r,_xlfn.XLOOKUP(1,MappingGuide[[#This Row],[API]:[API_3]],'[1]Squirrel SQL Export 1'!$K:$N,[1]!Table1[[#This Row],[MDM Comments]]),IF(_xlpm.r=0,"",_xlpm.r))</f>
        <v>#REF!</v>
      </c>
      <c r="W157" s="17" t="e" cm="1">
        <f t="array" ref="W157">_xlfn.LET(_xlpm.r,_xlfn.XLOOKUP(1,MappingGuide[[#This Row],[API]:[API_3]],'[1]Squirrel SQL Export 1'!$K:$N,[1]!Table1[[#This Row],[Exists In Syndigo?]]),IF(_xlpm.r=0,"",_xlpm.r))</f>
        <v>#REF!</v>
      </c>
      <c r="X157" s="17" t="e" cm="1">
        <f t="array" ref="X157">_xlfn.LET(_xlpm.r,_xlfn.XLOOKUP(1,MappingGuide[[#This Row],[API]:[API_3]],'[1]Squirrel SQL Export 1'!$K:$N,[1]!Table1[[#This Row],[Syndigo Name]]),IF(_xlpm.r=0,"",_xlpm.r))</f>
        <v>#REF!</v>
      </c>
      <c r="Y157" s="17"/>
      <c r="Z157" s="17" t="s">
        <v>708</v>
      </c>
      <c r="AA157" s="17" t="s">
        <v>709</v>
      </c>
      <c r="AB157" s="17"/>
      <c r="AC157" s="17" t="e" cm="1">
        <f t="array" ref="AC157">_xlfn.XLOOKUP(1,MappingGuide[[#This Row],[API]:[API_3]],'[1]Squirrel SQL Export 1'!$K:$N,[1]!Table1[[#This Row],[Doppio Notes2]])</f>
        <v>#REF!</v>
      </c>
      <c r="AD157" s="17"/>
      <c r="AE157" s="17" t="e" cm="1">
        <f t="array" ref="AE157">_xlfn.XLOOKUP(1,MappingGuide[[#This Row],[API]:[API_3]],'[1]Squirrel SQL Export 1'!$K:$N,[1]!Table1[[#This Row],[DG_required]])</f>
        <v>#REF!</v>
      </c>
      <c r="AF157" s="21" t="s">
        <v>1290</v>
      </c>
      <c r="AG157" s="21"/>
      <c r="AH157" s="22" t="e" cm="1">
        <f t="array" ref="AH157">_xlfn.LET(_xlpm.r,_xlfn.XLOOKUP(1,MappingGuide[[#This Row],[API]:[API_3]],'[1]Squirrel SQL Export 1'!$K:$N,[1]!Table1[[#This Row],[Pending Items]]),IF(_xlpm.r=0,"",_xlpm.r))</f>
        <v>#REF!</v>
      </c>
      <c r="AI157" s="22" t="e" cm="1">
        <f t="array" ref="AI157">_xlfn.LET(_xlpm.r,_xlfn.XLOOKUP(1,MappingGuide[[#This Row],[API]:[API_3]],'[1]Squirrel SQL Export 1'!$K:$N,[1]!Table1[[#This Row],[Syndigo Name]]),IF(_xlpm.r=0,"",_xlpm.r))</f>
        <v>#REF!</v>
      </c>
      <c r="AJ157" s="17"/>
    </row>
    <row r="158" spans="1:36" ht="17" hidden="1">
      <c r="A158" s="17">
        <v>156</v>
      </c>
      <c r="B158" s="17" t="s">
        <v>40</v>
      </c>
      <c r="C158" s="17" t="s">
        <v>710</v>
      </c>
      <c r="D158" s="17" t="s">
        <v>711</v>
      </c>
      <c r="E158" s="17" t="s">
        <v>33</v>
      </c>
      <c r="F158" s="17" t="s">
        <v>34</v>
      </c>
      <c r="G158" s="17"/>
      <c r="H158" s="17"/>
      <c r="I158" s="17" t="s">
        <v>57</v>
      </c>
      <c r="J158" s="17" t="s">
        <v>72</v>
      </c>
      <c r="K158" s="17"/>
      <c r="L158" s="17" t="s">
        <v>35</v>
      </c>
      <c r="M158" s="17" t="s">
        <v>36</v>
      </c>
      <c r="N158" s="17" t="s">
        <v>712</v>
      </c>
      <c r="O158" s="17"/>
      <c r="P158" s="17"/>
      <c r="Q158" s="17"/>
      <c r="R158" s="17"/>
      <c r="S158" s="17" t="e" cm="1">
        <f t="array" ref="S158">_xlfn.LET(_xlpm.r,_xlfn.XLOOKUP(1,MappingGuide[[#This Row],[API]:[API_3]],'[1]Squirrel SQL Export 1'!$K:$N,[1]!Table1[[#This Row],[Responsible from HJ]]),IF(_xlpm.r=0,"",_xlpm.r))</f>
        <v>#REF!</v>
      </c>
      <c r="T158" s="17"/>
      <c r="U158" s="17"/>
      <c r="V158" s="17" t="e" cm="1">
        <f t="array" ref="V158">_xlfn.LET(_xlpm.r,_xlfn.XLOOKUP(1,MappingGuide[[#This Row],[API]:[API_3]],'[1]Squirrel SQL Export 1'!$K:$N,[1]!Table1[[#This Row],[MDM Comments]]),IF(_xlpm.r=0,"",_xlpm.r))</f>
        <v>#REF!</v>
      </c>
      <c r="W158" s="17" t="e" cm="1">
        <f t="array" ref="W158">_xlfn.LET(_xlpm.r,_xlfn.XLOOKUP(1,MappingGuide[[#This Row],[API]:[API_3]],'[1]Squirrel SQL Export 1'!$K:$N,[1]!Table1[[#This Row],[Exists In Syndigo?]]),IF(_xlpm.r=0,"",_xlpm.r))</f>
        <v>#REF!</v>
      </c>
      <c r="X158" s="17" t="e" cm="1">
        <f t="array" ref="X158">_xlfn.LET(_xlpm.r,_xlfn.XLOOKUP(1,MappingGuide[[#This Row],[API]:[API_3]],'[1]Squirrel SQL Export 1'!$K:$N,[1]!Table1[[#This Row],[Syndigo Name]]),IF(_xlpm.r=0,"",_xlpm.r))</f>
        <v>#REF!</v>
      </c>
      <c r="Y158" s="17"/>
      <c r="Z158" s="17" t="s">
        <v>713</v>
      </c>
      <c r="AA158" s="17"/>
      <c r="AB158" s="17"/>
      <c r="AC158" s="17" t="e" cm="1">
        <f t="array" ref="AC158">_xlfn.XLOOKUP(1,MappingGuide[[#This Row],[API]:[API_3]],'[1]Squirrel SQL Export 1'!$K:$N,[1]!Table1[[#This Row],[Doppio Notes2]])</f>
        <v>#REF!</v>
      </c>
      <c r="AD158" s="17"/>
      <c r="AE158" s="17" t="e" cm="1">
        <f t="array" ref="AE158">_xlfn.XLOOKUP(1,MappingGuide[[#This Row],[API]:[API_3]],'[1]Squirrel SQL Export 1'!$K:$N,[1]!Table1[[#This Row],[DG_required]])</f>
        <v>#REF!</v>
      </c>
      <c r="AF158" s="21" t="s">
        <v>1306</v>
      </c>
      <c r="AG158" s="21"/>
      <c r="AH158" s="22" t="e" cm="1">
        <f t="array" ref="AH158">_xlfn.LET(_xlpm.r,_xlfn.XLOOKUP(1,MappingGuide[[#This Row],[API]:[API_3]],'[1]Squirrel SQL Export 1'!$K:$N,[1]!Table1[[#This Row],[Pending Items]]),IF(_xlpm.r=0,"",_xlpm.r))</f>
        <v>#REF!</v>
      </c>
      <c r="AI158" s="22" t="e" cm="1">
        <f t="array" ref="AI158">_xlfn.LET(_xlpm.r,_xlfn.XLOOKUP(1,MappingGuide[[#This Row],[API]:[API_3]],'[1]Squirrel SQL Export 1'!$K:$N,[1]!Table1[[#This Row],[Syndigo Name]]),IF(_xlpm.r=0,"",_xlpm.r))</f>
        <v>#REF!</v>
      </c>
      <c r="AJ158" s="17"/>
    </row>
    <row r="159" spans="1:36" ht="17" hidden="1">
      <c r="A159" s="17">
        <v>157</v>
      </c>
      <c r="B159" s="17" t="s">
        <v>40</v>
      </c>
      <c r="C159" s="17" t="s">
        <v>714</v>
      </c>
      <c r="D159" s="17" t="s">
        <v>715</v>
      </c>
      <c r="E159" s="17" t="s">
        <v>43</v>
      </c>
      <c r="F159" s="17" t="s">
        <v>80</v>
      </c>
      <c r="G159" s="17"/>
      <c r="H159" s="17"/>
      <c r="I159" s="17" t="s">
        <v>57</v>
      </c>
      <c r="J159" s="17" t="s">
        <v>72</v>
      </c>
      <c r="K159" s="17"/>
      <c r="L159" s="17"/>
      <c r="M159" s="17"/>
      <c r="N159" s="17" t="s">
        <v>716</v>
      </c>
      <c r="O159" s="17"/>
      <c r="P159" s="17"/>
      <c r="Q159" s="17"/>
      <c r="R159" s="17"/>
      <c r="S159" s="17" t="e" cm="1">
        <f t="array" ref="S159">_xlfn.LET(_xlpm.r,_xlfn.XLOOKUP(1,MappingGuide[[#This Row],[API]:[API_3]],'[1]Squirrel SQL Export 1'!$K:$N,[1]!Table1[[#This Row],[Responsible from HJ]]),IF(_xlpm.r=0,"",_xlpm.r))</f>
        <v>#REF!</v>
      </c>
      <c r="T159" s="17"/>
      <c r="U159" s="17"/>
      <c r="V159" s="17" t="e" cm="1">
        <f t="array" ref="V159">_xlfn.LET(_xlpm.r,_xlfn.XLOOKUP(1,MappingGuide[[#This Row],[API]:[API_3]],'[1]Squirrel SQL Export 1'!$K:$N,[1]!Table1[[#This Row],[MDM Comments]]),IF(_xlpm.r=0,"",_xlpm.r))</f>
        <v>#REF!</v>
      </c>
      <c r="W159" s="17" t="e" cm="1">
        <f t="array" ref="W159">_xlfn.LET(_xlpm.r,_xlfn.XLOOKUP(1,MappingGuide[[#This Row],[API]:[API_3]],'[1]Squirrel SQL Export 1'!$K:$N,[1]!Table1[[#This Row],[Exists In Syndigo?]]),IF(_xlpm.r=0,"",_xlpm.r))</f>
        <v>#REF!</v>
      </c>
      <c r="X159" s="17" t="e" cm="1">
        <f t="array" ref="X159">_xlfn.LET(_xlpm.r,_xlfn.XLOOKUP(1,MappingGuide[[#This Row],[API]:[API_3]],'[1]Squirrel SQL Export 1'!$K:$N,[1]!Table1[[#This Row],[Syndigo Name]]),IF(_xlpm.r=0,"",_xlpm.r))</f>
        <v>#REF!</v>
      </c>
      <c r="Y159" s="17"/>
      <c r="Z159" s="17" t="s">
        <v>717</v>
      </c>
      <c r="AA159" s="17" t="s">
        <v>718</v>
      </c>
      <c r="AB159" s="17"/>
      <c r="AC159" s="17" t="e" cm="1">
        <f t="array" ref="AC159">_xlfn.XLOOKUP(1,MappingGuide[[#This Row],[API]:[API_3]],'[1]Squirrel SQL Export 1'!$K:$N,[1]!Table1[[#This Row],[Doppio Notes2]])</f>
        <v>#REF!</v>
      </c>
      <c r="AD159" s="17"/>
      <c r="AE159" s="17" t="e" cm="1">
        <f t="array" ref="AE159">_xlfn.XLOOKUP(1,MappingGuide[[#This Row],[API]:[API_3]],'[1]Squirrel SQL Export 1'!$K:$N,[1]!Table1[[#This Row],[DG_required]])</f>
        <v>#REF!</v>
      </c>
      <c r="AF159" s="21" t="s">
        <v>1290</v>
      </c>
      <c r="AG159" s="21"/>
      <c r="AH159" s="22" t="e" cm="1">
        <f t="array" ref="AH159">_xlfn.LET(_xlpm.r,_xlfn.XLOOKUP(1,MappingGuide[[#This Row],[API]:[API_3]],'[1]Squirrel SQL Export 1'!$K:$N,[1]!Table1[[#This Row],[Pending Items]]),IF(_xlpm.r=0,"",_xlpm.r))</f>
        <v>#REF!</v>
      </c>
      <c r="AI159" s="22" t="e" cm="1">
        <f t="array" ref="AI159">_xlfn.LET(_xlpm.r,_xlfn.XLOOKUP(1,MappingGuide[[#This Row],[API]:[API_3]],'[1]Squirrel SQL Export 1'!$K:$N,[1]!Table1[[#This Row],[Syndigo Name]]),IF(_xlpm.r=0,"",_xlpm.r))</f>
        <v>#REF!</v>
      </c>
      <c r="AJ159" s="17"/>
    </row>
    <row r="160" spans="1:36" ht="17" hidden="1">
      <c r="A160" s="17">
        <v>158</v>
      </c>
      <c r="B160" s="17" t="s">
        <v>40</v>
      </c>
      <c r="C160" s="17" t="s">
        <v>719</v>
      </c>
      <c r="D160" s="17" t="s">
        <v>720</v>
      </c>
      <c r="E160" s="17" t="s">
        <v>43</v>
      </c>
      <c r="F160" s="17" t="s">
        <v>80</v>
      </c>
      <c r="G160" s="17"/>
      <c r="H160" s="17"/>
      <c r="I160" s="17" t="s">
        <v>57</v>
      </c>
      <c r="J160" s="17" t="s">
        <v>72</v>
      </c>
      <c r="K160" s="17"/>
      <c r="L160" s="17"/>
      <c r="M160" s="17"/>
      <c r="N160" s="17" t="s">
        <v>721</v>
      </c>
      <c r="O160" s="17"/>
      <c r="P160" s="17"/>
      <c r="Q160" s="17"/>
      <c r="R160" s="17"/>
      <c r="S160" s="17" t="e" cm="1">
        <f t="array" ref="S160">_xlfn.LET(_xlpm.r,_xlfn.XLOOKUP(1,MappingGuide[[#This Row],[API]:[API_3]],'[1]Squirrel SQL Export 1'!$K:$N,[1]!Table1[[#This Row],[Responsible from HJ]]),IF(_xlpm.r=0,"",_xlpm.r))</f>
        <v>#REF!</v>
      </c>
      <c r="T160" s="17"/>
      <c r="U160" s="17"/>
      <c r="V160" s="17" t="e" cm="1">
        <f t="array" ref="V160">_xlfn.LET(_xlpm.r,_xlfn.XLOOKUP(1,MappingGuide[[#This Row],[API]:[API_3]],'[1]Squirrel SQL Export 1'!$K:$N,[1]!Table1[[#This Row],[MDM Comments]]),IF(_xlpm.r=0,"",_xlpm.r))</f>
        <v>#REF!</v>
      </c>
      <c r="W160" s="17" t="e" cm="1">
        <f t="array" ref="W160">_xlfn.LET(_xlpm.r,_xlfn.XLOOKUP(1,MappingGuide[[#This Row],[API]:[API_3]],'[1]Squirrel SQL Export 1'!$K:$N,[1]!Table1[[#This Row],[Exists In Syndigo?]]),IF(_xlpm.r=0,"",_xlpm.r))</f>
        <v>#REF!</v>
      </c>
      <c r="X160" s="17" t="e" cm="1">
        <f t="array" ref="X160">_xlfn.LET(_xlpm.r,_xlfn.XLOOKUP(1,MappingGuide[[#This Row],[API]:[API_3]],'[1]Squirrel SQL Export 1'!$K:$N,[1]!Table1[[#This Row],[Syndigo Name]]),IF(_xlpm.r=0,"",_xlpm.r))</f>
        <v>#REF!</v>
      </c>
      <c r="Y160" s="17"/>
      <c r="Z160" s="17" t="s">
        <v>722</v>
      </c>
      <c r="AA160" s="17"/>
      <c r="AB160" s="17"/>
      <c r="AC160" s="17" t="e" cm="1">
        <f t="array" ref="AC160">_xlfn.XLOOKUP(1,MappingGuide[[#This Row],[API]:[API_3]],'[1]Squirrel SQL Export 1'!$K:$N,[1]!Table1[[#This Row],[Doppio Notes2]])</f>
        <v>#REF!</v>
      </c>
      <c r="AD160" s="17"/>
      <c r="AE160" s="17" t="e" cm="1">
        <f t="array" ref="AE160">_xlfn.XLOOKUP(1,MappingGuide[[#This Row],[API]:[API_3]],'[1]Squirrel SQL Export 1'!$K:$N,[1]!Table1[[#This Row],[DG_required]])</f>
        <v>#REF!</v>
      </c>
      <c r="AF160" s="21" t="s">
        <v>1290</v>
      </c>
      <c r="AG160" s="21"/>
      <c r="AH160" s="22" t="e" cm="1">
        <f t="array" ref="AH160">_xlfn.LET(_xlpm.r,_xlfn.XLOOKUP(1,MappingGuide[[#This Row],[API]:[API_3]],'[1]Squirrel SQL Export 1'!$K:$N,[1]!Table1[[#This Row],[Pending Items]]),IF(_xlpm.r=0,"",_xlpm.r))</f>
        <v>#REF!</v>
      </c>
      <c r="AI160" s="22" t="e" cm="1">
        <f t="array" ref="AI160">_xlfn.LET(_xlpm.r,_xlfn.XLOOKUP(1,MappingGuide[[#This Row],[API]:[API_3]],'[1]Squirrel SQL Export 1'!$K:$N,[1]!Table1[[#This Row],[Syndigo Name]]),IF(_xlpm.r=0,"",_xlpm.r))</f>
        <v>#REF!</v>
      </c>
      <c r="AJ160" s="17"/>
    </row>
    <row r="161" spans="1:36" ht="17" hidden="1">
      <c r="A161" s="17">
        <v>159</v>
      </c>
      <c r="B161" s="17" t="s">
        <v>40</v>
      </c>
      <c r="C161" s="17" t="s">
        <v>723</v>
      </c>
      <c r="D161" s="17" t="s">
        <v>724</v>
      </c>
      <c r="E161" s="17" t="s">
        <v>43</v>
      </c>
      <c r="F161" s="17" t="s">
        <v>80</v>
      </c>
      <c r="G161" s="17"/>
      <c r="H161" s="17"/>
      <c r="I161" s="17" t="s">
        <v>57</v>
      </c>
      <c r="J161" s="17" t="s">
        <v>72</v>
      </c>
      <c r="K161" s="17"/>
      <c r="L161" s="17" t="s">
        <v>35</v>
      </c>
      <c r="M161" s="17" t="s">
        <v>73</v>
      </c>
      <c r="N161" s="17" t="s">
        <v>725</v>
      </c>
      <c r="O161" s="17"/>
      <c r="P161" s="17"/>
      <c r="Q161" s="17"/>
      <c r="R161" s="17"/>
      <c r="S161" s="17" t="e" cm="1">
        <f t="array" ref="S161">_xlfn.LET(_xlpm.r,_xlfn.XLOOKUP(1,MappingGuide[[#This Row],[API]:[API_3]],'[1]Squirrel SQL Export 1'!$K:$N,[1]!Table1[[#This Row],[Responsible from HJ]]),IF(_xlpm.r=0,"",_xlpm.r))</f>
        <v>#REF!</v>
      </c>
      <c r="T161" s="17"/>
      <c r="U161" s="17"/>
      <c r="V161" s="17" t="e" cm="1">
        <f t="array" ref="V161">_xlfn.LET(_xlpm.r,_xlfn.XLOOKUP(1,MappingGuide[[#This Row],[API]:[API_3]],'[1]Squirrel SQL Export 1'!$K:$N,[1]!Table1[[#This Row],[MDM Comments]]),IF(_xlpm.r=0,"",_xlpm.r))</f>
        <v>#REF!</v>
      </c>
      <c r="W161" s="17" t="e" cm="1">
        <f t="array" ref="W161">_xlfn.LET(_xlpm.r,_xlfn.XLOOKUP(1,MappingGuide[[#This Row],[API]:[API_3]],'[1]Squirrel SQL Export 1'!$K:$N,[1]!Table1[[#This Row],[Exists In Syndigo?]]),IF(_xlpm.r=0,"",_xlpm.r))</f>
        <v>#REF!</v>
      </c>
      <c r="X161" s="17" t="e" cm="1">
        <f t="array" ref="X161">_xlfn.LET(_xlpm.r,_xlfn.XLOOKUP(1,MappingGuide[[#This Row],[API]:[API_3]],'[1]Squirrel SQL Export 1'!$K:$N,[1]!Table1[[#This Row],[Syndigo Name]]),IF(_xlpm.r=0,"",_xlpm.r))</f>
        <v>#REF!</v>
      </c>
      <c r="Y161" s="17"/>
      <c r="Z161" s="17" t="s">
        <v>726</v>
      </c>
      <c r="AA161" s="17" t="s">
        <v>727</v>
      </c>
      <c r="AB161" s="17"/>
      <c r="AC161" s="17" t="e" cm="1">
        <f t="array" ref="AC161">_xlfn.XLOOKUP(1,MappingGuide[[#This Row],[API]:[API_3]],'[1]Squirrel SQL Export 1'!$K:$N,[1]!Table1[[#This Row],[Doppio Notes2]])</f>
        <v>#REF!</v>
      </c>
      <c r="AD161" s="17"/>
      <c r="AE161" s="17" t="e" cm="1">
        <f t="array" ref="AE161">_xlfn.XLOOKUP(1,MappingGuide[[#This Row],[API]:[API_3]],'[1]Squirrel SQL Export 1'!$K:$N,[1]!Table1[[#This Row],[DG_required]])</f>
        <v>#REF!</v>
      </c>
      <c r="AF161" s="21" t="s">
        <v>1290</v>
      </c>
      <c r="AG161" s="21"/>
      <c r="AH161" s="22" t="e" cm="1">
        <f t="array" ref="AH161">_xlfn.LET(_xlpm.r,_xlfn.XLOOKUP(1,MappingGuide[[#This Row],[API]:[API_3]],'[1]Squirrel SQL Export 1'!$K:$N,[1]!Table1[[#This Row],[Pending Items]]),IF(_xlpm.r=0,"",_xlpm.r))</f>
        <v>#REF!</v>
      </c>
      <c r="AI161" s="22" t="e" cm="1">
        <f t="array" ref="AI161">_xlfn.LET(_xlpm.r,_xlfn.XLOOKUP(1,MappingGuide[[#This Row],[API]:[API_3]],'[1]Squirrel SQL Export 1'!$K:$N,[1]!Table1[[#This Row],[Syndigo Name]]),IF(_xlpm.r=0,"",_xlpm.r))</f>
        <v>#REF!</v>
      </c>
      <c r="AJ161" s="17"/>
    </row>
    <row r="162" spans="1:36" ht="17" hidden="1">
      <c r="A162" s="17">
        <v>160</v>
      </c>
      <c r="B162" s="17" t="s">
        <v>40</v>
      </c>
      <c r="C162" s="17" t="s">
        <v>728</v>
      </c>
      <c r="D162" s="17" t="s">
        <v>729</v>
      </c>
      <c r="E162" s="17" t="s">
        <v>43</v>
      </c>
      <c r="F162" s="17" t="s">
        <v>80</v>
      </c>
      <c r="G162" s="17"/>
      <c r="H162" s="17"/>
      <c r="I162" s="17" t="s">
        <v>57</v>
      </c>
      <c r="J162" s="17" t="s">
        <v>119</v>
      </c>
      <c r="K162" s="17"/>
      <c r="L162" s="17" t="s">
        <v>35</v>
      </c>
      <c r="M162" s="17" t="s">
        <v>73</v>
      </c>
      <c r="N162" s="17" t="s">
        <v>730</v>
      </c>
      <c r="O162" s="17"/>
      <c r="P162" s="17"/>
      <c r="Q162" s="17"/>
      <c r="R162" s="17"/>
      <c r="S162" s="17" t="e" cm="1">
        <f t="array" ref="S162">_xlfn.LET(_xlpm.r,_xlfn.XLOOKUP(1,MappingGuide[[#This Row],[API]:[API_3]],'[1]Squirrel SQL Export 1'!$K:$N,[1]!Table1[[#This Row],[Responsible from HJ]]),IF(_xlpm.r=0,"",_xlpm.r))</f>
        <v>#REF!</v>
      </c>
      <c r="T162" s="17"/>
      <c r="U162" s="17"/>
      <c r="V162" s="17" t="e" cm="1">
        <f t="array" ref="V162">_xlfn.LET(_xlpm.r,_xlfn.XLOOKUP(1,MappingGuide[[#This Row],[API]:[API_3]],'[1]Squirrel SQL Export 1'!$K:$N,[1]!Table1[[#This Row],[MDM Comments]]),IF(_xlpm.r=0,"",_xlpm.r))</f>
        <v>#REF!</v>
      </c>
      <c r="W162" s="17" t="e" cm="1">
        <f t="array" ref="W162">_xlfn.LET(_xlpm.r,_xlfn.XLOOKUP(1,MappingGuide[[#This Row],[API]:[API_3]],'[1]Squirrel SQL Export 1'!$K:$N,[1]!Table1[[#This Row],[Exists In Syndigo?]]),IF(_xlpm.r=0,"",_xlpm.r))</f>
        <v>#REF!</v>
      </c>
      <c r="X162" s="17" t="e" cm="1">
        <f t="array" ref="X162">_xlfn.LET(_xlpm.r,_xlfn.XLOOKUP(1,MappingGuide[[#This Row],[API]:[API_3]],'[1]Squirrel SQL Export 1'!$K:$N,[1]!Table1[[#This Row],[Syndigo Name]]),IF(_xlpm.r=0,"",_xlpm.r))</f>
        <v>#REF!</v>
      </c>
      <c r="Y162" s="17"/>
      <c r="Z162" s="17" t="s">
        <v>731</v>
      </c>
      <c r="AA162" s="17"/>
      <c r="AB162" s="17"/>
      <c r="AC162" s="17" t="e" cm="1">
        <f t="array" ref="AC162">_xlfn.XLOOKUP(1,MappingGuide[[#This Row],[API]:[API_3]],'[1]Squirrel SQL Export 1'!$K:$N,[1]!Table1[[#This Row],[Doppio Notes2]])</f>
        <v>#REF!</v>
      </c>
      <c r="AD162" s="17"/>
      <c r="AE162" s="17" t="e" cm="1">
        <f t="array" ref="AE162">_xlfn.XLOOKUP(1,MappingGuide[[#This Row],[API]:[API_3]],'[1]Squirrel SQL Export 1'!$K:$N,[1]!Table1[[#This Row],[DG_required]])</f>
        <v>#REF!</v>
      </c>
      <c r="AF162" s="21" t="s">
        <v>1290</v>
      </c>
      <c r="AG162" s="21"/>
      <c r="AH162" s="22" t="e" cm="1">
        <f t="array" ref="AH162">_xlfn.LET(_xlpm.r,_xlfn.XLOOKUP(1,MappingGuide[[#This Row],[API]:[API_3]],'[1]Squirrel SQL Export 1'!$K:$N,[1]!Table1[[#This Row],[Pending Items]]),IF(_xlpm.r=0,"",_xlpm.r))</f>
        <v>#REF!</v>
      </c>
      <c r="AI162" s="22" t="e" cm="1">
        <f t="array" ref="AI162">_xlfn.LET(_xlpm.r,_xlfn.XLOOKUP(1,MappingGuide[[#This Row],[API]:[API_3]],'[1]Squirrel SQL Export 1'!$K:$N,[1]!Table1[[#This Row],[Syndigo Name]]),IF(_xlpm.r=0,"",_xlpm.r))</f>
        <v>#REF!</v>
      </c>
      <c r="AJ162" s="17"/>
    </row>
    <row r="163" spans="1:36" ht="17" hidden="1">
      <c r="A163" s="17">
        <v>161</v>
      </c>
      <c r="B163" s="17" t="s">
        <v>40</v>
      </c>
      <c r="C163" s="17" t="s">
        <v>732</v>
      </c>
      <c r="D163" s="17" t="s">
        <v>733</v>
      </c>
      <c r="E163" s="17" t="s">
        <v>43</v>
      </c>
      <c r="F163" s="17" t="s">
        <v>80</v>
      </c>
      <c r="G163" s="17"/>
      <c r="H163" s="17"/>
      <c r="I163" s="17" t="s">
        <v>57</v>
      </c>
      <c r="J163" s="17" t="s">
        <v>124</v>
      </c>
      <c r="K163" s="17"/>
      <c r="L163" s="17" t="s">
        <v>35</v>
      </c>
      <c r="M163" s="17" t="s">
        <v>73</v>
      </c>
      <c r="N163" s="17" t="s">
        <v>734</v>
      </c>
      <c r="O163" s="17"/>
      <c r="P163" s="17"/>
      <c r="Q163" s="17"/>
      <c r="R163" s="17"/>
      <c r="S163" s="17" t="e" cm="1">
        <f t="array" ref="S163">_xlfn.LET(_xlpm.r,_xlfn.XLOOKUP(1,MappingGuide[[#This Row],[API]:[API_3]],'[1]Squirrel SQL Export 1'!$K:$N,[1]!Table1[[#This Row],[Responsible from HJ]]),IF(_xlpm.r=0,"",_xlpm.r))</f>
        <v>#REF!</v>
      </c>
      <c r="T163" s="17"/>
      <c r="U163" s="17"/>
      <c r="V163" s="17" t="e" cm="1">
        <f t="array" ref="V163">_xlfn.LET(_xlpm.r,_xlfn.XLOOKUP(1,MappingGuide[[#This Row],[API]:[API_3]],'[1]Squirrel SQL Export 1'!$K:$N,[1]!Table1[[#This Row],[MDM Comments]]),IF(_xlpm.r=0,"",_xlpm.r))</f>
        <v>#REF!</v>
      </c>
      <c r="W163" s="17" t="e" cm="1">
        <f t="array" ref="W163">_xlfn.LET(_xlpm.r,_xlfn.XLOOKUP(1,MappingGuide[[#This Row],[API]:[API_3]],'[1]Squirrel SQL Export 1'!$K:$N,[1]!Table1[[#This Row],[Exists In Syndigo?]]),IF(_xlpm.r=0,"",_xlpm.r))</f>
        <v>#REF!</v>
      </c>
      <c r="X163" s="17" t="e" cm="1">
        <f t="array" ref="X163">_xlfn.LET(_xlpm.r,_xlfn.XLOOKUP(1,MappingGuide[[#This Row],[API]:[API_3]],'[1]Squirrel SQL Export 1'!$K:$N,[1]!Table1[[#This Row],[Syndigo Name]]),IF(_xlpm.r=0,"",_xlpm.r))</f>
        <v>#REF!</v>
      </c>
      <c r="Y163" s="17"/>
      <c r="Z163" s="17" t="s">
        <v>735</v>
      </c>
      <c r="AA163" s="17"/>
      <c r="AB163" s="17"/>
      <c r="AC163" s="17" t="e" cm="1">
        <f t="array" ref="AC163">_xlfn.XLOOKUP(1,MappingGuide[[#This Row],[API]:[API_3]],'[1]Squirrel SQL Export 1'!$K:$N,[1]!Table1[[#This Row],[Doppio Notes2]])</f>
        <v>#REF!</v>
      </c>
      <c r="AD163" s="17"/>
      <c r="AE163" s="17" t="e" cm="1">
        <f t="array" ref="AE163">_xlfn.XLOOKUP(1,MappingGuide[[#This Row],[API]:[API_3]],'[1]Squirrel SQL Export 1'!$K:$N,[1]!Table1[[#This Row],[DG_required]])</f>
        <v>#REF!</v>
      </c>
      <c r="AF163" s="21" t="s">
        <v>1290</v>
      </c>
      <c r="AG163" s="21"/>
      <c r="AH163" s="22" t="e" cm="1">
        <f t="array" ref="AH163">_xlfn.LET(_xlpm.r,_xlfn.XLOOKUP(1,MappingGuide[[#This Row],[API]:[API_3]],'[1]Squirrel SQL Export 1'!$K:$N,[1]!Table1[[#This Row],[Pending Items]]),IF(_xlpm.r=0,"",_xlpm.r))</f>
        <v>#REF!</v>
      </c>
      <c r="AI163" s="22" t="e" cm="1">
        <f t="array" ref="AI163">_xlfn.LET(_xlpm.r,_xlfn.XLOOKUP(1,MappingGuide[[#This Row],[API]:[API_3]],'[1]Squirrel SQL Export 1'!$K:$N,[1]!Table1[[#This Row],[Syndigo Name]]),IF(_xlpm.r=0,"",_xlpm.r))</f>
        <v>#REF!</v>
      </c>
      <c r="AJ163" s="17"/>
    </row>
    <row r="164" spans="1:36" ht="17" hidden="1">
      <c r="A164" s="17">
        <v>162</v>
      </c>
      <c r="B164" s="17" t="s">
        <v>40</v>
      </c>
      <c r="C164" s="17" t="s">
        <v>736</v>
      </c>
      <c r="D164" s="17" t="s">
        <v>737</v>
      </c>
      <c r="E164" s="17" t="s">
        <v>43</v>
      </c>
      <c r="F164" s="17" t="s">
        <v>80</v>
      </c>
      <c r="G164" s="17"/>
      <c r="H164" s="17"/>
      <c r="I164" s="17" t="s">
        <v>57</v>
      </c>
      <c r="J164" s="17" t="s">
        <v>72</v>
      </c>
      <c r="K164" s="17"/>
      <c r="L164" s="17"/>
      <c r="M164" s="17"/>
      <c r="N164" s="17" t="s">
        <v>738</v>
      </c>
      <c r="O164" s="17"/>
      <c r="P164" s="17"/>
      <c r="Q164" s="17"/>
      <c r="R164" s="17"/>
      <c r="S164" s="17" t="e" cm="1">
        <f t="array" ref="S164">_xlfn.LET(_xlpm.r,_xlfn.XLOOKUP(1,MappingGuide[[#This Row],[API]:[API_3]],'[1]Squirrel SQL Export 1'!$K:$N,[1]!Table1[[#This Row],[Responsible from HJ]]),IF(_xlpm.r=0,"",_xlpm.r))</f>
        <v>#REF!</v>
      </c>
      <c r="T164" s="17"/>
      <c r="U164" s="17"/>
      <c r="V164" s="17" t="e" cm="1">
        <f t="array" ref="V164">_xlfn.LET(_xlpm.r,_xlfn.XLOOKUP(1,MappingGuide[[#This Row],[API]:[API_3]],'[1]Squirrel SQL Export 1'!$K:$N,[1]!Table1[[#This Row],[MDM Comments]]),IF(_xlpm.r=0,"",_xlpm.r))</f>
        <v>#REF!</v>
      </c>
      <c r="W164" s="17" t="e" cm="1">
        <f t="array" ref="W164">_xlfn.LET(_xlpm.r,_xlfn.XLOOKUP(1,MappingGuide[[#This Row],[API]:[API_3]],'[1]Squirrel SQL Export 1'!$K:$N,[1]!Table1[[#This Row],[Exists In Syndigo?]]),IF(_xlpm.r=0,"",_xlpm.r))</f>
        <v>#REF!</v>
      </c>
      <c r="X164" s="17" t="e" cm="1">
        <f t="array" ref="X164">_xlfn.LET(_xlpm.r,_xlfn.XLOOKUP(1,MappingGuide[[#This Row],[API]:[API_3]],'[1]Squirrel SQL Export 1'!$K:$N,[1]!Table1[[#This Row],[Syndigo Name]]),IF(_xlpm.r=0,"",_xlpm.r))</f>
        <v>#REF!</v>
      </c>
      <c r="Y164" s="17"/>
      <c r="Z164" s="17" t="s">
        <v>739</v>
      </c>
      <c r="AA164" s="17"/>
      <c r="AB164" s="17"/>
      <c r="AC164" s="17" t="e" cm="1">
        <f t="array" ref="AC164">_xlfn.XLOOKUP(1,MappingGuide[[#This Row],[API]:[API_3]],'[1]Squirrel SQL Export 1'!$K:$N,[1]!Table1[[#This Row],[Doppio Notes2]])</f>
        <v>#REF!</v>
      </c>
      <c r="AD164" s="17"/>
      <c r="AE164" s="17" t="e" cm="1">
        <f t="array" ref="AE164">_xlfn.XLOOKUP(1,MappingGuide[[#This Row],[API]:[API_3]],'[1]Squirrel SQL Export 1'!$K:$N,[1]!Table1[[#This Row],[DG_required]])</f>
        <v>#REF!</v>
      </c>
      <c r="AF164" s="21" t="s">
        <v>1290</v>
      </c>
      <c r="AG164" s="21"/>
      <c r="AH164" s="22" t="e" cm="1">
        <f t="array" ref="AH164">_xlfn.LET(_xlpm.r,_xlfn.XLOOKUP(1,MappingGuide[[#This Row],[API]:[API_3]],'[1]Squirrel SQL Export 1'!$K:$N,[1]!Table1[[#This Row],[Pending Items]]),IF(_xlpm.r=0,"",_xlpm.r))</f>
        <v>#REF!</v>
      </c>
      <c r="AI164" s="22" t="e" cm="1">
        <f t="array" ref="AI164">_xlfn.LET(_xlpm.r,_xlfn.XLOOKUP(1,MappingGuide[[#This Row],[API]:[API_3]],'[1]Squirrel SQL Export 1'!$K:$N,[1]!Table1[[#This Row],[Syndigo Name]]),IF(_xlpm.r=0,"",_xlpm.r))</f>
        <v>#REF!</v>
      </c>
      <c r="AJ164" s="17"/>
    </row>
    <row r="165" spans="1:36" ht="17" hidden="1">
      <c r="A165" s="17">
        <v>163</v>
      </c>
      <c r="B165" s="17" t="s">
        <v>40</v>
      </c>
      <c r="C165" s="17" t="s">
        <v>740</v>
      </c>
      <c r="D165" s="17" t="s">
        <v>741</v>
      </c>
      <c r="E165" s="17" t="s">
        <v>43</v>
      </c>
      <c r="F165" s="17" t="s">
        <v>80</v>
      </c>
      <c r="G165" s="17"/>
      <c r="H165" s="17"/>
      <c r="I165" s="17" t="s">
        <v>57</v>
      </c>
      <c r="J165" s="17" t="s">
        <v>72</v>
      </c>
      <c r="K165" s="17"/>
      <c r="L165" s="17" t="s">
        <v>35</v>
      </c>
      <c r="M165" s="17" t="s">
        <v>522</v>
      </c>
      <c r="N165" s="17" t="s">
        <v>742</v>
      </c>
      <c r="O165" s="17"/>
      <c r="P165" s="17"/>
      <c r="Q165" s="17"/>
      <c r="R165" s="17"/>
      <c r="S165" s="17" t="e" cm="1">
        <f t="array" ref="S165">_xlfn.LET(_xlpm.r,_xlfn.XLOOKUP(1,MappingGuide[[#This Row],[API]:[API_3]],'[1]Squirrel SQL Export 1'!$K:$N,[1]!Table1[[#This Row],[Responsible from HJ]]),IF(_xlpm.r=0,"",_xlpm.r))</f>
        <v>#REF!</v>
      </c>
      <c r="T165" s="17"/>
      <c r="U165" s="17"/>
      <c r="V165" s="17" t="e" cm="1">
        <f t="array" ref="V165">_xlfn.LET(_xlpm.r,_xlfn.XLOOKUP(1,MappingGuide[[#This Row],[API]:[API_3]],'[1]Squirrel SQL Export 1'!$K:$N,[1]!Table1[[#This Row],[MDM Comments]]),IF(_xlpm.r=0,"",_xlpm.r))</f>
        <v>#REF!</v>
      </c>
      <c r="W165" s="17" t="e" cm="1">
        <f t="array" ref="W165">_xlfn.LET(_xlpm.r,_xlfn.XLOOKUP(1,MappingGuide[[#This Row],[API]:[API_3]],'[1]Squirrel SQL Export 1'!$K:$N,[1]!Table1[[#This Row],[Exists In Syndigo?]]),IF(_xlpm.r=0,"",_xlpm.r))</f>
        <v>#REF!</v>
      </c>
      <c r="X165" s="17" t="e" cm="1">
        <f t="array" ref="X165">_xlfn.LET(_xlpm.r,_xlfn.XLOOKUP(1,MappingGuide[[#This Row],[API]:[API_3]],'[1]Squirrel SQL Export 1'!$K:$N,[1]!Table1[[#This Row],[Syndigo Name]]),IF(_xlpm.r=0,"",_xlpm.r))</f>
        <v>#REF!</v>
      </c>
      <c r="Y165" s="17"/>
      <c r="Z165" s="17" t="s">
        <v>743</v>
      </c>
      <c r="AA165" s="17"/>
      <c r="AB165" s="17"/>
      <c r="AC165" s="17" t="e" cm="1">
        <f t="array" ref="AC165">_xlfn.XLOOKUP(1,MappingGuide[[#This Row],[API]:[API_3]],'[1]Squirrel SQL Export 1'!$K:$N,[1]!Table1[[#This Row],[Doppio Notes2]])</f>
        <v>#REF!</v>
      </c>
      <c r="AD165" s="17"/>
      <c r="AE165" s="17" t="e" cm="1">
        <f t="array" ref="AE165">_xlfn.XLOOKUP(1,MappingGuide[[#This Row],[API]:[API_3]],'[1]Squirrel SQL Export 1'!$K:$N,[1]!Table1[[#This Row],[DG_required]])</f>
        <v>#REF!</v>
      </c>
      <c r="AF165" s="21" t="s">
        <v>1290</v>
      </c>
      <c r="AG165" s="21"/>
      <c r="AH165" s="22" t="e" cm="1">
        <f t="array" ref="AH165">_xlfn.LET(_xlpm.r,_xlfn.XLOOKUP(1,MappingGuide[[#This Row],[API]:[API_3]],'[1]Squirrel SQL Export 1'!$K:$N,[1]!Table1[[#This Row],[Pending Items]]),IF(_xlpm.r=0,"",_xlpm.r))</f>
        <v>#REF!</v>
      </c>
      <c r="AI165" s="22" t="e" cm="1">
        <f t="array" ref="AI165">_xlfn.LET(_xlpm.r,_xlfn.XLOOKUP(1,MappingGuide[[#This Row],[API]:[API_3]],'[1]Squirrel SQL Export 1'!$K:$N,[1]!Table1[[#This Row],[Syndigo Name]]),IF(_xlpm.r=0,"",_xlpm.r))</f>
        <v>#REF!</v>
      </c>
      <c r="AJ165" s="17"/>
    </row>
    <row r="166" spans="1:36" ht="17" hidden="1">
      <c r="A166" s="17">
        <v>164</v>
      </c>
      <c r="B166" s="17" t="s">
        <v>40</v>
      </c>
      <c r="C166" s="17" t="s">
        <v>744</v>
      </c>
      <c r="D166" s="17" t="s">
        <v>745</v>
      </c>
      <c r="E166" s="17" t="s">
        <v>43</v>
      </c>
      <c r="F166" s="17" t="s">
        <v>56</v>
      </c>
      <c r="G166" s="17"/>
      <c r="H166" s="17"/>
      <c r="I166" s="17" t="s">
        <v>57</v>
      </c>
      <c r="J166" s="17" t="s">
        <v>72</v>
      </c>
      <c r="K166" s="17"/>
      <c r="L166" s="17" t="s">
        <v>35</v>
      </c>
      <c r="M166" s="17" t="s">
        <v>73</v>
      </c>
      <c r="N166" s="17" t="s">
        <v>746</v>
      </c>
      <c r="O166" s="17"/>
      <c r="P166" s="17"/>
      <c r="Q166" s="17"/>
      <c r="R166" s="17"/>
      <c r="S166" s="17" t="e" cm="1">
        <f t="array" ref="S166">_xlfn.LET(_xlpm.r,_xlfn.XLOOKUP(1,MappingGuide[[#This Row],[API]:[API_3]],'[1]Squirrel SQL Export 1'!$K:$N,[1]!Table1[[#This Row],[Responsible from HJ]]),IF(_xlpm.r=0,"",_xlpm.r))</f>
        <v>#REF!</v>
      </c>
      <c r="T166" s="17"/>
      <c r="U166" s="17"/>
      <c r="V166" s="17" t="e" cm="1">
        <f t="array" ref="V166">_xlfn.LET(_xlpm.r,_xlfn.XLOOKUP(1,MappingGuide[[#This Row],[API]:[API_3]],'[1]Squirrel SQL Export 1'!$K:$N,[1]!Table1[[#This Row],[MDM Comments]]),IF(_xlpm.r=0,"",_xlpm.r))</f>
        <v>#REF!</v>
      </c>
      <c r="W166" s="17" t="e" cm="1">
        <f t="array" ref="W166">_xlfn.LET(_xlpm.r,_xlfn.XLOOKUP(1,MappingGuide[[#This Row],[API]:[API_3]],'[1]Squirrel SQL Export 1'!$K:$N,[1]!Table1[[#This Row],[Exists In Syndigo?]]),IF(_xlpm.r=0,"",_xlpm.r))</f>
        <v>#REF!</v>
      </c>
      <c r="X166" s="17" t="e" cm="1">
        <f t="array" ref="X166">_xlfn.LET(_xlpm.r,_xlfn.XLOOKUP(1,MappingGuide[[#This Row],[API]:[API_3]],'[1]Squirrel SQL Export 1'!$K:$N,[1]!Table1[[#This Row],[Syndigo Name]]),IF(_xlpm.r=0,"",_xlpm.r))</f>
        <v>#REF!</v>
      </c>
      <c r="Y166" s="17"/>
      <c r="Z166" s="17" t="s">
        <v>747</v>
      </c>
      <c r="AA166" s="17" t="s">
        <v>748</v>
      </c>
      <c r="AB166" s="17"/>
      <c r="AC166" s="17" t="e" cm="1">
        <f t="array" ref="AC166">_xlfn.XLOOKUP(1,MappingGuide[[#This Row],[API]:[API_3]],'[1]Squirrel SQL Export 1'!$K:$N,[1]!Table1[[#This Row],[Doppio Notes2]])</f>
        <v>#REF!</v>
      </c>
      <c r="AD166" s="17"/>
      <c r="AE166" s="17" t="e" cm="1">
        <f t="array" ref="AE166">_xlfn.XLOOKUP(1,MappingGuide[[#This Row],[API]:[API_3]],'[1]Squirrel SQL Export 1'!$K:$N,[1]!Table1[[#This Row],[DG_required]])</f>
        <v>#REF!</v>
      </c>
      <c r="AF166" s="21" t="s">
        <v>1290</v>
      </c>
      <c r="AG166" s="21"/>
      <c r="AH166" s="22" t="e" cm="1">
        <f t="array" ref="AH166">_xlfn.LET(_xlpm.r,_xlfn.XLOOKUP(1,MappingGuide[[#This Row],[API]:[API_3]],'[1]Squirrel SQL Export 1'!$K:$N,[1]!Table1[[#This Row],[Pending Items]]),IF(_xlpm.r=0,"",_xlpm.r))</f>
        <v>#REF!</v>
      </c>
      <c r="AI166" s="22" t="e" cm="1">
        <f t="array" ref="AI166">_xlfn.LET(_xlpm.r,_xlfn.XLOOKUP(1,MappingGuide[[#This Row],[API]:[API_3]],'[1]Squirrel SQL Export 1'!$K:$N,[1]!Table1[[#This Row],[Syndigo Name]]),IF(_xlpm.r=0,"",_xlpm.r))</f>
        <v>#REF!</v>
      </c>
      <c r="AJ166" s="17"/>
    </row>
    <row r="167" spans="1:36" ht="17" hidden="1">
      <c r="A167" s="17">
        <v>165</v>
      </c>
      <c r="B167" s="17" t="s">
        <v>40</v>
      </c>
      <c r="C167" s="17" t="s">
        <v>749</v>
      </c>
      <c r="D167" s="17" t="s">
        <v>750</v>
      </c>
      <c r="E167" s="17" t="s">
        <v>33</v>
      </c>
      <c r="F167" s="17" t="s">
        <v>157</v>
      </c>
      <c r="G167" s="17"/>
      <c r="H167" s="17"/>
      <c r="I167" s="17" t="s">
        <v>57</v>
      </c>
      <c r="J167" s="17" t="s">
        <v>72</v>
      </c>
      <c r="K167" s="17"/>
      <c r="L167" s="17" t="s">
        <v>35</v>
      </c>
      <c r="M167" s="17" t="s">
        <v>73</v>
      </c>
      <c r="N167" s="17" t="s">
        <v>751</v>
      </c>
      <c r="O167" s="17"/>
      <c r="P167" s="17"/>
      <c r="Q167" s="17"/>
      <c r="R167" s="17"/>
      <c r="S167" s="17" t="e" cm="1">
        <f t="array" ref="S167">_xlfn.LET(_xlpm.r,_xlfn.XLOOKUP(1,MappingGuide[[#This Row],[API]:[API_3]],'[1]Squirrel SQL Export 1'!$K:$N,[1]!Table1[[#This Row],[Responsible from HJ]]),IF(_xlpm.r=0,"",_xlpm.r))</f>
        <v>#REF!</v>
      </c>
      <c r="T167" s="17"/>
      <c r="U167" s="17"/>
      <c r="V167" s="17" t="e" cm="1">
        <f t="array" ref="V167">_xlfn.LET(_xlpm.r,_xlfn.XLOOKUP(1,MappingGuide[[#This Row],[API]:[API_3]],'[1]Squirrel SQL Export 1'!$K:$N,[1]!Table1[[#This Row],[MDM Comments]]),IF(_xlpm.r=0,"",_xlpm.r))</f>
        <v>#REF!</v>
      </c>
      <c r="W167" s="17" t="e" cm="1">
        <f t="array" ref="W167">_xlfn.LET(_xlpm.r,_xlfn.XLOOKUP(1,MappingGuide[[#This Row],[API]:[API_3]],'[1]Squirrel SQL Export 1'!$K:$N,[1]!Table1[[#This Row],[Exists In Syndigo?]]),IF(_xlpm.r=0,"",_xlpm.r))</f>
        <v>#REF!</v>
      </c>
      <c r="X167" s="17" t="e" cm="1">
        <f t="array" ref="X167">_xlfn.LET(_xlpm.r,_xlfn.XLOOKUP(1,MappingGuide[[#This Row],[API]:[API_3]],'[1]Squirrel SQL Export 1'!$K:$N,[1]!Table1[[#This Row],[Syndigo Name]]),IF(_xlpm.r=0,"",_xlpm.r))</f>
        <v>#REF!</v>
      </c>
      <c r="Y167" s="17"/>
      <c r="Z167" s="17" t="s">
        <v>752</v>
      </c>
      <c r="AA167" s="17"/>
      <c r="AB167" s="17"/>
      <c r="AC167" s="17" t="e" cm="1">
        <f t="array" ref="AC167">_xlfn.XLOOKUP(1,MappingGuide[[#This Row],[API]:[API_3]],'[1]Squirrel SQL Export 1'!$K:$N,[1]!Table1[[#This Row],[Doppio Notes2]])</f>
        <v>#REF!</v>
      </c>
      <c r="AD167" s="17"/>
      <c r="AE167" s="17" t="e" cm="1">
        <f t="array" ref="AE167">_xlfn.XLOOKUP(1,MappingGuide[[#This Row],[API]:[API_3]],'[1]Squirrel SQL Export 1'!$K:$N,[1]!Table1[[#This Row],[DG_required]])</f>
        <v>#REF!</v>
      </c>
      <c r="AF167" s="21" t="s">
        <v>1306</v>
      </c>
      <c r="AG167" s="21"/>
      <c r="AH167" s="22" t="e" cm="1">
        <f t="array" ref="AH167">_xlfn.LET(_xlpm.r,_xlfn.XLOOKUP(1,MappingGuide[[#This Row],[API]:[API_3]],'[1]Squirrel SQL Export 1'!$K:$N,[1]!Table1[[#This Row],[Pending Items]]),IF(_xlpm.r=0,"",_xlpm.r))</f>
        <v>#REF!</v>
      </c>
      <c r="AI167" s="22" t="e" cm="1">
        <f t="array" ref="AI167">_xlfn.LET(_xlpm.r,_xlfn.XLOOKUP(1,MappingGuide[[#This Row],[API]:[API_3]],'[1]Squirrel SQL Export 1'!$K:$N,[1]!Table1[[#This Row],[Syndigo Name]]),IF(_xlpm.r=0,"",_xlpm.r))</f>
        <v>#REF!</v>
      </c>
      <c r="AJ167" s="17"/>
    </row>
    <row r="168" spans="1:36" ht="17" hidden="1">
      <c r="A168" s="17">
        <v>166</v>
      </c>
      <c r="B168" s="17" t="s">
        <v>40</v>
      </c>
      <c r="C168" s="17" t="s">
        <v>753</v>
      </c>
      <c r="D168" s="17" t="s">
        <v>363</v>
      </c>
      <c r="E168" s="17" t="s">
        <v>43</v>
      </c>
      <c r="F168" s="17" t="s">
        <v>80</v>
      </c>
      <c r="G168" s="17"/>
      <c r="H168" s="17"/>
      <c r="I168" s="17"/>
      <c r="J168" s="17"/>
      <c r="K168" s="17"/>
      <c r="L168" s="17"/>
      <c r="M168" s="17"/>
      <c r="N168" s="17" t="s">
        <v>754</v>
      </c>
      <c r="O168" s="17"/>
      <c r="P168" s="17"/>
      <c r="Q168" s="17"/>
      <c r="R168" s="17"/>
      <c r="S168" s="17" t="e" cm="1">
        <f t="array" ref="S168">_xlfn.LET(_xlpm.r,_xlfn.XLOOKUP(1,MappingGuide[[#This Row],[API]:[API_3]],'[1]Squirrel SQL Export 1'!$K:$N,[1]!Table1[[#This Row],[Responsible from HJ]]),IF(_xlpm.r=0,"",_xlpm.r))</f>
        <v>#REF!</v>
      </c>
      <c r="T168" s="17"/>
      <c r="U168" s="17"/>
      <c r="V168" s="17" t="e" cm="1">
        <f t="array" ref="V168">_xlfn.LET(_xlpm.r,_xlfn.XLOOKUP(1,MappingGuide[[#This Row],[API]:[API_3]],'[1]Squirrel SQL Export 1'!$K:$N,[1]!Table1[[#This Row],[MDM Comments]]),IF(_xlpm.r=0,"",_xlpm.r))</f>
        <v>#REF!</v>
      </c>
      <c r="W168" s="17" t="e" cm="1">
        <f t="array" ref="W168">_xlfn.LET(_xlpm.r,_xlfn.XLOOKUP(1,MappingGuide[[#This Row],[API]:[API_3]],'[1]Squirrel SQL Export 1'!$K:$N,[1]!Table1[[#This Row],[Exists In Syndigo?]]),IF(_xlpm.r=0,"",_xlpm.r))</f>
        <v>#REF!</v>
      </c>
      <c r="X168" s="17" t="e" cm="1">
        <f t="array" ref="X168">_xlfn.LET(_xlpm.r,_xlfn.XLOOKUP(1,MappingGuide[[#This Row],[API]:[API_3]],'[1]Squirrel SQL Export 1'!$K:$N,[1]!Table1[[#This Row],[Syndigo Name]]),IF(_xlpm.r=0,"",_xlpm.r))</f>
        <v>#REF!</v>
      </c>
      <c r="Y168" s="17"/>
      <c r="Z168" s="17"/>
      <c r="AA168" s="17"/>
      <c r="AB168" s="17"/>
      <c r="AC168" s="17" t="e" cm="1">
        <f t="array" ref="AC168">_xlfn.XLOOKUP(1,MappingGuide[[#This Row],[API]:[API_3]],'[1]Squirrel SQL Export 1'!$K:$N,[1]!Table1[[#This Row],[Doppio Notes2]])</f>
        <v>#REF!</v>
      </c>
      <c r="AD168" s="17"/>
      <c r="AE168" s="17" t="e" cm="1">
        <f t="array" ref="AE168">_xlfn.XLOOKUP(1,MappingGuide[[#This Row],[API]:[API_3]],'[1]Squirrel SQL Export 1'!$K:$N,[1]!Table1[[#This Row],[DG_required]])</f>
        <v>#REF!</v>
      </c>
      <c r="AF168" s="21" t="s">
        <v>1290</v>
      </c>
      <c r="AG168" s="21"/>
      <c r="AH168" s="22" t="e" cm="1">
        <f t="array" ref="AH168">_xlfn.LET(_xlpm.r,_xlfn.XLOOKUP(1,MappingGuide[[#This Row],[API]:[API_3]],'[1]Squirrel SQL Export 1'!$K:$N,[1]!Table1[[#This Row],[Pending Items]]),IF(_xlpm.r=0,"",_xlpm.r))</f>
        <v>#REF!</v>
      </c>
      <c r="AI168" s="22" t="e" cm="1">
        <f t="array" ref="AI168">_xlfn.LET(_xlpm.r,_xlfn.XLOOKUP(1,MappingGuide[[#This Row],[API]:[API_3]],'[1]Squirrel SQL Export 1'!$K:$N,[1]!Table1[[#This Row],[Syndigo Name]]),IF(_xlpm.r=0,"",_xlpm.r))</f>
        <v>#REF!</v>
      </c>
      <c r="AJ168" s="17"/>
    </row>
    <row r="169" spans="1:36" ht="17" hidden="1">
      <c r="A169" s="17">
        <v>167</v>
      </c>
      <c r="B169" s="17" t="s">
        <v>40</v>
      </c>
      <c r="C169" s="17" t="s">
        <v>755</v>
      </c>
      <c r="D169" s="17" t="s">
        <v>756</v>
      </c>
      <c r="E169" s="17" t="s">
        <v>33</v>
      </c>
      <c r="F169" s="17" t="s">
        <v>34</v>
      </c>
      <c r="G169" s="17"/>
      <c r="H169" s="17"/>
      <c r="I169" s="17"/>
      <c r="J169" s="17"/>
      <c r="K169" s="17"/>
      <c r="L169" s="17" t="s">
        <v>35</v>
      </c>
      <c r="M169" s="17" t="s">
        <v>677</v>
      </c>
      <c r="N169" s="17" t="s">
        <v>757</v>
      </c>
      <c r="O169" s="17"/>
      <c r="P169" s="17"/>
      <c r="Q169" s="17"/>
      <c r="R169" s="17"/>
      <c r="S169" s="17" t="e" cm="1">
        <f t="array" ref="S169">_xlfn.LET(_xlpm.r,_xlfn.XLOOKUP(1,MappingGuide[[#This Row],[API]:[API_3]],'[1]Squirrel SQL Export 1'!$K:$N,[1]!Table1[[#This Row],[Responsible from HJ]]),IF(_xlpm.r=0,"",_xlpm.r))</f>
        <v>#REF!</v>
      </c>
      <c r="T169" s="17"/>
      <c r="U169" s="17"/>
      <c r="V169" s="17" t="e" cm="1">
        <f t="array" ref="V169">_xlfn.LET(_xlpm.r,_xlfn.XLOOKUP(1,MappingGuide[[#This Row],[API]:[API_3]],'[1]Squirrel SQL Export 1'!$K:$N,[1]!Table1[[#This Row],[MDM Comments]]),IF(_xlpm.r=0,"",_xlpm.r))</f>
        <v>#REF!</v>
      </c>
      <c r="W169" s="17" t="e" cm="1">
        <f t="array" ref="W169">_xlfn.LET(_xlpm.r,_xlfn.XLOOKUP(1,MappingGuide[[#This Row],[API]:[API_3]],'[1]Squirrel SQL Export 1'!$K:$N,[1]!Table1[[#This Row],[Exists In Syndigo?]]),IF(_xlpm.r=0,"",_xlpm.r))</f>
        <v>#REF!</v>
      </c>
      <c r="X169" s="17" t="e" cm="1">
        <f t="array" ref="X169">_xlfn.LET(_xlpm.r,_xlfn.XLOOKUP(1,MappingGuide[[#This Row],[API]:[API_3]],'[1]Squirrel SQL Export 1'!$K:$N,[1]!Table1[[#This Row],[Syndigo Name]]),IF(_xlpm.r=0,"",_xlpm.r))</f>
        <v>#REF!</v>
      </c>
      <c r="Y169" s="17"/>
      <c r="Z169" s="17" t="s">
        <v>758</v>
      </c>
      <c r="AA169" s="17"/>
      <c r="AB169" s="17"/>
      <c r="AC169" s="17" t="e" cm="1">
        <f t="array" ref="AC169">_xlfn.XLOOKUP(1,MappingGuide[[#This Row],[API]:[API_3]],'[1]Squirrel SQL Export 1'!$K:$N,[1]!Table1[[#This Row],[Doppio Notes2]])</f>
        <v>#REF!</v>
      </c>
      <c r="AD169" s="17"/>
      <c r="AE169" s="17" t="e" cm="1">
        <f t="array" ref="AE169">_xlfn.XLOOKUP(1,MappingGuide[[#This Row],[API]:[API_3]],'[1]Squirrel SQL Export 1'!$K:$N,[1]!Table1[[#This Row],[DG_required]])</f>
        <v>#REF!</v>
      </c>
      <c r="AF169" s="21" t="s">
        <v>1306</v>
      </c>
      <c r="AG169" s="21"/>
      <c r="AH169" s="22" t="e" cm="1">
        <f t="array" ref="AH169">_xlfn.LET(_xlpm.r,_xlfn.XLOOKUP(1,MappingGuide[[#This Row],[API]:[API_3]],'[1]Squirrel SQL Export 1'!$K:$N,[1]!Table1[[#This Row],[Pending Items]]),IF(_xlpm.r=0,"",_xlpm.r))</f>
        <v>#REF!</v>
      </c>
      <c r="AI169" s="22" t="e" cm="1">
        <f t="array" ref="AI169">_xlfn.LET(_xlpm.r,_xlfn.XLOOKUP(1,MappingGuide[[#This Row],[API]:[API_3]],'[1]Squirrel SQL Export 1'!$K:$N,[1]!Table1[[#This Row],[Syndigo Name]]),IF(_xlpm.r=0,"",_xlpm.r))</f>
        <v>#REF!</v>
      </c>
      <c r="AJ169" s="17"/>
    </row>
    <row r="170" spans="1:36" ht="17" hidden="1">
      <c r="A170" s="17">
        <v>168</v>
      </c>
      <c r="B170" s="17" t="s">
        <v>40</v>
      </c>
      <c r="C170" s="17" t="s">
        <v>759</v>
      </c>
      <c r="D170" s="17" t="s">
        <v>760</v>
      </c>
      <c r="E170" s="17" t="s">
        <v>33</v>
      </c>
      <c r="F170" s="17" t="s">
        <v>34</v>
      </c>
      <c r="G170" s="17"/>
      <c r="H170" s="17"/>
      <c r="I170" s="17"/>
      <c r="J170" s="17"/>
      <c r="K170" s="17"/>
      <c r="L170" s="17" t="s">
        <v>35</v>
      </c>
      <c r="M170" s="17" t="s">
        <v>677</v>
      </c>
      <c r="N170" s="17" t="s">
        <v>761</v>
      </c>
      <c r="O170" s="17"/>
      <c r="P170" s="17"/>
      <c r="Q170" s="17"/>
      <c r="R170" s="17"/>
      <c r="S170" s="17" t="e" cm="1">
        <f t="array" ref="S170">_xlfn.LET(_xlpm.r,_xlfn.XLOOKUP(1,MappingGuide[[#This Row],[API]:[API_3]],'[1]Squirrel SQL Export 1'!$K:$N,[1]!Table1[[#This Row],[Responsible from HJ]]),IF(_xlpm.r=0,"",_xlpm.r))</f>
        <v>#REF!</v>
      </c>
      <c r="T170" s="17"/>
      <c r="U170" s="17"/>
      <c r="V170" s="17" t="e" cm="1">
        <f t="array" ref="V170">_xlfn.LET(_xlpm.r,_xlfn.XLOOKUP(1,MappingGuide[[#This Row],[API]:[API_3]],'[1]Squirrel SQL Export 1'!$K:$N,[1]!Table1[[#This Row],[MDM Comments]]),IF(_xlpm.r=0,"",_xlpm.r))</f>
        <v>#REF!</v>
      </c>
      <c r="W170" s="17" t="e" cm="1">
        <f t="array" ref="W170">_xlfn.LET(_xlpm.r,_xlfn.XLOOKUP(1,MappingGuide[[#This Row],[API]:[API_3]],'[1]Squirrel SQL Export 1'!$K:$N,[1]!Table1[[#This Row],[Exists In Syndigo?]]),IF(_xlpm.r=0,"",_xlpm.r))</f>
        <v>#REF!</v>
      </c>
      <c r="X170" s="17" t="e" cm="1">
        <f t="array" ref="X170">_xlfn.LET(_xlpm.r,_xlfn.XLOOKUP(1,MappingGuide[[#This Row],[API]:[API_3]],'[1]Squirrel SQL Export 1'!$K:$N,[1]!Table1[[#This Row],[Syndigo Name]]),IF(_xlpm.r=0,"",_xlpm.r))</f>
        <v>#REF!</v>
      </c>
      <c r="Y170" s="17"/>
      <c r="Z170" s="17" t="s">
        <v>758</v>
      </c>
      <c r="AA170" s="17"/>
      <c r="AB170" s="17"/>
      <c r="AC170" s="17" t="e" cm="1">
        <f t="array" ref="AC170">_xlfn.XLOOKUP(1,MappingGuide[[#This Row],[API]:[API_3]],'[1]Squirrel SQL Export 1'!$K:$N,[1]!Table1[[#This Row],[Doppio Notes2]])</f>
        <v>#REF!</v>
      </c>
      <c r="AD170" s="17"/>
      <c r="AE170" s="17" t="e" cm="1">
        <f t="array" ref="AE170">_xlfn.XLOOKUP(1,MappingGuide[[#This Row],[API]:[API_3]],'[1]Squirrel SQL Export 1'!$K:$N,[1]!Table1[[#This Row],[DG_required]])</f>
        <v>#REF!</v>
      </c>
      <c r="AF170" s="21" t="s">
        <v>1306</v>
      </c>
      <c r="AG170" s="21"/>
      <c r="AH170" s="22" t="e" cm="1">
        <f t="array" ref="AH170">_xlfn.LET(_xlpm.r,_xlfn.XLOOKUP(1,MappingGuide[[#This Row],[API]:[API_3]],'[1]Squirrel SQL Export 1'!$K:$N,[1]!Table1[[#This Row],[Pending Items]]),IF(_xlpm.r=0,"",_xlpm.r))</f>
        <v>#REF!</v>
      </c>
      <c r="AI170" s="22" t="e" cm="1">
        <f t="array" ref="AI170">_xlfn.LET(_xlpm.r,_xlfn.XLOOKUP(1,MappingGuide[[#This Row],[API]:[API_3]],'[1]Squirrel SQL Export 1'!$K:$N,[1]!Table1[[#This Row],[Syndigo Name]]),IF(_xlpm.r=0,"",_xlpm.r))</f>
        <v>#REF!</v>
      </c>
      <c r="AJ170" s="17"/>
    </row>
    <row r="171" spans="1:36" ht="17" hidden="1">
      <c r="A171" s="17">
        <v>169</v>
      </c>
      <c r="B171" s="17" t="s">
        <v>40</v>
      </c>
      <c r="C171" s="17" t="s">
        <v>762</v>
      </c>
      <c r="D171" s="17" t="s">
        <v>763</v>
      </c>
      <c r="E171" s="17" t="s">
        <v>33</v>
      </c>
      <c r="F171" s="17" t="s">
        <v>34</v>
      </c>
      <c r="G171" s="17"/>
      <c r="H171" s="17"/>
      <c r="I171" s="17"/>
      <c r="J171" s="17"/>
      <c r="K171" s="17"/>
      <c r="L171" s="17" t="s">
        <v>35</v>
      </c>
      <c r="M171" s="17" t="s">
        <v>677</v>
      </c>
      <c r="N171" s="17" t="s">
        <v>764</v>
      </c>
      <c r="O171" s="17"/>
      <c r="P171" s="17"/>
      <c r="Q171" s="17"/>
      <c r="R171" s="17"/>
      <c r="S171" s="17" t="e" cm="1">
        <f t="array" ref="S171">_xlfn.LET(_xlpm.r,_xlfn.XLOOKUP(1,MappingGuide[[#This Row],[API]:[API_3]],'[1]Squirrel SQL Export 1'!$K:$N,[1]!Table1[[#This Row],[Responsible from HJ]]),IF(_xlpm.r=0,"",_xlpm.r))</f>
        <v>#REF!</v>
      </c>
      <c r="T171" s="17"/>
      <c r="U171" s="17"/>
      <c r="V171" s="17" t="e" cm="1">
        <f t="array" ref="V171">_xlfn.LET(_xlpm.r,_xlfn.XLOOKUP(1,MappingGuide[[#This Row],[API]:[API_3]],'[1]Squirrel SQL Export 1'!$K:$N,[1]!Table1[[#This Row],[MDM Comments]]),IF(_xlpm.r=0,"",_xlpm.r))</f>
        <v>#REF!</v>
      </c>
      <c r="W171" s="17" t="e" cm="1">
        <f t="array" ref="W171">_xlfn.LET(_xlpm.r,_xlfn.XLOOKUP(1,MappingGuide[[#This Row],[API]:[API_3]],'[1]Squirrel SQL Export 1'!$K:$N,[1]!Table1[[#This Row],[Exists In Syndigo?]]),IF(_xlpm.r=0,"",_xlpm.r))</f>
        <v>#REF!</v>
      </c>
      <c r="X171" s="17" t="e" cm="1">
        <f t="array" ref="X171">_xlfn.LET(_xlpm.r,_xlfn.XLOOKUP(1,MappingGuide[[#This Row],[API]:[API_3]],'[1]Squirrel SQL Export 1'!$K:$N,[1]!Table1[[#This Row],[Syndigo Name]]),IF(_xlpm.r=0,"",_xlpm.r))</f>
        <v>#REF!</v>
      </c>
      <c r="Y171" s="17"/>
      <c r="Z171" s="17" t="s">
        <v>758</v>
      </c>
      <c r="AA171" s="17"/>
      <c r="AB171" s="17"/>
      <c r="AC171" s="17" t="e" cm="1">
        <f t="array" ref="AC171">_xlfn.XLOOKUP(1,MappingGuide[[#This Row],[API]:[API_3]],'[1]Squirrel SQL Export 1'!$K:$N,[1]!Table1[[#This Row],[Doppio Notes2]])</f>
        <v>#REF!</v>
      </c>
      <c r="AD171" s="17"/>
      <c r="AE171" s="17" t="e" cm="1">
        <f t="array" ref="AE171">_xlfn.XLOOKUP(1,MappingGuide[[#This Row],[API]:[API_3]],'[1]Squirrel SQL Export 1'!$K:$N,[1]!Table1[[#This Row],[DG_required]])</f>
        <v>#REF!</v>
      </c>
      <c r="AF171" s="21" t="s">
        <v>1306</v>
      </c>
      <c r="AG171" s="21"/>
      <c r="AH171" s="22" t="e" cm="1">
        <f t="array" ref="AH171">_xlfn.LET(_xlpm.r,_xlfn.XLOOKUP(1,MappingGuide[[#This Row],[API]:[API_3]],'[1]Squirrel SQL Export 1'!$K:$N,[1]!Table1[[#This Row],[Pending Items]]),IF(_xlpm.r=0,"",_xlpm.r))</f>
        <v>#REF!</v>
      </c>
      <c r="AI171" s="22" t="e" cm="1">
        <f t="array" ref="AI171">_xlfn.LET(_xlpm.r,_xlfn.XLOOKUP(1,MappingGuide[[#This Row],[API]:[API_3]],'[1]Squirrel SQL Export 1'!$K:$N,[1]!Table1[[#This Row],[Syndigo Name]]),IF(_xlpm.r=0,"",_xlpm.r))</f>
        <v>#REF!</v>
      </c>
      <c r="AJ171" s="17"/>
    </row>
    <row r="172" spans="1:36" ht="17" hidden="1">
      <c r="A172" s="17">
        <v>170</v>
      </c>
      <c r="B172" s="17" t="s">
        <v>40</v>
      </c>
      <c r="C172" s="17" t="s">
        <v>765</v>
      </c>
      <c r="D172" s="17" t="s">
        <v>766</v>
      </c>
      <c r="E172" s="17" t="s">
        <v>33</v>
      </c>
      <c r="F172" s="17" t="s">
        <v>34</v>
      </c>
      <c r="G172" s="17"/>
      <c r="H172" s="17"/>
      <c r="I172" s="17"/>
      <c r="J172" s="17"/>
      <c r="K172" s="17"/>
      <c r="L172" s="17" t="s">
        <v>35</v>
      </c>
      <c r="M172" s="17" t="s">
        <v>677</v>
      </c>
      <c r="N172" s="17" t="s">
        <v>767</v>
      </c>
      <c r="O172" s="17"/>
      <c r="P172" s="17"/>
      <c r="Q172" s="17"/>
      <c r="R172" s="17"/>
      <c r="S172" s="17" t="e" cm="1">
        <f t="array" ref="S172">_xlfn.LET(_xlpm.r,_xlfn.XLOOKUP(1,MappingGuide[[#This Row],[API]:[API_3]],'[1]Squirrel SQL Export 1'!$K:$N,[1]!Table1[[#This Row],[Responsible from HJ]]),IF(_xlpm.r=0,"",_xlpm.r))</f>
        <v>#REF!</v>
      </c>
      <c r="T172" s="17"/>
      <c r="U172" s="17"/>
      <c r="V172" s="17" t="e" cm="1">
        <f t="array" ref="V172">_xlfn.LET(_xlpm.r,_xlfn.XLOOKUP(1,MappingGuide[[#This Row],[API]:[API_3]],'[1]Squirrel SQL Export 1'!$K:$N,[1]!Table1[[#This Row],[MDM Comments]]),IF(_xlpm.r=0,"",_xlpm.r))</f>
        <v>#REF!</v>
      </c>
      <c r="W172" s="17" t="e" cm="1">
        <f t="array" ref="W172">_xlfn.LET(_xlpm.r,_xlfn.XLOOKUP(1,MappingGuide[[#This Row],[API]:[API_3]],'[1]Squirrel SQL Export 1'!$K:$N,[1]!Table1[[#This Row],[Exists In Syndigo?]]),IF(_xlpm.r=0,"",_xlpm.r))</f>
        <v>#REF!</v>
      </c>
      <c r="X172" s="17" t="e" cm="1">
        <f t="array" ref="X172">_xlfn.LET(_xlpm.r,_xlfn.XLOOKUP(1,MappingGuide[[#This Row],[API]:[API_3]],'[1]Squirrel SQL Export 1'!$K:$N,[1]!Table1[[#This Row],[Syndigo Name]]),IF(_xlpm.r=0,"",_xlpm.r))</f>
        <v>#REF!</v>
      </c>
      <c r="Y172" s="17"/>
      <c r="Z172" s="17" t="s">
        <v>758</v>
      </c>
      <c r="AA172" s="17"/>
      <c r="AB172" s="17"/>
      <c r="AC172" s="17" t="e" cm="1">
        <f t="array" ref="AC172">_xlfn.XLOOKUP(1,MappingGuide[[#This Row],[API]:[API_3]],'[1]Squirrel SQL Export 1'!$K:$N,[1]!Table1[[#This Row],[Doppio Notes2]])</f>
        <v>#REF!</v>
      </c>
      <c r="AD172" s="17"/>
      <c r="AE172" s="17" t="e" cm="1">
        <f t="array" ref="AE172">_xlfn.XLOOKUP(1,MappingGuide[[#This Row],[API]:[API_3]],'[1]Squirrel SQL Export 1'!$K:$N,[1]!Table1[[#This Row],[DG_required]])</f>
        <v>#REF!</v>
      </c>
      <c r="AF172" s="21" t="s">
        <v>1306</v>
      </c>
      <c r="AG172" s="21"/>
      <c r="AH172" s="22" t="e" cm="1">
        <f t="array" ref="AH172">_xlfn.LET(_xlpm.r,_xlfn.XLOOKUP(1,MappingGuide[[#This Row],[API]:[API_3]],'[1]Squirrel SQL Export 1'!$K:$N,[1]!Table1[[#This Row],[Pending Items]]),IF(_xlpm.r=0,"",_xlpm.r))</f>
        <v>#REF!</v>
      </c>
      <c r="AI172" s="22" t="e" cm="1">
        <f t="array" ref="AI172">_xlfn.LET(_xlpm.r,_xlfn.XLOOKUP(1,MappingGuide[[#This Row],[API]:[API_3]],'[1]Squirrel SQL Export 1'!$K:$N,[1]!Table1[[#This Row],[Syndigo Name]]),IF(_xlpm.r=0,"",_xlpm.r))</f>
        <v>#REF!</v>
      </c>
      <c r="AJ172" s="17"/>
    </row>
    <row r="173" spans="1:36" ht="17" hidden="1">
      <c r="A173" s="17">
        <v>171</v>
      </c>
      <c r="B173" s="17" t="s">
        <v>40</v>
      </c>
      <c r="C173" s="17" t="s">
        <v>768</v>
      </c>
      <c r="D173" s="17" t="s">
        <v>769</v>
      </c>
      <c r="E173" s="17" t="s">
        <v>33</v>
      </c>
      <c r="F173" s="17" t="s">
        <v>34</v>
      </c>
      <c r="G173" s="17"/>
      <c r="H173" s="17"/>
      <c r="I173" s="17"/>
      <c r="J173" s="17"/>
      <c r="K173" s="17"/>
      <c r="L173" s="17" t="s">
        <v>35</v>
      </c>
      <c r="M173" s="17" t="s">
        <v>677</v>
      </c>
      <c r="N173" s="17" t="s">
        <v>770</v>
      </c>
      <c r="O173" s="17"/>
      <c r="P173" s="17"/>
      <c r="Q173" s="17"/>
      <c r="R173" s="17"/>
      <c r="S173" s="17" t="e" cm="1">
        <f t="array" ref="S173">_xlfn.LET(_xlpm.r,_xlfn.XLOOKUP(1,MappingGuide[[#This Row],[API]:[API_3]],'[1]Squirrel SQL Export 1'!$K:$N,[1]!Table1[[#This Row],[Responsible from HJ]]),IF(_xlpm.r=0,"",_xlpm.r))</f>
        <v>#REF!</v>
      </c>
      <c r="T173" s="17"/>
      <c r="U173" s="17"/>
      <c r="V173" s="17" t="e" cm="1">
        <f t="array" ref="V173">_xlfn.LET(_xlpm.r,_xlfn.XLOOKUP(1,MappingGuide[[#This Row],[API]:[API_3]],'[1]Squirrel SQL Export 1'!$K:$N,[1]!Table1[[#This Row],[MDM Comments]]),IF(_xlpm.r=0,"",_xlpm.r))</f>
        <v>#REF!</v>
      </c>
      <c r="W173" s="17" t="e" cm="1">
        <f t="array" ref="W173">_xlfn.LET(_xlpm.r,_xlfn.XLOOKUP(1,MappingGuide[[#This Row],[API]:[API_3]],'[1]Squirrel SQL Export 1'!$K:$N,[1]!Table1[[#This Row],[Exists In Syndigo?]]),IF(_xlpm.r=0,"",_xlpm.r))</f>
        <v>#REF!</v>
      </c>
      <c r="X173" s="17" t="e" cm="1">
        <f t="array" ref="X173">_xlfn.LET(_xlpm.r,_xlfn.XLOOKUP(1,MappingGuide[[#This Row],[API]:[API_3]],'[1]Squirrel SQL Export 1'!$K:$N,[1]!Table1[[#This Row],[Syndigo Name]]),IF(_xlpm.r=0,"",_xlpm.r))</f>
        <v>#REF!</v>
      </c>
      <c r="Y173" s="17"/>
      <c r="Z173" s="17" t="s">
        <v>758</v>
      </c>
      <c r="AA173" s="17"/>
      <c r="AB173" s="17"/>
      <c r="AC173" s="17" t="e" cm="1">
        <f t="array" ref="AC173">_xlfn.XLOOKUP(1,MappingGuide[[#This Row],[API]:[API_3]],'[1]Squirrel SQL Export 1'!$K:$N,[1]!Table1[[#This Row],[Doppio Notes2]])</f>
        <v>#REF!</v>
      </c>
      <c r="AD173" s="17"/>
      <c r="AE173" s="17" t="e" cm="1">
        <f t="array" ref="AE173">_xlfn.XLOOKUP(1,MappingGuide[[#This Row],[API]:[API_3]],'[1]Squirrel SQL Export 1'!$K:$N,[1]!Table1[[#This Row],[DG_required]])</f>
        <v>#REF!</v>
      </c>
      <c r="AF173" s="21" t="s">
        <v>1306</v>
      </c>
      <c r="AG173" s="21"/>
      <c r="AH173" s="22" t="e" cm="1">
        <f t="array" ref="AH173">_xlfn.LET(_xlpm.r,_xlfn.XLOOKUP(1,MappingGuide[[#This Row],[API]:[API_3]],'[1]Squirrel SQL Export 1'!$K:$N,[1]!Table1[[#This Row],[Pending Items]]),IF(_xlpm.r=0,"",_xlpm.r))</f>
        <v>#REF!</v>
      </c>
      <c r="AI173" s="22" t="e" cm="1">
        <f t="array" ref="AI173">_xlfn.LET(_xlpm.r,_xlfn.XLOOKUP(1,MappingGuide[[#This Row],[API]:[API_3]],'[1]Squirrel SQL Export 1'!$K:$N,[1]!Table1[[#This Row],[Syndigo Name]]),IF(_xlpm.r=0,"",_xlpm.r))</f>
        <v>#REF!</v>
      </c>
      <c r="AJ173" s="17"/>
    </row>
    <row r="174" spans="1:36" ht="17" hidden="1">
      <c r="A174" s="17">
        <v>172</v>
      </c>
      <c r="B174" s="17" t="s">
        <v>40</v>
      </c>
      <c r="C174" s="17" t="s">
        <v>771</v>
      </c>
      <c r="D174" s="17" t="s">
        <v>772</v>
      </c>
      <c r="E174" s="17" t="s">
        <v>33</v>
      </c>
      <c r="F174" s="17" t="s">
        <v>34</v>
      </c>
      <c r="G174" s="17"/>
      <c r="H174" s="17"/>
      <c r="I174" s="17"/>
      <c r="J174" s="17"/>
      <c r="K174" s="17"/>
      <c r="L174" s="17" t="s">
        <v>35</v>
      </c>
      <c r="M174" s="17" t="s">
        <v>677</v>
      </c>
      <c r="N174" s="17" t="s">
        <v>773</v>
      </c>
      <c r="O174" s="17"/>
      <c r="P174" s="17"/>
      <c r="Q174" s="17"/>
      <c r="R174" s="17"/>
      <c r="S174" s="17" t="e" cm="1">
        <f t="array" ref="S174">_xlfn.LET(_xlpm.r,_xlfn.XLOOKUP(1,MappingGuide[[#This Row],[API]:[API_3]],'[1]Squirrel SQL Export 1'!$K:$N,[1]!Table1[[#This Row],[Responsible from HJ]]),IF(_xlpm.r=0,"",_xlpm.r))</f>
        <v>#REF!</v>
      </c>
      <c r="T174" s="17"/>
      <c r="U174" s="17"/>
      <c r="V174" s="17" t="e" cm="1">
        <f t="array" ref="V174">_xlfn.LET(_xlpm.r,_xlfn.XLOOKUP(1,MappingGuide[[#This Row],[API]:[API_3]],'[1]Squirrel SQL Export 1'!$K:$N,[1]!Table1[[#This Row],[MDM Comments]]),IF(_xlpm.r=0,"",_xlpm.r))</f>
        <v>#REF!</v>
      </c>
      <c r="W174" s="17" t="e" cm="1">
        <f t="array" ref="W174">_xlfn.LET(_xlpm.r,_xlfn.XLOOKUP(1,MappingGuide[[#This Row],[API]:[API_3]],'[1]Squirrel SQL Export 1'!$K:$N,[1]!Table1[[#This Row],[Exists In Syndigo?]]),IF(_xlpm.r=0,"",_xlpm.r))</f>
        <v>#REF!</v>
      </c>
      <c r="X174" s="17" t="e" cm="1">
        <f t="array" ref="X174">_xlfn.LET(_xlpm.r,_xlfn.XLOOKUP(1,MappingGuide[[#This Row],[API]:[API_3]],'[1]Squirrel SQL Export 1'!$K:$N,[1]!Table1[[#This Row],[Syndigo Name]]),IF(_xlpm.r=0,"",_xlpm.r))</f>
        <v>#REF!</v>
      </c>
      <c r="Y174" s="17"/>
      <c r="Z174" s="17" t="s">
        <v>774</v>
      </c>
      <c r="AA174" s="17"/>
      <c r="AB174" s="17"/>
      <c r="AC174" s="17" t="e" cm="1">
        <f t="array" ref="AC174">_xlfn.XLOOKUP(1,MappingGuide[[#This Row],[API]:[API_3]],'[1]Squirrel SQL Export 1'!$K:$N,[1]!Table1[[#This Row],[Doppio Notes2]])</f>
        <v>#REF!</v>
      </c>
      <c r="AD174" s="17"/>
      <c r="AE174" s="17" t="e" cm="1">
        <f t="array" ref="AE174">_xlfn.XLOOKUP(1,MappingGuide[[#This Row],[API]:[API_3]],'[1]Squirrel SQL Export 1'!$K:$N,[1]!Table1[[#This Row],[DG_required]])</f>
        <v>#REF!</v>
      </c>
      <c r="AF174" s="21" t="s">
        <v>1306</v>
      </c>
      <c r="AG174" s="21"/>
      <c r="AH174" s="22" t="e" cm="1">
        <f t="array" ref="AH174">_xlfn.LET(_xlpm.r,_xlfn.XLOOKUP(1,MappingGuide[[#This Row],[API]:[API_3]],'[1]Squirrel SQL Export 1'!$K:$N,[1]!Table1[[#This Row],[Pending Items]]),IF(_xlpm.r=0,"",_xlpm.r))</f>
        <v>#REF!</v>
      </c>
      <c r="AI174" s="22" t="e" cm="1">
        <f t="array" ref="AI174">_xlfn.LET(_xlpm.r,_xlfn.XLOOKUP(1,MappingGuide[[#This Row],[API]:[API_3]],'[1]Squirrel SQL Export 1'!$K:$N,[1]!Table1[[#This Row],[Syndigo Name]]),IF(_xlpm.r=0,"",_xlpm.r))</f>
        <v>#REF!</v>
      </c>
      <c r="AJ174" s="17"/>
    </row>
    <row r="175" spans="1:36" ht="17" hidden="1">
      <c r="A175" s="17">
        <v>173</v>
      </c>
      <c r="B175" s="17" t="s">
        <v>40</v>
      </c>
      <c r="C175" s="17" t="s">
        <v>775</v>
      </c>
      <c r="D175" s="17" t="s">
        <v>776</v>
      </c>
      <c r="E175" s="17" t="s">
        <v>43</v>
      </c>
      <c r="F175" s="17" t="s">
        <v>373</v>
      </c>
      <c r="G175" s="17"/>
      <c r="H175" s="17"/>
      <c r="I175" s="17"/>
      <c r="J175" s="17"/>
      <c r="K175" s="17"/>
      <c r="L175" s="17"/>
      <c r="M175" s="17"/>
      <c r="N175" s="17" t="s">
        <v>777</v>
      </c>
      <c r="O175" s="17"/>
      <c r="P175" s="17"/>
      <c r="Q175" s="17"/>
      <c r="R175" s="17"/>
      <c r="S175" s="17" t="e" cm="1">
        <f t="array" ref="S175">_xlfn.LET(_xlpm.r,_xlfn.XLOOKUP(1,MappingGuide[[#This Row],[API]:[API_3]],'[1]Squirrel SQL Export 1'!$K:$N,[1]!Table1[[#This Row],[Responsible from HJ]]),IF(_xlpm.r=0,"",_xlpm.r))</f>
        <v>#REF!</v>
      </c>
      <c r="T175" s="17"/>
      <c r="U175" s="17"/>
      <c r="V175" s="17" t="e" cm="1">
        <f t="array" ref="V175">_xlfn.LET(_xlpm.r,_xlfn.XLOOKUP(1,MappingGuide[[#This Row],[API]:[API_3]],'[1]Squirrel SQL Export 1'!$K:$N,[1]!Table1[[#This Row],[MDM Comments]]),IF(_xlpm.r=0,"",_xlpm.r))</f>
        <v>#REF!</v>
      </c>
      <c r="W175" s="17" t="e" cm="1">
        <f t="array" ref="W175">_xlfn.LET(_xlpm.r,_xlfn.XLOOKUP(1,MappingGuide[[#This Row],[API]:[API_3]],'[1]Squirrel SQL Export 1'!$K:$N,[1]!Table1[[#This Row],[Exists In Syndigo?]]),IF(_xlpm.r=0,"",_xlpm.r))</f>
        <v>#REF!</v>
      </c>
      <c r="X175" s="17" t="e" cm="1">
        <f t="array" ref="X175">_xlfn.LET(_xlpm.r,_xlfn.XLOOKUP(1,MappingGuide[[#This Row],[API]:[API_3]],'[1]Squirrel SQL Export 1'!$K:$N,[1]!Table1[[#This Row],[Syndigo Name]]),IF(_xlpm.r=0,"",_xlpm.r))</f>
        <v>#REF!</v>
      </c>
      <c r="Y175" s="17"/>
      <c r="Z175" s="17" t="s">
        <v>778</v>
      </c>
      <c r="AA175" s="17"/>
      <c r="AB175" s="17"/>
      <c r="AC175" s="17" t="e" cm="1">
        <f t="array" ref="AC175">_xlfn.XLOOKUP(1,MappingGuide[[#This Row],[API]:[API_3]],'[1]Squirrel SQL Export 1'!$K:$N,[1]!Table1[[#This Row],[Doppio Notes2]])</f>
        <v>#REF!</v>
      </c>
      <c r="AD175" s="17"/>
      <c r="AE175" s="17" t="e" cm="1">
        <f t="array" ref="AE175">_xlfn.XLOOKUP(1,MappingGuide[[#This Row],[API]:[API_3]],'[1]Squirrel SQL Export 1'!$K:$N,[1]!Table1[[#This Row],[DG_required]])</f>
        <v>#REF!</v>
      </c>
      <c r="AF175" s="21" t="s">
        <v>1290</v>
      </c>
      <c r="AG175" s="21"/>
      <c r="AH175" s="22" t="e" cm="1">
        <f t="array" ref="AH175">_xlfn.LET(_xlpm.r,_xlfn.XLOOKUP(1,MappingGuide[[#This Row],[API]:[API_3]],'[1]Squirrel SQL Export 1'!$K:$N,[1]!Table1[[#This Row],[Pending Items]]),IF(_xlpm.r=0,"",_xlpm.r))</f>
        <v>#REF!</v>
      </c>
      <c r="AI175" s="22" t="e" cm="1">
        <f t="array" ref="AI175">_xlfn.LET(_xlpm.r,_xlfn.XLOOKUP(1,MappingGuide[[#This Row],[API]:[API_3]],'[1]Squirrel SQL Export 1'!$K:$N,[1]!Table1[[#This Row],[Syndigo Name]]),IF(_xlpm.r=0,"",_xlpm.r))</f>
        <v>#REF!</v>
      </c>
      <c r="AJ175" s="17"/>
    </row>
    <row r="176" spans="1:36" ht="18" hidden="1">
      <c r="A176" s="17">
        <v>174</v>
      </c>
      <c r="B176" s="17" t="s">
        <v>40</v>
      </c>
      <c r="C176" s="17" t="s">
        <v>779</v>
      </c>
      <c r="D176" s="17" t="s">
        <v>780</v>
      </c>
      <c r="E176" s="17" t="s">
        <v>43</v>
      </c>
      <c r="F176" s="17" t="s">
        <v>44</v>
      </c>
      <c r="G176" s="17"/>
      <c r="H176" s="17"/>
      <c r="I176" s="17" t="s">
        <v>57</v>
      </c>
      <c r="J176" s="17" t="s">
        <v>145</v>
      </c>
      <c r="K176" s="17"/>
      <c r="L176" s="17" t="s">
        <v>35</v>
      </c>
      <c r="M176" s="17" t="s">
        <v>146</v>
      </c>
      <c r="N176" s="17" t="s">
        <v>781</v>
      </c>
      <c r="O176" s="17"/>
      <c r="P176" s="17"/>
      <c r="Q176" s="17"/>
      <c r="R176" s="17"/>
      <c r="S176" s="17" t="e" cm="1">
        <f t="array" ref="S176">_xlfn.LET(_xlpm.r,_xlfn.XLOOKUP(1,MappingGuide[[#This Row],[API]:[API_3]],'[1]Squirrel SQL Export 1'!$K:$N,[1]!Table1[[#This Row],[Responsible from HJ]]),IF(_xlpm.r=0,"",_xlpm.r))</f>
        <v>#REF!</v>
      </c>
      <c r="T176" s="17"/>
      <c r="U176" s="17"/>
      <c r="V176" s="17" t="e" cm="1">
        <f t="array" ref="V176">_xlfn.LET(_xlpm.r,_xlfn.XLOOKUP(1,MappingGuide[[#This Row],[API]:[API_3]],'[1]Squirrel SQL Export 1'!$K:$N,[1]!Table1[[#This Row],[MDM Comments]]),IF(_xlpm.r=0,"",_xlpm.r))</f>
        <v>#REF!</v>
      </c>
      <c r="W176" s="17" t="e" cm="1">
        <f t="array" ref="W176">_xlfn.LET(_xlpm.r,_xlfn.XLOOKUP(1,MappingGuide[[#This Row],[API]:[API_3]],'[1]Squirrel SQL Export 1'!$K:$N,[1]!Table1[[#This Row],[Exists In Syndigo?]]),IF(_xlpm.r=0,"",_xlpm.r))</f>
        <v>#REF!</v>
      </c>
      <c r="X176" s="17" t="e" cm="1">
        <f t="array" ref="X176">_xlfn.LET(_xlpm.r,_xlfn.XLOOKUP(1,MappingGuide[[#This Row],[API]:[API_3]],'[1]Squirrel SQL Export 1'!$K:$N,[1]!Table1[[#This Row],[Syndigo Name]]),IF(_xlpm.r=0,"",_xlpm.r))</f>
        <v>#REF!</v>
      </c>
      <c r="Y176" s="17"/>
      <c r="Z176" s="17" t="s">
        <v>782</v>
      </c>
      <c r="AA176" s="17"/>
      <c r="AB176" s="17"/>
      <c r="AC176" s="17" t="e" cm="1">
        <f t="array" ref="AC176">_xlfn.XLOOKUP(1,MappingGuide[[#This Row],[API]:[API_3]],'[1]Squirrel SQL Export 1'!$K:$N,[1]!Table1[[#This Row],[Doppio Notes2]])</f>
        <v>#REF!</v>
      </c>
      <c r="AD176" s="17" t="s">
        <v>1279</v>
      </c>
      <c r="AE176" s="17" t="e" cm="1">
        <f t="array" ref="AE176">_xlfn.XLOOKUP(1,MappingGuide[[#This Row],[API]:[API_3]],'[1]Squirrel SQL Export 1'!$K:$N,[1]!Table1[[#This Row],[DG_required]])</f>
        <v>#REF!</v>
      </c>
      <c r="AF176" s="21" t="s">
        <v>1290</v>
      </c>
      <c r="AG176" s="21"/>
      <c r="AH176" s="24" t="e" cm="1">
        <f t="array" ref="AH176">_xlfn.LET(_xlpm.r,_xlfn.XLOOKUP(1,MappingGuide[[#This Row],[API]:[API_3]],'[1]Squirrel SQL Export 1'!$K:$N,[1]!Table1[[#This Row],[Pending Items]]),IF(_xlpm.r=0,"",_xlpm.r))</f>
        <v>#REF!</v>
      </c>
      <c r="AI176" s="22" t="e" cm="1">
        <f t="array" ref="AI176">_xlfn.LET(_xlpm.r,_xlfn.XLOOKUP(1,MappingGuide[[#This Row],[API]:[API_3]],'[1]Squirrel SQL Export 1'!$K:$N,[1]!Table1[[#This Row],[Syndigo Name]]),IF(_xlpm.r=0,"",_xlpm.r))</f>
        <v>#REF!</v>
      </c>
      <c r="AJ176" s="17"/>
    </row>
    <row r="177" spans="1:36" ht="17" hidden="1">
      <c r="A177" s="17">
        <v>175</v>
      </c>
      <c r="B177" s="17" t="s">
        <v>40</v>
      </c>
      <c r="C177" s="17" t="s">
        <v>783</v>
      </c>
      <c r="D177" s="17" t="s">
        <v>363</v>
      </c>
      <c r="E177" s="17" t="s">
        <v>43</v>
      </c>
      <c r="F177" s="17" t="s">
        <v>44</v>
      </c>
      <c r="G177" s="17"/>
      <c r="H177" s="17"/>
      <c r="I177" s="17" t="s">
        <v>57</v>
      </c>
      <c r="J177" s="17" t="s">
        <v>145</v>
      </c>
      <c r="K177" s="17"/>
      <c r="L177" s="17"/>
      <c r="M177" s="17"/>
      <c r="N177" s="17" t="s">
        <v>784</v>
      </c>
      <c r="O177" s="17"/>
      <c r="P177" s="17"/>
      <c r="Q177" s="17"/>
      <c r="R177" s="17"/>
      <c r="S177" s="17" t="e" cm="1">
        <f t="array" ref="S177">_xlfn.LET(_xlpm.r,_xlfn.XLOOKUP(1,MappingGuide[[#This Row],[API]:[API_3]],'[1]Squirrel SQL Export 1'!$K:$N,[1]!Table1[[#This Row],[Responsible from HJ]]),IF(_xlpm.r=0,"",_xlpm.r))</f>
        <v>#REF!</v>
      </c>
      <c r="T177" s="17"/>
      <c r="U177" s="17"/>
      <c r="V177" s="17" t="e" cm="1">
        <f t="array" ref="V177">_xlfn.LET(_xlpm.r,_xlfn.XLOOKUP(1,MappingGuide[[#This Row],[API]:[API_3]],'[1]Squirrel SQL Export 1'!$K:$N,[1]!Table1[[#This Row],[MDM Comments]]),IF(_xlpm.r=0,"",_xlpm.r))</f>
        <v>#REF!</v>
      </c>
      <c r="W177" s="17" t="e" cm="1">
        <f t="array" ref="W177">_xlfn.LET(_xlpm.r,_xlfn.XLOOKUP(1,MappingGuide[[#This Row],[API]:[API_3]],'[1]Squirrel SQL Export 1'!$K:$N,[1]!Table1[[#This Row],[Exists In Syndigo?]]),IF(_xlpm.r=0,"",_xlpm.r))</f>
        <v>#REF!</v>
      </c>
      <c r="X177" s="17" t="e" cm="1">
        <f t="array" ref="X177">_xlfn.LET(_xlpm.r,_xlfn.XLOOKUP(1,MappingGuide[[#This Row],[API]:[API_3]],'[1]Squirrel SQL Export 1'!$K:$N,[1]!Table1[[#This Row],[Syndigo Name]]),IF(_xlpm.r=0,"",_xlpm.r))</f>
        <v>#REF!</v>
      </c>
      <c r="Y177" s="17"/>
      <c r="Z177" s="17" t="s">
        <v>785</v>
      </c>
      <c r="AA177" s="17"/>
      <c r="AB177" s="17"/>
      <c r="AC177" s="17" t="e" cm="1">
        <f t="array" ref="AC177">_xlfn.XLOOKUP(1,MappingGuide[[#This Row],[API]:[API_3]],'[1]Squirrel SQL Export 1'!$K:$N,[1]!Table1[[#This Row],[Doppio Notes2]])</f>
        <v>#REF!</v>
      </c>
      <c r="AD177" s="17"/>
      <c r="AE177" s="17" t="e" cm="1">
        <f t="array" ref="AE177">_xlfn.XLOOKUP(1,MappingGuide[[#This Row],[API]:[API_3]],'[1]Squirrel SQL Export 1'!$K:$N,[1]!Table1[[#This Row],[DG_required]])</f>
        <v>#REF!</v>
      </c>
      <c r="AF177" s="21" t="s">
        <v>1290</v>
      </c>
      <c r="AG177" s="21"/>
      <c r="AH177" s="22" t="e" cm="1">
        <f t="array" ref="AH177">_xlfn.LET(_xlpm.r,_xlfn.XLOOKUP(1,MappingGuide[[#This Row],[API]:[API_3]],'[1]Squirrel SQL Export 1'!$K:$N,[1]!Table1[[#This Row],[Pending Items]]),IF(_xlpm.r=0,"",_xlpm.r))</f>
        <v>#REF!</v>
      </c>
      <c r="AI177" s="22" t="e" cm="1">
        <f t="array" ref="AI177">_xlfn.LET(_xlpm.r,_xlfn.XLOOKUP(1,MappingGuide[[#This Row],[API]:[API_3]],'[1]Squirrel SQL Export 1'!$K:$N,[1]!Table1[[#This Row],[Syndigo Name]]),IF(_xlpm.r=0,"",_xlpm.r))</f>
        <v>#REF!</v>
      </c>
      <c r="AJ177" s="17"/>
    </row>
    <row r="178" spans="1:36" ht="17" hidden="1">
      <c r="A178" s="17">
        <v>176</v>
      </c>
      <c r="B178" s="17" t="s">
        <v>40</v>
      </c>
      <c r="C178" s="17" t="s">
        <v>786</v>
      </c>
      <c r="D178" s="17" t="s">
        <v>787</v>
      </c>
      <c r="E178" s="17" t="s">
        <v>43</v>
      </c>
      <c r="F178" s="17" t="s">
        <v>668</v>
      </c>
      <c r="G178" s="17"/>
      <c r="H178" s="17"/>
      <c r="I178" s="17" t="s">
        <v>57</v>
      </c>
      <c r="J178" s="17" t="s">
        <v>58</v>
      </c>
      <c r="K178" s="17"/>
      <c r="L178" s="17" t="s">
        <v>35</v>
      </c>
      <c r="M178" s="17" t="s">
        <v>36</v>
      </c>
      <c r="N178" s="17" t="s">
        <v>788</v>
      </c>
      <c r="O178" s="17"/>
      <c r="P178" s="17"/>
      <c r="Q178" s="17"/>
      <c r="R178" s="17"/>
      <c r="S178" s="17" t="e" cm="1">
        <f t="array" ref="S178">_xlfn.LET(_xlpm.r,_xlfn.XLOOKUP(1,MappingGuide[[#This Row],[API]:[API_3]],'[1]Squirrel SQL Export 1'!$K:$N,[1]!Table1[[#This Row],[Responsible from HJ]]),IF(_xlpm.r=0,"",_xlpm.r))</f>
        <v>#REF!</v>
      </c>
      <c r="T178" s="17"/>
      <c r="U178" s="17"/>
      <c r="V178" s="17" t="e" cm="1">
        <f t="array" ref="V178">_xlfn.LET(_xlpm.r,_xlfn.XLOOKUP(1,MappingGuide[[#This Row],[API]:[API_3]],'[1]Squirrel SQL Export 1'!$K:$N,[1]!Table1[[#This Row],[MDM Comments]]),IF(_xlpm.r=0,"",_xlpm.r))</f>
        <v>#REF!</v>
      </c>
      <c r="W178" s="17" t="e" cm="1">
        <f t="array" ref="W178">_xlfn.LET(_xlpm.r,_xlfn.XLOOKUP(1,MappingGuide[[#This Row],[API]:[API_3]],'[1]Squirrel SQL Export 1'!$K:$N,[1]!Table1[[#This Row],[Exists In Syndigo?]]),IF(_xlpm.r=0,"",_xlpm.r))</f>
        <v>#REF!</v>
      </c>
      <c r="X178" s="17" t="e" cm="1">
        <f t="array" ref="X178">_xlfn.LET(_xlpm.r,_xlfn.XLOOKUP(1,MappingGuide[[#This Row],[API]:[API_3]],'[1]Squirrel SQL Export 1'!$K:$N,[1]!Table1[[#This Row],[Syndigo Name]]),IF(_xlpm.r=0,"",_xlpm.r))</f>
        <v>#REF!</v>
      </c>
      <c r="Y178" s="17"/>
      <c r="Z178" s="17" t="s">
        <v>789</v>
      </c>
      <c r="AA178" s="17"/>
      <c r="AB178" s="17"/>
      <c r="AC178" s="17" t="e" cm="1">
        <f t="array" ref="AC178">_xlfn.XLOOKUP(1,MappingGuide[[#This Row],[API]:[API_3]],'[1]Squirrel SQL Export 1'!$K:$N,[1]!Table1[[#This Row],[Doppio Notes2]])</f>
        <v>#REF!</v>
      </c>
      <c r="AD178" s="17" t="s">
        <v>1279</v>
      </c>
      <c r="AE178" s="17" t="e" cm="1">
        <f t="array" ref="AE178">_xlfn.XLOOKUP(1,MappingGuide[[#This Row],[API]:[API_3]],'[1]Squirrel SQL Export 1'!$K:$N,[1]!Table1[[#This Row],[DG_required]])</f>
        <v>#REF!</v>
      </c>
      <c r="AF178" s="21" t="s">
        <v>1290</v>
      </c>
      <c r="AG178" s="21"/>
      <c r="AH178" s="22" t="e" cm="1">
        <f t="array" ref="AH178">_xlfn.LET(_xlpm.r,_xlfn.XLOOKUP(1,MappingGuide[[#This Row],[API]:[API_3]],'[1]Squirrel SQL Export 1'!$K:$N,[1]!Table1[[#This Row],[Pending Items]]),IF(_xlpm.r=0,"",_xlpm.r))</f>
        <v>#REF!</v>
      </c>
      <c r="AI178" s="22" t="e" cm="1">
        <f t="array" ref="AI178">_xlfn.LET(_xlpm.r,_xlfn.XLOOKUP(1,MappingGuide[[#This Row],[API]:[API_3]],'[1]Squirrel SQL Export 1'!$K:$N,[1]!Table1[[#This Row],[Syndigo Name]]),IF(_xlpm.r=0,"",_xlpm.r))</f>
        <v>#REF!</v>
      </c>
      <c r="AJ178" s="17"/>
    </row>
    <row r="179" spans="1:36" ht="18" hidden="1">
      <c r="A179" s="17">
        <v>177</v>
      </c>
      <c r="B179" s="17" t="s">
        <v>40</v>
      </c>
      <c r="C179" s="17" t="s">
        <v>790</v>
      </c>
      <c r="D179" s="17" t="s">
        <v>791</v>
      </c>
      <c r="E179" s="17" t="s">
        <v>33</v>
      </c>
      <c r="F179" s="17" t="s">
        <v>56</v>
      </c>
      <c r="G179" s="17"/>
      <c r="H179" s="17"/>
      <c r="I179" s="17" t="s">
        <v>57</v>
      </c>
      <c r="J179" s="17" t="s">
        <v>58</v>
      </c>
      <c r="K179" s="17"/>
      <c r="L179" s="17" t="s">
        <v>35</v>
      </c>
      <c r="M179" s="17" t="s">
        <v>36</v>
      </c>
      <c r="N179" s="17" t="s">
        <v>792</v>
      </c>
      <c r="O179" s="17"/>
      <c r="P179" s="17" t="s">
        <v>793</v>
      </c>
      <c r="Q179" s="17"/>
      <c r="R179" s="17" t="s">
        <v>794</v>
      </c>
      <c r="S179" s="17" t="e" cm="1">
        <f t="array" ref="S179">_xlfn.LET(_xlpm.r,_xlfn.XLOOKUP(1,MappingGuide[[#This Row],[API]:[API_3]],'[1]Squirrel SQL Export 1'!$K:$N,[1]!Table1[[#This Row],[Responsible from HJ]]),IF(_xlpm.r=0,"",_xlpm.r))</f>
        <v>#REF!</v>
      </c>
      <c r="T179" s="17" t="s">
        <v>39</v>
      </c>
      <c r="U179" s="17" t="s">
        <v>1284</v>
      </c>
      <c r="V179" s="17" t="e" cm="1">
        <f t="array" ref="V179">_xlfn.LET(_xlpm.r,_xlfn.XLOOKUP(1,MappingGuide[[#This Row],[API]:[API_3]],'[1]Squirrel SQL Export 1'!$K:$N,[1]!Table1[[#This Row],[MDM Comments]]),IF(_xlpm.r=0,"",_xlpm.r))</f>
        <v>#REF!</v>
      </c>
      <c r="W179" s="17" t="e" cm="1">
        <f t="array" ref="W179">_xlfn.LET(_xlpm.r,_xlfn.XLOOKUP(1,MappingGuide[[#This Row],[API]:[API_3]],'[1]Squirrel SQL Export 1'!$K:$N,[1]!Table1[[#This Row],[Exists In Syndigo?]]),IF(_xlpm.r=0,"",_xlpm.r))</f>
        <v>#REF!</v>
      </c>
      <c r="X179" s="17" t="e" cm="1">
        <f t="array" ref="X179">_xlfn.LET(_xlpm.r,_xlfn.XLOOKUP(1,MappingGuide[[#This Row],[API]:[API_3]],'[1]Squirrel SQL Export 1'!$K:$N,[1]!Table1[[#This Row],[Syndigo Name]]),IF(_xlpm.r=0,"",_xlpm.r))</f>
        <v>#REF!</v>
      </c>
      <c r="Y179" s="17"/>
      <c r="Z179" s="17" t="s">
        <v>795</v>
      </c>
      <c r="AA179" s="17"/>
      <c r="AB179" s="17"/>
      <c r="AC179" s="17" t="e" cm="1">
        <f t="array" ref="AC179">_xlfn.XLOOKUP(1,MappingGuide[[#This Row],[API]:[API_3]],'[1]Squirrel SQL Export 1'!$K:$N,[1]!Table1[[#This Row],[Doppio Notes2]])</f>
        <v>#REF!</v>
      </c>
      <c r="AD179" s="17" t="s">
        <v>1279</v>
      </c>
      <c r="AE179" s="17" t="e" cm="1">
        <f t="array" ref="AE179">_xlfn.XLOOKUP(1,MappingGuide[[#This Row],[API]:[API_3]],'[1]Squirrel SQL Export 1'!$K:$N,[1]!Table1[[#This Row],[DG_required]])</f>
        <v>#REF!</v>
      </c>
      <c r="AF179" s="21" t="s">
        <v>1302</v>
      </c>
      <c r="AG179" s="21"/>
      <c r="AH179" s="24" t="e" cm="1">
        <f t="array" ref="AH179">_xlfn.LET(_xlpm.r,_xlfn.XLOOKUP(1,MappingGuide[[#This Row],[API]:[API_3]],'[1]Squirrel SQL Export 1'!$K:$N,[1]!Table1[[#This Row],[Pending Items]]),IF(_xlpm.r=0,"",_xlpm.r))</f>
        <v>#REF!</v>
      </c>
      <c r="AI179" s="22" t="e" cm="1">
        <f t="array" ref="AI179">_xlfn.LET(_xlpm.r,_xlfn.XLOOKUP(1,MappingGuide[[#This Row],[API]:[API_3]],'[1]Squirrel SQL Export 1'!$K:$N,[1]!Table1[[#This Row],[Syndigo Name]]),IF(_xlpm.r=0,"",_xlpm.r))</f>
        <v>#REF!</v>
      </c>
      <c r="AJ179" s="17"/>
    </row>
    <row r="180" spans="1:36" ht="17" hidden="1">
      <c r="A180" s="17">
        <v>178</v>
      </c>
      <c r="B180" s="17" t="s">
        <v>40</v>
      </c>
      <c r="C180" s="17" t="s">
        <v>796</v>
      </c>
      <c r="D180" s="17" t="s">
        <v>797</v>
      </c>
      <c r="E180" s="17" t="s">
        <v>43</v>
      </c>
      <c r="F180" s="17" t="s">
        <v>229</v>
      </c>
      <c r="G180" s="17"/>
      <c r="H180" s="17"/>
      <c r="I180" s="17" t="s">
        <v>57</v>
      </c>
      <c r="J180" s="17" t="s">
        <v>798</v>
      </c>
      <c r="K180" s="17"/>
      <c r="L180" s="17" t="s">
        <v>35</v>
      </c>
      <c r="M180" s="17" t="s">
        <v>522</v>
      </c>
      <c r="N180" s="17" t="s">
        <v>799</v>
      </c>
      <c r="O180" s="17"/>
      <c r="P180" s="17"/>
      <c r="Q180" s="17"/>
      <c r="R180" s="17"/>
      <c r="S180" s="17" t="e" cm="1">
        <f t="array" ref="S180">_xlfn.LET(_xlpm.r,_xlfn.XLOOKUP(1,MappingGuide[[#This Row],[API]:[API_3]],'[1]Squirrel SQL Export 1'!$K:$N,[1]!Table1[[#This Row],[Responsible from HJ]]),IF(_xlpm.r=0,"",_xlpm.r))</f>
        <v>#REF!</v>
      </c>
      <c r="T180" s="17"/>
      <c r="U180" s="17"/>
      <c r="V180" s="17" t="e" cm="1">
        <f t="array" ref="V180">_xlfn.LET(_xlpm.r,_xlfn.XLOOKUP(1,MappingGuide[[#This Row],[API]:[API_3]],'[1]Squirrel SQL Export 1'!$K:$N,[1]!Table1[[#This Row],[MDM Comments]]),IF(_xlpm.r=0,"",_xlpm.r))</f>
        <v>#REF!</v>
      </c>
      <c r="W180" s="17" t="e" cm="1">
        <f t="array" ref="W180">_xlfn.LET(_xlpm.r,_xlfn.XLOOKUP(1,MappingGuide[[#This Row],[API]:[API_3]],'[1]Squirrel SQL Export 1'!$K:$N,[1]!Table1[[#This Row],[Exists In Syndigo?]]),IF(_xlpm.r=0,"",_xlpm.r))</f>
        <v>#REF!</v>
      </c>
      <c r="X180" s="17" t="e" cm="1">
        <f t="array" ref="X180">_xlfn.LET(_xlpm.r,_xlfn.XLOOKUP(1,MappingGuide[[#This Row],[API]:[API_3]],'[1]Squirrel SQL Export 1'!$K:$N,[1]!Table1[[#This Row],[Syndigo Name]]),IF(_xlpm.r=0,"",_xlpm.r))</f>
        <v>#REF!</v>
      </c>
      <c r="Y180" s="17"/>
      <c r="Z180" s="17" t="s">
        <v>800</v>
      </c>
      <c r="AA180" s="17"/>
      <c r="AB180" s="17"/>
      <c r="AC180" s="17" t="e" cm="1">
        <f t="array" ref="AC180">_xlfn.XLOOKUP(1,MappingGuide[[#This Row],[API]:[API_3]],'[1]Squirrel SQL Export 1'!$K:$N,[1]!Table1[[#This Row],[Doppio Notes2]])</f>
        <v>#REF!</v>
      </c>
      <c r="AD180" s="17"/>
      <c r="AE180" s="17" t="e" cm="1">
        <f t="array" ref="AE180">_xlfn.XLOOKUP(1,MappingGuide[[#This Row],[API]:[API_3]],'[1]Squirrel SQL Export 1'!$K:$N,[1]!Table1[[#This Row],[DG_required]])</f>
        <v>#REF!</v>
      </c>
      <c r="AF180" s="21" t="s">
        <v>1290</v>
      </c>
      <c r="AG180" s="21"/>
      <c r="AH180" s="22" t="e" cm="1">
        <f t="array" ref="AH180">_xlfn.LET(_xlpm.r,_xlfn.XLOOKUP(1,MappingGuide[[#This Row],[API]:[API_3]],'[1]Squirrel SQL Export 1'!$K:$N,[1]!Table1[[#This Row],[Pending Items]]),IF(_xlpm.r=0,"",_xlpm.r))</f>
        <v>#REF!</v>
      </c>
      <c r="AI180" s="22" t="e" cm="1">
        <f t="array" ref="AI180">_xlfn.LET(_xlpm.r,_xlfn.XLOOKUP(1,MappingGuide[[#This Row],[API]:[API_3]],'[1]Squirrel SQL Export 1'!$K:$N,[1]!Table1[[#This Row],[Syndigo Name]]),IF(_xlpm.r=0,"",_xlpm.r))</f>
        <v>#REF!</v>
      </c>
      <c r="AJ180" s="17"/>
    </row>
    <row r="181" spans="1:36" ht="17" hidden="1">
      <c r="A181" s="17">
        <v>179</v>
      </c>
      <c r="B181" s="17" t="s">
        <v>40</v>
      </c>
      <c r="C181" s="17" t="s">
        <v>801</v>
      </c>
      <c r="D181" s="17" t="s">
        <v>802</v>
      </c>
      <c r="E181" s="17" t="s">
        <v>33</v>
      </c>
      <c r="F181" s="17" t="s">
        <v>63</v>
      </c>
      <c r="G181" s="17"/>
      <c r="H181" s="17"/>
      <c r="I181" s="17" t="s">
        <v>57</v>
      </c>
      <c r="J181" s="17" t="s">
        <v>798</v>
      </c>
      <c r="K181" s="17"/>
      <c r="L181" s="17" t="s">
        <v>35</v>
      </c>
      <c r="M181" s="17" t="s">
        <v>146</v>
      </c>
      <c r="N181" s="17" t="s">
        <v>803</v>
      </c>
      <c r="O181" s="17"/>
      <c r="P181" s="17"/>
      <c r="Q181" s="17"/>
      <c r="R181" s="17"/>
      <c r="S181" s="17" t="e" cm="1">
        <f t="array" ref="S181">_xlfn.LET(_xlpm.r,_xlfn.XLOOKUP(1,MappingGuide[[#This Row],[API]:[API_3]],'[1]Squirrel SQL Export 1'!$K:$N,[1]!Table1[[#This Row],[Responsible from HJ]]),IF(_xlpm.r=0,"",_xlpm.r))</f>
        <v>#REF!</v>
      </c>
      <c r="T181" s="17"/>
      <c r="U181" s="17"/>
      <c r="V181" s="17" t="e" cm="1">
        <f t="array" ref="V181">_xlfn.LET(_xlpm.r,_xlfn.XLOOKUP(1,MappingGuide[[#This Row],[API]:[API_3]],'[1]Squirrel SQL Export 1'!$K:$N,[1]!Table1[[#This Row],[MDM Comments]]),IF(_xlpm.r=0,"",_xlpm.r))</f>
        <v>#REF!</v>
      </c>
      <c r="W181" s="17" t="e" cm="1">
        <f t="array" ref="W181">_xlfn.LET(_xlpm.r,_xlfn.XLOOKUP(1,MappingGuide[[#This Row],[API]:[API_3]],'[1]Squirrel SQL Export 1'!$K:$N,[1]!Table1[[#This Row],[Exists In Syndigo?]]),IF(_xlpm.r=0,"",_xlpm.r))</f>
        <v>#REF!</v>
      </c>
      <c r="X181" s="17" t="e" cm="1">
        <f t="array" ref="X181">_xlfn.LET(_xlpm.r,_xlfn.XLOOKUP(1,MappingGuide[[#This Row],[API]:[API_3]],'[1]Squirrel SQL Export 1'!$K:$N,[1]!Table1[[#This Row],[Syndigo Name]]),IF(_xlpm.r=0,"",_xlpm.r))</f>
        <v>#REF!</v>
      </c>
      <c r="Y181" s="17"/>
      <c r="Z181" s="17" t="s">
        <v>804</v>
      </c>
      <c r="AA181" s="17"/>
      <c r="AB181" s="17"/>
      <c r="AC181" s="17" t="e" cm="1">
        <f t="array" ref="AC181">_xlfn.XLOOKUP(1,MappingGuide[[#This Row],[API]:[API_3]],'[1]Squirrel SQL Export 1'!$K:$N,[1]!Table1[[#This Row],[Doppio Notes2]])</f>
        <v>#REF!</v>
      </c>
      <c r="AD181" s="17"/>
      <c r="AE181" s="17" t="e" cm="1">
        <f t="array" ref="AE181">_xlfn.XLOOKUP(1,MappingGuide[[#This Row],[API]:[API_3]],'[1]Squirrel SQL Export 1'!$K:$N,[1]!Table1[[#This Row],[DG_required]])</f>
        <v>#REF!</v>
      </c>
      <c r="AF181" s="21" t="s">
        <v>1306</v>
      </c>
      <c r="AG181" s="21"/>
      <c r="AH181" s="22" t="e" cm="1">
        <f t="array" ref="AH181">_xlfn.LET(_xlpm.r,_xlfn.XLOOKUP(1,MappingGuide[[#This Row],[API]:[API_3]],'[1]Squirrel SQL Export 1'!$K:$N,[1]!Table1[[#This Row],[Pending Items]]),IF(_xlpm.r=0,"",_xlpm.r))</f>
        <v>#REF!</v>
      </c>
      <c r="AI181" s="22" t="e" cm="1">
        <f t="array" ref="AI181">_xlfn.LET(_xlpm.r,_xlfn.XLOOKUP(1,MappingGuide[[#This Row],[API]:[API_3]],'[1]Squirrel SQL Export 1'!$K:$N,[1]!Table1[[#This Row],[Syndigo Name]]),IF(_xlpm.r=0,"",_xlpm.r))</f>
        <v>#REF!</v>
      </c>
      <c r="AJ181" s="17"/>
    </row>
    <row r="182" spans="1:36" ht="17" hidden="1">
      <c r="A182" s="17">
        <v>180</v>
      </c>
      <c r="B182" s="17" t="s">
        <v>40</v>
      </c>
      <c r="C182" s="17" t="s">
        <v>805</v>
      </c>
      <c r="D182" s="17" t="s">
        <v>806</v>
      </c>
      <c r="E182" s="17" t="s">
        <v>43</v>
      </c>
      <c r="F182" s="17" t="s">
        <v>373</v>
      </c>
      <c r="G182" s="17"/>
      <c r="H182" s="17"/>
      <c r="I182" s="17" t="s">
        <v>57</v>
      </c>
      <c r="J182" s="17" t="s">
        <v>798</v>
      </c>
      <c r="K182" s="17"/>
      <c r="L182" s="17" t="s">
        <v>35</v>
      </c>
      <c r="M182" s="17" t="s">
        <v>146</v>
      </c>
      <c r="N182" s="17" t="s">
        <v>807</v>
      </c>
      <c r="O182" s="17"/>
      <c r="P182" s="17"/>
      <c r="Q182" s="17"/>
      <c r="R182" s="17"/>
      <c r="S182" s="17" t="e" cm="1">
        <f t="array" ref="S182">_xlfn.LET(_xlpm.r,_xlfn.XLOOKUP(1,MappingGuide[[#This Row],[API]:[API_3]],'[1]Squirrel SQL Export 1'!$K:$N,[1]!Table1[[#This Row],[Responsible from HJ]]),IF(_xlpm.r=0,"",_xlpm.r))</f>
        <v>#REF!</v>
      </c>
      <c r="T182" s="17"/>
      <c r="U182" s="17"/>
      <c r="V182" s="17" t="e" cm="1">
        <f t="array" ref="V182">_xlfn.LET(_xlpm.r,_xlfn.XLOOKUP(1,MappingGuide[[#This Row],[API]:[API_3]],'[1]Squirrel SQL Export 1'!$K:$N,[1]!Table1[[#This Row],[MDM Comments]]),IF(_xlpm.r=0,"",_xlpm.r))</f>
        <v>#REF!</v>
      </c>
      <c r="W182" s="17" t="e" cm="1">
        <f t="array" ref="W182">_xlfn.LET(_xlpm.r,_xlfn.XLOOKUP(1,MappingGuide[[#This Row],[API]:[API_3]],'[1]Squirrel SQL Export 1'!$K:$N,[1]!Table1[[#This Row],[Exists In Syndigo?]]),IF(_xlpm.r=0,"",_xlpm.r))</f>
        <v>#REF!</v>
      </c>
      <c r="X182" s="17" t="e" cm="1">
        <f t="array" ref="X182">_xlfn.LET(_xlpm.r,_xlfn.XLOOKUP(1,MappingGuide[[#This Row],[API]:[API_3]],'[1]Squirrel SQL Export 1'!$K:$N,[1]!Table1[[#This Row],[Syndigo Name]]),IF(_xlpm.r=0,"",_xlpm.r))</f>
        <v>#REF!</v>
      </c>
      <c r="Y182" s="17"/>
      <c r="Z182" s="17" t="s">
        <v>808</v>
      </c>
      <c r="AA182" s="17"/>
      <c r="AB182" s="17"/>
      <c r="AC182" s="17" t="e" cm="1">
        <f t="array" ref="AC182">_xlfn.XLOOKUP(1,MappingGuide[[#This Row],[API]:[API_3]],'[1]Squirrel SQL Export 1'!$K:$N,[1]!Table1[[#This Row],[Doppio Notes2]])</f>
        <v>#REF!</v>
      </c>
      <c r="AD182" s="17"/>
      <c r="AE182" s="17" t="e" cm="1">
        <f t="array" ref="AE182">_xlfn.XLOOKUP(1,MappingGuide[[#This Row],[API]:[API_3]],'[1]Squirrel SQL Export 1'!$K:$N,[1]!Table1[[#This Row],[DG_required]])</f>
        <v>#REF!</v>
      </c>
      <c r="AF182" s="21" t="s">
        <v>1290</v>
      </c>
      <c r="AG182" s="21"/>
      <c r="AH182" s="22" t="e" cm="1">
        <f t="array" ref="AH182">_xlfn.LET(_xlpm.r,_xlfn.XLOOKUP(1,MappingGuide[[#This Row],[API]:[API_3]],'[1]Squirrel SQL Export 1'!$K:$N,[1]!Table1[[#This Row],[Pending Items]]),IF(_xlpm.r=0,"",_xlpm.r))</f>
        <v>#REF!</v>
      </c>
      <c r="AI182" s="22" t="e" cm="1">
        <f t="array" ref="AI182">_xlfn.LET(_xlpm.r,_xlfn.XLOOKUP(1,MappingGuide[[#This Row],[API]:[API_3]],'[1]Squirrel SQL Export 1'!$K:$N,[1]!Table1[[#This Row],[Syndigo Name]]),IF(_xlpm.r=0,"",_xlpm.r))</f>
        <v>#REF!</v>
      </c>
      <c r="AJ182" s="17"/>
    </row>
    <row r="183" spans="1:36" ht="17" hidden="1">
      <c r="A183" s="17">
        <v>181</v>
      </c>
      <c r="B183" s="17" t="s">
        <v>40</v>
      </c>
      <c r="C183" s="17" t="s">
        <v>809</v>
      </c>
      <c r="D183" s="17" t="s">
        <v>810</v>
      </c>
      <c r="E183" s="17" t="s">
        <v>33</v>
      </c>
      <c r="F183" s="17" t="s">
        <v>811</v>
      </c>
      <c r="G183" s="17"/>
      <c r="H183" s="17"/>
      <c r="I183" s="17" t="s">
        <v>57</v>
      </c>
      <c r="J183" s="17" t="s">
        <v>798</v>
      </c>
      <c r="K183" s="17"/>
      <c r="L183" s="17" t="s">
        <v>35</v>
      </c>
      <c r="M183" s="17" t="s">
        <v>146</v>
      </c>
      <c r="N183" s="17" t="s">
        <v>812</v>
      </c>
      <c r="O183" s="17"/>
      <c r="P183" s="17"/>
      <c r="Q183" s="17"/>
      <c r="R183" s="17"/>
      <c r="S183" s="17" t="e" cm="1">
        <f t="array" ref="S183">_xlfn.LET(_xlpm.r,_xlfn.XLOOKUP(1,MappingGuide[[#This Row],[API]:[API_3]],'[1]Squirrel SQL Export 1'!$K:$N,[1]!Table1[[#This Row],[Responsible from HJ]]),IF(_xlpm.r=0,"",_xlpm.r))</f>
        <v>#REF!</v>
      </c>
      <c r="T183" s="17"/>
      <c r="U183" s="17"/>
      <c r="V183" s="17" t="e" cm="1">
        <f t="array" ref="V183">_xlfn.LET(_xlpm.r,_xlfn.XLOOKUP(1,MappingGuide[[#This Row],[API]:[API_3]],'[1]Squirrel SQL Export 1'!$K:$N,[1]!Table1[[#This Row],[MDM Comments]]),IF(_xlpm.r=0,"",_xlpm.r))</f>
        <v>#REF!</v>
      </c>
      <c r="W183" s="17" t="e" cm="1">
        <f t="array" ref="W183">_xlfn.LET(_xlpm.r,_xlfn.XLOOKUP(1,MappingGuide[[#This Row],[API]:[API_3]],'[1]Squirrel SQL Export 1'!$K:$N,[1]!Table1[[#This Row],[Exists In Syndigo?]]),IF(_xlpm.r=0,"",_xlpm.r))</f>
        <v>#REF!</v>
      </c>
      <c r="X183" s="17" t="e" cm="1">
        <f t="array" ref="X183">_xlfn.LET(_xlpm.r,_xlfn.XLOOKUP(1,MappingGuide[[#This Row],[API]:[API_3]],'[1]Squirrel SQL Export 1'!$K:$N,[1]!Table1[[#This Row],[Syndigo Name]]),IF(_xlpm.r=0,"",_xlpm.r))</f>
        <v>#REF!</v>
      </c>
      <c r="Y183" s="17"/>
      <c r="Z183" s="17" t="s">
        <v>813</v>
      </c>
      <c r="AA183" s="17"/>
      <c r="AB183" s="17"/>
      <c r="AC183" s="17" t="e" cm="1">
        <f t="array" ref="AC183">_xlfn.XLOOKUP(1,MappingGuide[[#This Row],[API]:[API_3]],'[1]Squirrel SQL Export 1'!$K:$N,[1]!Table1[[#This Row],[Doppio Notes2]])</f>
        <v>#REF!</v>
      </c>
      <c r="AD183" s="17"/>
      <c r="AE183" s="17" t="e" cm="1">
        <f t="array" ref="AE183">_xlfn.XLOOKUP(1,MappingGuide[[#This Row],[API]:[API_3]],'[1]Squirrel SQL Export 1'!$K:$N,[1]!Table1[[#This Row],[DG_required]])</f>
        <v>#REF!</v>
      </c>
      <c r="AF183" s="21" t="s">
        <v>1306</v>
      </c>
      <c r="AG183" s="21"/>
      <c r="AH183" s="22" t="e" cm="1">
        <f t="array" ref="AH183">_xlfn.LET(_xlpm.r,_xlfn.XLOOKUP(1,MappingGuide[[#This Row],[API]:[API_3]],'[1]Squirrel SQL Export 1'!$K:$N,[1]!Table1[[#This Row],[Pending Items]]),IF(_xlpm.r=0,"",_xlpm.r))</f>
        <v>#REF!</v>
      </c>
      <c r="AI183" s="22" t="e" cm="1">
        <f t="array" ref="AI183">_xlfn.LET(_xlpm.r,_xlfn.XLOOKUP(1,MappingGuide[[#This Row],[API]:[API_3]],'[1]Squirrel SQL Export 1'!$K:$N,[1]!Table1[[#This Row],[Syndigo Name]]),IF(_xlpm.r=0,"",_xlpm.r))</f>
        <v>#REF!</v>
      </c>
      <c r="AJ183" s="17"/>
    </row>
    <row r="184" spans="1:36" ht="17" hidden="1">
      <c r="A184" s="17">
        <v>182</v>
      </c>
      <c r="B184" s="17" t="s">
        <v>40</v>
      </c>
      <c r="C184" s="17" t="s">
        <v>814</v>
      </c>
      <c r="D184" s="17" t="s">
        <v>815</v>
      </c>
      <c r="E184" s="17" t="s">
        <v>33</v>
      </c>
      <c r="F184" s="17" t="s">
        <v>213</v>
      </c>
      <c r="G184" s="17"/>
      <c r="H184" s="17"/>
      <c r="I184" s="17" t="s">
        <v>57</v>
      </c>
      <c r="J184" s="17" t="s">
        <v>798</v>
      </c>
      <c r="K184" s="17"/>
      <c r="L184" s="17" t="s">
        <v>35</v>
      </c>
      <c r="M184" s="17" t="s">
        <v>146</v>
      </c>
      <c r="N184" s="17" t="s">
        <v>816</v>
      </c>
      <c r="O184" s="17"/>
      <c r="P184" s="17"/>
      <c r="Q184" s="17"/>
      <c r="R184" s="17"/>
      <c r="S184" s="17" t="e" cm="1">
        <f t="array" ref="S184">_xlfn.LET(_xlpm.r,_xlfn.XLOOKUP(1,MappingGuide[[#This Row],[API]:[API_3]],'[1]Squirrel SQL Export 1'!$K:$N,[1]!Table1[[#This Row],[Responsible from HJ]]),IF(_xlpm.r=0,"",_xlpm.r))</f>
        <v>#REF!</v>
      </c>
      <c r="T184" s="17"/>
      <c r="U184" s="17"/>
      <c r="V184" s="17" t="e" cm="1">
        <f t="array" ref="V184">_xlfn.LET(_xlpm.r,_xlfn.XLOOKUP(1,MappingGuide[[#This Row],[API]:[API_3]],'[1]Squirrel SQL Export 1'!$K:$N,[1]!Table1[[#This Row],[MDM Comments]]),IF(_xlpm.r=0,"",_xlpm.r))</f>
        <v>#REF!</v>
      </c>
      <c r="W184" s="17" t="e" cm="1">
        <f t="array" ref="W184">_xlfn.LET(_xlpm.r,_xlfn.XLOOKUP(1,MappingGuide[[#This Row],[API]:[API_3]],'[1]Squirrel SQL Export 1'!$K:$N,[1]!Table1[[#This Row],[Exists In Syndigo?]]),IF(_xlpm.r=0,"",_xlpm.r))</f>
        <v>#REF!</v>
      </c>
      <c r="X184" s="17" t="e" cm="1">
        <f t="array" ref="X184">_xlfn.LET(_xlpm.r,_xlfn.XLOOKUP(1,MappingGuide[[#This Row],[API]:[API_3]],'[1]Squirrel SQL Export 1'!$K:$N,[1]!Table1[[#This Row],[Syndigo Name]]),IF(_xlpm.r=0,"",_xlpm.r))</f>
        <v>#REF!</v>
      </c>
      <c r="Y184" s="17"/>
      <c r="Z184" s="17" t="s">
        <v>817</v>
      </c>
      <c r="AA184" s="17"/>
      <c r="AB184" s="17"/>
      <c r="AC184" s="17" t="e" cm="1">
        <f t="array" ref="AC184">_xlfn.XLOOKUP(1,MappingGuide[[#This Row],[API]:[API_3]],'[1]Squirrel SQL Export 1'!$K:$N,[1]!Table1[[#This Row],[Doppio Notes2]])</f>
        <v>#REF!</v>
      </c>
      <c r="AD184" s="17"/>
      <c r="AE184" s="17" t="e" cm="1">
        <f t="array" ref="AE184">_xlfn.XLOOKUP(1,MappingGuide[[#This Row],[API]:[API_3]],'[1]Squirrel SQL Export 1'!$K:$N,[1]!Table1[[#This Row],[DG_required]])</f>
        <v>#REF!</v>
      </c>
      <c r="AF184" s="21" t="s">
        <v>1306</v>
      </c>
      <c r="AG184" s="21"/>
      <c r="AH184" s="22" t="e" cm="1">
        <f t="array" ref="AH184">_xlfn.LET(_xlpm.r,_xlfn.XLOOKUP(1,MappingGuide[[#This Row],[API]:[API_3]],'[1]Squirrel SQL Export 1'!$K:$N,[1]!Table1[[#This Row],[Pending Items]]),IF(_xlpm.r=0,"",_xlpm.r))</f>
        <v>#REF!</v>
      </c>
      <c r="AI184" s="22" t="e" cm="1">
        <f t="array" ref="AI184">_xlfn.LET(_xlpm.r,_xlfn.XLOOKUP(1,MappingGuide[[#This Row],[API]:[API_3]],'[1]Squirrel SQL Export 1'!$K:$N,[1]!Table1[[#This Row],[Syndigo Name]]),IF(_xlpm.r=0,"",_xlpm.r))</f>
        <v>#REF!</v>
      </c>
      <c r="AJ184" s="17"/>
    </row>
    <row r="185" spans="1:36" ht="17" hidden="1">
      <c r="A185" s="17">
        <v>183</v>
      </c>
      <c r="B185" s="17" t="s">
        <v>40</v>
      </c>
      <c r="C185" s="17" t="s">
        <v>818</v>
      </c>
      <c r="D185" s="17" t="s">
        <v>819</v>
      </c>
      <c r="E185" s="17" t="s">
        <v>33</v>
      </c>
      <c r="F185" s="17" t="s">
        <v>820</v>
      </c>
      <c r="G185" s="17"/>
      <c r="H185" s="17"/>
      <c r="I185" s="17" t="s">
        <v>57</v>
      </c>
      <c r="J185" s="17" t="s">
        <v>798</v>
      </c>
      <c r="K185" s="17"/>
      <c r="L185" s="17" t="s">
        <v>35</v>
      </c>
      <c r="M185" s="17" t="s">
        <v>146</v>
      </c>
      <c r="N185" s="17" t="s">
        <v>821</v>
      </c>
      <c r="O185" s="17"/>
      <c r="P185" s="17"/>
      <c r="Q185" s="17"/>
      <c r="R185" s="17"/>
      <c r="S185" s="17" t="e" cm="1">
        <f t="array" ref="S185">_xlfn.LET(_xlpm.r,_xlfn.XLOOKUP(1,MappingGuide[[#This Row],[API]:[API_3]],'[1]Squirrel SQL Export 1'!$K:$N,[1]!Table1[[#This Row],[Responsible from HJ]]),IF(_xlpm.r=0,"",_xlpm.r))</f>
        <v>#REF!</v>
      </c>
      <c r="T185" s="17"/>
      <c r="U185" s="17"/>
      <c r="V185" s="17" t="e" cm="1">
        <f t="array" ref="V185">_xlfn.LET(_xlpm.r,_xlfn.XLOOKUP(1,MappingGuide[[#This Row],[API]:[API_3]],'[1]Squirrel SQL Export 1'!$K:$N,[1]!Table1[[#This Row],[MDM Comments]]),IF(_xlpm.r=0,"",_xlpm.r))</f>
        <v>#REF!</v>
      </c>
      <c r="W185" s="17" t="e" cm="1">
        <f t="array" ref="W185">_xlfn.LET(_xlpm.r,_xlfn.XLOOKUP(1,MappingGuide[[#This Row],[API]:[API_3]],'[1]Squirrel SQL Export 1'!$K:$N,[1]!Table1[[#This Row],[Exists In Syndigo?]]),IF(_xlpm.r=0,"",_xlpm.r))</f>
        <v>#REF!</v>
      </c>
      <c r="X185" s="17" t="e" cm="1">
        <f t="array" ref="X185">_xlfn.LET(_xlpm.r,_xlfn.XLOOKUP(1,MappingGuide[[#This Row],[API]:[API_3]],'[1]Squirrel SQL Export 1'!$K:$N,[1]!Table1[[#This Row],[Syndigo Name]]),IF(_xlpm.r=0,"",_xlpm.r))</f>
        <v>#REF!</v>
      </c>
      <c r="Y185" s="17"/>
      <c r="Z185" s="17" t="s">
        <v>822</v>
      </c>
      <c r="AA185" s="17"/>
      <c r="AB185" s="17"/>
      <c r="AC185" s="17" t="e" cm="1">
        <f t="array" ref="AC185">_xlfn.XLOOKUP(1,MappingGuide[[#This Row],[API]:[API_3]],'[1]Squirrel SQL Export 1'!$K:$N,[1]!Table1[[#This Row],[Doppio Notes2]])</f>
        <v>#REF!</v>
      </c>
      <c r="AD185" s="17"/>
      <c r="AE185" s="17" t="e" cm="1">
        <f t="array" ref="AE185">_xlfn.XLOOKUP(1,MappingGuide[[#This Row],[API]:[API_3]],'[1]Squirrel SQL Export 1'!$K:$N,[1]!Table1[[#This Row],[DG_required]])</f>
        <v>#REF!</v>
      </c>
      <c r="AF185" s="21" t="s">
        <v>1306</v>
      </c>
      <c r="AG185" s="21"/>
      <c r="AH185" s="22" t="e" cm="1">
        <f t="array" ref="AH185">_xlfn.LET(_xlpm.r,_xlfn.XLOOKUP(1,MappingGuide[[#This Row],[API]:[API_3]],'[1]Squirrel SQL Export 1'!$K:$N,[1]!Table1[[#This Row],[Pending Items]]),IF(_xlpm.r=0,"",_xlpm.r))</f>
        <v>#REF!</v>
      </c>
      <c r="AI185" s="22" t="e" cm="1">
        <f t="array" ref="AI185">_xlfn.LET(_xlpm.r,_xlfn.XLOOKUP(1,MappingGuide[[#This Row],[API]:[API_3]],'[1]Squirrel SQL Export 1'!$K:$N,[1]!Table1[[#This Row],[Syndigo Name]]),IF(_xlpm.r=0,"",_xlpm.r))</f>
        <v>#REF!</v>
      </c>
      <c r="AJ185" s="17"/>
    </row>
    <row r="186" spans="1:36" ht="17" hidden="1">
      <c r="A186" s="17">
        <v>184</v>
      </c>
      <c r="B186" s="17" t="s">
        <v>40</v>
      </c>
      <c r="C186" s="17" t="s">
        <v>823</v>
      </c>
      <c r="D186" s="17" t="s">
        <v>824</v>
      </c>
      <c r="E186" s="17" t="s">
        <v>33</v>
      </c>
      <c r="F186" s="17" t="s">
        <v>130</v>
      </c>
      <c r="G186" s="17"/>
      <c r="H186" s="17"/>
      <c r="I186" s="17" t="s">
        <v>57</v>
      </c>
      <c r="J186" s="17" t="s">
        <v>798</v>
      </c>
      <c r="K186" s="17"/>
      <c r="L186" s="17" t="s">
        <v>35</v>
      </c>
      <c r="M186" s="17" t="s">
        <v>146</v>
      </c>
      <c r="N186" s="17" t="s">
        <v>825</v>
      </c>
      <c r="O186" s="17"/>
      <c r="P186" s="17"/>
      <c r="Q186" s="17"/>
      <c r="R186" s="17"/>
      <c r="S186" s="17" t="e" cm="1">
        <f t="array" ref="S186">_xlfn.LET(_xlpm.r,_xlfn.XLOOKUP(1,MappingGuide[[#This Row],[API]:[API_3]],'[1]Squirrel SQL Export 1'!$K:$N,[1]!Table1[[#This Row],[Responsible from HJ]]),IF(_xlpm.r=0,"",_xlpm.r))</f>
        <v>#REF!</v>
      </c>
      <c r="T186" s="17"/>
      <c r="U186" s="17"/>
      <c r="V186" s="17" t="e" cm="1">
        <f t="array" ref="V186">_xlfn.LET(_xlpm.r,_xlfn.XLOOKUP(1,MappingGuide[[#This Row],[API]:[API_3]],'[1]Squirrel SQL Export 1'!$K:$N,[1]!Table1[[#This Row],[MDM Comments]]),IF(_xlpm.r=0,"",_xlpm.r))</f>
        <v>#REF!</v>
      </c>
      <c r="W186" s="17" t="e" cm="1">
        <f t="array" ref="W186">_xlfn.LET(_xlpm.r,_xlfn.XLOOKUP(1,MappingGuide[[#This Row],[API]:[API_3]],'[1]Squirrel SQL Export 1'!$K:$N,[1]!Table1[[#This Row],[Exists In Syndigo?]]),IF(_xlpm.r=0,"",_xlpm.r))</f>
        <v>#REF!</v>
      </c>
      <c r="X186" s="17" t="e" cm="1">
        <f t="array" ref="X186">_xlfn.LET(_xlpm.r,_xlfn.XLOOKUP(1,MappingGuide[[#This Row],[API]:[API_3]],'[1]Squirrel SQL Export 1'!$K:$N,[1]!Table1[[#This Row],[Syndigo Name]]),IF(_xlpm.r=0,"",_xlpm.r))</f>
        <v>#REF!</v>
      </c>
      <c r="Y186" s="17"/>
      <c r="Z186" s="17" t="s">
        <v>826</v>
      </c>
      <c r="AA186" s="17"/>
      <c r="AB186" s="17"/>
      <c r="AC186" s="17" t="e" cm="1">
        <f t="array" ref="AC186">_xlfn.XLOOKUP(1,MappingGuide[[#This Row],[API]:[API_3]],'[1]Squirrel SQL Export 1'!$K:$N,[1]!Table1[[#This Row],[Doppio Notes2]])</f>
        <v>#REF!</v>
      </c>
      <c r="AD186" s="17"/>
      <c r="AE186" s="17" t="e" cm="1">
        <f t="array" ref="AE186">_xlfn.XLOOKUP(1,MappingGuide[[#This Row],[API]:[API_3]],'[1]Squirrel SQL Export 1'!$K:$N,[1]!Table1[[#This Row],[DG_required]])</f>
        <v>#REF!</v>
      </c>
      <c r="AF186" s="21" t="s">
        <v>1306</v>
      </c>
      <c r="AG186" s="21"/>
      <c r="AH186" s="22" t="e" cm="1">
        <f t="array" ref="AH186">_xlfn.LET(_xlpm.r,_xlfn.XLOOKUP(1,MappingGuide[[#This Row],[API]:[API_3]],'[1]Squirrel SQL Export 1'!$K:$N,[1]!Table1[[#This Row],[Pending Items]]),IF(_xlpm.r=0,"",_xlpm.r))</f>
        <v>#REF!</v>
      </c>
      <c r="AI186" s="22" t="e" cm="1">
        <f t="array" ref="AI186">_xlfn.LET(_xlpm.r,_xlfn.XLOOKUP(1,MappingGuide[[#This Row],[API]:[API_3]],'[1]Squirrel SQL Export 1'!$K:$N,[1]!Table1[[#This Row],[Syndigo Name]]),IF(_xlpm.r=0,"",_xlpm.r))</f>
        <v>#REF!</v>
      </c>
      <c r="AJ186" s="17"/>
    </row>
    <row r="187" spans="1:36" ht="17" hidden="1">
      <c r="A187" s="17">
        <v>185</v>
      </c>
      <c r="B187" s="17" t="s">
        <v>40</v>
      </c>
      <c r="C187" s="17" t="s">
        <v>827</v>
      </c>
      <c r="D187" s="17" t="s">
        <v>815</v>
      </c>
      <c r="E187" s="17" t="s">
        <v>33</v>
      </c>
      <c r="F187" s="17" t="s">
        <v>828</v>
      </c>
      <c r="G187" s="17"/>
      <c r="H187" s="17"/>
      <c r="I187" s="17" t="s">
        <v>57</v>
      </c>
      <c r="J187" s="17" t="s">
        <v>798</v>
      </c>
      <c r="K187" s="17"/>
      <c r="L187" s="17"/>
      <c r="M187" s="17"/>
      <c r="N187" s="17" t="s">
        <v>829</v>
      </c>
      <c r="O187" s="17"/>
      <c r="P187" s="17"/>
      <c r="Q187" s="17"/>
      <c r="R187" s="17"/>
      <c r="S187" s="17" t="e" cm="1">
        <f t="array" ref="S187">_xlfn.LET(_xlpm.r,_xlfn.XLOOKUP(1,MappingGuide[[#This Row],[API]:[API_3]],'[1]Squirrel SQL Export 1'!$K:$N,[1]!Table1[[#This Row],[Responsible from HJ]]),IF(_xlpm.r=0,"",_xlpm.r))</f>
        <v>#REF!</v>
      </c>
      <c r="T187" s="17"/>
      <c r="U187" s="17"/>
      <c r="V187" s="17" t="e" cm="1">
        <f t="array" ref="V187">_xlfn.LET(_xlpm.r,_xlfn.XLOOKUP(1,MappingGuide[[#This Row],[API]:[API_3]],'[1]Squirrel SQL Export 1'!$K:$N,[1]!Table1[[#This Row],[MDM Comments]]),IF(_xlpm.r=0,"",_xlpm.r))</f>
        <v>#REF!</v>
      </c>
      <c r="W187" s="17" t="e" cm="1">
        <f t="array" ref="W187">_xlfn.LET(_xlpm.r,_xlfn.XLOOKUP(1,MappingGuide[[#This Row],[API]:[API_3]],'[1]Squirrel SQL Export 1'!$K:$N,[1]!Table1[[#This Row],[Exists In Syndigo?]]),IF(_xlpm.r=0,"",_xlpm.r))</f>
        <v>#REF!</v>
      </c>
      <c r="X187" s="17" t="e" cm="1">
        <f t="array" ref="X187">_xlfn.LET(_xlpm.r,_xlfn.XLOOKUP(1,MappingGuide[[#This Row],[API]:[API_3]],'[1]Squirrel SQL Export 1'!$K:$N,[1]!Table1[[#This Row],[Syndigo Name]]),IF(_xlpm.r=0,"",_xlpm.r))</f>
        <v>#REF!</v>
      </c>
      <c r="Y187" s="17"/>
      <c r="Z187" s="17" t="s">
        <v>830</v>
      </c>
      <c r="AA187" s="17"/>
      <c r="AB187" s="17"/>
      <c r="AC187" s="17" t="e" cm="1">
        <f t="array" ref="AC187">_xlfn.XLOOKUP(1,MappingGuide[[#This Row],[API]:[API_3]],'[1]Squirrel SQL Export 1'!$K:$N,[1]!Table1[[#This Row],[Doppio Notes2]])</f>
        <v>#REF!</v>
      </c>
      <c r="AD187" s="17"/>
      <c r="AE187" s="17" t="e" cm="1">
        <f t="array" ref="AE187">_xlfn.XLOOKUP(1,MappingGuide[[#This Row],[API]:[API_3]],'[1]Squirrel SQL Export 1'!$K:$N,[1]!Table1[[#This Row],[DG_required]])</f>
        <v>#REF!</v>
      </c>
      <c r="AF187" s="21" t="s">
        <v>1306</v>
      </c>
      <c r="AG187" s="21"/>
      <c r="AH187" s="22" t="e" cm="1">
        <f t="array" ref="AH187">_xlfn.LET(_xlpm.r,_xlfn.XLOOKUP(1,MappingGuide[[#This Row],[API]:[API_3]],'[1]Squirrel SQL Export 1'!$K:$N,[1]!Table1[[#This Row],[Pending Items]]),IF(_xlpm.r=0,"",_xlpm.r))</f>
        <v>#REF!</v>
      </c>
      <c r="AI187" s="22" t="e" cm="1">
        <f t="array" ref="AI187">_xlfn.LET(_xlpm.r,_xlfn.XLOOKUP(1,MappingGuide[[#This Row],[API]:[API_3]],'[1]Squirrel SQL Export 1'!$K:$N,[1]!Table1[[#This Row],[Syndigo Name]]),IF(_xlpm.r=0,"",_xlpm.r))</f>
        <v>#REF!</v>
      </c>
      <c r="AJ187" s="17"/>
    </row>
    <row r="188" spans="1:36" ht="17" hidden="1">
      <c r="A188" s="17">
        <v>186</v>
      </c>
      <c r="B188" s="17" t="s">
        <v>40</v>
      </c>
      <c r="C188" s="17" t="s">
        <v>831</v>
      </c>
      <c r="D188" s="17" t="s">
        <v>832</v>
      </c>
      <c r="E188" s="17" t="s">
        <v>33</v>
      </c>
      <c r="F188" s="17" t="s">
        <v>820</v>
      </c>
      <c r="G188" s="17"/>
      <c r="H188" s="17"/>
      <c r="I188" s="17" t="s">
        <v>57</v>
      </c>
      <c r="J188" s="17" t="s">
        <v>798</v>
      </c>
      <c r="K188" s="17"/>
      <c r="L188" s="17" t="s">
        <v>35</v>
      </c>
      <c r="M188" s="17" t="s">
        <v>146</v>
      </c>
      <c r="N188" s="17" t="s">
        <v>833</v>
      </c>
      <c r="O188" s="17"/>
      <c r="P188" s="17"/>
      <c r="Q188" s="17"/>
      <c r="R188" s="17"/>
      <c r="S188" s="17" t="e" cm="1">
        <f t="array" ref="S188">_xlfn.LET(_xlpm.r,_xlfn.XLOOKUP(1,MappingGuide[[#This Row],[API]:[API_3]],'[1]Squirrel SQL Export 1'!$K:$N,[1]!Table1[[#This Row],[Responsible from HJ]]),IF(_xlpm.r=0,"",_xlpm.r))</f>
        <v>#REF!</v>
      </c>
      <c r="T188" s="17"/>
      <c r="U188" s="17"/>
      <c r="V188" s="17" t="e" cm="1">
        <f t="array" ref="V188">_xlfn.LET(_xlpm.r,_xlfn.XLOOKUP(1,MappingGuide[[#This Row],[API]:[API_3]],'[1]Squirrel SQL Export 1'!$K:$N,[1]!Table1[[#This Row],[MDM Comments]]),IF(_xlpm.r=0,"",_xlpm.r))</f>
        <v>#REF!</v>
      </c>
      <c r="W188" s="17" t="e" cm="1">
        <f t="array" ref="W188">_xlfn.LET(_xlpm.r,_xlfn.XLOOKUP(1,MappingGuide[[#This Row],[API]:[API_3]],'[1]Squirrel SQL Export 1'!$K:$N,[1]!Table1[[#This Row],[Exists In Syndigo?]]),IF(_xlpm.r=0,"",_xlpm.r))</f>
        <v>#REF!</v>
      </c>
      <c r="X188" s="17" t="e" cm="1">
        <f t="array" ref="X188">_xlfn.LET(_xlpm.r,_xlfn.XLOOKUP(1,MappingGuide[[#This Row],[API]:[API_3]],'[1]Squirrel SQL Export 1'!$K:$N,[1]!Table1[[#This Row],[Syndigo Name]]),IF(_xlpm.r=0,"",_xlpm.r))</f>
        <v>#REF!</v>
      </c>
      <c r="Y188" s="17"/>
      <c r="Z188" s="17" t="s">
        <v>834</v>
      </c>
      <c r="AA188" s="17"/>
      <c r="AB188" s="17"/>
      <c r="AC188" s="17" t="e" cm="1">
        <f t="array" ref="AC188">_xlfn.XLOOKUP(1,MappingGuide[[#This Row],[API]:[API_3]],'[1]Squirrel SQL Export 1'!$K:$N,[1]!Table1[[#This Row],[Doppio Notes2]])</f>
        <v>#REF!</v>
      </c>
      <c r="AD188" s="17"/>
      <c r="AE188" s="17" t="e" cm="1">
        <f t="array" ref="AE188">_xlfn.XLOOKUP(1,MappingGuide[[#This Row],[API]:[API_3]],'[1]Squirrel SQL Export 1'!$K:$N,[1]!Table1[[#This Row],[DG_required]])</f>
        <v>#REF!</v>
      </c>
      <c r="AF188" s="21" t="s">
        <v>1306</v>
      </c>
      <c r="AG188" s="21"/>
      <c r="AH188" s="22" t="e" cm="1">
        <f t="array" ref="AH188">_xlfn.LET(_xlpm.r,_xlfn.XLOOKUP(1,MappingGuide[[#This Row],[API]:[API_3]],'[1]Squirrel SQL Export 1'!$K:$N,[1]!Table1[[#This Row],[Pending Items]]),IF(_xlpm.r=0,"",_xlpm.r))</f>
        <v>#REF!</v>
      </c>
      <c r="AI188" s="22" t="e" cm="1">
        <f t="array" ref="AI188">_xlfn.LET(_xlpm.r,_xlfn.XLOOKUP(1,MappingGuide[[#This Row],[API]:[API_3]],'[1]Squirrel SQL Export 1'!$K:$N,[1]!Table1[[#This Row],[Syndigo Name]]),IF(_xlpm.r=0,"",_xlpm.r))</f>
        <v>#REF!</v>
      </c>
      <c r="AJ188" s="17"/>
    </row>
    <row r="189" spans="1:36" ht="17" hidden="1">
      <c r="A189" s="17">
        <v>187</v>
      </c>
      <c r="B189" s="17" t="s">
        <v>40</v>
      </c>
      <c r="C189" s="17" t="s">
        <v>835</v>
      </c>
      <c r="D189" s="17" t="s">
        <v>836</v>
      </c>
      <c r="E189" s="17" t="s">
        <v>33</v>
      </c>
      <c r="F189" s="17" t="s">
        <v>820</v>
      </c>
      <c r="G189" s="17"/>
      <c r="H189" s="17"/>
      <c r="I189" s="17" t="s">
        <v>57</v>
      </c>
      <c r="J189" s="17" t="s">
        <v>798</v>
      </c>
      <c r="K189" s="17"/>
      <c r="L189" s="17"/>
      <c r="M189" s="17"/>
      <c r="N189" s="17" t="s">
        <v>837</v>
      </c>
      <c r="O189" s="17"/>
      <c r="P189" s="17"/>
      <c r="Q189" s="17"/>
      <c r="R189" s="17"/>
      <c r="S189" s="17" t="e" cm="1">
        <f t="array" ref="S189">_xlfn.LET(_xlpm.r,_xlfn.XLOOKUP(1,MappingGuide[[#This Row],[API]:[API_3]],'[1]Squirrel SQL Export 1'!$K:$N,[1]!Table1[[#This Row],[Responsible from HJ]]),IF(_xlpm.r=0,"",_xlpm.r))</f>
        <v>#REF!</v>
      </c>
      <c r="T189" s="17"/>
      <c r="U189" s="17"/>
      <c r="V189" s="17" t="e" cm="1">
        <f t="array" ref="V189">_xlfn.LET(_xlpm.r,_xlfn.XLOOKUP(1,MappingGuide[[#This Row],[API]:[API_3]],'[1]Squirrel SQL Export 1'!$K:$N,[1]!Table1[[#This Row],[MDM Comments]]),IF(_xlpm.r=0,"",_xlpm.r))</f>
        <v>#REF!</v>
      </c>
      <c r="W189" s="17" t="e" cm="1">
        <f t="array" ref="W189">_xlfn.LET(_xlpm.r,_xlfn.XLOOKUP(1,MappingGuide[[#This Row],[API]:[API_3]],'[1]Squirrel SQL Export 1'!$K:$N,[1]!Table1[[#This Row],[Exists In Syndigo?]]),IF(_xlpm.r=0,"",_xlpm.r))</f>
        <v>#REF!</v>
      </c>
      <c r="X189" s="17" t="e" cm="1">
        <f t="array" ref="X189">_xlfn.LET(_xlpm.r,_xlfn.XLOOKUP(1,MappingGuide[[#This Row],[API]:[API_3]],'[1]Squirrel SQL Export 1'!$K:$N,[1]!Table1[[#This Row],[Syndigo Name]]),IF(_xlpm.r=0,"",_xlpm.r))</f>
        <v>#REF!</v>
      </c>
      <c r="Y189" s="17"/>
      <c r="Z189" s="17" t="s">
        <v>838</v>
      </c>
      <c r="AA189" s="17"/>
      <c r="AB189" s="17"/>
      <c r="AC189" s="17" t="e" cm="1">
        <f t="array" ref="AC189">_xlfn.XLOOKUP(1,MappingGuide[[#This Row],[API]:[API_3]],'[1]Squirrel SQL Export 1'!$K:$N,[1]!Table1[[#This Row],[Doppio Notes2]])</f>
        <v>#REF!</v>
      </c>
      <c r="AD189" s="17"/>
      <c r="AE189" s="17" t="e" cm="1">
        <f t="array" ref="AE189">_xlfn.XLOOKUP(1,MappingGuide[[#This Row],[API]:[API_3]],'[1]Squirrel SQL Export 1'!$K:$N,[1]!Table1[[#This Row],[DG_required]])</f>
        <v>#REF!</v>
      </c>
      <c r="AF189" s="21" t="s">
        <v>1306</v>
      </c>
      <c r="AG189" s="21"/>
      <c r="AH189" s="22" t="e" cm="1">
        <f t="array" ref="AH189">_xlfn.LET(_xlpm.r,_xlfn.XLOOKUP(1,MappingGuide[[#This Row],[API]:[API_3]],'[1]Squirrel SQL Export 1'!$K:$N,[1]!Table1[[#This Row],[Pending Items]]),IF(_xlpm.r=0,"",_xlpm.r))</f>
        <v>#REF!</v>
      </c>
      <c r="AI189" s="22" t="e" cm="1">
        <f t="array" ref="AI189">_xlfn.LET(_xlpm.r,_xlfn.XLOOKUP(1,MappingGuide[[#This Row],[API]:[API_3]],'[1]Squirrel SQL Export 1'!$K:$N,[1]!Table1[[#This Row],[Syndigo Name]]),IF(_xlpm.r=0,"",_xlpm.r))</f>
        <v>#REF!</v>
      </c>
      <c r="AJ189" s="17"/>
    </row>
    <row r="190" spans="1:36" ht="17" hidden="1">
      <c r="A190" s="17">
        <v>188</v>
      </c>
      <c r="B190" s="17" t="s">
        <v>40</v>
      </c>
      <c r="C190" s="17" t="s">
        <v>839</v>
      </c>
      <c r="D190" s="17" t="s">
        <v>840</v>
      </c>
      <c r="E190" s="17" t="s">
        <v>43</v>
      </c>
      <c r="F190" s="17" t="s">
        <v>34</v>
      </c>
      <c r="G190" s="17"/>
      <c r="H190" s="17"/>
      <c r="I190" s="17" t="s">
        <v>57</v>
      </c>
      <c r="J190" s="17" t="s">
        <v>798</v>
      </c>
      <c r="K190" s="17"/>
      <c r="L190" s="17" t="s">
        <v>35</v>
      </c>
      <c r="M190" s="17" t="s">
        <v>146</v>
      </c>
      <c r="N190" s="17" t="s">
        <v>841</v>
      </c>
      <c r="O190" s="17"/>
      <c r="P190" s="17"/>
      <c r="Q190" s="17"/>
      <c r="R190" s="17"/>
      <c r="S190" s="17" t="e" cm="1">
        <f t="array" ref="S190">_xlfn.LET(_xlpm.r,_xlfn.XLOOKUP(1,MappingGuide[[#This Row],[API]:[API_3]],'[1]Squirrel SQL Export 1'!$K:$N,[1]!Table1[[#This Row],[Responsible from HJ]]),IF(_xlpm.r=0,"",_xlpm.r))</f>
        <v>#REF!</v>
      </c>
      <c r="T190" s="17"/>
      <c r="U190" s="17"/>
      <c r="V190" s="17" t="e" cm="1">
        <f t="array" ref="V190">_xlfn.LET(_xlpm.r,_xlfn.XLOOKUP(1,MappingGuide[[#This Row],[API]:[API_3]],'[1]Squirrel SQL Export 1'!$K:$N,[1]!Table1[[#This Row],[MDM Comments]]),IF(_xlpm.r=0,"",_xlpm.r))</f>
        <v>#REF!</v>
      </c>
      <c r="W190" s="17" t="e" cm="1">
        <f t="array" ref="W190">_xlfn.LET(_xlpm.r,_xlfn.XLOOKUP(1,MappingGuide[[#This Row],[API]:[API_3]],'[1]Squirrel SQL Export 1'!$K:$N,[1]!Table1[[#This Row],[Exists In Syndigo?]]),IF(_xlpm.r=0,"",_xlpm.r))</f>
        <v>#REF!</v>
      </c>
      <c r="X190" s="17" t="e" cm="1">
        <f t="array" ref="X190">_xlfn.LET(_xlpm.r,_xlfn.XLOOKUP(1,MappingGuide[[#This Row],[API]:[API_3]],'[1]Squirrel SQL Export 1'!$K:$N,[1]!Table1[[#This Row],[Syndigo Name]]),IF(_xlpm.r=0,"",_xlpm.r))</f>
        <v>#REF!</v>
      </c>
      <c r="Y190" s="17"/>
      <c r="Z190" s="17" t="s">
        <v>842</v>
      </c>
      <c r="AA190" s="17"/>
      <c r="AB190" s="17"/>
      <c r="AC190" s="17" t="e" cm="1">
        <f t="array" ref="AC190">_xlfn.XLOOKUP(1,MappingGuide[[#This Row],[API]:[API_3]],'[1]Squirrel SQL Export 1'!$K:$N,[1]!Table1[[#This Row],[Doppio Notes2]])</f>
        <v>#REF!</v>
      </c>
      <c r="AD190" s="17"/>
      <c r="AE190" s="17" t="e" cm="1">
        <f t="array" ref="AE190">_xlfn.XLOOKUP(1,MappingGuide[[#This Row],[API]:[API_3]],'[1]Squirrel SQL Export 1'!$K:$N,[1]!Table1[[#This Row],[DG_required]])</f>
        <v>#REF!</v>
      </c>
      <c r="AF190" s="21" t="s">
        <v>1290</v>
      </c>
      <c r="AG190" s="21"/>
      <c r="AH190" s="22" t="e" cm="1">
        <f t="array" ref="AH190">_xlfn.LET(_xlpm.r,_xlfn.XLOOKUP(1,MappingGuide[[#This Row],[API]:[API_3]],'[1]Squirrel SQL Export 1'!$K:$N,[1]!Table1[[#This Row],[Pending Items]]),IF(_xlpm.r=0,"",_xlpm.r))</f>
        <v>#REF!</v>
      </c>
      <c r="AI190" s="22" t="e" cm="1">
        <f t="array" ref="AI190">_xlfn.LET(_xlpm.r,_xlfn.XLOOKUP(1,MappingGuide[[#This Row],[API]:[API_3]],'[1]Squirrel SQL Export 1'!$K:$N,[1]!Table1[[#This Row],[Syndigo Name]]),IF(_xlpm.r=0,"",_xlpm.r))</f>
        <v>#REF!</v>
      </c>
      <c r="AJ190" s="17"/>
    </row>
    <row r="191" spans="1:36" ht="17" hidden="1">
      <c r="A191" s="17">
        <v>189</v>
      </c>
      <c r="B191" s="17" t="s">
        <v>40</v>
      </c>
      <c r="C191" s="17" t="s">
        <v>843</v>
      </c>
      <c r="D191" s="17" t="s">
        <v>844</v>
      </c>
      <c r="E191" s="17" t="s">
        <v>43</v>
      </c>
      <c r="F191" s="17" t="s">
        <v>34</v>
      </c>
      <c r="G191" s="17"/>
      <c r="H191" s="17"/>
      <c r="I191" s="17" t="s">
        <v>57</v>
      </c>
      <c r="J191" s="17" t="s">
        <v>798</v>
      </c>
      <c r="K191" s="17"/>
      <c r="L191" s="17" t="s">
        <v>35</v>
      </c>
      <c r="M191" s="17" t="s">
        <v>146</v>
      </c>
      <c r="N191" s="17" t="s">
        <v>845</v>
      </c>
      <c r="O191" s="17"/>
      <c r="P191" s="17"/>
      <c r="Q191" s="17"/>
      <c r="R191" s="17"/>
      <c r="S191" s="17" t="e" cm="1">
        <f t="array" ref="S191">_xlfn.LET(_xlpm.r,_xlfn.XLOOKUP(1,MappingGuide[[#This Row],[API]:[API_3]],'[1]Squirrel SQL Export 1'!$K:$N,[1]!Table1[[#This Row],[Responsible from HJ]]),IF(_xlpm.r=0,"",_xlpm.r))</f>
        <v>#REF!</v>
      </c>
      <c r="T191" s="17"/>
      <c r="U191" s="17"/>
      <c r="V191" s="17" t="e" cm="1">
        <f t="array" ref="V191">_xlfn.LET(_xlpm.r,_xlfn.XLOOKUP(1,MappingGuide[[#This Row],[API]:[API_3]],'[1]Squirrel SQL Export 1'!$K:$N,[1]!Table1[[#This Row],[MDM Comments]]),IF(_xlpm.r=0,"",_xlpm.r))</f>
        <v>#REF!</v>
      </c>
      <c r="W191" s="17" t="e" cm="1">
        <f t="array" ref="W191">_xlfn.LET(_xlpm.r,_xlfn.XLOOKUP(1,MappingGuide[[#This Row],[API]:[API_3]],'[1]Squirrel SQL Export 1'!$K:$N,[1]!Table1[[#This Row],[Exists In Syndigo?]]),IF(_xlpm.r=0,"",_xlpm.r))</f>
        <v>#REF!</v>
      </c>
      <c r="X191" s="17" t="e" cm="1">
        <f t="array" ref="X191">_xlfn.LET(_xlpm.r,_xlfn.XLOOKUP(1,MappingGuide[[#This Row],[API]:[API_3]],'[1]Squirrel SQL Export 1'!$K:$N,[1]!Table1[[#This Row],[Syndigo Name]]),IF(_xlpm.r=0,"",_xlpm.r))</f>
        <v>#REF!</v>
      </c>
      <c r="Y191" s="17"/>
      <c r="Z191" s="17" t="s">
        <v>846</v>
      </c>
      <c r="AA191" s="17"/>
      <c r="AB191" s="17"/>
      <c r="AC191" s="17" t="e" cm="1">
        <f t="array" ref="AC191">_xlfn.XLOOKUP(1,MappingGuide[[#This Row],[API]:[API_3]],'[1]Squirrel SQL Export 1'!$K:$N,[1]!Table1[[#This Row],[Doppio Notes2]])</f>
        <v>#REF!</v>
      </c>
      <c r="AD191" s="17"/>
      <c r="AE191" s="17" t="e" cm="1">
        <f t="array" ref="AE191">_xlfn.XLOOKUP(1,MappingGuide[[#This Row],[API]:[API_3]],'[1]Squirrel SQL Export 1'!$K:$N,[1]!Table1[[#This Row],[DG_required]])</f>
        <v>#REF!</v>
      </c>
      <c r="AF191" s="21" t="s">
        <v>1290</v>
      </c>
      <c r="AG191" s="21"/>
      <c r="AH191" s="22" t="e" cm="1">
        <f t="array" ref="AH191">_xlfn.LET(_xlpm.r,_xlfn.XLOOKUP(1,MappingGuide[[#This Row],[API]:[API_3]],'[1]Squirrel SQL Export 1'!$K:$N,[1]!Table1[[#This Row],[Pending Items]]),IF(_xlpm.r=0,"",_xlpm.r))</f>
        <v>#REF!</v>
      </c>
      <c r="AI191" s="22" t="e" cm="1">
        <f t="array" ref="AI191">_xlfn.LET(_xlpm.r,_xlfn.XLOOKUP(1,MappingGuide[[#This Row],[API]:[API_3]],'[1]Squirrel SQL Export 1'!$K:$N,[1]!Table1[[#This Row],[Syndigo Name]]),IF(_xlpm.r=0,"",_xlpm.r))</f>
        <v>#REF!</v>
      </c>
      <c r="AJ191" s="17"/>
    </row>
    <row r="192" spans="1:36" ht="17" hidden="1">
      <c r="A192" s="17">
        <v>190</v>
      </c>
      <c r="B192" s="17" t="s">
        <v>40</v>
      </c>
      <c r="C192" s="17" t="s">
        <v>847</v>
      </c>
      <c r="D192" s="17" t="s">
        <v>848</v>
      </c>
      <c r="E192" s="17" t="s">
        <v>43</v>
      </c>
      <c r="F192" s="17" t="s">
        <v>80</v>
      </c>
      <c r="G192" s="17"/>
      <c r="H192" s="17"/>
      <c r="I192" s="17" t="s">
        <v>57</v>
      </c>
      <c r="J192" s="17" t="s">
        <v>798</v>
      </c>
      <c r="K192" s="17"/>
      <c r="L192" s="17"/>
      <c r="M192" s="17"/>
      <c r="N192" s="17" t="s">
        <v>849</v>
      </c>
      <c r="O192" s="17"/>
      <c r="P192" s="17"/>
      <c r="Q192" s="17"/>
      <c r="R192" s="17"/>
      <c r="S192" s="17" t="e" cm="1">
        <f t="array" ref="S192">_xlfn.LET(_xlpm.r,_xlfn.XLOOKUP(1,MappingGuide[[#This Row],[API]:[API_3]],'[1]Squirrel SQL Export 1'!$K:$N,[1]!Table1[[#This Row],[Responsible from HJ]]),IF(_xlpm.r=0,"",_xlpm.r))</f>
        <v>#REF!</v>
      </c>
      <c r="T192" s="17"/>
      <c r="U192" s="17"/>
      <c r="V192" s="17" t="e" cm="1">
        <f t="array" ref="V192">_xlfn.LET(_xlpm.r,_xlfn.XLOOKUP(1,MappingGuide[[#This Row],[API]:[API_3]],'[1]Squirrel SQL Export 1'!$K:$N,[1]!Table1[[#This Row],[MDM Comments]]),IF(_xlpm.r=0,"",_xlpm.r))</f>
        <v>#REF!</v>
      </c>
      <c r="W192" s="17" t="e" cm="1">
        <f t="array" ref="W192">_xlfn.LET(_xlpm.r,_xlfn.XLOOKUP(1,MappingGuide[[#This Row],[API]:[API_3]],'[1]Squirrel SQL Export 1'!$K:$N,[1]!Table1[[#This Row],[Exists In Syndigo?]]),IF(_xlpm.r=0,"",_xlpm.r))</f>
        <v>#REF!</v>
      </c>
      <c r="X192" s="17" t="e" cm="1">
        <f t="array" ref="X192">_xlfn.LET(_xlpm.r,_xlfn.XLOOKUP(1,MappingGuide[[#This Row],[API]:[API_3]],'[1]Squirrel SQL Export 1'!$K:$N,[1]!Table1[[#This Row],[Syndigo Name]]),IF(_xlpm.r=0,"",_xlpm.r))</f>
        <v>#REF!</v>
      </c>
      <c r="Y192" s="17"/>
      <c r="Z192" s="17" t="s">
        <v>850</v>
      </c>
      <c r="AA192" s="17" t="s">
        <v>851</v>
      </c>
      <c r="AB192" s="17"/>
      <c r="AC192" s="17" t="e" cm="1">
        <f t="array" ref="AC192">_xlfn.XLOOKUP(1,MappingGuide[[#This Row],[API]:[API_3]],'[1]Squirrel SQL Export 1'!$K:$N,[1]!Table1[[#This Row],[Doppio Notes2]])</f>
        <v>#REF!</v>
      </c>
      <c r="AD192" s="17"/>
      <c r="AE192" s="17" t="e" cm="1">
        <f t="array" ref="AE192">_xlfn.XLOOKUP(1,MappingGuide[[#This Row],[API]:[API_3]],'[1]Squirrel SQL Export 1'!$K:$N,[1]!Table1[[#This Row],[DG_required]])</f>
        <v>#REF!</v>
      </c>
      <c r="AF192" s="21" t="s">
        <v>1290</v>
      </c>
      <c r="AG192" s="21"/>
      <c r="AH192" s="22" t="e" cm="1">
        <f t="array" ref="AH192">_xlfn.LET(_xlpm.r,_xlfn.XLOOKUP(1,MappingGuide[[#This Row],[API]:[API_3]],'[1]Squirrel SQL Export 1'!$K:$N,[1]!Table1[[#This Row],[Pending Items]]),IF(_xlpm.r=0,"",_xlpm.r))</f>
        <v>#REF!</v>
      </c>
      <c r="AI192" s="22" t="e" cm="1">
        <f t="array" ref="AI192">_xlfn.LET(_xlpm.r,_xlfn.XLOOKUP(1,MappingGuide[[#This Row],[API]:[API_3]],'[1]Squirrel SQL Export 1'!$K:$N,[1]!Table1[[#This Row],[Syndigo Name]]),IF(_xlpm.r=0,"",_xlpm.r))</f>
        <v>#REF!</v>
      </c>
      <c r="AJ192" s="17"/>
    </row>
    <row r="193" spans="1:36" ht="17" hidden="1">
      <c r="A193" s="17">
        <v>191</v>
      </c>
      <c r="B193" s="17" t="s">
        <v>40</v>
      </c>
      <c r="C193" s="17" t="s">
        <v>852</v>
      </c>
      <c r="D193" s="17" t="s">
        <v>853</v>
      </c>
      <c r="E193" s="17" t="s">
        <v>43</v>
      </c>
      <c r="F193" s="17" t="s">
        <v>373</v>
      </c>
      <c r="G193" s="17"/>
      <c r="H193" s="17"/>
      <c r="I193" s="17" t="s">
        <v>57</v>
      </c>
      <c r="J193" s="17" t="s">
        <v>798</v>
      </c>
      <c r="K193" s="17"/>
      <c r="L193" s="17"/>
      <c r="M193" s="17"/>
      <c r="N193" s="17" t="s">
        <v>854</v>
      </c>
      <c r="O193" s="17"/>
      <c r="P193" s="17"/>
      <c r="Q193" s="17"/>
      <c r="R193" s="17"/>
      <c r="S193" s="17" t="e" cm="1">
        <f t="array" ref="S193">_xlfn.LET(_xlpm.r,_xlfn.XLOOKUP(1,MappingGuide[[#This Row],[API]:[API_3]],'[1]Squirrel SQL Export 1'!$K:$N,[1]!Table1[[#This Row],[Responsible from HJ]]),IF(_xlpm.r=0,"",_xlpm.r))</f>
        <v>#REF!</v>
      </c>
      <c r="T193" s="17"/>
      <c r="U193" s="17"/>
      <c r="V193" s="17" t="e" cm="1">
        <f t="array" ref="V193">_xlfn.LET(_xlpm.r,_xlfn.XLOOKUP(1,MappingGuide[[#This Row],[API]:[API_3]],'[1]Squirrel SQL Export 1'!$K:$N,[1]!Table1[[#This Row],[MDM Comments]]),IF(_xlpm.r=0,"",_xlpm.r))</f>
        <v>#REF!</v>
      </c>
      <c r="W193" s="17" t="e" cm="1">
        <f t="array" ref="W193">_xlfn.LET(_xlpm.r,_xlfn.XLOOKUP(1,MappingGuide[[#This Row],[API]:[API_3]],'[1]Squirrel SQL Export 1'!$K:$N,[1]!Table1[[#This Row],[Exists In Syndigo?]]),IF(_xlpm.r=0,"",_xlpm.r))</f>
        <v>#REF!</v>
      </c>
      <c r="X193" s="17" t="e" cm="1">
        <f t="array" ref="X193">_xlfn.LET(_xlpm.r,_xlfn.XLOOKUP(1,MappingGuide[[#This Row],[API]:[API_3]],'[1]Squirrel SQL Export 1'!$K:$N,[1]!Table1[[#This Row],[Syndigo Name]]),IF(_xlpm.r=0,"",_xlpm.r))</f>
        <v>#REF!</v>
      </c>
      <c r="Y193" s="17"/>
      <c r="Z193" s="17" t="s">
        <v>855</v>
      </c>
      <c r="AA193" s="17"/>
      <c r="AB193" s="17"/>
      <c r="AC193" s="17" t="e" cm="1">
        <f t="array" ref="AC193">_xlfn.XLOOKUP(1,MappingGuide[[#This Row],[API]:[API_3]],'[1]Squirrel SQL Export 1'!$K:$N,[1]!Table1[[#This Row],[Doppio Notes2]])</f>
        <v>#REF!</v>
      </c>
      <c r="AD193" s="17"/>
      <c r="AE193" s="17" t="e" cm="1">
        <f t="array" ref="AE193">_xlfn.XLOOKUP(1,MappingGuide[[#This Row],[API]:[API_3]],'[1]Squirrel SQL Export 1'!$K:$N,[1]!Table1[[#This Row],[DG_required]])</f>
        <v>#REF!</v>
      </c>
      <c r="AF193" s="21" t="s">
        <v>1290</v>
      </c>
      <c r="AG193" s="21"/>
      <c r="AH193" s="22" t="e" cm="1">
        <f t="array" ref="AH193">_xlfn.LET(_xlpm.r,_xlfn.XLOOKUP(1,MappingGuide[[#This Row],[API]:[API_3]],'[1]Squirrel SQL Export 1'!$K:$N,[1]!Table1[[#This Row],[Pending Items]]),IF(_xlpm.r=0,"",_xlpm.r))</f>
        <v>#REF!</v>
      </c>
      <c r="AI193" s="22" t="e" cm="1">
        <f t="array" ref="AI193">_xlfn.LET(_xlpm.r,_xlfn.XLOOKUP(1,MappingGuide[[#This Row],[API]:[API_3]],'[1]Squirrel SQL Export 1'!$K:$N,[1]!Table1[[#This Row],[Syndigo Name]]),IF(_xlpm.r=0,"",_xlpm.r))</f>
        <v>#REF!</v>
      </c>
      <c r="AJ193" s="17"/>
    </row>
    <row r="194" spans="1:36" ht="17" hidden="1">
      <c r="A194" s="17">
        <v>192</v>
      </c>
      <c r="B194" s="17" t="s">
        <v>40</v>
      </c>
      <c r="C194" s="17" t="s">
        <v>856</v>
      </c>
      <c r="D194" s="17" t="s">
        <v>857</v>
      </c>
      <c r="E194" s="17" t="s">
        <v>43</v>
      </c>
      <c r="F194" s="17" t="s">
        <v>34</v>
      </c>
      <c r="G194" s="17"/>
      <c r="H194" s="17"/>
      <c r="I194" s="17" t="s">
        <v>57</v>
      </c>
      <c r="J194" s="17" t="s">
        <v>798</v>
      </c>
      <c r="K194" s="17"/>
      <c r="L194" s="17"/>
      <c r="M194" s="17"/>
      <c r="N194" s="17" t="s">
        <v>858</v>
      </c>
      <c r="O194" s="17"/>
      <c r="P194" s="17"/>
      <c r="Q194" s="17"/>
      <c r="R194" s="17"/>
      <c r="S194" s="17" t="e" cm="1">
        <f t="array" ref="S194">_xlfn.LET(_xlpm.r,_xlfn.XLOOKUP(1,MappingGuide[[#This Row],[API]:[API_3]],'[1]Squirrel SQL Export 1'!$K:$N,[1]!Table1[[#This Row],[Responsible from HJ]]),IF(_xlpm.r=0,"",_xlpm.r))</f>
        <v>#REF!</v>
      </c>
      <c r="T194" s="17"/>
      <c r="U194" s="17"/>
      <c r="V194" s="17" t="e" cm="1">
        <f t="array" ref="V194">_xlfn.LET(_xlpm.r,_xlfn.XLOOKUP(1,MappingGuide[[#This Row],[API]:[API_3]],'[1]Squirrel SQL Export 1'!$K:$N,[1]!Table1[[#This Row],[MDM Comments]]),IF(_xlpm.r=0,"",_xlpm.r))</f>
        <v>#REF!</v>
      </c>
      <c r="W194" s="17" t="e" cm="1">
        <f t="array" ref="W194">_xlfn.LET(_xlpm.r,_xlfn.XLOOKUP(1,MappingGuide[[#This Row],[API]:[API_3]],'[1]Squirrel SQL Export 1'!$K:$N,[1]!Table1[[#This Row],[Exists In Syndigo?]]),IF(_xlpm.r=0,"",_xlpm.r))</f>
        <v>#REF!</v>
      </c>
      <c r="X194" s="17" t="e" cm="1">
        <f t="array" ref="X194">_xlfn.LET(_xlpm.r,_xlfn.XLOOKUP(1,MappingGuide[[#This Row],[API]:[API_3]],'[1]Squirrel SQL Export 1'!$K:$N,[1]!Table1[[#This Row],[Syndigo Name]]),IF(_xlpm.r=0,"",_xlpm.r))</f>
        <v>#REF!</v>
      </c>
      <c r="Y194" s="17"/>
      <c r="Z194" s="17" t="s">
        <v>859</v>
      </c>
      <c r="AA194" s="17"/>
      <c r="AB194" s="17"/>
      <c r="AC194" s="17" t="e" cm="1">
        <f t="array" ref="AC194">_xlfn.XLOOKUP(1,MappingGuide[[#This Row],[API]:[API_3]],'[1]Squirrel SQL Export 1'!$K:$N,[1]!Table1[[#This Row],[Doppio Notes2]])</f>
        <v>#REF!</v>
      </c>
      <c r="AD194" s="17"/>
      <c r="AE194" s="17" t="e" cm="1">
        <f t="array" ref="AE194">_xlfn.XLOOKUP(1,MappingGuide[[#This Row],[API]:[API_3]],'[1]Squirrel SQL Export 1'!$K:$N,[1]!Table1[[#This Row],[DG_required]])</f>
        <v>#REF!</v>
      </c>
      <c r="AF194" s="21" t="s">
        <v>1290</v>
      </c>
      <c r="AG194" s="21"/>
      <c r="AH194" s="22" t="e" cm="1">
        <f t="array" ref="AH194">_xlfn.LET(_xlpm.r,_xlfn.XLOOKUP(1,MappingGuide[[#This Row],[API]:[API_3]],'[1]Squirrel SQL Export 1'!$K:$N,[1]!Table1[[#This Row],[Pending Items]]),IF(_xlpm.r=0,"",_xlpm.r))</f>
        <v>#REF!</v>
      </c>
      <c r="AI194" s="22" t="e" cm="1">
        <f t="array" ref="AI194">_xlfn.LET(_xlpm.r,_xlfn.XLOOKUP(1,MappingGuide[[#This Row],[API]:[API_3]],'[1]Squirrel SQL Export 1'!$K:$N,[1]!Table1[[#This Row],[Syndigo Name]]),IF(_xlpm.r=0,"",_xlpm.r))</f>
        <v>#REF!</v>
      </c>
      <c r="AJ194" s="17"/>
    </row>
    <row r="195" spans="1:36" ht="18" hidden="1">
      <c r="A195" s="17">
        <v>193</v>
      </c>
      <c r="B195" s="17" t="s">
        <v>40</v>
      </c>
      <c r="C195" s="17" t="s">
        <v>860</v>
      </c>
      <c r="D195" s="17" t="s">
        <v>861</v>
      </c>
      <c r="E195" s="17" t="s">
        <v>33</v>
      </c>
      <c r="F195" s="17" t="s">
        <v>34</v>
      </c>
      <c r="G195" s="17"/>
      <c r="H195" s="17"/>
      <c r="I195" s="17" t="s">
        <v>57</v>
      </c>
      <c r="J195" s="17" t="s">
        <v>145</v>
      </c>
      <c r="K195" s="17"/>
      <c r="L195" s="17" t="s">
        <v>35</v>
      </c>
      <c r="M195" s="17" t="s">
        <v>73</v>
      </c>
      <c r="N195" s="17" t="s">
        <v>862</v>
      </c>
      <c r="O195" s="17"/>
      <c r="P195" s="17"/>
      <c r="Q195" s="17"/>
      <c r="R195" s="17"/>
      <c r="S195" s="17" t="e" cm="1">
        <f t="array" ref="S195">_xlfn.LET(_xlpm.r,_xlfn.XLOOKUP(1,MappingGuide[[#This Row],[API]:[API_3]],'[1]Squirrel SQL Export 1'!$K:$N,[1]!Table1[[#This Row],[Responsible from HJ]]),IF(_xlpm.r=0,"",_xlpm.r))</f>
        <v>#REF!</v>
      </c>
      <c r="T195" s="17"/>
      <c r="U195" s="17"/>
      <c r="V195" s="17" t="e" cm="1">
        <f t="array" ref="V195">_xlfn.LET(_xlpm.r,_xlfn.XLOOKUP(1,MappingGuide[[#This Row],[API]:[API_3]],'[1]Squirrel SQL Export 1'!$K:$N,[1]!Table1[[#This Row],[MDM Comments]]),IF(_xlpm.r=0,"",_xlpm.r))</f>
        <v>#REF!</v>
      </c>
      <c r="W195" s="17" t="e" cm="1">
        <f t="array" ref="W195">_xlfn.LET(_xlpm.r,_xlfn.XLOOKUP(1,MappingGuide[[#This Row],[API]:[API_3]],'[1]Squirrel SQL Export 1'!$K:$N,[1]!Table1[[#This Row],[Exists In Syndigo?]]),IF(_xlpm.r=0,"",_xlpm.r))</f>
        <v>#REF!</v>
      </c>
      <c r="X195" s="17" t="e" cm="1">
        <f t="array" ref="X195">_xlfn.LET(_xlpm.r,_xlfn.XLOOKUP(1,MappingGuide[[#This Row],[API]:[API_3]],'[1]Squirrel SQL Export 1'!$K:$N,[1]!Table1[[#This Row],[Syndigo Name]]),IF(_xlpm.r=0,"",_xlpm.r))</f>
        <v>#REF!</v>
      </c>
      <c r="Y195" s="17"/>
      <c r="Z195" s="17" t="s">
        <v>863</v>
      </c>
      <c r="AA195" s="17"/>
      <c r="AB195" s="17"/>
      <c r="AC195" s="17" t="e" cm="1">
        <f t="array" ref="AC195">_xlfn.XLOOKUP(1,MappingGuide[[#This Row],[API]:[API_3]],'[1]Squirrel SQL Export 1'!$K:$N,[1]!Table1[[#This Row],[Doppio Notes2]])</f>
        <v>#REF!</v>
      </c>
      <c r="AD195" s="17" t="s">
        <v>1279</v>
      </c>
      <c r="AE195" s="17" t="e" cm="1">
        <f t="array" ref="AE195">_xlfn.XLOOKUP(1,MappingGuide[[#This Row],[API]:[API_3]],'[1]Squirrel SQL Export 1'!$K:$N,[1]!Table1[[#This Row],[DG_required]])</f>
        <v>#REF!</v>
      </c>
      <c r="AF195" s="21" t="s">
        <v>1306</v>
      </c>
      <c r="AG195" s="21"/>
      <c r="AH195" s="24" t="e" cm="1">
        <f t="array" ref="AH195">_xlfn.LET(_xlpm.r,_xlfn.XLOOKUP(1,MappingGuide[[#This Row],[API]:[API_3]],'[1]Squirrel SQL Export 1'!$K:$N,[1]!Table1[[#This Row],[Pending Items]]),IF(_xlpm.r=0,"",_xlpm.r))</f>
        <v>#REF!</v>
      </c>
      <c r="AI195" s="22" t="e" cm="1">
        <f t="array" ref="AI195">_xlfn.LET(_xlpm.r,_xlfn.XLOOKUP(1,MappingGuide[[#This Row],[API]:[API_3]],'[1]Squirrel SQL Export 1'!$K:$N,[1]!Table1[[#This Row],[Syndigo Name]]),IF(_xlpm.r=0,"",_xlpm.r))</f>
        <v>#REF!</v>
      </c>
      <c r="AJ195" s="17"/>
    </row>
    <row r="196" spans="1:36" ht="17" hidden="1">
      <c r="A196" s="17">
        <v>194</v>
      </c>
      <c r="B196" s="17" t="s">
        <v>40</v>
      </c>
      <c r="C196" s="17" t="s">
        <v>864</v>
      </c>
      <c r="D196" s="17" t="s">
        <v>865</v>
      </c>
      <c r="E196" s="17" t="s">
        <v>33</v>
      </c>
      <c r="F196" s="17" t="s">
        <v>866</v>
      </c>
      <c r="G196" s="17"/>
      <c r="H196" s="17"/>
      <c r="I196" s="17"/>
      <c r="J196" s="17"/>
      <c r="K196" s="17"/>
      <c r="L196" s="17" t="s">
        <v>35</v>
      </c>
      <c r="M196" s="17" t="s">
        <v>36</v>
      </c>
      <c r="N196" s="17" t="s">
        <v>867</v>
      </c>
      <c r="O196" s="17"/>
      <c r="P196" s="17" t="s">
        <v>67</v>
      </c>
      <c r="Q196" s="17"/>
      <c r="R196" s="17"/>
      <c r="S196" s="17" t="e" cm="1">
        <f t="array" ref="S196">_xlfn.LET(_xlpm.r,_xlfn.XLOOKUP(1,MappingGuide[[#This Row],[API]:[API_3]],'[1]Squirrel SQL Export 1'!$K:$N,[1]!Table1[[#This Row],[Responsible from HJ]]),IF(_xlpm.r=0,"",_xlpm.r))</f>
        <v>#REF!</v>
      </c>
      <c r="T196" s="17"/>
      <c r="U196" s="17"/>
      <c r="V196" s="17" t="e" cm="1">
        <f t="array" ref="V196">_xlfn.LET(_xlpm.r,_xlfn.XLOOKUP(1,MappingGuide[[#This Row],[API]:[API_3]],'[1]Squirrel SQL Export 1'!$K:$N,[1]!Table1[[#This Row],[MDM Comments]]),IF(_xlpm.r=0,"",_xlpm.r))</f>
        <v>#REF!</v>
      </c>
      <c r="W196" s="17" t="e" cm="1">
        <f t="array" ref="W196">_xlfn.LET(_xlpm.r,_xlfn.XLOOKUP(1,MappingGuide[[#This Row],[API]:[API_3]],'[1]Squirrel SQL Export 1'!$K:$N,[1]!Table1[[#This Row],[Exists In Syndigo?]]),IF(_xlpm.r=0,"",_xlpm.r))</f>
        <v>#REF!</v>
      </c>
      <c r="X196" s="17" t="e" cm="1">
        <f t="array" ref="X196">_xlfn.LET(_xlpm.r,_xlfn.XLOOKUP(1,MappingGuide[[#This Row],[API]:[API_3]],'[1]Squirrel SQL Export 1'!$K:$N,[1]!Table1[[#This Row],[Syndigo Name]]),IF(_xlpm.r=0,"",_xlpm.r))</f>
        <v>#REF!</v>
      </c>
      <c r="Y196" s="17"/>
      <c r="Z196" s="17"/>
      <c r="AA196" s="17"/>
      <c r="AB196" s="17"/>
      <c r="AC196" s="17" t="e" cm="1">
        <f t="array" ref="AC196">_xlfn.XLOOKUP(1,MappingGuide[[#This Row],[API]:[API_3]],'[1]Squirrel SQL Export 1'!$K:$N,[1]!Table1[[#This Row],[Doppio Notes2]])</f>
        <v>#REF!</v>
      </c>
      <c r="AD196" s="17"/>
      <c r="AE196" s="17" t="e" cm="1">
        <f t="array" ref="AE196">_xlfn.XLOOKUP(1,MappingGuide[[#This Row],[API]:[API_3]],'[1]Squirrel SQL Export 1'!$K:$N,[1]!Table1[[#This Row],[DG_required]])</f>
        <v>#REF!</v>
      </c>
      <c r="AF196" s="21" t="s">
        <v>1306</v>
      </c>
      <c r="AG196" s="21"/>
      <c r="AH196" s="22" t="e" cm="1">
        <f t="array" ref="AH196">_xlfn.LET(_xlpm.r,_xlfn.XLOOKUP(1,MappingGuide[[#This Row],[API]:[API_3]],'[1]Squirrel SQL Export 1'!$K:$N,[1]!Table1[[#This Row],[Pending Items]]),IF(_xlpm.r=0,"",_xlpm.r))</f>
        <v>#REF!</v>
      </c>
      <c r="AI196" s="22" t="e" cm="1">
        <f t="array" ref="AI196">_xlfn.LET(_xlpm.r,_xlfn.XLOOKUP(1,MappingGuide[[#This Row],[API]:[API_3]],'[1]Squirrel SQL Export 1'!$K:$N,[1]!Table1[[#This Row],[Syndigo Name]]),IF(_xlpm.r=0,"",_xlpm.r))</f>
        <v>#REF!</v>
      </c>
      <c r="AJ196" s="17"/>
    </row>
    <row r="197" spans="1:36" ht="17" hidden="1">
      <c r="A197" s="17">
        <v>195</v>
      </c>
      <c r="B197" s="17" t="s">
        <v>40</v>
      </c>
      <c r="C197" s="17" t="s">
        <v>868</v>
      </c>
      <c r="D197" s="17" t="s">
        <v>869</v>
      </c>
      <c r="E197" s="17" t="s">
        <v>33</v>
      </c>
      <c r="F197" s="17" t="s">
        <v>34</v>
      </c>
      <c r="G197" s="17"/>
      <c r="H197" s="17"/>
      <c r="I197" s="17" t="s">
        <v>57</v>
      </c>
      <c r="J197" s="17" t="s">
        <v>72</v>
      </c>
      <c r="K197" s="17"/>
      <c r="L197" s="17" t="s">
        <v>35</v>
      </c>
      <c r="M197" s="17" t="s">
        <v>73</v>
      </c>
      <c r="N197" s="17" t="s">
        <v>870</v>
      </c>
      <c r="O197" s="17"/>
      <c r="P197" s="17"/>
      <c r="Q197" s="17"/>
      <c r="R197" s="17"/>
      <c r="S197" s="17" t="e" cm="1">
        <f t="array" ref="S197">_xlfn.LET(_xlpm.r,_xlfn.XLOOKUP(1,MappingGuide[[#This Row],[API]:[API_3]],'[1]Squirrel SQL Export 1'!$K:$N,[1]!Table1[[#This Row],[Responsible from HJ]]),IF(_xlpm.r=0,"",_xlpm.r))</f>
        <v>#REF!</v>
      </c>
      <c r="T197" s="17"/>
      <c r="U197" s="17"/>
      <c r="V197" s="17" t="e" cm="1">
        <f t="array" ref="V197">_xlfn.LET(_xlpm.r,_xlfn.XLOOKUP(1,MappingGuide[[#This Row],[API]:[API_3]],'[1]Squirrel SQL Export 1'!$K:$N,[1]!Table1[[#This Row],[MDM Comments]]),IF(_xlpm.r=0,"",_xlpm.r))</f>
        <v>#REF!</v>
      </c>
      <c r="W197" s="17" t="e" cm="1">
        <f t="array" ref="W197">_xlfn.LET(_xlpm.r,_xlfn.XLOOKUP(1,MappingGuide[[#This Row],[API]:[API_3]],'[1]Squirrel SQL Export 1'!$K:$N,[1]!Table1[[#This Row],[Exists In Syndigo?]]),IF(_xlpm.r=0,"",_xlpm.r))</f>
        <v>#REF!</v>
      </c>
      <c r="X197" s="17" t="e" cm="1">
        <f t="array" ref="X197">_xlfn.LET(_xlpm.r,_xlfn.XLOOKUP(1,MappingGuide[[#This Row],[API]:[API_3]],'[1]Squirrel SQL Export 1'!$K:$N,[1]!Table1[[#This Row],[Syndigo Name]]),IF(_xlpm.r=0,"",_xlpm.r))</f>
        <v>#REF!</v>
      </c>
      <c r="Y197" s="17"/>
      <c r="Z197" s="17" t="s">
        <v>871</v>
      </c>
      <c r="AA197" s="17"/>
      <c r="AB197" s="17"/>
      <c r="AC197" s="17" t="e" cm="1">
        <f t="array" ref="AC197">_xlfn.XLOOKUP(1,MappingGuide[[#This Row],[API]:[API_3]],'[1]Squirrel SQL Export 1'!$K:$N,[1]!Table1[[#This Row],[Doppio Notes2]])</f>
        <v>#REF!</v>
      </c>
      <c r="AD197" s="17"/>
      <c r="AE197" s="17" t="e" cm="1">
        <f t="array" ref="AE197">_xlfn.XLOOKUP(1,MappingGuide[[#This Row],[API]:[API_3]],'[1]Squirrel SQL Export 1'!$K:$N,[1]!Table1[[#This Row],[DG_required]])</f>
        <v>#REF!</v>
      </c>
      <c r="AF197" s="21" t="s">
        <v>1306</v>
      </c>
      <c r="AG197" s="21"/>
      <c r="AH197" s="22" t="e" cm="1">
        <f t="array" ref="AH197">_xlfn.LET(_xlpm.r,_xlfn.XLOOKUP(1,MappingGuide[[#This Row],[API]:[API_3]],'[1]Squirrel SQL Export 1'!$K:$N,[1]!Table1[[#This Row],[Pending Items]]),IF(_xlpm.r=0,"",_xlpm.r))</f>
        <v>#REF!</v>
      </c>
      <c r="AI197" s="22" t="e" cm="1">
        <f t="array" ref="AI197">_xlfn.LET(_xlpm.r,_xlfn.XLOOKUP(1,MappingGuide[[#This Row],[API]:[API_3]],'[1]Squirrel SQL Export 1'!$K:$N,[1]!Table1[[#This Row],[Syndigo Name]]),IF(_xlpm.r=0,"",_xlpm.r))</f>
        <v>#REF!</v>
      </c>
      <c r="AJ197" s="17"/>
    </row>
    <row r="198" spans="1:36" ht="17" hidden="1">
      <c r="A198" s="17">
        <v>196</v>
      </c>
      <c r="B198" s="17" t="s">
        <v>40</v>
      </c>
      <c r="C198" s="17" t="s">
        <v>872</v>
      </c>
      <c r="D198" s="17" t="s">
        <v>873</v>
      </c>
      <c r="E198" s="17" t="s">
        <v>33</v>
      </c>
      <c r="F198" s="17" t="s">
        <v>44</v>
      </c>
      <c r="G198" s="17"/>
      <c r="H198" s="17"/>
      <c r="I198" s="17" t="s">
        <v>57</v>
      </c>
      <c r="J198" s="17" t="s">
        <v>798</v>
      </c>
      <c r="K198" s="17"/>
      <c r="L198" s="17" t="s">
        <v>35</v>
      </c>
      <c r="M198" s="17" t="s">
        <v>146</v>
      </c>
      <c r="N198" s="17" t="s">
        <v>874</v>
      </c>
      <c r="O198" s="17"/>
      <c r="P198" s="17"/>
      <c r="Q198" s="17"/>
      <c r="R198" s="17"/>
      <c r="S198" s="17" t="e" cm="1">
        <f t="array" ref="S198">_xlfn.LET(_xlpm.r,_xlfn.XLOOKUP(1,MappingGuide[[#This Row],[API]:[API_3]],'[1]Squirrel SQL Export 1'!$K:$N,[1]!Table1[[#This Row],[Responsible from HJ]]),IF(_xlpm.r=0,"",_xlpm.r))</f>
        <v>#REF!</v>
      </c>
      <c r="T198" s="17"/>
      <c r="U198" s="17"/>
      <c r="V198" s="17" t="e" cm="1">
        <f t="array" ref="V198">_xlfn.LET(_xlpm.r,_xlfn.XLOOKUP(1,MappingGuide[[#This Row],[API]:[API_3]],'[1]Squirrel SQL Export 1'!$K:$N,[1]!Table1[[#This Row],[MDM Comments]]),IF(_xlpm.r=0,"",_xlpm.r))</f>
        <v>#REF!</v>
      </c>
      <c r="W198" s="17" t="e" cm="1">
        <f t="array" ref="W198">_xlfn.LET(_xlpm.r,_xlfn.XLOOKUP(1,MappingGuide[[#This Row],[API]:[API_3]],'[1]Squirrel SQL Export 1'!$K:$N,[1]!Table1[[#This Row],[Exists In Syndigo?]]),IF(_xlpm.r=0,"",_xlpm.r))</f>
        <v>#REF!</v>
      </c>
      <c r="X198" s="17" t="e" cm="1">
        <f t="array" ref="X198">_xlfn.LET(_xlpm.r,_xlfn.XLOOKUP(1,MappingGuide[[#This Row],[API]:[API_3]],'[1]Squirrel SQL Export 1'!$K:$N,[1]!Table1[[#This Row],[Syndigo Name]]),IF(_xlpm.r=0,"",_xlpm.r))</f>
        <v>#REF!</v>
      </c>
      <c r="Y198" s="17"/>
      <c r="Z198" s="17" t="s">
        <v>875</v>
      </c>
      <c r="AA198" s="17"/>
      <c r="AB198" s="17"/>
      <c r="AC198" s="17" t="e" cm="1">
        <f t="array" ref="AC198">_xlfn.XLOOKUP(1,MappingGuide[[#This Row],[API]:[API_3]],'[1]Squirrel SQL Export 1'!$K:$N,[1]!Table1[[#This Row],[Doppio Notes2]])</f>
        <v>#REF!</v>
      </c>
      <c r="AD198" s="17"/>
      <c r="AE198" s="17" t="e" cm="1">
        <f t="array" ref="AE198">_xlfn.XLOOKUP(1,MappingGuide[[#This Row],[API]:[API_3]],'[1]Squirrel SQL Export 1'!$K:$N,[1]!Table1[[#This Row],[DG_required]])</f>
        <v>#REF!</v>
      </c>
      <c r="AF198" s="21" t="s">
        <v>876</v>
      </c>
      <c r="AG198" s="21"/>
      <c r="AH198" s="22" t="e" cm="1">
        <f t="array" ref="AH198">_xlfn.LET(_xlpm.r,_xlfn.XLOOKUP(1,MappingGuide[[#This Row],[API]:[API_3]],'[1]Squirrel SQL Export 1'!$K:$N,[1]!Table1[[#This Row],[Pending Items]]),IF(_xlpm.r=0,"",_xlpm.r))</f>
        <v>#REF!</v>
      </c>
      <c r="AI198" s="22" t="e" cm="1">
        <f t="array" ref="AI198">_xlfn.LET(_xlpm.r,_xlfn.XLOOKUP(1,MappingGuide[[#This Row],[API]:[API_3]],'[1]Squirrel SQL Export 1'!$K:$N,[1]!Table1[[#This Row],[Syndigo Name]]),IF(_xlpm.r=0,"",_xlpm.r))</f>
        <v>#REF!</v>
      </c>
      <c r="AJ198" s="17"/>
    </row>
    <row r="199" spans="1:36" ht="17" hidden="1">
      <c r="A199" s="17">
        <v>197</v>
      </c>
      <c r="B199" s="17" t="s">
        <v>40</v>
      </c>
      <c r="C199" s="17" t="s">
        <v>877</v>
      </c>
      <c r="D199" s="17" t="s">
        <v>878</v>
      </c>
      <c r="E199" s="17" t="s">
        <v>33</v>
      </c>
      <c r="F199" s="17" t="s">
        <v>118</v>
      </c>
      <c r="G199" s="17"/>
      <c r="H199" s="17"/>
      <c r="I199" s="17" t="s">
        <v>57</v>
      </c>
      <c r="J199" s="17" t="s">
        <v>58</v>
      </c>
      <c r="K199" s="17"/>
      <c r="L199" s="17" t="s">
        <v>35</v>
      </c>
      <c r="M199" s="17" t="s">
        <v>522</v>
      </c>
      <c r="N199" s="17" t="s">
        <v>879</v>
      </c>
      <c r="O199" s="17"/>
      <c r="P199" s="17"/>
      <c r="Q199" s="17"/>
      <c r="R199" s="17"/>
      <c r="S199" s="17" t="e" cm="1">
        <f t="array" ref="S199">_xlfn.LET(_xlpm.r,_xlfn.XLOOKUP(1,MappingGuide[[#This Row],[API]:[API_3]],'[1]Squirrel SQL Export 1'!$K:$N,[1]!Table1[[#This Row],[Responsible from HJ]]),IF(_xlpm.r=0,"",_xlpm.r))</f>
        <v>#REF!</v>
      </c>
      <c r="T199" s="17"/>
      <c r="U199" s="17"/>
      <c r="V199" s="17" t="e" cm="1">
        <f t="array" ref="V199">_xlfn.LET(_xlpm.r,_xlfn.XLOOKUP(1,MappingGuide[[#This Row],[API]:[API_3]],'[1]Squirrel SQL Export 1'!$K:$N,[1]!Table1[[#This Row],[MDM Comments]]),IF(_xlpm.r=0,"",_xlpm.r))</f>
        <v>#REF!</v>
      </c>
      <c r="W199" s="17" t="e" cm="1">
        <f t="array" ref="W199">_xlfn.LET(_xlpm.r,_xlfn.XLOOKUP(1,MappingGuide[[#This Row],[API]:[API_3]],'[1]Squirrel SQL Export 1'!$K:$N,[1]!Table1[[#This Row],[Exists In Syndigo?]]),IF(_xlpm.r=0,"",_xlpm.r))</f>
        <v>#REF!</v>
      </c>
      <c r="X199" s="17" t="e" cm="1">
        <f t="array" ref="X199">_xlfn.LET(_xlpm.r,_xlfn.XLOOKUP(1,MappingGuide[[#This Row],[API]:[API_3]],'[1]Squirrel SQL Export 1'!$K:$N,[1]!Table1[[#This Row],[Syndigo Name]]),IF(_xlpm.r=0,"",_xlpm.r))</f>
        <v>#REF!</v>
      </c>
      <c r="Y199" s="17"/>
      <c r="Z199" s="17" t="s">
        <v>880</v>
      </c>
      <c r="AA199" s="17"/>
      <c r="AB199" s="17"/>
      <c r="AC199" s="17" t="e" cm="1">
        <f t="array" ref="AC199">_xlfn.XLOOKUP(1,MappingGuide[[#This Row],[API]:[API_3]],'[1]Squirrel SQL Export 1'!$K:$N,[1]!Table1[[#This Row],[Doppio Notes2]])</f>
        <v>#REF!</v>
      </c>
      <c r="AD199" s="17"/>
      <c r="AE199" s="17" t="e" cm="1">
        <f t="array" ref="AE199">_xlfn.XLOOKUP(1,MappingGuide[[#This Row],[API]:[API_3]],'[1]Squirrel SQL Export 1'!$K:$N,[1]!Table1[[#This Row],[DG_required]])</f>
        <v>#REF!</v>
      </c>
      <c r="AF199" s="21" t="s">
        <v>1306</v>
      </c>
      <c r="AG199" s="21"/>
      <c r="AH199" s="22" t="e" cm="1">
        <f t="array" ref="AH199">_xlfn.LET(_xlpm.r,_xlfn.XLOOKUP(1,MappingGuide[[#This Row],[API]:[API_3]],'[1]Squirrel SQL Export 1'!$K:$N,[1]!Table1[[#This Row],[Pending Items]]),IF(_xlpm.r=0,"",_xlpm.r))</f>
        <v>#REF!</v>
      </c>
      <c r="AI199" s="22" t="e" cm="1">
        <f t="array" ref="AI199">_xlfn.LET(_xlpm.r,_xlfn.XLOOKUP(1,MappingGuide[[#This Row],[API]:[API_3]],'[1]Squirrel SQL Export 1'!$K:$N,[1]!Table1[[#This Row],[Syndigo Name]]),IF(_xlpm.r=0,"",_xlpm.r))</f>
        <v>#REF!</v>
      </c>
      <c r="AJ199" s="17"/>
    </row>
    <row r="200" spans="1:36" ht="17" hidden="1">
      <c r="A200" s="17">
        <v>198</v>
      </c>
      <c r="B200" s="17" t="s">
        <v>40</v>
      </c>
      <c r="C200" s="17" t="s">
        <v>881</v>
      </c>
      <c r="D200" s="17" t="s">
        <v>882</v>
      </c>
      <c r="E200" s="17" t="s">
        <v>43</v>
      </c>
      <c r="F200" s="17" t="s">
        <v>80</v>
      </c>
      <c r="G200" s="17"/>
      <c r="H200" s="17"/>
      <c r="I200" s="17" t="s">
        <v>57</v>
      </c>
      <c r="J200" s="17" t="s">
        <v>72</v>
      </c>
      <c r="K200" s="17"/>
      <c r="L200" s="17" t="s">
        <v>35</v>
      </c>
      <c r="M200" s="17" t="s">
        <v>73</v>
      </c>
      <c r="N200" s="17" t="s">
        <v>883</v>
      </c>
      <c r="O200" s="17"/>
      <c r="P200" s="17"/>
      <c r="Q200" s="17"/>
      <c r="R200" s="17"/>
      <c r="S200" s="17" t="e" cm="1">
        <f t="array" ref="S200">_xlfn.LET(_xlpm.r,_xlfn.XLOOKUP(1,MappingGuide[[#This Row],[API]:[API_3]],'[1]Squirrel SQL Export 1'!$K:$N,[1]!Table1[[#This Row],[Responsible from HJ]]),IF(_xlpm.r=0,"",_xlpm.r))</f>
        <v>#REF!</v>
      </c>
      <c r="T200" s="17"/>
      <c r="U200" s="17"/>
      <c r="V200" s="17" t="e" cm="1">
        <f t="array" ref="V200">_xlfn.LET(_xlpm.r,_xlfn.XLOOKUP(1,MappingGuide[[#This Row],[API]:[API_3]],'[1]Squirrel SQL Export 1'!$K:$N,[1]!Table1[[#This Row],[MDM Comments]]),IF(_xlpm.r=0,"",_xlpm.r))</f>
        <v>#REF!</v>
      </c>
      <c r="W200" s="17" t="e" cm="1">
        <f t="array" ref="W200">_xlfn.LET(_xlpm.r,_xlfn.XLOOKUP(1,MappingGuide[[#This Row],[API]:[API_3]],'[1]Squirrel SQL Export 1'!$K:$N,[1]!Table1[[#This Row],[Exists In Syndigo?]]),IF(_xlpm.r=0,"",_xlpm.r))</f>
        <v>#REF!</v>
      </c>
      <c r="X200" s="17" t="e" cm="1">
        <f t="array" ref="X200">_xlfn.LET(_xlpm.r,_xlfn.XLOOKUP(1,MappingGuide[[#This Row],[API]:[API_3]],'[1]Squirrel SQL Export 1'!$K:$N,[1]!Table1[[#This Row],[Syndigo Name]]),IF(_xlpm.r=0,"",_xlpm.r))</f>
        <v>#REF!</v>
      </c>
      <c r="Y200" s="17"/>
      <c r="Z200" s="17" t="s">
        <v>884</v>
      </c>
      <c r="AA200" s="17"/>
      <c r="AB200" s="17"/>
      <c r="AC200" s="17" t="e" cm="1">
        <f t="array" ref="AC200">_xlfn.XLOOKUP(1,MappingGuide[[#This Row],[API]:[API_3]],'[1]Squirrel SQL Export 1'!$K:$N,[1]!Table1[[#This Row],[Doppio Notes2]])</f>
        <v>#REF!</v>
      </c>
      <c r="AD200" s="17"/>
      <c r="AE200" s="17" t="e" cm="1">
        <f t="array" ref="AE200">_xlfn.XLOOKUP(1,MappingGuide[[#This Row],[API]:[API_3]],'[1]Squirrel SQL Export 1'!$K:$N,[1]!Table1[[#This Row],[DG_required]])</f>
        <v>#REF!</v>
      </c>
      <c r="AF200" s="21" t="s">
        <v>1290</v>
      </c>
      <c r="AG200" s="21"/>
      <c r="AH200" s="22" t="e" cm="1">
        <f t="array" ref="AH200">_xlfn.LET(_xlpm.r,_xlfn.XLOOKUP(1,MappingGuide[[#This Row],[API]:[API_3]],'[1]Squirrel SQL Export 1'!$K:$N,[1]!Table1[[#This Row],[Pending Items]]),IF(_xlpm.r=0,"",_xlpm.r))</f>
        <v>#REF!</v>
      </c>
      <c r="AI200" s="22" t="e" cm="1">
        <f t="array" ref="AI200">_xlfn.LET(_xlpm.r,_xlfn.XLOOKUP(1,MappingGuide[[#This Row],[API]:[API_3]],'[1]Squirrel SQL Export 1'!$K:$N,[1]!Table1[[#This Row],[Syndigo Name]]),IF(_xlpm.r=0,"",_xlpm.r))</f>
        <v>#REF!</v>
      </c>
      <c r="AJ200" s="17"/>
    </row>
    <row r="201" spans="1:36" ht="17" hidden="1">
      <c r="A201" s="17">
        <v>199</v>
      </c>
      <c r="B201" s="17" t="s">
        <v>40</v>
      </c>
      <c r="C201" s="17" t="s">
        <v>885</v>
      </c>
      <c r="D201" s="17" t="s">
        <v>886</v>
      </c>
      <c r="E201" s="17" t="s">
        <v>43</v>
      </c>
      <c r="F201" s="17" t="s">
        <v>80</v>
      </c>
      <c r="G201" s="17"/>
      <c r="H201" s="17"/>
      <c r="I201" s="17" t="s">
        <v>57</v>
      </c>
      <c r="J201" s="17" t="s">
        <v>124</v>
      </c>
      <c r="K201" s="17"/>
      <c r="L201" s="17" t="s">
        <v>35</v>
      </c>
      <c r="M201" s="17" t="s">
        <v>73</v>
      </c>
      <c r="N201" s="17" t="s">
        <v>887</v>
      </c>
      <c r="O201" s="17"/>
      <c r="P201" s="17"/>
      <c r="Q201" s="17"/>
      <c r="R201" s="17"/>
      <c r="S201" s="17" t="e" cm="1">
        <f t="array" ref="S201">_xlfn.LET(_xlpm.r,_xlfn.XLOOKUP(1,MappingGuide[[#This Row],[API]:[API_3]],'[1]Squirrel SQL Export 1'!$K:$N,[1]!Table1[[#This Row],[Responsible from HJ]]),IF(_xlpm.r=0,"",_xlpm.r))</f>
        <v>#REF!</v>
      </c>
      <c r="T201" s="17"/>
      <c r="U201" s="17"/>
      <c r="V201" s="17" t="e" cm="1">
        <f t="array" ref="V201">_xlfn.LET(_xlpm.r,_xlfn.XLOOKUP(1,MappingGuide[[#This Row],[API]:[API_3]],'[1]Squirrel SQL Export 1'!$K:$N,[1]!Table1[[#This Row],[MDM Comments]]),IF(_xlpm.r=0,"",_xlpm.r))</f>
        <v>#REF!</v>
      </c>
      <c r="W201" s="17" t="e" cm="1">
        <f t="array" ref="W201">_xlfn.LET(_xlpm.r,_xlfn.XLOOKUP(1,MappingGuide[[#This Row],[API]:[API_3]],'[1]Squirrel SQL Export 1'!$K:$N,[1]!Table1[[#This Row],[Exists In Syndigo?]]),IF(_xlpm.r=0,"",_xlpm.r))</f>
        <v>#REF!</v>
      </c>
      <c r="X201" s="17" t="e" cm="1">
        <f t="array" ref="X201">_xlfn.LET(_xlpm.r,_xlfn.XLOOKUP(1,MappingGuide[[#This Row],[API]:[API_3]],'[1]Squirrel SQL Export 1'!$K:$N,[1]!Table1[[#This Row],[Syndigo Name]]),IF(_xlpm.r=0,"",_xlpm.r))</f>
        <v>#REF!</v>
      </c>
      <c r="Y201" s="17"/>
      <c r="Z201" s="17" t="s">
        <v>888</v>
      </c>
      <c r="AA201" s="17"/>
      <c r="AB201" s="17"/>
      <c r="AC201" s="17" t="e" cm="1">
        <f t="array" ref="AC201">_xlfn.XLOOKUP(1,MappingGuide[[#This Row],[API]:[API_3]],'[1]Squirrel SQL Export 1'!$K:$N,[1]!Table1[[#This Row],[Doppio Notes2]])</f>
        <v>#REF!</v>
      </c>
      <c r="AD201" s="17"/>
      <c r="AE201" s="17" t="e" cm="1">
        <f t="array" ref="AE201">_xlfn.XLOOKUP(1,MappingGuide[[#This Row],[API]:[API_3]],'[1]Squirrel SQL Export 1'!$K:$N,[1]!Table1[[#This Row],[DG_required]])</f>
        <v>#REF!</v>
      </c>
      <c r="AF201" s="21" t="s">
        <v>1290</v>
      </c>
      <c r="AG201" s="21"/>
      <c r="AH201" s="22" t="e" cm="1">
        <f t="array" ref="AH201">_xlfn.LET(_xlpm.r,_xlfn.XLOOKUP(1,MappingGuide[[#This Row],[API]:[API_3]],'[1]Squirrel SQL Export 1'!$K:$N,[1]!Table1[[#This Row],[Pending Items]]),IF(_xlpm.r=0,"",_xlpm.r))</f>
        <v>#REF!</v>
      </c>
      <c r="AI201" s="22" t="e" cm="1">
        <f t="array" ref="AI201">_xlfn.LET(_xlpm.r,_xlfn.XLOOKUP(1,MappingGuide[[#This Row],[API]:[API_3]],'[1]Squirrel SQL Export 1'!$K:$N,[1]!Table1[[#This Row],[Syndigo Name]]),IF(_xlpm.r=0,"",_xlpm.r))</f>
        <v>#REF!</v>
      </c>
      <c r="AJ201" s="17"/>
    </row>
    <row r="202" spans="1:36" ht="17" hidden="1">
      <c r="A202" s="17">
        <v>200</v>
      </c>
      <c r="B202" s="17" t="s">
        <v>40</v>
      </c>
      <c r="C202" s="17" t="s">
        <v>889</v>
      </c>
      <c r="D202" s="17" t="s">
        <v>890</v>
      </c>
      <c r="E202" s="17" t="s">
        <v>43</v>
      </c>
      <c r="F202" s="17" t="s">
        <v>80</v>
      </c>
      <c r="G202" s="17"/>
      <c r="H202" s="17"/>
      <c r="I202" s="17"/>
      <c r="J202" s="17"/>
      <c r="K202" s="17"/>
      <c r="L202" s="17" t="s">
        <v>35</v>
      </c>
      <c r="M202" s="17" t="s">
        <v>677</v>
      </c>
      <c r="N202" s="17" t="s">
        <v>891</v>
      </c>
      <c r="O202" s="17"/>
      <c r="P202" s="17"/>
      <c r="Q202" s="17"/>
      <c r="R202" s="17"/>
      <c r="S202" s="17" t="e" cm="1">
        <f t="array" ref="S202">_xlfn.LET(_xlpm.r,_xlfn.XLOOKUP(1,MappingGuide[[#This Row],[API]:[API_3]],'[1]Squirrel SQL Export 1'!$K:$N,[1]!Table1[[#This Row],[Responsible from HJ]]),IF(_xlpm.r=0,"",_xlpm.r))</f>
        <v>#REF!</v>
      </c>
      <c r="T202" s="17"/>
      <c r="U202" s="17"/>
      <c r="V202" s="17" t="e" cm="1">
        <f t="array" ref="V202">_xlfn.LET(_xlpm.r,_xlfn.XLOOKUP(1,MappingGuide[[#This Row],[API]:[API_3]],'[1]Squirrel SQL Export 1'!$K:$N,[1]!Table1[[#This Row],[MDM Comments]]),IF(_xlpm.r=0,"",_xlpm.r))</f>
        <v>#REF!</v>
      </c>
      <c r="W202" s="17" t="e" cm="1">
        <f t="array" ref="W202">_xlfn.LET(_xlpm.r,_xlfn.XLOOKUP(1,MappingGuide[[#This Row],[API]:[API_3]],'[1]Squirrel SQL Export 1'!$K:$N,[1]!Table1[[#This Row],[Exists In Syndigo?]]),IF(_xlpm.r=0,"",_xlpm.r))</f>
        <v>#REF!</v>
      </c>
      <c r="X202" s="17" t="e" cm="1">
        <f t="array" ref="X202">_xlfn.LET(_xlpm.r,_xlfn.XLOOKUP(1,MappingGuide[[#This Row],[API]:[API_3]],'[1]Squirrel SQL Export 1'!$K:$N,[1]!Table1[[#This Row],[Syndigo Name]]),IF(_xlpm.r=0,"",_xlpm.r))</f>
        <v>#REF!</v>
      </c>
      <c r="Y202" s="17"/>
      <c r="Z202" s="17"/>
      <c r="AA202" s="17"/>
      <c r="AB202" s="17"/>
      <c r="AC202" s="17" t="e" cm="1">
        <f t="array" ref="AC202">_xlfn.XLOOKUP(1,MappingGuide[[#This Row],[API]:[API_3]],'[1]Squirrel SQL Export 1'!$K:$N,[1]!Table1[[#This Row],[Doppio Notes2]])</f>
        <v>#REF!</v>
      </c>
      <c r="AD202" s="17"/>
      <c r="AE202" s="17" t="e" cm="1">
        <f t="array" ref="AE202">_xlfn.XLOOKUP(1,MappingGuide[[#This Row],[API]:[API_3]],'[1]Squirrel SQL Export 1'!$K:$N,[1]!Table1[[#This Row],[DG_required]])</f>
        <v>#REF!</v>
      </c>
      <c r="AF202" s="21" t="s">
        <v>1290</v>
      </c>
      <c r="AG202" s="21"/>
      <c r="AH202" s="22" t="e" cm="1">
        <f t="array" ref="AH202">_xlfn.LET(_xlpm.r,_xlfn.XLOOKUP(1,MappingGuide[[#This Row],[API]:[API_3]],'[1]Squirrel SQL Export 1'!$K:$N,[1]!Table1[[#This Row],[Pending Items]]),IF(_xlpm.r=0,"",_xlpm.r))</f>
        <v>#REF!</v>
      </c>
      <c r="AI202" s="22" t="e" cm="1">
        <f t="array" ref="AI202">_xlfn.LET(_xlpm.r,_xlfn.XLOOKUP(1,MappingGuide[[#This Row],[API]:[API_3]],'[1]Squirrel SQL Export 1'!$K:$N,[1]!Table1[[#This Row],[Syndigo Name]]),IF(_xlpm.r=0,"",_xlpm.r))</f>
        <v>#REF!</v>
      </c>
      <c r="AJ202" s="17"/>
    </row>
    <row r="203" spans="1:36" ht="17" hidden="1">
      <c r="A203" s="17">
        <v>201</v>
      </c>
      <c r="B203" s="17" t="s">
        <v>40</v>
      </c>
      <c r="C203" s="17" t="s">
        <v>892</v>
      </c>
      <c r="D203" s="17" t="s">
        <v>893</v>
      </c>
      <c r="E203" s="17" t="s">
        <v>43</v>
      </c>
      <c r="F203" s="17" t="s">
        <v>56</v>
      </c>
      <c r="G203" s="17"/>
      <c r="H203" s="17"/>
      <c r="I203" s="17" t="s">
        <v>57</v>
      </c>
      <c r="J203" s="17" t="s">
        <v>145</v>
      </c>
      <c r="K203" s="17"/>
      <c r="L203" s="17" t="s">
        <v>35</v>
      </c>
      <c r="M203" s="17" t="s">
        <v>146</v>
      </c>
      <c r="N203" s="17" t="s">
        <v>894</v>
      </c>
      <c r="O203" s="17"/>
      <c r="P203" s="17"/>
      <c r="Q203" s="17"/>
      <c r="R203" s="17"/>
      <c r="S203" s="17" t="e" cm="1">
        <f t="array" ref="S203">_xlfn.LET(_xlpm.r,_xlfn.XLOOKUP(1,MappingGuide[[#This Row],[API]:[API_3]],'[1]Squirrel SQL Export 1'!$K:$N,[1]!Table1[[#This Row],[Responsible from HJ]]),IF(_xlpm.r=0,"",_xlpm.r))</f>
        <v>#REF!</v>
      </c>
      <c r="T203" s="17"/>
      <c r="U203" s="17"/>
      <c r="V203" s="17" t="e" cm="1">
        <f t="array" ref="V203">_xlfn.LET(_xlpm.r,_xlfn.XLOOKUP(1,MappingGuide[[#This Row],[API]:[API_3]],'[1]Squirrel SQL Export 1'!$K:$N,[1]!Table1[[#This Row],[MDM Comments]]),IF(_xlpm.r=0,"",_xlpm.r))</f>
        <v>#REF!</v>
      </c>
      <c r="W203" s="17" t="e" cm="1">
        <f t="array" ref="W203">_xlfn.LET(_xlpm.r,_xlfn.XLOOKUP(1,MappingGuide[[#This Row],[API]:[API_3]],'[1]Squirrel SQL Export 1'!$K:$N,[1]!Table1[[#This Row],[Exists In Syndigo?]]),IF(_xlpm.r=0,"",_xlpm.r))</f>
        <v>#REF!</v>
      </c>
      <c r="X203" s="17" t="e" cm="1">
        <f t="array" ref="X203">_xlfn.LET(_xlpm.r,_xlfn.XLOOKUP(1,MappingGuide[[#This Row],[API]:[API_3]],'[1]Squirrel SQL Export 1'!$K:$N,[1]!Table1[[#This Row],[Syndigo Name]]),IF(_xlpm.r=0,"",_xlpm.r))</f>
        <v>#REF!</v>
      </c>
      <c r="Y203" s="17"/>
      <c r="Z203" s="17"/>
      <c r="AA203" s="17"/>
      <c r="AB203" s="17"/>
      <c r="AC203" s="17" t="e" cm="1">
        <f t="array" ref="AC203">_xlfn.XLOOKUP(1,MappingGuide[[#This Row],[API]:[API_3]],'[1]Squirrel SQL Export 1'!$K:$N,[1]!Table1[[#This Row],[Doppio Notes2]])</f>
        <v>#REF!</v>
      </c>
      <c r="AD203" s="17"/>
      <c r="AE203" s="17" t="e" cm="1">
        <f t="array" ref="AE203">_xlfn.XLOOKUP(1,MappingGuide[[#This Row],[API]:[API_3]],'[1]Squirrel SQL Export 1'!$K:$N,[1]!Table1[[#This Row],[DG_required]])</f>
        <v>#REF!</v>
      </c>
      <c r="AF203" s="21" t="s">
        <v>1290</v>
      </c>
      <c r="AG203" s="21"/>
      <c r="AH203" s="22" t="e" cm="1">
        <f t="array" ref="AH203">_xlfn.LET(_xlpm.r,_xlfn.XLOOKUP(1,MappingGuide[[#This Row],[API]:[API_3]],'[1]Squirrel SQL Export 1'!$K:$N,[1]!Table1[[#This Row],[Pending Items]]),IF(_xlpm.r=0,"",_xlpm.r))</f>
        <v>#REF!</v>
      </c>
      <c r="AI203" s="22" t="e" cm="1">
        <f t="array" ref="AI203">_xlfn.LET(_xlpm.r,_xlfn.XLOOKUP(1,MappingGuide[[#This Row],[API]:[API_3]],'[1]Squirrel SQL Export 1'!$K:$N,[1]!Table1[[#This Row],[Syndigo Name]]),IF(_xlpm.r=0,"",_xlpm.r))</f>
        <v>#REF!</v>
      </c>
      <c r="AJ203" s="17"/>
    </row>
    <row r="204" spans="1:36" ht="17" hidden="1">
      <c r="A204" s="17">
        <v>202</v>
      </c>
      <c r="B204" s="17" t="s">
        <v>40</v>
      </c>
      <c r="C204" s="17" t="s">
        <v>895</v>
      </c>
      <c r="D204" s="17" t="s">
        <v>893</v>
      </c>
      <c r="E204" s="17" t="s">
        <v>43</v>
      </c>
      <c r="F204" s="17" t="s">
        <v>56</v>
      </c>
      <c r="G204" s="17"/>
      <c r="H204" s="17"/>
      <c r="I204" s="17" t="s">
        <v>57</v>
      </c>
      <c r="J204" s="17" t="s">
        <v>145</v>
      </c>
      <c r="K204" s="17"/>
      <c r="L204" s="17" t="s">
        <v>35</v>
      </c>
      <c r="M204" s="17" t="s">
        <v>146</v>
      </c>
      <c r="N204" s="17" t="s">
        <v>896</v>
      </c>
      <c r="O204" s="17"/>
      <c r="P204" s="17"/>
      <c r="Q204" s="17"/>
      <c r="R204" s="17"/>
      <c r="S204" s="17" t="e" cm="1">
        <f t="array" ref="S204">_xlfn.LET(_xlpm.r,_xlfn.XLOOKUP(1,MappingGuide[[#This Row],[API]:[API_3]],'[1]Squirrel SQL Export 1'!$K:$N,[1]!Table1[[#This Row],[Responsible from HJ]]),IF(_xlpm.r=0,"",_xlpm.r))</f>
        <v>#REF!</v>
      </c>
      <c r="T204" s="17"/>
      <c r="U204" s="17"/>
      <c r="V204" s="17" t="e" cm="1">
        <f t="array" ref="V204">_xlfn.LET(_xlpm.r,_xlfn.XLOOKUP(1,MappingGuide[[#This Row],[API]:[API_3]],'[1]Squirrel SQL Export 1'!$K:$N,[1]!Table1[[#This Row],[MDM Comments]]),IF(_xlpm.r=0,"",_xlpm.r))</f>
        <v>#REF!</v>
      </c>
      <c r="W204" s="17" t="e" cm="1">
        <f t="array" ref="W204">_xlfn.LET(_xlpm.r,_xlfn.XLOOKUP(1,MappingGuide[[#This Row],[API]:[API_3]],'[1]Squirrel SQL Export 1'!$K:$N,[1]!Table1[[#This Row],[Exists In Syndigo?]]),IF(_xlpm.r=0,"",_xlpm.r))</f>
        <v>#REF!</v>
      </c>
      <c r="X204" s="17" t="e" cm="1">
        <f t="array" ref="X204">_xlfn.LET(_xlpm.r,_xlfn.XLOOKUP(1,MappingGuide[[#This Row],[API]:[API_3]],'[1]Squirrel SQL Export 1'!$K:$N,[1]!Table1[[#This Row],[Syndigo Name]]),IF(_xlpm.r=0,"",_xlpm.r))</f>
        <v>#REF!</v>
      </c>
      <c r="Y204" s="17"/>
      <c r="Z204" s="17"/>
      <c r="AA204" s="17"/>
      <c r="AB204" s="17"/>
      <c r="AC204" s="17" t="e" cm="1">
        <f t="array" ref="AC204">_xlfn.XLOOKUP(1,MappingGuide[[#This Row],[API]:[API_3]],'[1]Squirrel SQL Export 1'!$K:$N,[1]!Table1[[#This Row],[Doppio Notes2]])</f>
        <v>#REF!</v>
      </c>
      <c r="AD204" s="17"/>
      <c r="AE204" s="17" t="e" cm="1">
        <f t="array" ref="AE204">_xlfn.XLOOKUP(1,MappingGuide[[#This Row],[API]:[API_3]],'[1]Squirrel SQL Export 1'!$K:$N,[1]!Table1[[#This Row],[DG_required]])</f>
        <v>#REF!</v>
      </c>
      <c r="AF204" s="21" t="s">
        <v>1290</v>
      </c>
      <c r="AG204" s="21"/>
      <c r="AH204" s="22" t="e" cm="1">
        <f t="array" ref="AH204">_xlfn.LET(_xlpm.r,_xlfn.XLOOKUP(1,MappingGuide[[#This Row],[API]:[API_3]],'[1]Squirrel SQL Export 1'!$K:$N,[1]!Table1[[#This Row],[Pending Items]]),IF(_xlpm.r=0,"",_xlpm.r))</f>
        <v>#REF!</v>
      </c>
      <c r="AI204" s="22" t="e" cm="1">
        <f t="array" ref="AI204">_xlfn.LET(_xlpm.r,_xlfn.XLOOKUP(1,MappingGuide[[#This Row],[API]:[API_3]],'[1]Squirrel SQL Export 1'!$K:$N,[1]!Table1[[#This Row],[Syndigo Name]]),IF(_xlpm.r=0,"",_xlpm.r))</f>
        <v>#REF!</v>
      </c>
      <c r="AJ204" s="17"/>
    </row>
    <row r="205" spans="1:36" ht="17" hidden="1">
      <c r="A205" s="17">
        <v>203</v>
      </c>
      <c r="B205" s="17" t="s">
        <v>40</v>
      </c>
      <c r="C205" s="17" t="s">
        <v>897</v>
      </c>
      <c r="D205" s="17" t="s">
        <v>893</v>
      </c>
      <c r="E205" s="17" t="s">
        <v>43</v>
      </c>
      <c r="F205" s="17" t="s">
        <v>56</v>
      </c>
      <c r="G205" s="17"/>
      <c r="H205" s="17"/>
      <c r="I205" s="17" t="s">
        <v>57</v>
      </c>
      <c r="J205" s="17" t="s">
        <v>145</v>
      </c>
      <c r="K205" s="17"/>
      <c r="L205" s="17" t="s">
        <v>35</v>
      </c>
      <c r="M205" s="17" t="s">
        <v>146</v>
      </c>
      <c r="N205" s="17" t="s">
        <v>898</v>
      </c>
      <c r="O205" s="17"/>
      <c r="P205" s="17"/>
      <c r="Q205" s="17"/>
      <c r="R205" s="17"/>
      <c r="S205" s="17" t="e" cm="1">
        <f t="array" ref="S205">_xlfn.LET(_xlpm.r,_xlfn.XLOOKUP(1,MappingGuide[[#This Row],[API]:[API_3]],'[1]Squirrel SQL Export 1'!$K:$N,[1]!Table1[[#This Row],[Responsible from HJ]]),IF(_xlpm.r=0,"",_xlpm.r))</f>
        <v>#REF!</v>
      </c>
      <c r="T205" s="17"/>
      <c r="U205" s="17"/>
      <c r="V205" s="17" t="e" cm="1">
        <f t="array" ref="V205">_xlfn.LET(_xlpm.r,_xlfn.XLOOKUP(1,MappingGuide[[#This Row],[API]:[API_3]],'[1]Squirrel SQL Export 1'!$K:$N,[1]!Table1[[#This Row],[MDM Comments]]),IF(_xlpm.r=0,"",_xlpm.r))</f>
        <v>#REF!</v>
      </c>
      <c r="W205" s="17" t="e" cm="1">
        <f t="array" ref="W205">_xlfn.LET(_xlpm.r,_xlfn.XLOOKUP(1,MappingGuide[[#This Row],[API]:[API_3]],'[1]Squirrel SQL Export 1'!$K:$N,[1]!Table1[[#This Row],[Exists In Syndigo?]]),IF(_xlpm.r=0,"",_xlpm.r))</f>
        <v>#REF!</v>
      </c>
      <c r="X205" s="17" t="e" cm="1">
        <f t="array" ref="X205">_xlfn.LET(_xlpm.r,_xlfn.XLOOKUP(1,MappingGuide[[#This Row],[API]:[API_3]],'[1]Squirrel SQL Export 1'!$K:$N,[1]!Table1[[#This Row],[Syndigo Name]]),IF(_xlpm.r=0,"",_xlpm.r))</f>
        <v>#REF!</v>
      </c>
      <c r="Y205" s="17"/>
      <c r="Z205" s="17"/>
      <c r="AA205" s="17"/>
      <c r="AB205" s="17"/>
      <c r="AC205" s="17" t="e" cm="1">
        <f t="array" ref="AC205">_xlfn.XLOOKUP(1,MappingGuide[[#This Row],[API]:[API_3]],'[1]Squirrel SQL Export 1'!$K:$N,[1]!Table1[[#This Row],[Doppio Notes2]])</f>
        <v>#REF!</v>
      </c>
      <c r="AD205" s="17"/>
      <c r="AE205" s="17" t="e" cm="1">
        <f t="array" ref="AE205">_xlfn.XLOOKUP(1,MappingGuide[[#This Row],[API]:[API_3]],'[1]Squirrel SQL Export 1'!$K:$N,[1]!Table1[[#This Row],[DG_required]])</f>
        <v>#REF!</v>
      </c>
      <c r="AF205" s="21" t="s">
        <v>1290</v>
      </c>
      <c r="AG205" s="21"/>
      <c r="AH205" s="22" t="e" cm="1">
        <f t="array" ref="AH205">_xlfn.LET(_xlpm.r,_xlfn.XLOOKUP(1,MappingGuide[[#This Row],[API]:[API_3]],'[1]Squirrel SQL Export 1'!$K:$N,[1]!Table1[[#This Row],[Pending Items]]),IF(_xlpm.r=0,"",_xlpm.r))</f>
        <v>#REF!</v>
      </c>
      <c r="AI205" s="22" t="e" cm="1">
        <f t="array" ref="AI205">_xlfn.LET(_xlpm.r,_xlfn.XLOOKUP(1,MappingGuide[[#This Row],[API]:[API_3]],'[1]Squirrel SQL Export 1'!$K:$N,[1]!Table1[[#This Row],[Syndigo Name]]),IF(_xlpm.r=0,"",_xlpm.r))</f>
        <v>#REF!</v>
      </c>
      <c r="AJ205" s="17"/>
    </row>
    <row r="206" spans="1:36" ht="17" hidden="1">
      <c r="A206" s="17">
        <v>204</v>
      </c>
      <c r="B206" s="17" t="s">
        <v>40</v>
      </c>
      <c r="C206" s="17" t="s">
        <v>899</v>
      </c>
      <c r="D206" s="17" t="s">
        <v>893</v>
      </c>
      <c r="E206" s="17" t="s">
        <v>43</v>
      </c>
      <c r="F206" s="17" t="s">
        <v>56</v>
      </c>
      <c r="G206" s="17"/>
      <c r="H206" s="17"/>
      <c r="I206" s="17" t="s">
        <v>57</v>
      </c>
      <c r="J206" s="17" t="s">
        <v>145</v>
      </c>
      <c r="K206" s="17"/>
      <c r="L206" s="17" t="s">
        <v>35</v>
      </c>
      <c r="M206" s="17" t="s">
        <v>146</v>
      </c>
      <c r="N206" s="17" t="s">
        <v>900</v>
      </c>
      <c r="O206" s="17"/>
      <c r="P206" s="17"/>
      <c r="Q206" s="17"/>
      <c r="R206" s="17"/>
      <c r="S206" s="17" t="e" cm="1">
        <f t="array" ref="S206">_xlfn.LET(_xlpm.r,_xlfn.XLOOKUP(1,MappingGuide[[#This Row],[API]:[API_3]],'[1]Squirrel SQL Export 1'!$K:$N,[1]!Table1[[#This Row],[Responsible from HJ]]),IF(_xlpm.r=0,"",_xlpm.r))</f>
        <v>#REF!</v>
      </c>
      <c r="T206" s="17"/>
      <c r="U206" s="17"/>
      <c r="V206" s="17" t="e" cm="1">
        <f t="array" ref="V206">_xlfn.LET(_xlpm.r,_xlfn.XLOOKUP(1,MappingGuide[[#This Row],[API]:[API_3]],'[1]Squirrel SQL Export 1'!$K:$N,[1]!Table1[[#This Row],[MDM Comments]]),IF(_xlpm.r=0,"",_xlpm.r))</f>
        <v>#REF!</v>
      </c>
      <c r="W206" s="17" t="e" cm="1">
        <f t="array" ref="W206">_xlfn.LET(_xlpm.r,_xlfn.XLOOKUP(1,MappingGuide[[#This Row],[API]:[API_3]],'[1]Squirrel SQL Export 1'!$K:$N,[1]!Table1[[#This Row],[Exists In Syndigo?]]),IF(_xlpm.r=0,"",_xlpm.r))</f>
        <v>#REF!</v>
      </c>
      <c r="X206" s="17" t="e" cm="1">
        <f t="array" ref="X206">_xlfn.LET(_xlpm.r,_xlfn.XLOOKUP(1,MappingGuide[[#This Row],[API]:[API_3]],'[1]Squirrel SQL Export 1'!$K:$N,[1]!Table1[[#This Row],[Syndigo Name]]),IF(_xlpm.r=0,"",_xlpm.r))</f>
        <v>#REF!</v>
      </c>
      <c r="Y206" s="17"/>
      <c r="Z206" s="17"/>
      <c r="AA206" s="17"/>
      <c r="AB206" s="17"/>
      <c r="AC206" s="17" t="e" cm="1">
        <f t="array" ref="AC206">_xlfn.XLOOKUP(1,MappingGuide[[#This Row],[API]:[API_3]],'[1]Squirrel SQL Export 1'!$K:$N,[1]!Table1[[#This Row],[Doppio Notes2]])</f>
        <v>#REF!</v>
      </c>
      <c r="AD206" s="17"/>
      <c r="AE206" s="17" t="e" cm="1">
        <f t="array" ref="AE206">_xlfn.XLOOKUP(1,MappingGuide[[#This Row],[API]:[API_3]],'[1]Squirrel SQL Export 1'!$K:$N,[1]!Table1[[#This Row],[DG_required]])</f>
        <v>#REF!</v>
      </c>
      <c r="AF206" s="21" t="s">
        <v>1290</v>
      </c>
      <c r="AG206" s="21"/>
      <c r="AH206" s="22" t="e" cm="1">
        <f t="array" ref="AH206">_xlfn.LET(_xlpm.r,_xlfn.XLOOKUP(1,MappingGuide[[#This Row],[API]:[API_3]],'[1]Squirrel SQL Export 1'!$K:$N,[1]!Table1[[#This Row],[Pending Items]]),IF(_xlpm.r=0,"",_xlpm.r))</f>
        <v>#REF!</v>
      </c>
      <c r="AI206" s="22" t="e" cm="1">
        <f t="array" ref="AI206">_xlfn.LET(_xlpm.r,_xlfn.XLOOKUP(1,MappingGuide[[#This Row],[API]:[API_3]],'[1]Squirrel SQL Export 1'!$K:$N,[1]!Table1[[#This Row],[Syndigo Name]]),IF(_xlpm.r=0,"",_xlpm.r))</f>
        <v>#REF!</v>
      </c>
      <c r="AJ206" s="17"/>
    </row>
    <row r="207" spans="1:36" ht="17" hidden="1">
      <c r="A207" s="17">
        <v>205</v>
      </c>
      <c r="B207" s="17" t="s">
        <v>40</v>
      </c>
      <c r="C207" s="17" t="s">
        <v>901</v>
      </c>
      <c r="D207" s="17" t="s">
        <v>902</v>
      </c>
      <c r="E207" s="17" t="s">
        <v>43</v>
      </c>
      <c r="F207" s="17" t="s">
        <v>80</v>
      </c>
      <c r="G207" s="17"/>
      <c r="H207" s="17"/>
      <c r="I207" s="17" t="s">
        <v>57</v>
      </c>
      <c r="J207" s="17" t="s">
        <v>72</v>
      </c>
      <c r="K207" s="17"/>
      <c r="L207" s="17" t="s">
        <v>35</v>
      </c>
      <c r="M207" s="17" t="s">
        <v>73</v>
      </c>
      <c r="N207" s="17" t="s">
        <v>903</v>
      </c>
      <c r="O207" s="17"/>
      <c r="P207" s="17"/>
      <c r="Q207" s="17"/>
      <c r="R207" s="17"/>
      <c r="S207" s="17" t="e" cm="1">
        <f t="array" ref="S207">_xlfn.LET(_xlpm.r,_xlfn.XLOOKUP(1,MappingGuide[[#This Row],[API]:[API_3]],'[1]Squirrel SQL Export 1'!$K:$N,[1]!Table1[[#This Row],[Responsible from HJ]]),IF(_xlpm.r=0,"",_xlpm.r))</f>
        <v>#REF!</v>
      </c>
      <c r="T207" s="17"/>
      <c r="U207" s="17"/>
      <c r="V207" s="17" t="e" cm="1">
        <f t="array" ref="V207">_xlfn.LET(_xlpm.r,_xlfn.XLOOKUP(1,MappingGuide[[#This Row],[API]:[API_3]],'[1]Squirrel SQL Export 1'!$K:$N,[1]!Table1[[#This Row],[MDM Comments]]),IF(_xlpm.r=0,"",_xlpm.r))</f>
        <v>#REF!</v>
      </c>
      <c r="W207" s="17" t="e" cm="1">
        <f t="array" ref="W207">_xlfn.LET(_xlpm.r,_xlfn.XLOOKUP(1,MappingGuide[[#This Row],[API]:[API_3]],'[1]Squirrel SQL Export 1'!$K:$N,[1]!Table1[[#This Row],[Exists In Syndigo?]]),IF(_xlpm.r=0,"",_xlpm.r))</f>
        <v>#REF!</v>
      </c>
      <c r="X207" s="17" t="e" cm="1">
        <f t="array" ref="X207">_xlfn.LET(_xlpm.r,_xlfn.XLOOKUP(1,MappingGuide[[#This Row],[API]:[API_3]],'[1]Squirrel SQL Export 1'!$K:$N,[1]!Table1[[#This Row],[Syndigo Name]]),IF(_xlpm.r=0,"",_xlpm.r))</f>
        <v>#REF!</v>
      </c>
      <c r="Y207" s="17"/>
      <c r="Z207" s="17" t="s">
        <v>904</v>
      </c>
      <c r="AA207" s="17" t="s">
        <v>905</v>
      </c>
      <c r="AB207" s="17"/>
      <c r="AC207" s="17" t="e" cm="1">
        <f t="array" ref="AC207">_xlfn.XLOOKUP(1,MappingGuide[[#This Row],[API]:[API_3]],'[1]Squirrel SQL Export 1'!$K:$N,[1]!Table1[[#This Row],[Doppio Notes2]])</f>
        <v>#REF!</v>
      </c>
      <c r="AD207" s="17"/>
      <c r="AE207" s="17" t="e" cm="1">
        <f t="array" ref="AE207">_xlfn.XLOOKUP(1,MappingGuide[[#This Row],[API]:[API_3]],'[1]Squirrel SQL Export 1'!$K:$N,[1]!Table1[[#This Row],[DG_required]])</f>
        <v>#REF!</v>
      </c>
      <c r="AF207" s="21" t="s">
        <v>56</v>
      </c>
      <c r="AG207" s="21"/>
      <c r="AH207" s="22" t="e" cm="1">
        <f t="array" ref="AH207">_xlfn.LET(_xlpm.r,_xlfn.XLOOKUP(1,MappingGuide[[#This Row],[API]:[API_3]],'[1]Squirrel SQL Export 1'!$K:$N,[1]!Table1[[#This Row],[Pending Items]]),IF(_xlpm.r=0,"",_xlpm.r))</f>
        <v>#REF!</v>
      </c>
      <c r="AI207" s="22" t="e" cm="1">
        <f t="array" ref="AI207">_xlfn.LET(_xlpm.r,_xlfn.XLOOKUP(1,MappingGuide[[#This Row],[API]:[API_3]],'[1]Squirrel SQL Export 1'!$K:$N,[1]!Table1[[#This Row],[Syndigo Name]]),IF(_xlpm.r=0,"",_xlpm.r))</f>
        <v>#REF!</v>
      </c>
      <c r="AJ207" s="17"/>
    </row>
    <row r="208" spans="1:36" ht="17" hidden="1">
      <c r="A208" s="17">
        <v>206</v>
      </c>
      <c r="B208" s="17" t="s">
        <v>40</v>
      </c>
      <c r="C208" s="17" t="s">
        <v>906</v>
      </c>
      <c r="D208" s="17" t="s">
        <v>907</v>
      </c>
      <c r="E208" s="17" t="s">
        <v>33</v>
      </c>
      <c r="F208" s="17" t="s">
        <v>44</v>
      </c>
      <c r="G208" s="17"/>
      <c r="H208" s="17"/>
      <c r="I208" s="17" t="s">
        <v>57</v>
      </c>
      <c r="J208" s="17" t="s">
        <v>124</v>
      </c>
      <c r="K208" s="17"/>
      <c r="L208" s="17" t="s">
        <v>35</v>
      </c>
      <c r="M208" s="17" t="s">
        <v>36</v>
      </c>
      <c r="N208" s="17" t="s">
        <v>908</v>
      </c>
      <c r="O208" s="17"/>
      <c r="P208" s="17"/>
      <c r="Q208" s="17"/>
      <c r="R208" s="17"/>
      <c r="S208" s="17" t="e" cm="1">
        <f t="array" ref="S208">_xlfn.LET(_xlpm.r,_xlfn.XLOOKUP(1,MappingGuide[[#This Row],[API]:[API_3]],'[1]Squirrel SQL Export 1'!$K:$N,[1]!Table1[[#This Row],[Responsible from HJ]]),IF(_xlpm.r=0,"",_xlpm.r))</f>
        <v>#REF!</v>
      </c>
      <c r="T208" s="17"/>
      <c r="U208" s="17"/>
      <c r="V208" s="17" t="e" cm="1">
        <f t="array" ref="V208">_xlfn.LET(_xlpm.r,_xlfn.XLOOKUP(1,MappingGuide[[#This Row],[API]:[API_3]],'[1]Squirrel SQL Export 1'!$K:$N,[1]!Table1[[#This Row],[MDM Comments]]),IF(_xlpm.r=0,"",_xlpm.r))</f>
        <v>#REF!</v>
      </c>
      <c r="W208" s="17" t="e" cm="1">
        <f t="array" ref="W208">_xlfn.LET(_xlpm.r,_xlfn.XLOOKUP(1,MappingGuide[[#This Row],[API]:[API_3]],'[1]Squirrel SQL Export 1'!$K:$N,[1]!Table1[[#This Row],[Exists In Syndigo?]]),IF(_xlpm.r=0,"",_xlpm.r))</f>
        <v>#REF!</v>
      </c>
      <c r="X208" s="17" t="e" cm="1">
        <f t="array" ref="X208">_xlfn.LET(_xlpm.r,_xlfn.XLOOKUP(1,MappingGuide[[#This Row],[API]:[API_3]],'[1]Squirrel SQL Export 1'!$K:$N,[1]!Table1[[#This Row],[Syndigo Name]]),IF(_xlpm.r=0,"",_xlpm.r))</f>
        <v>#REF!</v>
      </c>
      <c r="Y208" s="17"/>
      <c r="Z208" s="17" t="s">
        <v>909</v>
      </c>
      <c r="AA208" s="17"/>
      <c r="AB208" s="17"/>
      <c r="AC208" s="17" t="e" cm="1">
        <f t="array" ref="AC208">_xlfn.XLOOKUP(1,MappingGuide[[#This Row],[API]:[API_3]],'[1]Squirrel SQL Export 1'!$K:$N,[1]!Table1[[#This Row],[Doppio Notes2]])</f>
        <v>#REF!</v>
      </c>
      <c r="AD208" s="17"/>
      <c r="AE208" s="17" t="e" cm="1">
        <f t="array" ref="AE208">_xlfn.XLOOKUP(1,MappingGuide[[#This Row],[API]:[API_3]],'[1]Squirrel SQL Export 1'!$K:$N,[1]!Table1[[#This Row],[DG_required]])</f>
        <v>#REF!</v>
      </c>
      <c r="AF208" s="21" t="s">
        <v>1306</v>
      </c>
      <c r="AG208" s="21"/>
      <c r="AH208" s="22" t="e" cm="1">
        <f t="array" ref="AH208">_xlfn.LET(_xlpm.r,_xlfn.XLOOKUP(1,MappingGuide[[#This Row],[API]:[API_3]],'[1]Squirrel SQL Export 1'!$K:$N,[1]!Table1[[#This Row],[Pending Items]]),IF(_xlpm.r=0,"",_xlpm.r))</f>
        <v>#REF!</v>
      </c>
      <c r="AI208" s="22" t="e" cm="1">
        <f t="array" ref="AI208">_xlfn.LET(_xlpm.r,_xlfn.XLOOKUP(1,MappingGuide[[#This Row],[API]:[API_3]],'[1]Squirrel SQL Export 1'!$K:$N,[1]!Table1[[#This Row],[Syndigo Name]]),IF(_xlpm.r=0,"",_xlpm.r))</f>
        <v>#REF!</v>
      </c>
      <c r="AJ208" s="17"/>
    </row>
    <row r="209" spans="1:36" ht="17" hidden="1">
      <c r="A209" s="17">
        <v>207</v>
      </c>
      <c r="B209" s="17" t="s">
        <v>40</v>
      </c>
      <c r="C209" s="17" t="s">
        <v>910</v>
      </c>
      <c r="D209" s="17" t="s">
        <v>911</v>
      </c>
      <c r="E209" s="17" t="s">
        <v>43</v>
      </c>
      <c r="F209" s="17" t="s">
        <v>80</v>
      </c>
      <c r="G209" s="17"/>
      <c r="H209" s="17"/>
      <c r="I209" s="17" t="s">
        <v>57</v>
      </c>
      <c r="J209" s="17" t="s">
        <v>72</v>
      </c>
      <c r="K209" s="17"/>
      <c r="L209" s="17"/>
      <c r="M209" s="17"/>
      <c r="N209" s="17" t="s">
        <v>912</v>
      </c>
      <c r="O209" s="17"/>
      <c r="P209" s="17"/>
      <c r="Q209" s="17"/>
      <c r="R209" s="17"/>
      <c r="S209" s="17" t="e" cm="1">
        <f t="array" ref="S209">_xlfn.LET(_xlpm.r,_xlfn.XLOOKUP(1,MappingGuide[[#This Row],[API]:[API_3]],'[1]Squirrel SQL Export 1'!$K:$N,[1]!Table1[[#This Row],[Responsible from HJ]]),IF(_xlpm.r=0,"",_xlpm.r))</f>
        <v>#REF!</v>
      </c>
      <c r="T209" s="17"/>
      <c r="U209" s="17"/>
      <c r="V209" s="17" t="e" cm="1">
        <f t="array" ref="V209">_xlfn.LET(_xlpm.r,_xlfn.XLOOKUP(1,MappingGuide[[#This Row],[API]:[API_3]],'[1]Squirrel SQL Export 1'!$K:$N,[1]!Table1[[#This Row],[MDM Comments]]),IF(_xlpm.r=0,"",_xlpm.r))</f>
        <v>#REF!</v>
      </c>
      <c r="W209" s="17" t="e" cm="1">
        <f t="array" ref="W209">_xlfn.LET(_xlpm.r,_xlfn.XLOOKUP(1,MappingGuide[[#This Row],[API]:[API_3]],'[1]Squirrel SQL Export 1'!$K:$N,[1]!Table1[[#This Row],[Exists In Syndigo?]]),IF(_xlpm.r=0,"",_xlpm.r))</f>
        <v>#REF!</v>
      </c>
      <c r="X209" s="17" t="e" cm="1">
        <f t="array" ref="X209">_xlfn.LET(_xlpm.r,_xlfn.XLOOKUP(1,MappingGuide[[#This Row],[API]:[API_3]],'[1]Squirrel SQL Export 1'!$K:$N,[1]!Table1[[#This Row],[Syndigo Name]]),IF(_xlpm.r=0,"",_xlpm.r))</f>
        <v>#REF!</v>
      </c>
      <c r="Y209" s="17"/>
      <c r="Z209" s="17" t="s">
        <v>913</v>
      </c>
      <c r="AA209" s="17" t="s">
        <v>914</v>
      </c>
      <c r="AB209" s="17"/>
      <c r="AC209" s="17" t="e" cm="1">
        <f t="array" ref="AC209">_xlfn.XLOOKUP(1,MappingGuide[[#This Row],[API]:[API_3]],'[1]Squirrel SQL Export 1'!$K:$N,[1]!Table1[[#This Row],[Doppio Notes2]])</f>
        <v>#REF!</v>
      </c>
      <c r="AD209" s="17"/>
      <c r="AE209" s="17" t="e" cm="1">
        <f t="array" ref="AE209">_xlfn.XLOOKUP(1,MappingGuide[[#This Row],[API]:[API_3]],'[1]Squirrel SQL Export 1'!$K:$N,[1]!Table1[[#This Row],[DG_required]])</f>
        <v>#REF!</v>
      </c>
      <c r="AF209" s="21" t="s">
        <v>1290</v>
      </c>
      <c r="AG209" s="21"/>
      <c r="AH209" s="22" t="e" cm="1">
        <f t="array" ref="AH209">_xlfn.LET(_xlpm.r,_xlfn.XLOOKUP(1,MappingGuide[[#This Row],[API]:[API_3]],'[1]Squirrel SQL Export 1'!$K:$N,[1]!Table1[[#This Row],[Pending Items]]),IF(_xlpm.r=0,"",_xlpm.r))</f>
        <v>#REF!</v>
      </c>
      <c r="AI209" s="22" t="e" cm="1">
        <f t="array" ref="AI209">_xlfn.LET(_xlpm.r,_xlfn.XLOOKUP(1,MappingGuide[[#This Row],[API]:[API_3]],'[1]Squirrel SQL Export 1'!$K:$N,[1]!Table1[[#This Row],[Syndigo Name]]),IF(_xlpm.r=0,"",_xlpm.r))</f>
        <v>#REF!</v>
      </c>
      <c r="AJ209" s="17"/>
    </row>
    <row r="210" spans="1:36" ht="17" hidden="1">
      <c r="A210" s="17">
        <v>208</v>
      </c>
      <c r="B210" s="17" t="s">
        <v>40</v>
      </c>
      <c r="C210" s="17" t="s">
        <v>915</v>
      </c>
      <c r="D210" s="17" t="s">
        <v>916</v>
      </c>
      <c r="E210" s="17" t="s">
        <v>43</v>
      </c>
      <c r="F210" s="17" t="s">
        <v>80</v>
      </c>
      <c r="G210" s="17"/>
      <c r="H210" s="17"/>
      <c r="I210" s="17" t="s">
        <v>57</v>
      </c>
      <c r="J210" s="17" t="s">
        <v>119</v>
      </c>
      <c r="K210" s="17"/>
      <c r="L210" s="17" t="s">
        <v>35</v>
      </c>
      <c r="M210" s="17" t="s">
        <v>73</v>
      </c>
      <c r="N210" s="17" t="s">
        <v>917</v>
      </c>
      <c r="O210" s="17"/>
      <c r="P210" s="17"/>
      <c r="Q210" s="17"/>
      <c r="R210" s="17"/>
      <c r="S210" s="17" t="e" cm="1">
        <f t="array" ref="S210">_xlfn.LET(_xlpm.r,_xlfn.XLOOKUP(1,MappingGuide[[#This Row],[API]:[API_3]],'[1]Squirrel SQL Export 1'!$K:$N,[1]!Table1[[#This Row],[Responsible from HJ]]),IF(_xlpm.r=0,"",_xlpm.r))</f>
        <v>#REF!</v>
      </c>
      <c r="T210" s="17"/>
      <c r="U210" s="17"/>
      <c r="V210" s="17" t="e" cm="1">
        <f t="array" ref="V210">_xlfn.LET(_xlpm.r,_xlfn.XLOOKUP(1,MappingGuide[[#This Row],[API]:[API_3]],'[1]Squirrel SQL Export 1'!$K:$N,[1]!Table1[[#This Row],[MDM Comments]]),IF(_xlpm.r=0,"",_xlpm.r))</f>
        <v>#REF!</v>
      </c>
      <c r="W210" s="17" t="e" cm="1">
        <f t="array" ref="W210">_xlfn.LET(_xlpm.r,_xlfn.XLOOKUP(1,MappingGuide[[#This Row],[API]:[API_3]],'[1]Squirrel SQL Export 1'!$K:$N,[1]!Table1[[#This Row],[Exists In Syndigo?]]),IF(_xlpm.r=0,"",_xlpm.r))</f>
        <v>#REF!</v>
      </c>
      <c r="X210" s="17" t="e" cm="1">
        <f t="array" ref="X210">_xlfn.LET(_xlpm.r,_xlfn.XLOOKUP(1,MappingGuide[[#This Row],[API]:[API_3]],'[1]Squirrel SQL Export 1'!$K:$N,[1]!Table1[[#This Row],[Syndigo Name]]),IF(_xlpm.r=0,"",_xlpm.r))</f>
        <v>#REF!</v>
      </c>
      <c r="Y210" s="17"/>
      <c r="Z210" s="17" t="s">
        <v>918</v>
      </c>
      <c r="AA210" s="17" t="s">
        <v>919</v>
      </c>
      <c r="AB210" s="17"/>
      <c r="AC210" s="17" t="e" cm="1">
        <f t="array" ref="AC210">_xlfn.XLOOKUP(1,MappingGuide[[#This Row],[API]:[API_3]],'[1]Squirrel SQL Export 1'!$K:$N,[1]!Table1[[#This Row],[Doppio Notes2]])</f>
        <v>#REF!</v>
      </c>
      <c r="AD210" s="17"/>
      <c r="AE210" s="17" t="e" cm="1">
        <f t="array" ref="AE210">_xlfn.XLOOKUP(1,MappingGuide[[#This Row],[API]:[API_3]],'[1]Squirrel SQL Export 1'!$K:$N,[1]!Table1[[#This Row],[DG_required]])</f>
        <v>#REF!</v>
      </c>
      <c r="AF210" s="21" t="s">
        <v>1290</v>
      </c>
      <c r="AG210" s="21"/>
      <c r="AH210" s="22" t="e" cm="1">
        <f t="array" ref="AH210">_xlfn.LET(_xlpm.r,_xlfn.XLOOKUP(1,MappingGuide[[#This Row],[API]:[API_3]],'[1]Squirrel SQL Export 1'!$K:$N,[1]!Table1[[#This Row],[Pending Items]]),IF(_xlpm.r=0,"",_xlpm.r))</f>
        <v>#REF!</v>
      </c>
      <c r="AI210" s="22" t="e" cm="1">
        <f t="array" ref="AI210">_xlfn.LET(_xlpm.r,_xlfn.XLOOKUP(1,MappingGuide[[#This Row],[API]:[API_3]],'[1]Squirrel SQL Export 1'!$K:$N,[1]!Table1[[#This Row],[Syndigo Name]]),IF(_xlpm.r=0,"",_xlpm.r))</f>
        <v>#REF!</v>
      </c>
      <c r="AJ210" s="17"/>
    </row>
    <row r="211" spans="1:36" ht="17" hidden="1">
      <c r="A211" s="17">
        <v>209</v>
      </c>
      <c r="B211" s="17" t="s">
        <v>40</v>
      </c>
      <c r="C211" s="17" t="s">
        <v>920</v>
      </c>
      <c r="D211" s="17" t="s">
        <v>921</v>
      </c>
      <c r="E211" s="17" t="s">
        <v>33</v>
      </c>
      <c r="F211" s="17" t="s">
        <v>44</v>
      </c>
      <c r="G211" s="17"/>
      <c r="H211" s="17"/>
      <c r="I211" s="17" t="s">
        <v>57</v>
      </c>
      <c r="J211" s="17" t="s">
        <v>119</v>
      </c>
      <c r="K211" s="17"/>
      <c r="L211" s="17" t="s">
        <v>35</v>
      </c>
      <c r="M211" s="17" t="s">
        <v>73</v>
      </c>
      <c r="N211" s="17" t="s">
        <v>922</v>
      </c>
      <c r="O211" s="17"/>
      <c r="P211" s="17"/>
      <c r="Q211" s="17"/>
      <c r="R211" s="17"/>
      <c r="S211" s="17" t="e" cm="1">
        <f t="array" ref="S211">_xlfn.LET(_xlpm.r,_xlfn.XLOOKUP(1,MappingGuide[[#This Row],[API]:[API_3]],'[1]Squirrel SQL Export 1'!$K:$N,[1]!Table1[[#This Row],[Responsible from HJ]]),IF(_xlpm.r=0,"",_xlpm.r))</f>
        <v>#REF!</v>
      </c>
      <c r="T211" s="17"/>
      <c r="U211" s="17"/>
      <c r="V211" s="17" t="e" cm="1">
        <f t="array" ref="V211">_xlfn.LET(_xlpm.r,_xlfn.XLOOKUP(1,MappingGuide[[#This Row],[API]:[API_3]],'[1]Squirrel SQL Export 1'!$K:$N,[1]!Table1[[#This Row],[MDM Comments]]),IF(_xlpm.r=0,"",_xlpm.r))</f>
        <v>#REF!</v>
      </c>
      <c r="W211" s="17" t="e" cm="1">
        <f t="array" ref="W211">_xlfn.LET(_xlpm.r,_xlfn.XLOOKUP(1,MappingGuide[[#This Row],[API]:[API_3]],'[1]Squirrel SQL Export 1'!$K:$N,[1]!Table1[[#This Row],[Exists In Syndigo?]]),IF(_xlpm.r=0,"",_xlpm.r))</f>
        <v>#REF!</v>
      </c>
      <c r="X211" s="17" t="e" cm="1">
        <f t="array" ref="X211">_xlfn.LET(_xlpm.r,_xlfn.XLOOKUP(1,MappingGuide[[#This Row],[API]:[API_3]],'[1]Squirrel SQL Export 1'!$K:$N,[1]!Table1[[#This Row],[Syndigo Name]]),IF(_xlpm.r=0,"",_xlpm.r))</f>
        <v>#REF!</v>
      </c>
      <c r="Y211" s="17"/>
      <c r="Z211" s="17" t="s">
        <v>923</v>
      </c>
      <c r="AA211" s="17"/>
      <c r="AB211" s="17"/>
      <c r="AC211" s="17" t="e" cm="1">
        <f t="array" ref="AC211">_xlfn.XLOOKUP(1,MappingGuide[[#This Row],[API]:[API_3]],'[1]Squirrel SQL Export 1'!$K:$N,[1]!Table1[[#This Row],[Doppio Notes2]])</f>
        <v>#REF!</v>
      </c>
      <c r="AD211" s="17"/>
      <c r="AE211" s="17" t="e" cm="1">
        <f t="array" ref="AE211">_xlfn.XLOOKUP(1,MappingGuide[[#This Row],[API]:[API_3]],'[1]Squirrel SQL Export 1'!$K:$N,[1]!Table1[[#This Row],[DG_required]])</f>
        <v>#REF!</v>
      </c>
      <c r="AF211" s="21" t="s">
        <v>924</v>
      </c>
      <c r="AG211" s="21"/>
      <c r="AH211" s="22" t="e" cm="1">
        <f t="array" ref="AH211">_xlfn.LET(_xlpm.r,_xlfn.XLOOKUP(1,MappingGuide[[#This Row],[API]:[API_3]],'[1]Squirrel SQL Export 1'!$K:$N,[1]!Table1[[#This Row],[Pending Items]]),IF(_xlpm.r=0,"",_xlpm.r))</f>
        <v>#REF!</v>
      </c>
      <c r="AI211" s="22" t="e" cm="1">
        <f t="array" ref="AI211">_xlfn.LET(_xlpm.r,_xlfn.XLOOKUP(1,MappingGuide[[#This Row],[API]:[API_3]],'[1]Squirrel SQL Export 1'!$K:$N,[1]!Table1[[#This Row],[Syndigo Name]]),IF(_xlpm.r=0,"",_xlpm.r))</f>
        <v>#REF!</v>
      </c>
      <c r="AJ211" s="17"/>
    </row>
    <row r="212" spans="1:36" ht="17" hidden="1">
      <c r="A212" s="17">
        <v>210</v>
      </c>
      <c r="B212" s="17" t="s">
        <v>40</v>
      </c>
      <c r="C212" s="17" t="s">
        <v>925</v>
      </c>
      <c r="D212" s="17" t="s">
        <v>926</v>
      </c>
      <c r="E212" s="17" t="s">
        <v>43</v>
      </c>
      <c r="F212" s="17" t="s">
        <v>668</v>
      </c>
      <c r="G212" s="17"/>
      <c r="H212" s="17"/>
      <c r="I212" s="17"/>
      <c r="J212" s="17"/>
      <c r="K212" s="17"/>
      <c r="L212" s="17"/>
      <c r="M212" s="17"/>
      <c r="N212" s="17" t="s">
        <v>927</v>
      </c>
      <c r="O212" s="17"/>
      <c r="P212" s="17"/>
      <c r="Q212" s="17"/>
      <c r="R212" s="17"/>
      <c r="S212" s="17" t="e" cm="1">
        <f t="array" ref="S212">_xlfn.LET(_xlpm.r,_xlfn.XLOOKUP(1,MappingGuide[[#This Row],[API]:[API_3]],'[1]Squirrel SQL Export 1'!$K:$N,[1]!Table1[[#This Row],[Responsible from HJ]]),IF(_xlpm.r=0,"",_xlpm.r))</f>
        <v>#REF!</v>
      </c>
      <c r="T212" s="17"/>
      <c r="U212" s="17"/>
      <c r="V212" s="17" t="e" cm="1">
        <f t="array" ref="V212">_xlfn.LET(_xlpm.r,_xlfn.XLOOKUP(1,MappingGuide[[#This Row],[API]:[API_3]],'[1]Squirrel SQL Export 1'!$K:$N,[1]!Table1[[#This Row],[MDM Comments]]),IF(_xlpm.r=0,"",_xlpm.r))</f>
        <v>#REF!</v>
      </c>
      <c r="W212" s="17" t="e" cm="1">
        <f t="array" ref="W212">_xlfn.LET(_xlpm.r,_xlfn.XLOOKUP(1,MappingGuide[[#This Row],[API]:[API_3]],'[1]Squirrel SQL Export 1'!$K:$N,[1]!Table1[[#This Row],[Exists In Syndigo?]]),IF(_xlpm.r=0,"",_xlpm.r))</f>
        <v>#REF!</v>
      </c>
      <c r="X212" s="17" t="e" cm="1">
        <f t="array" ref="X212">_xlfn.LET(_xlpm.r,_xlfn.XLOOKUP(1,MappingGuide[[#This Row],[API]:[API_3]],'[1]Squirrel SQL Export 1'!$K:$N,[1]!Table1[[#This Row],[Syndigo Name]]),IF(_xlpm.r=0,"",_xlpm.r))</f>
        <v>#REF!</v>
      </c>
      <c r="Y212" s="17"/>
      <c r="Z212" s="17" t="s">
        <v>928</v>
      </c>
      <c r="AA212" s="17"/>
      <c r="AB212" s="17"/>
      <c r="AC212" s="17" t="e" cm="1">
        <f t="array" ref="AC212">_xlfn.XLOOKUP(1,MappingGuide[[#This Row],[API]:[API_3]],'[1]Squirrel SQL Export 1'!$K:$N,[1]!Table1[[#This Row],[Doppio Notes2]])</f>
        <v>#REF!</v>
      </c>
      <c r="AD212" s="17"/>
      <c r="AE212" s="17" t="e" cm="1">
        <f t="array" ref="AE212">_xlfn.XLOOKUP(1,MappingGuide[[#This Row],[API]:[API_3]],'[1]Squirrel SQL Export 1'!$K:$N,[1]!Table1[[#This Row],[DG_required]])</f>
        <v>#REF!</v>
      </c>
      <c r="AF212" s="21" t="s">
        <v>1290</v>
      </c>
      <c r="AG212" s="21"/>
      <c r="AH212" s="22" t="e" cm="1">
        <f t="array" ref="AH212">_xlfn.LET(_xlpm.r,_xlfn.XLOOKUP(1,MappingGuide[[#This Row],[API]:[API_3]],'[1]Squirrel SQL Export 1'!$K:$N,[1]!Table1[[#This Row],[Pending Items]]),IF(_xlpm.r=0,"",_xlpm.r))</f>
        <v>#REF!</v>
      </c>
      <c r="AI212" s="22" t="e" cm="1">
        <f t="array" ref="AI212">_xlfn.LET(_xlpm.r,_xlfn.XLOOKUP(1,MappingGuide[[#This Row],[API]:[API_3]],'[1]Squirrel SQL Export 1'!$K:$N,[1]!Table1[[#This Row],[Syndigo Name]]),IF(_xlpm.r=0,"",_xlpm.r))</f>
        <v>#REF!</v>
      </c>
      <c r="AJ212" s="17"/>
    </row>
    <row r="213" spans="1:36" ht="17" hidden="1">
      <c r="A213" s="17">
        <v>211</v>
      </c>
      <c r="B213" s="17" t="s">
        <v>40</v>
      </c>
      <c r="C213" s="17" t="s">
        <v>929</v>
      </c>
      <c r="D213" s="17" t="s">
        <v>930</v>
      </c>
      <c r="E213" s="17" t="s">
        <v>33</v>
      </c>
      <c r="F213" s="17" t="s">
        <v>56</v>
      </c>
      <c r="G213" s="17"/>
      <c r="H213" s="17"/>
      <c r="I213" s="17" t="s">
        <v>57</v>
      </c>
      <c r="J213" s="17" t="s">
        <v>58</v>
      </c>
      <c r="K213" s="17"/>
      <c r="L213" s="17" t="s">
        <v>35</v>
      </c>
      <c r="M213" s="17" t="s">
        <v>73</v>
      </c>
      <c r="N213" s="17" t="s">
        <v>931</v>
      </c>
      <c r="O213" s="17"/>
      <c r="P213" s="17"/>
      <c r="Q213" s="17"/>
      <c r="R213" s="17"/>
      <c r="S213" s="17" t="e" cm="1">
        <f t="array" ref="S213">_xlfn.LET(_xlpm.r,_xlfn.XLOOKUP(1,MappingGuide[[#This Row],[API]:[API_3]],'[1]Squirrel SQL Export 1'!$K:$N,[1]!Table1[[#This Row],[Responsible from HJ]]),IF(_xlpm.r=0,"",_xlpm.r))</f>
        <v>#REF!</v>
      </c>
      <c r="T213" s="17"/>
      <c r="U213" s="17"/>
      <c r="V213" s="17" t="e" cm="1">
        <f t="array" ref="V213">_xlfn.LET(_xlpm.r,_xlfn.XLOOKUP(1,MappingGuide[[#This Row],[API]:[API_3]],'[1]Squirrel SQL Export 1'!$K:$N,[1]!Table1[[#This Row],[MDM Comments]]),IF(_xlpm.r=0,"",_xlpm.r))</f>
        <v>#REF!</v>
      </c>
      <c r="W213" s="17" t="e" cm="1">
        <f t="array" ref="W213">_xlfn.LET(_xlpm.r,_xlfn.XLOOKUP(1,MappingGuide[[#This Row],[API]:[API_3]],'[1]Squirrel SQL Export 1'!$K:$N,[1]!Table1[[#This Row],[Exists In Syndigo?]]),IF(_xlpm.r=0,"",_xlpm.r))</f>
        <v>#REF!</v>
      </c>
      <c r="X213" s="17" t="e" cm="1">
        <f t="array" ref="X213">_xlfn.LET(_xlpm.r,_xlfn.XLOOKUP(1,MappingGuide[[#This Row],[API]:[API_3]],'[1]Squirrel SQL Export 1'!$K:$N,[1]!Table1[[#This Row],[Syndigo Name]]),IF(_xlpm.r=0,"",_xlpm.r))</f>
        <v>#REF!</v>
      </c>
      <c r="Y213" s="17"/>
      <c r="Z213" s="17" t="s">
        <v>932</v>
      </c>
      <c r="AA213" s="17"/>
      <c r="AB213" s="17"/>
      <c r="AC213" s="17" t="e" cm="1">
        <f t="array" ref="AC213">_xlfn.XLOOKUP(1,MappingGuide[[#This Row],[API]:[API_3]],'[1]Squirrel SQL Export 1'!$K:$N,[1]!Table1[[#This Row],[Doppio Notes2]])</f>
        <v>#REF!</v>
      </c>
      <c r="AD213" s="17"/>
      <c r="AE213" s="17" t="e" cm="1">
        <f t="array" ref="AE213">_xlfn.XLOOKUP(1,MappingGuide[[#This Row],[API]:[API_3]],'[1]Squirrel SQL Export 1'!$K:$N,[1]!Table1[[#This Row],[DG_required]])</f>
        <v>#REF!</v>
      </c>
      <c r="AF213" s="21" t="s">
        <v>337</v>
      </c>
      <c r="AG213" s="21"/>
      <c r="AH213" s="22" t="e" cm="1">
        <f t="array" ref="AH213">_xlfn.LET(_xlpm.r,_xlfn.XLOOKUP(1,MappingGuide[[#This Row],[API]:[API_3]],'[1]Squirrel SQL Export 1'!$K:$N,[1]!Table1[[#This Row],[Pending Items]]),IF(_xlpm.r=0,"",_xlpm.r))</f>
        <v>#REF!</v>
      </c>
      <c r="AI213" s="22" t="e" cm="1">
        <f t="array" ref="AI213">_xlfn.LET(_xlpm.r,_xlfn.XLOOKUP(1,MappingGuide[[#This Row],[API]:[API_3]],'[1]Squirrel SQL Export 1'!$K:$N,[1]!Table1[[#This Row],[Syndigo Name]]),IF(_xlpm.r=0,"",_xlpm.r))</f>
        <v>#REF!</v>
      </c>
      <c r="AJ213" s="17"/>
    </row>
    <row r="214" spans="1:36" ht="17" hidden="1">
      <c r="A214" s="17">
        <v>212</v>
      </c>
      <c r="B214" s="17" t="s">
        <v>40</v>
      </c>
      <c r="C214" s="17" t="s">
        <v>933</v>
      </c>
      <c r="D214" s="17" t="s">
        <v>934</v>
      </c>
      <c r="E214" s="17" t="s">
        <v>43</v>
      </c>
      <c r="F214" s="17" t="s">
        <v>80</v>
      </c>
      <c r="G214" s="17"/>
      <c r="H214" s="17"/>
      <c r="I214" s="17" t="s">
        <v>57</v>
      </c>
      <c r="J214" s="17" t="s">
        <v>72</v>
      </c>
      <c r="K214" s="17"/>
      <c r="L214" s="17"/>
      <c r="M214" s="17"/>
      <c r="N214" s="17" t="s">
        <v>935</v>
      </c>
      <c r="O214" s="17"/>
      <c r="P214" s="17"/>
      <c r="Q214" s="17"/>
      <c r="R214" s="17"/>
      <c r="S214" s="17" t="e" cm="1">
        <f t="array" ref="S214">_xlfn.LET(_xlpm.r,_xlfn.XLOOKUP(1,MappingGuide[[#This Row],[API]:[API_3]],'[1]Squirrel SQL Export 1'!$K:$N,[1]!Table1[[#This Row],[Responsible from HJ]]),IF(_xlpm.r=0,"",_xlpm.r))</f>
        <v>#REF!</v>
      </c>
      <c r="T214" s="17"/>
      <c r="U214" s="17"/>
      <c r="V214" s="17" t="e" cm="1">
        <f t="array" ref="V214">_xlfn.LET(_xlpm.r,_xlfn.XLOOKUP(1,MappingGuide[[#This Row],[API]:[API_3]],'[1]Squirrel SQL Export 1'!$K:$N,[1]!Table1[[#This Row],[MDM Comments]]),IF(_xlpm.r=0,"",_xlpm.r))</f>
        <v>#REF!</v>
      </c>
      <c r="W214" s="17" t="e" cm="1">
        <f t="array" ref="W214">_xlfn.LET(_xlpm.r,_xlfn.XLOOKUP(1,MappingGuide[[#This Row],[API]:[API_3]],'[1]Squirrel SQL Export 1'!$K:$N,[1]!Table1[[#This Row],[Exists In Syndigo?]]),IF(_xlpm.r=0,"",_xlpm.r))</f>
        <v>#REF!</v>
      </c>
      <c r="X214" s="17" t="e" cm="1">
        <f t="array" ref="X214">_xlfn.LET(_xlpm.r,_xlfn.XLOOKUP(1,MappingGuide[[#This Row],[API]:[API_3]],'[1]Squirrel SQL Export 1'!$K:$N,[1]!Table1[[#This Row],[Syndigo Name]]),IF(_xlpm.r=0,"",_xlpm.r))</f>
        <v>#REF!</v>
      </c>
      <c r="Y214" s="17"/>
      <c r="Z214" s="17" t="s">
        <v>936</v>
      </c>
      <c r="AA214" s="17" t="s">
        <v>937</v>
      </c>
      <c r="AB214" s="17"/>
      <c r="AC214" s="17" t="e" cm="1">
        <f t="array" ref="AC214">_xlfn.XLOOKUP(1,MappingGuide[[#This Row],[API]:[API_3]],'[1]Squirrel SQL Export 1'!$K:$N,[1]!Table1[[#This Row],[Doppio Notes2]])</f>
        <v>#REF!</v>
      </c>
      <c r="AD214" s="17"/>
      <c r="AE214" s="17" t="e" cm="1">
        <f t="array" ref="AE214">_xlfn.XLOOKUP(1,MappingGuide[[#This Row],[API]:[API_3]],'[1]Squirrel SQL Export 1'!$K:$N,[1]!Table1[[#This Row],[DG_required]])</f>
        <v>#REF!</v>
      </c>
      <c r="AF214" s="21" t="s">
        <v>1290</v>
      </c>
      <c r="AG214" s="21"/>
      <c r="AH214" s="22" t="e" cm="1">
        <f t="array" ref="AH214">_xlfn.LET(_xlpm.r,_xlfn.XLOOKUP(1,MappingGuide[[#This Row],[API]:[API_3]],'[1]Squirrel SQL Export 1'!$K:$N,[1]!Table1[[#This Row],[Pending Items]]),IF(_xlpm.r=0,"",_xlpm.r))</f>
        <v>#REF!</v>
      </c>
      <c r="AI214" s="22" t="e" cm="1">
        <f t="array" ref="AI214">_xlfn.LET(_xlpm.r,_xlfn.XLOOKUP(1,MappingGuide[[#This Row],[API]:[API_3]],'[1]Squirrel SQL Export 1'!$K:$N,[1]!Table1[[#This Row],[Syndigo Name]]),IF(_xlpm.r=0,"",_xlpm.r))</f>
        <v>#REF!</v>
      </c>
      <c r="AJ214" s="17"/>
    </row>
    <row r="215" spans="1:36" ht="17" hidden="1">
      <c r="A215" s="17">
        <v>213</v>
      </c>
      <c r="B215" s="17" t="s">
        <v>40</v>
      </c>
      <c r="C215" s="17" t="s">
        <v>938</v>
      </c>
      <c r="D215" s="17" t="s">
        <v>939</v>
      </c>
      <c r="E215" s="17" t="s">
        <v>43</v>
      </c>
      <c r="F215" s="17" t="s">
        <v>80</v>
      </c>
      <c r="G215" s="17"/>
      <c r="H215" s="17"/>
      <c r="I215" s="17" t="s">
        <v>57</v>
      </c>
      <c r="J215" s="17" t="s">
        <v>72</v>
      </c>
      <c r="K215" s="17"/>
      <c r="L215" s="17" t="s">
        <v>35</v>
      </c>
      <c r="M215" s="17" t="s">
        <v>73</v>
      </c>
      <c r="N215" s="17" t="s">
        <v>940</v>
      </c>
      <c r="O215" s="17"/>
      <c r="P215" s="17"/>
      <c r="Q215" s="17"/>
      <c r="R215" s="17"/>
      <c r="S215" s="17" t="e" cm="1">
        <f t="array" ref="S215">_xlfn.LET(_xlpm.r,_xlfn.XLOOKUP(1,MappingGuide[[#This Row],[API]:[API_3]],'[1]Squirrel SQL Export 1'!$K:$N,[1]!Table1[[#This Row],[Responsible from HJ]]),IF(_xlpm.r=0,"",_xlpm.r))</f>
        <v>#REF!</v>
      </c>
      <c r="T215" s="17"/>
      <c r="U215" s="17"/>
      <c r="V215" s="17" t="e" cm="1">
        <f t="array" ref="V215">_xlfn.LET(_xlpm.r,_xlfn.XLOOKUP(1,MappingGuide[[#This Row],[API]:[API_3]],'[1]Squirrel SQL Export 1'!$K:$N,[1]!Table1[[#This Row],[MDM Comments]]),IF(_xlpm.r=0,"",_xlpm.r))</f>
        <v>#REF!</v>
      </c>
      <c r="W215" s="17" t="e" cm="1">
        <f t="array" ref="W215">_xlfn.LET(_xlpm.r,_xlfn.XLOOKUP(1,MappingGuide[[#This Row],[API]:[API_3]],'[1]Squirrel SQL Export 1'!$K:$N,[1]!Table1[[#This Row],[Exists In Syndigo?]]),IF(_xlpm.r=0,"",_xlpm.r))</f>
        <v>#REF!</v>
      </c>
      <c r="X215" s="17" t="e" cm="1">
        <f t="array" ref="X215">_xlfn.LET(_xlpm.r,_xlfn.XLOOKUP(1,MappingGuide[[#This Row],[API]:[API_3]],'[1]Squirrel SQL Export 1'!$K:$N,[1]!Table1[[#This Row],[Syndigo Name]]),IF(_xlpm.r=0,"",_xlpm.r))</f>
        <v>#REF!</v>
      </c>
      <c r="Y215" s="17"/>
      <c r="Z215" s="17" t="s">
        <v>941</v>
      </c>
      <c r="AA215" s="17"/>
      <c r="AB215" s="17"/>
      <c r="AC215" s="17" t="e" cm="1">
        <f t="array" ref="AC215">_xlfn.XLOOKUP(1,MappingGuide[[#This Row],[API]:[API_3]],'[1]Squirrel SQL Export 1'!$K:$N,[1]!Table1[[#This Row],[Doppio Notes2]])</f>
        <v>#REF!</v>
      </c>
      <c r="AD215" s="17"/>
      <c r="AE215" s="17" t="e" cm="1">
        <f t="array" ref="AE215">_xlfn.XLOOKUP(1,MappingGuide[[#This Row],[API]:[API_3]],'[1]Squirrel SQL Export 1'!$K:$N,[1]!Table1[[#This Row],[DG_required]])</f>
        <v>#REF!</v>
      </c>
      <c r="AF215" s="21" t="s">
        <v>1290</v>
      </c>
      <c r="AG215" s="21"/>
      <c r="AH215" s="22" t="e" cm="1">
        <f t="array" ref="AH215">_xlfn.LET(_xlpm.r,_xlfn.XLOOKUP(1,MappingGuide[[#This Row],[API]:[API_3]],'[1]Squirrel SQL Export 1'!$K:$N,[1]!Table1[[#This Row],[Pending Items]]),IF(_xlpm.r=0,"",_xlpm.r))</f>
        <v>#REF!</v>
      </c>
      <c r="AI215" s="22" t="e" cm="1">
        <f t="array" ref="AI215">_xlfn.LET(_xlpm.r,_xlfn.XLOOKUP(1,MappingGuide[[#This Row],[API]:[API_3]],'[1]Squirrel SQL Export 1'!$K:$N,[1]!Table1[[#This Row],[Syndigo Name]]),IF(_xlpm.r=0,"",_xlpm.r))</f>
        <v>#REF!</v>
      </c>
      <c r="AJ215" s="17"/>
    </row>
    <row r="216" spans="1:36" ht="17" hidden="1">
      <c r="A216" s="17">
        <v>214</v>
      </c>
      <c r="B216" s="17" t="s">
        <v>40</v>
      </c>
      <c r="C216" s="17" t="s">
        <v>942</v>
      </c>
      <c r="D216" s="17" t="s">
        <v>943</v>
      </c>
      <c r="E216" s="17" t="s">
        <v>33</v>
      </c>
      <c r="F216" s="17" t="s">
        <v>373</v>
      </c>
      <c r="G216" s="17"/>
      <c r="H216" s="17"/>
      <c r="I216" s="17" t="s">
        <v>57</v>
      </c>
      <c r="J216" s="17" t="s">
        <v>119</v>
      </c>
      <c r="K216" s="17"/>
      <c r="L216" s="17" t="s">
        <v>35</v>
      </c>
      <c r="M216" s="17" t="s">
        <v>73</v>
      </c>
      <c r="N216" s="17" t="s">
        <v>944</v>
      </c>
      <c r="O216" s="17"/>
      <c r="P216" s="17"/>
      <c r="Q216" s="17"/>
      <c r="R216" s="17"/>
      <c r="S216" s="17" t="e" cm="1">
        <f t="array" ref="S216">_xlfn.LET(_xlpm.r,_xlfn.XLOOKUP(1,MappingGuide[[#This Row],[API]:[API_3]],'[1]Squirrel SQL Export 1'!$K:$N,[1]!Table1[[#This Row],[Responsible from HJ]]),IF(_xlpm.r=0,"",_xlpm.r))</f>
        <v>#REF!</v>
      </c>
      <c r="T216" s="17"/>
      <c r="U216" s="17"/>
      <c r="V216" s="17" t="e" cm="1">
        <f t="array" ref="V216">_xlfn.LET(_xlpm.r,_xlfn.XLOOKUP(1,MappingGuide[[#This Row],[API]:[API_3]],'[1]Squirrel SQL Export 1'!$K:$N,[1]!Table1[[#This Row],[MDM Comments]]),IF(_xlpm.r=0,"",_xlpm.r))</f>
        <v>#REF!</v>
      </c>
      <c r="W216" s="17" t="e" cm="1">
        <f t="array" ref="W216">_xlfn.LET(_xlpm.r,_xlfn.XLOOKUP(1,MappingGuide[[#This Row],[API]:[API_3]],'[1]Squirrel SQL Export 1'!$K:$N,[1]!Table1[[#This Row],[Exists In Syndigo?]]),IF(_xlpm.r=0,"",_xlpm.r))</f>
        <v>#REF!</v>
      </c>
      <c r="X216" s="17" t="e" cm="1">
        <f t="array" ref="X216">_xlfn.LET(_xlpm.r,_xlfn.XLOOKUP(1,MappingGuide[[#This Row],[API]:[API_3]],'[1]Squirrel SQL Export 1'!$K:$N,[1]!Table1[[#This Row],[Syndigo Name]]),IF(_xlpm.r=0,"",_xlpm.r))</f>
        <v>#REF!</v>
      </c>
      <c r="Y216" s="17"/>
      <c r="Z216" s="17" t="s">
        <v>945</v>
      </c>
      <c r="AA216" s="17"/>
      <c r="AB216" s="17"/>
      <c r="AC216" s="17" t="e" cm="1">
        <f t="array" ref="AC216">_xlfn.XLOOKUP(1,MappingGuide[[#This Row],[API]:[API_3]],'[1]Squirrel SQL Export 1'!$K:$N,[1]!Table1[[#This Row],[Doppio Notes2]])</f>
        <v>#REF!</v>
      </c>
      <c r="AD216" s="17"/>
      <c r="AE216" s="17" t="e" cm="1">
        <f t="array" ref="AE216">_xlfn.XLOOKUP(1,MappingGuide[[#This Row],[API]:[API_3]],'[1]Squirrel SQL Export 1'!$K:$N,[1]!Table1[[#This Row],[DG_required]])</f>
        <v>#REF!</v>
      </c>
      <c r="AF216" s="21" t="s">
        <v>1306</v>
      </c>
      <c r="AG216" s="21"/>
      <c r="AH216" s="22" t="e" cm="1">
        <f t="array" ref="AH216">_xlfn.LET(_xlpm.r,_xlfn.XLOOKUP(1,MappingGuide[[#This Row],[API]:[API_3]],'[1]Squirrel SQL Export 1'!$K:$N,[1]!Table1[[#This Row],[Pending Items]]),IF(_xlpm.r=0,"",_xlpm.r))</f>
        <v>#REF!</v>
      </c>
      <c r="AI216" s="22" t="e" cm="1">
        <f t="array" ref="AI216">_xlfn.LET(_xlpm.r,_xlfn.XLOOKUP(1,MappingGuide[[#This Row],[API]:[API_3]],'[1]Squirrel SQL Export 1'!$K:$N,[1]!Table1[[#This Row],[Syndigo Name]]),IF(_xlpm.r=0,"",_xlpm.r))</f>
        <v>#REF!</v>
      </c>
      <c r="AJ216" s="17"/>
    </row>
    <row r="217" spans="1:36" ht="17" hidden="1">
      <c r="A217" s="17">
        <v>215</v>
      </c>
      <c r="B217" s="17" t="s">
        <v>40</v>
      </c>
      <c r="C217" s="17" t="s">
        <v>946</v>
      </c>
      <c r="D217" s="17" t="s">
        <v>947</v>
      </c>
      <c r="E217" s="17" t="s">
        <v>43</v>
      </c>
      <c r="F217" s="17" t="s">
        <v>80</v>
      </c>
      <c r="G217" s="17"/>
      <c r="H217" s="17"/>
      <c r="I217" s="17"/>
      <c r="J217" s="17"/>
      <c r="K217" s="17"/>
      <c r="L217" s="17"/>
      <c r="M217" s="17"/>
      <c r="N217" s="17" t="s">
        <v>948</v>
      </c>
      <c r="O217" s="17"/>
      <c r="P217" s="17"/>
      <c r="Q217" s="17"/>
      <c r="R217" s="17"/>
      <c r="S217" s="17" t="e" cm="1">
        <f t="array" ref="S217">_xlfn.LET(_xlpm.r,_xlfn.XLOOKUP(1,MappingGuide[[#This Row],[API]:[API_3]],'[1]Squirrel SQL Export 1'!$K:$N,[1]!Table1[[#This Row],[Responsible from HJ]]),IF(_xlpm.r=0,"",_xlpm.r))</f>
        <v>#REF!</v>
      </c>
      <c r="T217" s="17"/>
      <c r="U217" s="17"/>
      <c r="V217" s="17" t="e" cm="1">
        <f t="array" ref="V217">_xlfn.LET(_xlpm.r,_xlfn.XLOOKUP(1,MappingGuide[[#This Row],[API]:[API_3]],'[1]Squirrel SQL Export 1'!$K:$N,[1]!Table1[[#This Row],[MDM Comments]]),IF(_xlpm.r=0,"",_xlpm.r))</f>
        <v>#REF!</v>
      </c>
      <c r="W217" s="17" t="e" cm="1">
        <f t="array" ref="W217">_xlfn.LET(_xlpm.r,_xlfn.XLOOKUP(1,MappingGuide[[#This Row],[API]:[API_3]],'[1]Squirrel SQL Export 1'!$K:$N,[1]!Table1[[#This Row],[Exists In Syndigo?]]),IF(_xlpm.r=0,"",_xlpm.r))</f>
        <v>#REF!</v>
      </c>
      <c r="X217" s="17" t="e" cm="1">
        <f t="array" ref="X217">_xlfn.LET(_xlpm.r,_xlfn.XLOOKUP(1,MappingGuide[[#This Row],[API]:[API_3]],'[1]Squirrel SQL Export 1'!$K:$N,[1]!Table1[[#This Row],[Syndigo Name]]),IF(_xlpm.r=0,"",_xlpm.r))</f>
        <v>#REF!</v>
      </c>
      <c r="Y217" s="17"/>
      <c r="Z217" s="17"/>
      <c r="AA217" s="17"/>
      <c r="AB217" s="17"/>
      <c r="AC217" s="17" t="e" cm="1">
        <f t="array" ref="AC217">_xlfn.XLOOKUP(1,MappingGuide[[#This Row],[API]:[API_3]],'[1]Squirrel SQL Export 1'!$K:$N,[1]!Table1[[#This Row],[Doppio Notes2]])</f>
        <v>#REF!</v>
      </c>
      <c r="AD217" s="17"/>
      <c r="AE217" s="17" t="e" cm="1">
        <f t="array" ref="AE217">_xlfn.XLOOKUP(1,MappingGuide[[#This Row],[API]:[API_3]],'[1]Squirrel SQL Export 1'!$K:$N,[1]!Table1[[#This Row],[DG_required]])</f>
        <v>#REF!</v>
      </c>
      <c r="AF217" s="21" t="s">
        <v>1290</v>
      </c>
      <c r="AG217" s="21"/>
      <c r="AH217" s="22" t="e" cm="1">
        <f t="array" ref="AH217">_xlfn.LET(_xlpm.r,_xlfn.XLOOKUP(1,MappingGuide[[#This Row],[API]:[API_3]],'[1]Squirrel SQL Export 1'!$K:$N,[1]!Table1[[#This Row],[Pending Items]]),IF(_xlpm.r=0,"",_xlpm.r))</f>
        <v>#REF!</v>
      </c>
      <c r="AI217" s="22" t="e" cm="1">
        <f t="array" ref="AI217">_xlfn.LET(_xlpm.r,_xlfn.XLOOKUP(1,MappingGuide[[#This Row],[API]:[API_3]],'[1]Squirrel SQL Export 1'!$K:$N,[1]!Table1[[#This Row],[Syndigo Name]]),IF(_xlpm.r=0,"",_xlpm.r))</f>
        <v>#REF!</v>
      </c>
      <c r="AJ217" s="17"/>
    </row>
    <row r="218" spans="1:36" ht="17" hidden="1">
      <c r="A218" s="17">
        <v>216</v>
      </c>
      <c r="B218" s="17" t="s">
        <v>40</v>
      </c>
      <c r="C218" s="17" t="s">
        <v>949</v>
      </c>
      <c r="D218" s="17" t="s">
        <v>950</v>
      </c>
      <c r="E218" s="17" t="s">
        <v>33</v>
      </c>
      <c r="F218" s="17" t="s">
        <v>80</v>
      </c>
      <c r="G218" s="17"/>
      <c r="H218" s="17"/>
      <c r="I218" s="17" t="s">
        <v>57</v>
      </c>
      <c r="J218" s="17" t="s">
        <v>119</v>
      </c>
      <c r="K218" s="17"/>
      <c r="L218" s="17" t="s">
        <v>35</v>
      </c>
      <c r="M218" s="17" t="s">
        <v>73</v>
      </c>
      <c r="N218" s="17" t="s">
        <v>951</v>
      </c>
      <c r="O218" s="17"/>
      <c r="P218" s="17"/>
      <c r="Q218" s="17"/>
      <c r="R218" s="17"/>
      <c r="S218" s="17" t="e" cm="1">
        <f t="array" ref="S218">_xlfn.LET(_xlpm.r,_xlfn.XLOOKUP(1,MappingGuide[[#This Row],[API]:[API_3]],'[1]Squirrel SQL Export 1'!$K:$N,[1]!Table1[[#This Row],[Responsible from HJ]]),IF(_xlpm.r=0,"",_xlpm.r))</f>
        <v>#REF!</v>
      </c>
      <c r="T218" s="17"/>
      <c r="U218" s="17"/>
      <c r="V218" s="17" t="e" cm="1">
        <f t="array" ref="V218">_xlfn.LET(_xlpm.r,_xlfn.XLOOKUP(1,MappingGuide[[#This Row],[API]:[API_3]],'[1]Squirrel SQL Export 1'!$K:$N,[1]!Table1[[#This Row],[MDM Comments]]),IF(_xlpm.r=0,"",_xlpm.r))</f>
        <v>#REF!</v>
      </c>
      <c r="W218" s="17" t="e" cm="1">
        <f t="array" ref="W218">_xlfn.LET(_xlpm.r,_xlfn.XLOOKUP(1,MappingGuide[[#This Row],[API]:[API_3]],'[1]Squirrel SQL Export 1'!$K:$N,[1]!Table1[[#This Row],[Exists In Syndigo?]]),IF(_xlpm.r=0,"",_xlpm.r))</f>
        <v>#REF!</v>
      </c>
      <c r="X218" s="17" t="e" cm="1">
        <f t="array" ref="X218">_xlfn.LET(_xlpm.r,_xlfn.XLOOKUP(1,MappingGuide[[#This Row],[API]:[API_3]],'[1]Squirrel SQL Export 1'!$K:$N,[1]!Table1[[#This Row],[Syndigo Name]]),IF(_xlpm.r=0,"",_xlpm.r))</f>
        <v>#REF!</v>
      </c>
      <c r="Y218" s="17"/>
      <c r="Z218" s="17" t="s">
        <v>952</v>
      </c>
      <c r="AA218" s="17" t="s">
        <v>953</v>
      </c>
      <c r="AB218" s="17"/>
      <c r="AC218" s="17" t="e" cm="1">
        <f t="array" ref="AC218">_xlfn.XLOOKUP(1,MappingGuide[[#This Row],[API]:[API_3]],'[1]Squirrel SQL Export 1'!$K:$N,[1]!Table1[[#This Row],[Doppio Notes2]])</f>
        <v>#REF!</v>
      </c>
      <c r="AD218" s="17"/>
      <c r="AE218" s="17" t="e" cm="1">
        <f t="array" ref="AE218">_xlfn.XLOOKUP(1,MappingGuide[[#This Row],[API]:[API_3]],'[1]Squirrel SQL Export 1'!$K:$N,[1]!Table1[[#This Row],[DG_required]])</f>
        <v>#REF!</v>
      </c>
      <c r="AF218" s="21" t="s">
        <v>80</v>
      </c>
      <c r="AG218" s="21"/>
      <c r="AH218" s="22" t="e" cm="1">
        <f t="array" ref="AH218">_xlfn.LET(_xlpm.r,_xlfn.XLOOKUP(1,MappingGuide[[#This Row],[API]:[API_3]],'[1]Squirrel SQL Export 1'!$K:$N,[1]!Table1[[#This Row],[Pending Items]]),IF(_xlpm.r=0,"",_xlpm.r))</f>
        <v>#REF!</v>
      </c>
      <c r="AI218" s="22" t="e" cm="1">
        <f t="array" ref="AI218">_xlfn.LET(_xlpm.r,_xlfn.XLOOKUP(1,MappingGuide[[#This Row],[API]:[API_3]],'[1]Squirrel SQL Export 1'!$K:$N,[1]!Table1[[#This Row],[Syndigo Name]]),IF(_xlpm.r=0,"",_xlpm.r))</f>
        <v>#REF!</v>
      </c>
      <c r="AJ218" s="17"/>
    </row>
    <row r="219" spans="1:36" ht="17" hidden="1">
      <c r="A219" s="17">
        <v>217</v>
      </c>
      <c r="B219" s="17" t="s">
        <v>40</v>
      </c>
      <c r="C219" s="17" t="s">
        <v>954</v>
      </c>
      <c r="D219" s="17" t="s">
        <v>955</v>
      </c>
      <c r="E219" s="17" t="s">
        <v>33</v>
      </c>
      <c r="F219" s="17" t="s">
        <v>34</v>
      </c>
      <c r="G219" s="17"/>
      <c r="H219" s="17"/>
      <c r="I219" s="17" t="s">
        <v>57</v>
      </c>
      <c r="J219" s="17" t="s">
        <v>119</v>
      </c>
      <c r="K219" s="17"/>
      <c r="L219" s="17" t="s">
        <v>35</v>
      </c>
      <c r="M219" s="17" t="s">
        <v>73</v>
      </c>
      <c r="N219" s="17" t="s">
        <v>956</v>
      </c>
      <c r="O219" s="17"/>
      <c r="P219" s="17"/>
      <c r="Q219" s="17"/>
      <c r="R219" s="17"/>
      <c r="S219" s="17" t="e" cm="1">
        <f t="array" ref="S219">_xlfn.LET(_xlpm.r,_xlfn.XLOOKUP(1,MappingGuide[[#This Row],[API]:[API_3]],'[1]Squirrel SQL Export 1'!$K:$N,[1]!Table1[[#This Row],[Responsible from HJ]]),IF(_xlpm.r=0,"",_xlpm.r))</f>
        <v>#REF!</v>
      </c>
      <c r="T219" s="17"/>
      <c r="U219" s="17"/>
      <c r="V219" s="17" t="e" cm="1">
        <f t="array" ref="V219">_xlfn.LET(_xlpm.r,_xlfn.XLOOKUP(1,MappingGuide[[#This Row],[API]:[API_3]],'[1]Squirrel SQL Export 1'!$K:$N,[1]!Table1[[#This Row],[MDM Comments]]),IF(_xlpm.r=0,"",_xlpm.r))</f>
        <v>#REF!</v>
      </c>
      <c r="W219" s="17" t="e" cm="1">
        <f t="array" ref="W219">_xlfn.LET(_xlpm.r,_xlfn.XLOOKUP(1,MappingGuide[[#This Row],[API]:[API_3]],'[1]Squirrel SQL Export 1'!$K:$N,[1]!Table1[[#This Row],[Exists In Syndigo?]]),IF(_xlpm.r=0,"",_xlpm.r))</f>
        <v>#REF!</v>
      </c>
      <c r="X219" s="17" t="e" cm="1">
        <f t="array" ref="X219">_xlfn.LET(_xlpm.r,_xlfn.XLOOKUP(1,MappingGuide[[#This Row],[API]:[API_3]],'[1]Squirrel SQL Export 1'!$K:$N,[1]!Table1[[#This Row],[Syndigo Name]]),IF(_xlpm.r=0,"",_xlpm.r))</f>
        <v>#REF!</v>
      </c>
      <c r="Y219" s="17"/>
      <c r="Z219" s="17" t="s">
        <v>957</v>
      </c>
      <c r="AA219" s="17"/>
      <c r="AB219" s="17"/>
      <c r="AC219" s="17" t="e" cm="1">
        <f t="array" ref="AC219">_xlfn.XLOOKUP(1,MappingGuide[[#This Row],[API]:[API_3]],'[1]Squirrel SQL Export 1'!$K:$N,[1]!Table1[[#This Row],[Doppio Notes2]])</f>
        <v>#REF!</v>
      </c>
      <c r="AD219" s="17"/>
      <c r="AE219" s="17" t="e" cm="1">
        <f t="array" ref="AE219">_xlfn.XLOOKUP(1,MappingGuide[[#This Row],[API]:[API_3]],'[1]Squirrel SQL Export 1'!$K:$N,[1]!Table1[[#This Row],[DG_required]])</f>
        <v>#REF!</v>
      </c>
      <c r="AF219" s="21" t="s">
        <v>1306</v>
      </c>
      <c r="AG219" s="21"/>
      <c r="AH219" s="22" t="e" cm="1">
        <f t="array" ref="AH219">_xlfn.LET(_xlpm.r,_xlfn.XLOOKUP(1,MappingGuide[[#This Row],[API]:[API_3]],'[1]Squirrel SQL Export 1'!$K:$N,[1]!Table1[[#This Row],[Pending Items]]),IF(_xlpm.r=0,"",_xlpm.r))</f>
        <v>#REF!</v>
      </c>
      <c r="AI219" s="22" t="e" cm="1">
        <f t="array" ref="AI219">_xlfn.LET(_xlpm.r,_xlfn.XLOOKUP(1,MappingGuide[[#This Row],[API]:[API_3]],'[1]Squirrel SQL Export 1'!$K:$N,[1]!Table1[[#This Row],[Syndigo Name]]),IF(_xlpm.r=0,"",_xlpm.r))</f>
        <v>#REF!</v>
      </c>
      <c r="AJ219" s="17"/>
    </row>
    <row r="220" spans="1:36" ht="17" hidden="1">
      <c r="A220" s="17">
        <v>218</v>
      </c>
      <c r="B220" s="17" t="s">
        <v>40</v>
      </c>
      <c r="C220" s="17" t="s">
        <v>958</v>
      </c>
      <c r="D220" s="17" t="s">
        <v>959</v>
      </c>
      <c r="E220" s="17" t="s">
        <v>43</v>
      </c>
      <c r="F220" s="17" t="s">
        <v>80</v>
      </c>
      <c r="G220" s="17"/>
      <c r="H220" s="17"/>
      <c r="I220" s="17" t="s">
        <v>57</v>
      </c>
      <c r="J220" s="17" t="s">
        <v>408</v>
      </c>
      <c r="K220" s="17"/>
      <c r="L220" s="17" t="s">
        <v>35</v>
      </c>
      <c r="M220" s="17" t="s">
        <v>146</v>
      </c>
      <c r="N220" s="17" t="s">
        <v>960</v>
      </c>
      <c r="O220" s="17"/>
      <c r="P220" s="17"/>
      <c r="Q220" s="17"/>
      <c r="R220" s="17"/>
      <c r="S220" s="17" t="e" cm="1">
        <f t="array" ref="S220">_xlfn.LET(_xlpm.r,_xlfn.XLOOKUP(1,MappingGuide[[#This Row],[API]:[API_3]],'[1]Squirrel SQL Export 1'!$K:$N,[1]!Table1[[#This Row],[Responsible from HJ]]),IF(_xlpm.r=0,"",_xlpm.r))</f>
        <v>#REF!</v>
      </c>
      <c r="T220" s="17"/>
      <c r="U220" s="17"/>
      <c r="V220" s="17" t="e" cm="1">
        <f t="array" ref="V220">_xlfn.LET(_xlpm.r,_xlfn.XLOOKUP(1,MappingGuide[[#This Row],[API]:[API_3]],'[1]Squirrel SQL Export 1'!$K:$N,[1]!Table1[[#This Row],[MDM Comments]]),IF(_xlpm.r=0,"",_xlpm.r))</f>
        <v>#REF!</v>
      </c>
      <c r="W220" s="17" t="e" cm="1">
        <f t="array" ref="W220">_xlfn.LET(_xlpm.r,_xlfn.XLOOKUP(1,MappingGuide[[#This Row],[API]:[API_3]],'[1]Squirrel SQL Export 1'!$K:$N,[1]!Table1[[#This Row],[Exists In Syndigo?]]),IF(_xlpm.r=0,"",_xlpm.r))</f>
        <v>#REF!</v>
      </c>
      <c r="X220" s="17" t="e" cm="1">
        <f t="array" ref="X220">_xlfn.LET(_xlpm.r,_xlfn.XLOOKUP(1,MappingGuide[[#This Row],[API]:[API_3]],'[1]Squirrel SQL Export 1'!$K:$N,[1]!Table1[[#This Row],[Syndigo Name]]),IF(_xlpm.r=0,"",_xlpm.r))</f>
        <v>#REF!</v>
      </c>
      <c r="Y220" s="17"/>
      <c r="Z220" s="17" t="s">
        <v>961</v>
      </c>
      <c r="AA220" s="17" t="s">
        <v>962</v>
      </c>
      <c r="AB220" s="17"/>
      <c r="AC220" s="17" t="e" cm="1">
        <f t="array" ref="AC220">_xlfn.XLOOKUP(1,MappingGuide[[#This Row],[API]:[API_3]],'[1]Squirrel SQL Export 1'!$K:$N,[1]!Table1[[#This Row],[Doppio Notes2]])</f>
        <v>#REF!</v>
      </c>
      <c r="AD220" s="17"/>
      <c r="AE220" s="17" t="e" cm="1">
        <f t="array" ref="AE220">_xlfn.XLOOKUP(1,MappingGuide[[#This Row],[API]:[API_3]],'[1]Squirrel SQL Export 1'!$K:$N,[1]!Table1[[#This Row],[DG_required]])</f>
        <v>#REF!</v>
      </c>
      <c r="AF220" s="21" t="s">
        <v>44</v>
      </c>
      <c r="AG220" s="21"/>
      <c r="AH220" s="22" t="e" cm="1">
        <f t="array" ref="AH220">_xlfn.LET(_xlpm.r,_xlfn.XLOOKUP(1,MappingGuide[[#This Row],[API]:[API_3]],'[1]Squirrel SQL Export 1'!$K:$N,[1]!Table1[[#This Row],[Pending Items]]),IF(_xlpm.r=0,"",_xlpm.r))</f>
        <v>#REF!</v>
      </c>
      <c r="AI220" s="22" t="e" cm="1">
        <f t="array" ref="AI220">_xlfn.LET(_xlpm.r,_xlfn.XLOOKUP(1,MappingGuide[[#This Row],[API]:[API_3]],'[1]Squirrel SQL Export 1'!$K:$N,[1]!Table1[[#This Row],[Syndigo Name]]),IF(_xlpm.r=0,"",_xlpm.r))</f>
        <v>#REF!</v>
      </c>
      <c r="AJ220" s="17"/>
    </row>
    <row r="221" spans="1:36" ht="17" hidden="1">
      <c r="A221" s="17">
        <v>219</v>
      </c>
      <c r="B221" s="17" t="s">
        <v>40</v>
      </c>
      <c r="C221" s="17" t="s">
        <v>963</v>
      </c>
      <c r="D221" s="17" t="s">
        <v>964</v>
      </c>
      <c r="E221" s="17" t="s">
        <v>33</v>
      </c>
      <c r="F221" s="17" t="s">
        <v>44</v>
      </c>
      <c r="G221" s="17"/>
      <c r="H221" s="17"/>
      <c r="I221" s="17" t="s">
        <v>57</v>
      </c>
      <c r="J221" s="17" t="s">
        <v>408</v>
      </c>
      <c r="K221" s="17"/>
      <c r="L221" s="17" t="s">
        <v>35</v>
      </c>
      <c r="M221" s="17" t="s">
        <v>146</v>
      </c>
      <c r="N221" s="17" t="s">
        <v>965</v>
      </c>
      <c r="O221" s="17"/>
      <c r="P221" s="17"/>
      <c r="Q221" s="17"/>
      <c r="R221" s="17"/>
      <c r="S221" s="17" t="e" cm="1">
        <f t="array" ref="S221">_xlfn.LET(_xlpm.r,_xlfn.XLOOKUP(1,MappingGuide[[#This Row],[API]:[API_3]],'[1]Squirrel SQL Export 1'!$K:$N,[1]!Table1[[#This Row],[Responsible from HJ]]),IF(_xlpm.r=0,"",_xlpm.r))</f>
        <v>#REF!</v>
      </c>
      <c r="T221" s="17"/>
      <c r="U221" s="17"/>
      <c r="V221" s="17" t="e" cm="1">
        <f t="array" ref="V221">_xlfn.LET(_xlpm.r,_xlfn.XLOOKUP(1,MappingGuide[[#This Row],[API]:[API_3]],'[1]Squirrel SQL Export 1'!$K:$N,[1]!Table1[[#This Row],[MDM Comments]]),IF(_xlpm.r=0,"",_xlpm.r))</f>
        <v>#REF!</v>
      </c>
      <c r="W221" s="17" t="e" cm="1">
        <f t="array" ref="W221">_xlfn.LET(_xlpm.r,_xlfn.XLOOKUP(1,MappingGuide[[#This Row],[API]:[API_3]],'[1]Squirrel SQL Export 1'!$K:$N,[1]!Table1[[#This Row],[Exists In Syndigo?]]),IF(_xlpm.r=0,"",_xlpm.r))</f>
        <v>#REF!</v>
      </c>
      <c r="X221" s="17" t="e" cm="1">
        <f t="array" ref="X221">_xlfn.LET(_xlpm.r,_xlfn.XLOOKUP(1,MappingGuide[[#This Row],[API]:[API_3]],'[1]Squirrel SQL Export 1'!$K:$N,[1]!Table1[[#This Row],[Syndigo Name]]),IF(_xlpm.r=0,"",_xlpm.r))</f>
        <v>#REF!</v>
      </c>
      <c r="Y221" s="17"/>
      <c r="Z221" s="17" t="s">
        <v>966</v>
      </c>
      <c r="AA221" s="17"/>
      <c r="AB221" s="17"/>
      <c r="AC221" s="17" t="e" cm="1">
        <f t="array" ref="AC221">_xlfn.XLOOKUP(1,MappingGuide[[#This Row],[API]:[API_3]],'[1]Squirrel SQL Export 1'!$K:$N,[1]!Table1[[#This Row],[Doppio Notes2]])</f>
        <v>#REF!</v>
      </c>
      <c r="AD221" s="17"/>
      <c r="AE221" s="17" t="e" cm="1">
        <f t="array" ref="AE221">_xlfn.XLOOKUP(1,MappingGuide[[#This Row],[API]:[API_3]],'[1]Squirrel SQL Export 1'!$K:$N,[1]!Table1[[#This Row],[DG_required]])</f>
        <v>#REF!</v>
      </c>
      <c r="AF221" s="21" t="s">
        <v>427</v>
      </c>
      <c r="AG221" s="21"/>
      <c r="AH221" s="22" t="e" cm="1">
        <f t="array" ref="AH221">_xlfn.LET(_xlpm.r,_xlfn.XLOOKUP(1,MappingGuide[[#This Row],[API]:[API_3]],'[1]Squirrel SQL Export 1'!$K:$N,[1]!Table1[[#This Row],[Pending Items]]),IF(_xlpm.r=0,"",_xlpm.r))</f>
        <v>#REF!</v>
      </c>
      <c r="AI221" s="22" t="e" cm="1">
        <f t="array" ref="AI221">_xlfn.LET(_xlpm.r,_xlfn.XLOOKUP(1,MappingGuide[[#This Row],[API]:[API_3]],'[1]Squirrel SQL Export 1'!$K:$N,[1]!Table1[[#This Row],[Syndigo Name]]),IF(_xlpm.r=0,"",_xlpm.r))</f>
        <v>#REF!</v>
      </c>
      <c r="AJ221" s="17"/>
    </row>
    <row r="222" spans="1:36" ht="17" hidden="1">
      <c r="A222" s="17">
        <v>220</v>
      </c>
      <c r="B222" s="17" t="s">
        <v>40</v>
      </c>
      <c r="C222" s="17" t="s">
        <v>967</v>
      </c>
      <c r="D222" s="17" t="s">
        <v>968</v>
      </c>
      <c r="E222" s="17" t="s">
        <v>43</v>
      </c>
      <c r="F222" s="17" t="s">
        <v>80</v>
      </c>
      <c r="G222" s="17"/>
      <c r="H222" s="17"/>
      <c r="I222" s="17" t="s">
        <v>57</v>
      </c>
      <c r="J222" s="17" t="s">
        <v>119</v>
      </c>
      <c r="K222" s="17"/>
      <c r="L222" s="17" t="s">
        <v>35</v>
      </c>
      <c r="M222" s="17" t="s">
        <v>73</v>
      </c>
      <c r="N222" s="17" t="s">
        <v>969</v>
      </c>
      <c r="O222" s="17"/>
      <c r="P222" s="17"/>
      <c r="Q222" s="17"/>
      <c r="R222" s="17"/>
      <c r="S222" s="17" t="e" cm="1">
        <f t="array" ref="S222">_xlfn.LET(_xlpm.r,_xlfn.XLOOKUP(1,MappingGuide[[#This Row],[API]:[API_3]],'[1]Squirrel SQL Export 1'!$K:$N,[1]!Table1[[#This Row],[Responsible from HJ]]),IF(_xlpm.r=0,"",_xlpm.r))</f>
        <v>#REF!</v>
      </c>
      <c r="T222" s="17"/>
      <c r="U222" s="17"/>
      <c r="V222" s="17" t="e" cm="1">
        <f t="array" ref="V222">_xlfn.LET(_xlpm.r,_xlfn.XLOOKUP(1,MappingGuide[[#This Row],[API]:[API_3]],'[1]Squirrel SQL Export 1'!$K:$N,[1]!Table1[[#This Row],[MDM Comments]]),IF(_xlpm.r=0,"",_xlpm.r))</f>
        <v>#REF!</v>
      </c>
      <c r="W222" s="17" t="e" cm="1">
        <f t="array" ref="W222">_xlfn.LET(_xlpm.r,_xlfn.XLOOKUP(1,MappingGuide[[#This Row],[API]:[API_3]],'[1]Squirrel SQL Export 1'!$K:$N,[1]!Table1[[#This Row],[Exists In Syndigo?]]),IF(_xlpm.r=0,"",_xlpm.r))</f>
        <v>#REF!</v>
      </c>
      <c r="X222" s="17" t="e" cm="1">
        <f t="array" ref="X222">_xlfn.LET(_xlpm.r,_xlfn.XLOOKUP(1,MappingGuide[[#This Row],[API]:[API_3]],'[1]Squirrel SQL Export 1'!$K:$N,[1]!Table1[[#This Row],[Syndigo Name]]),IF(_xlpm.r=0,"",_xlpm.r))</f>
        <v>#REF!</v>
      </c>
      <c r="Y222" s="17"/>
      <c r="Z222" s="17" t="s">
        <v>970</v>
      </c>
      <c r="AA222" s="17"/>
      <c r="AB222" s="17"/>
      <c r="AC222" s="17" t="e" cm="1">
        <f t="array" ref="AC222">_xlfn.XLOOKUP(1,MappingGuide[[#This Row],[API]:[API_3]],'[1]Squirrel SQL Export 1'!$K:$N,[1]!Table1[[#This Row],[Doppio Notes2]])</f>
        <v>#REF!</v>
      </c>
      <c r="AD222" s="17"/>
      <c r="AE222" s="17" t="e" cm="1">
        <f t="array" ref="AE222">_xlfn.XLOOKUP(1,MappingGuide[[#This Row],[API]:[API_3]],'[1]Squirrel SQL Export 1'!$K:$N,[1]!Table1[[#This Row],[DG_required]])</f>
        <v>#REF!</v>
      </c>
      <c r="AF222" s="21" t="s">
        <v>1290</v>
      </c>
      <c r="AG222" s="21"/>
      <c r="AH222" s="22" t="e" cm="1">
        <f t="array" ref="AH222">_xlfn.LET(_xlpm.r,_xlfn.XLOOKUP(1,MappingGuide[[#This Row],[API]:[API_3]],'[1]Squirrel SQL Export 1'!$K:$N,[1]!Table1[[#This Row],[Pending Items]]),IF(_xlpm.r=0,"",_xlpm.r))</f>
        <v>#REF!</v>
      </c>
      <c r="AI222" s="22" t="e" cm="1">
        <f t="array" ref="AI222">_xlfn.LET(_xlpm.r,_xlfn.XLOOKUP(1,MappingGuide[[#This Row],[API]:[API_3]],'[1]Squirrel SQL Export 1'!$K:$N,[1]!Table1[[#This Row],[Syndigo Name]]),IF(_xlpm.r=0,"",_xlpm.r))</f>
        <v>#REF!</v>
      </c>
      <c r="AJ222" s="17"/>
    </row>
    <row r="223" spans="1:36" ht="17" hidden="1">
      <c r="A223" s="17">
        <v>221</v>
      </c>
      <c r="B223" s="17" t="s">
        <v>40</v>
      </c>
      <c r="C223" s="17" t="s">
        <v>971</v>
      </c>
      <c r="D223" s="17" t="s">
        <v>972</v>
      </c>
      <c r="E223" s="17" t="s">
        <v>43</v>
      </c>
      <c r="F223" s="17" t="s">
        <v>80</v>
      </c>
      <c r="G223" s="17"/>
      <c r="H223" s="17"/>
      <c r="I223" s="17" t="s">
        <v>57</v>
      </c>
      <c r="J223" s="17" t="s">
        <v>119</v>
      </c>
      <c r="K223" s="17"/>
      <c r="L223" s="17" t="s">
        <v>35</v>
      </c>
      <c r="M223" s="17" t="s">
        <v>73</v>
      </c>
      <c r="N223" s="17" t="s">
        <v>973</v>
      </c>
      <c r="O223" s="17"/>
      <c r="P223" s="17"/>
      <c r="Q223" s="17"/>
      <c r="R223" s="17"/>
      <c r="S223" s="17" t="e" cm="1">
        <f t="array" ref="S223">_xlfn.LET(_xlpm.r,_xlfn.XLOOKUP(1,MappingGuide[[#This Row],[API]:[API_3]],'[1]Squirrel SQL Export 1'!$K:$N,[1]!Table1[[#This Row],[Responsible from HJ]]),IF(_xlpm.r=0,"",_xlpm.r))</f>
        <v>#REF!</v>
      </c>
      <c r="T223" s="17"/>
      <c r="U223" s="17"/>
      <c r="V223" s="17" t="e" cm="1">
        <f t="array" ref="V223">_xlfn.LET(_xlpm.r,_xlfn.XLOOKUP(1,MappingGuide[[#This Row],[API]:[API_3]],'[1]Squirrel SQL Export 1'!$K:$N,[1]!Table1[[#This Row],[MDM Comments]]),IF(_xlpm.r=0,"",_xlpm.r))</f>
        <v>#REF!</v>
      </c>
      <c r="W223" s="17" t="e" cm="1">
        <f t="array" ref="W223">_xlfn.LET(_xlpm.r,_xlfn.XLOOKUP(1,MappingGuide[[#This Row],[API]:[API_3]],'[1]Squirrel SQL Export 1'!$K:$N,[1]!Table1[[#This Row],[Exists In Syndigo?]]),IF(_xlpm.r=0,"",_xlpm.r))</f>
        <v>#REF!</v>
      </c>
      <c r="X223" s="17" t="e" cm="1">
        <f t="array" ref="X223">_xlfn.LET(_xlpm.r,_xlfn.XLOOKUP(1,MappingGuide[[#This Row],[API]:[API_3]],'[1]Squirrel SQL Export 1'!$K:$N,[1]!Table1[[#This Row],[Syndigo Name]]),IF(_xlpm.r=0,"",_xlpm.r))</f>
        <v>#REF!</v>
      </c>
      <c r="Y223" s="17"/>
      <c r="Z223" s="17" t="s">
        <v>974</v>
      </c>
      <c r="AA223" s="17"/>
      <c r="AB223" s="17"/>
      <c r="AC223" s="17" t="e" cm="1">
        <f t="array" ref="AC223">_xlfn.XLOOKUP(1,MappingGuide[[#This Row],[API]:[API_3]],'[1]Squirrel SQL Export 1'!$K:$N,[1]!Table1[[#This Row],[Doppio Notes2]])</f>
        <v>#REF!</v>
      </c>
      <c r="AD223" s="17"/>
      <c r="AE223" s="17" t="e" cm="1">
        <f t="array" ref="AE223">_xlfn.XLOOKUP(1,MappingGuide[[#This Row],[API]:[API_3]],'[1]Squirrel SQL Export 1'!$K:$N,[1]!Table1[[#This Row],[DG_required]])</f>
        <v>#REF!</v>
      </c>
      <c r="AF223" s="21" t="s">
        <v>1290</v>
      </c>
      <c r="AG223" s="21"/>
      <c r="AH223" s="22" t="e" cm="1">
        <f t="array" ref="AH223">_xlfn.LET(_xlpm.r,_xlfn.XLOOKUP(1,MappingGuide[[#This Row],[API]:[API_3]],'[1]Squirrel SQL Export 1'!$K:$N,[1]!Table1[[#This Row],[Pending Items]]),IF(_xlpm.r=0,"",_xlpm.r))</f>
        <v>#REF!</v>
      </c>
      <c r="AI223" s="22" t="e" cm="1">
        <f t="array" ref="AI223">_xlfn.LET(_xlpm.r,_xlfn.XLOOKUP(1,MappingGuide[[#This Row],[API]:[API_3]],'[1]Squirrel SQL Export 1'!$K:$N,[1]!Table1[[#This Row],[Syndigo Name]]),IF(_xlpm.r=0,"",_xlpm.r))</f>
        <v>#REF!</v>
      </c>
      <c r="AJ223" s="17"/>
    </row>
    <row r="224" spans="1:36" ht="18" hidden="1">
      <c r="A224" s="17">
        <v>222</v>
      </c>
      <c r="B224" s="17" t="s">
        <v>40</v>
      </c>
      <c r="C224" s="17" t="s">
        <v>975</v>
      </c>
      <c r="D224" s="17" t="s">
        <v>976</v>
      </c>
      <c r="E224" s="17" t="s">
        <v>33</v>
      </c>
      <c r="F224" s="17" t="s">
        <v>63</v>
      </c>
      <c r="G224" s="17"/>
      <c r="H224" s="17"/>
      <c r="I224" s="17" t="s">
        <v>57</v>
      </c>
      <c r="J224" s="17" t="s">
        <v>58</v>
      </c>
      <c r="K224" s="17"/>
      <c r="L224" s="17" t="s">
        <v>35</v>
      </c>
      <c r="M224" s="17" t="s">
        <v>36</v>
      </c>
      <c r="N224" s="17" t="s">
        <v>977</v>
      </c>
      <c r="O224" s="17"/>
      <c r="P224" s="17" t="s">
        <v>978</v>
      </c>
      <c r="Q224" s="17"/>
      <c r="R224" s="17" t="s">
        <v>979</v>
      </c>
      <c r="S224" s="17" t="e" cm="1">
        <f t="array" ref="S224">_xlfn.LET(_xlpm.r,_xlfn.XLOOKUP(1,MappingGuide[[#This Row],[API]:[API_3]],'[1]Squirrel SQL Export 1'!$K:$N,[1]!Table1[[#This Row],[Responsible from HJ]]),IF(_xlpm.r=0,"",_xlpm.r))</f>
        <v>#REF!</v>
      </c>
      <c r="T224" s="17" t="s">
        <v>39</v>
      </c>
      <c r="U224" s="17" t="s">
        <v>1285</v>
      </c>
      <c r="V224" s="17" t="e" cm="1">
        <f t="array" ref="V224">_xlfn.LET(_xlpm.r,_xlfn.XLOOKUP(1,MappingGuide[[#This Row],[API]:[API_3]],'[1]Squirrel SQL Export 1'!$K:$N,[1]!Table1[[#This Row],[MDM Comments]]),IF(_xlpm.r=0,"",_xlpm.r))</f>
        <v>#REF!</v>
      </c>
      <c r="W224" s="17" t="e" cm="1">
        <f t="array" ref="W224">_xlfn.LET(_xlpm.r,_xlfn.XLOOKUP(1,MappingGuide[[#This Row],[API]:[API_3]],'[1]Squirrel SQL Export 1'!$K:$N,[1]!Table1[[#This Row],[Exists In Syndigo?]]),IF(_xlpm.r=0,"",_xlpm.r))</f>
        <v>#REF!</v>
      </c>
      <c r="X224" s="17" t="e" cm="1">
        <f t="array" ref="X224">_xlfn.LET(_xlpm.r,_xlfn.XLOOKUP(1,MappingGuide[[#This Row],[API]:[API_3]],'[1]Squirrel SQL Export 1'!$K:$N,[1]!Table1[[#This Row],[Syndigo Name]]),IF(_xlpm.r=0,"",_xlpm.r))</f>
        <v>#REF!</v>
      </c>
      <c r="Y224" s="17"/>
      <c r="Z224" s="17" t="s">
        <v>980</v>
      </c>
      <c r="AA224" s="17"/>
      <c r="AB224" s="17"/>
      <c r="AC224" s="17" t="e" cm="1">
        <f t="array" ref="AC224">_xlfn.XLOOKUP(1,MappingGuide[[#This Row],[API]:[API_3]],'[1]Squirrel SQL Export 1'!$K:$N,[1]!Table1[[#This Row],[Doppio Notes2]])</f>
        <v>#REF!</v>
      </c>
      <c r="AD224" s="17" t="s">
        <v>1279</v>
      </c>
      <c r="AE224" s="17" t="e" cm="1">
        <f t="array" ref="AE224">_xlfn.XLOOKUP(1,MappingGuide[[#This Row],[API]:[API_3]],'[1]Squirrel SQL Export 1'!$K:$N,[1]!Table1[[#This Row],[DG_required]])</f>
        <v>#REF!</v>
      </c>
      <c r="AF224" s="21" t="s">
        <v>1303</v>
      </c>
      <c r="AG224" s="21"/>
      <c r="AH224" s="24" t="e" cm="1">
        <f t="array" ref="AH224">_xlfn.LET(_xlpm.r,_xlfn.XLOOKUP(1,MappingGuide[[#This Row],[API]:[API_3]],'[1]Squirrel SQL Export 1'!$K:$N,[1]!Table1[[#This Row],[Pending Items]]),IF(_xlpm.r=0,"",_xlpm.r))</f>
        <v>#REF!</v>
      </c>
      <c r="AI224" s="22" t="e" cm="1">
        <f t="array" ref="AI224">_xlfn.LET(_xlpm.r,_xlfn.XLOOKUP(1,MappingGuide[[#This Row],[API]:[API_3]],'[1]Squirrel SQL Export 1'!$K:$N,[1]!Table1[[#This Row],[Syndigo Name]]),IF(_xlpm.r=0,"",_xlpm.r))</f>
        <v>#REF!</v>
      </c>
      <c r="AJ224" s="17"/>
    </row>
    <row r="225" spans="1:36" ht="17" hidden="1">
      <c r="A225" s="17">
        <v>223</v>
      </c>
      <c r="B225" s="17" t="s">
        <v>40</v>
      </c>
      <c r="C225" s="17" t="s">
        <v>981</v>
      </c>
      <c r="D225" s="17" t="s">
        <v>982</v>
      </c>
      <c r="E225" s="17" t="s">
        <v>33</v>
      </c>
      <c r="F225" s="17" t="s">
        <v>118</v>
      </c>
      <c r="G225" s="17"/>
      <c r="H225" s="17"/>
      <c r="I225" s="17" t="s">
        <v>57</v>
      </c>
      <c r="J225" s="17" t="s">
        <v>119</v>
      </c>
      <c r="K225" s="17"/>
      <c r="L225" s="17" t="s">
        <v>35</v>
      </c>
      <c r="M225" s="17" t="s">
        <v>73</v>
      </c>
      <c r="N225" s="17" t="s">
        <v>983</v>
      </c>
      <c r="O225" s="17"/>
      <c r="P225" s="17"/>
      <c r="Q225" s="17"/>
      <c r="R225" s="17"/>
      <c r="S225" s="17" t="e" cm="1">
        <f t="array" ref="S225">_xlfn.LET(_xlpm.r,_xlfn.XLOOKUP(1,MappingGuide[[#This Row],[API]:[API_3]],'[1]Squirrel SQL Export 1'!$K:$N,[1]!Table1[[#This Row],[Responsible from HJ]]),IF(_xlpm.r=0,"",_xlpm.r))</f>
        <v>#REF!</v>
      </c>
      <c r="T225" s="17"/>
      <c r="U225" s="17"/>
      <c r="V225" s="17" t="e" cm="1">
        <f t="array" ref="V225">_xlfn.LET(_xlpm.r,_xlfn.XLOOKUP(1,MappingGuide[[#This Row],[API]:[API_3]],'[1]Squirrel SQL Export 1'!$K:$N,[1]!Table1[[#This Row],[MDM Comments]]),IF(_xlpm.r=0,"",_xlpm.r))</f>
        <v>#REF!</v>
      </c>
      <c r="W225" s="17" t="e" cm="1">
        <f t="array" ref="W225">_xlfn.LET(_xlpm.r,_xlfn.XLOOKUP(1,MappingGuide[[#This Row],[API]:[API_3]],'[1]Squirrel SQL Export 1'!$K:$N,[1]!Table1[[#This Row],[Exists In Syndigo?]]),IF(_xlpm.r=0,"",_xlpm.r))</f>
        <v>#REF!</v>
      </c>
      <c r="X225" s="17" t="e" cm="1">
        <f t="array" ref="X225">_xlfn.LET(_xlpm.r,_xlfn.XLOOKUP(1,MappingGuide[[#This Row],[API]:[API_3]],'[1]Squirrel SQL Export 1'!$K:$N,[1]!Table1[[#This Row],[Syndigo Name]]),IF(_xlpm.r=0,"",_xlpm.r))</f>
        <v>#REF!</v>
      </c>
      <c r="Y225" s="17"/>
      <c r="Z225" s="17" t="s">
        <v>984</v>
      </c>
      <c r="AA225" s="17"/>
      <c r="AB225" s="17"/>
      <c r="AC225" s="17" t="e" cm="1">
        <f t="array" ref="AC225">_xlfn.XLOOKUP(1,MappingGuide[[#This Row],[API]:[API_3]],'[1]Squirrel SQL Export 1'!$K:$N,[1]!Table1[[#This Row],[Doppio Notes2]])</f>
        <v>#REF!</v>
      </c>
      <c r="AD225" s="17"/>
      <c r="AE225" s="17" t="e" cm="1">
        <f t="array" ref="AE225">_xlfn.XLOOKUP(1,MappingGuide[[#This Row],[API]:[API_3]],'[1]Squirrel SQL Export 1'!$K:$N,[1]!Table1[[#This Row],[DG_required]])</f>
        <v>#REF!</v>
      </c>
      <c r="AF225" s="21" t="s">
        <v>1306</v>
      </c>
      <c r="AG225" s="21"/>
      <c r="AH225" s="22" t="e" cm="1">
        <f t="array" ref="AH225">_xlfn.LET(_xlpm.r,_xlfn.XLOOKUP(1,MappingGuide[[#This Row],[API]:[API_3]],'[1]Squirrel SQL Export 1'!$K:$N,[1]!Table1[[#This Row],[Pending Items]]),IF(_xlpm.r=0,"",_xlpm.r))</f>
        <v>#REF!</v>
      </c>
      <c r="AI225" s="22" t="e" cm="1">
        <f t="array" ref="AI225">_xlfn.LET(_xlpm.r,_xlfn.XLOOKUP(1,MappingGuide[[#This Row],[API]:[API_3]],'[1]Squirrel SQL Export 1'!$K:$N,[1]!Table1[[#This Row],[Syndigo Name]]),IF(_xlpm.r=0,"",_xlpm.r))</f>
        <v>#REF!</v>
      </c>
      <c r="AJ225" s="17"/>
    </row>
    <row r="226" spans="1:36" ht="17" hidden="1">
      <c r="A226" s="17">
        <v>224</v>
      </c>
      <c r="B226" s="17" t="s">
        <v>40</v>
      </c>
      <c r="C226" s="17" t="s">
        <v>985</v>
      </c>
      <c r="D226" s="17" t="s">
        <v>986</v>
      </c>
      <c r="E226" s="17" t="s">
        <v>43</v>
      </c>
      <c r="F226" s="17" t="s">
        <v>80</v>
      </c>
      <c r="G226" s="17"/>
      <c r="H226" s="17"/>
      <c r="I226" s="17"/>
      <c r="J226" s="17"/>
      <c r="K226" s="17"/>
      <c r="L226" s="17"/>
      <c r="M226" s="17"/>
      <c r="N226" s="17" t="s">
        <v>987</v>
      </c>
      <c r="O226" s="17"/>
      <c r="P226" s="17"/>
      <c r="Q226" s="17"/>
      <c r="R226" s="17"/>
      <c r="S226" s="17" t="e" cm="1">
        <f t="array" ref="S226">_xlfn.LET(_xlpm.r,_xlfn.XLOOKUP(1,MappingGuide[[#This Row],[API]:[API_3]],'[1]Squirrel SQL Export 1'!$K:$N,[1]!Table1[[#This Row],[Responsible from HJ]]),IF(_xlpm.r=0,"",_xlpm.r))</f>
        <v>#REF!</v>
      </c>
      <c r="T226" s="17"/>
      <c r="U226" s="17"/>
      <c r="V226" s="17" t="e" cm="1">
        <f t="array" ref="V226">_xlfn.LET(_xlpm.r,_xlfn.XLOOKUP(1,MappingGuide[[#This Row],[API]:[API_3]],'[1]Squirrel SQL Export 1'!$K:$N,[1]!Table1[[#This Row],[MDM Comments]]),IF(_xlpm.r=0,"",_xlpm.r))</f>
        <v>#REF!</v>
      </c>
      <c r="W226" s="17" t="e" cm="1">
        <f t="array" ref="W226">_xlfn.LET(_xlpm.r,_xlfn.XLOOKUP(1,MappingGuide[[#This Row],[API]:[API_3]],'[1]Squirrel SQL Export 1'!$K:$N,[1]!Table1[[#This Row],[Exists In Syndigo?]]),IF(_xlpm.r=0,"",_xlpm.r))</f>
        <v>#REF!</v>
      </c>
      <c r="X226" s="17" t="e" cm="1">
        <f t="array" ref="X226">_xlfn.LET(_xlpm.r,_xlfn.XLOOKUP(1,MappingGuide[[#This Row],[API]:[API_3]],'[1]Squirrel SQL Export 1'!$K:$N,[1]!Table1[[#This Row],[Syndigo Name]]),IF(_xlpm.r=0,"",_xlpm.r))</f>
        <v>#REF!</v>
      </c>
      <c r="Y226" s="17"/>
      <c r="Z226" s="17"/>
      <c r="AA226" s="17"/>
      <c r="AB226" s="17"/>
      <c r="AC226" s="17" t="e" cm="1">
        <f t="array" ref="AC226">_xlfn.XLOOKUP(1,MappingGuide[[#This Row],[API]:[API_3]],'[1]Squirrel SQL Export 1'!$K:$N,[1]!Table1[[#This Row],[Doppio Notes2]])</f>
        <v>#REF!</v>
      </c>
      <c r="AD226" s="17"/>
      <c r="AE226" s="17" t="e" cm="1">
        <f t="array" ref="AE226">_xlfn.XLOOKUP(1,MappingGuide[[#This Row],[API]:[API_3]],'[1]Squirrel SQL Export 1'!$K:$N,[1]!Table1[[#This Row],[DG_required]])</f>
        <v>#REF!</v>
      </c>
      <c r="AF226" s="21" t="s">
        <v>1290</v>
      </c>
      <c r="AG226" s="21"/>
      <c r="AH226" s="22" t="e" cm="1">
        <f t="array" ref="AH226">_xlfn.LET(_xlpm.r,_xlfn.XLOOKUP(1,MappingGuide[[#This Row],[API]:[API_3]],'[1]Squirrel SQL Export 1'!$K:$N,[1]!Table1[[#This Row],[Pending Items]]),IF(_xlpm.r=0,"",_xlpm.r))</f>
        <v>#REF!</v>
      </c>
      <c r="AI226" s="22" t="e" cm="1">
        <f t="array" ref="AI226">_xlfn.LET(_xlpm.r,_xlfn.XLOOKUP(1,MappingGuide[[#This Row],[API]:[API_3]],'[1]Squirrel SQL Export 1'!$K:$N,[1]!Table1[[#This Row],[Syndigo Name]]),IF(_xlpm.r=0,"",_xlpm.r))</f>
        <v>#REF!</v>
      </c>
      <c r="AJ226" s="17"/>
    </row>
    <row r="227" spans="1:36" ht="17" hidden="1">
      <c r="A227" s="17">
        <v>225</v>
      </c>
      <c r="B227" s="17" t="s">
        <v>40</v>
      </c>
      <c r="C227" s="17" t="s">
        <v>988</v>
      </c>
      <c r="D227" s="17" t="s">
        <v>989</v>
      </c>
      <c r="E227" s="17" t="s">
        <v>43</v>
      </c>
      <c r="F227" s="17" t="s">
        <v>373</v>
      </c>
      <c r="G227" s="17"/>
      <c r="H227" s="17"/>
      <c r="I227" s="17"/>
      <c r="J227" s="17"/>
      <c r="K227" s="17"/>
      <c r="L227" s="17"/>
      <c r="M227" s="17"/>
      <c r="N227" s="17" t="s">
        <v>990</v>
      </c>
      <c r="O227" s="17"/>
      <c r="P227" s="17"/>
      <c r="Q227" s="17"/>
      <c r="R227" s="17"/>
      <c r="S227" s="17" t="e" cm="1">
        <f t="array" ref="S227">_xlfn.LET(_xlpm.r,_xlfn.XLOOKUP(1,MappingGuide[[#This Row],[API]:[API_3]],'[1]Squirrel SQL Export 1'!$K:$N,[1]!Table1[[#This Row],[Responsible from HJ]]),IF(_xlpm.r=0,"",_xlpm.r))</f>
        <v>#REF!</v>
      </c>
      <c r="T227" s="17"/>
      <c r="U227" s="17"/>
      <c r="V227" s="17" t="e" cm="1">
        <f t="array" ref="V227">_xlfn.LET(_xlpm.r,_xlfn.XLOOKUP(1,MappingGuide[[#This Row],[API]:[API_3]],'[1]Squirrel SQL Export 1'!$K:$N,[1]!Table1[[#This Row],[MDM Comments]]),IF(_xlpm.r=0,"",_xlpm.r))</f>
        <v>#REF!</v>
      </c>
      <c r="W227" s="17" t="e" cm="1">
        <f t="array" ref="W227">_xlfn.LET(_xlpm.r,_xlfn.XLOOKUP(1,MappingGuide[[#This Row],[API]:[API_3]],'[1]Squirrel SQL Export 1'!$K:$N,[1]!Table1[[#This Row],[Exists In Syndigo?]]),IF(_xlpm.r=0,"",_xlpm.r))</f>
        <v>#REF!</v>
      </c>
      <c r="X227" s="17" t="e" cm="1">
        <f t="array" ref="X227">_xlfn.LET(_xlpm.r,_xlfn.XLOOKUP(1,MappingGuide[[#This Row],[API]:[API_3]],'[1]Squirrel SQL Export 1'!$K:$N,[1]!Table1[[#This Row],[Syndigo Name]]),IF(_xlpm.r=0,"",_xlpm.r))</f>
        <v>#REF!</v>
      </c>
      <c r="Y227" s="17"/>
      <c r="Z227" s="17" t="s">
        <v>991</v>
      </c>
      <c r="AA227" s="17"/>
      <c r="AB227" s="17"/>
      <c r="AC227" s="17" t="e" cm="1">
        <f t="array" ref="AC227">_xlfn.XLOOKUP(1,MappingGuide[[#This Row],[API]:[API_3]],'[1]Squirrel SQL Export 1'!$K:$N,[1]!Table1[[#This Row],[Doppio Notes2]])</f>
        <v>#REF!</v>
      </c>
      <c r="AD227" s="17"/>
      <c r="AE227" s="17" t="e" cm="1">
        <f t="array" ref="AE227">_xlfn.XLOOKUP(1,MappingGuide[[#This Row],[API]:[API_3]],'[1]Squirrel SQL Export 1'!$K:$N,[1]!Table1[[#This Row],[DG_required]])</f>
        <v>#REF!</v>
      </c>
      <c r="AF227" s="21" t="s">
        <v>1304</v>
      </c>
      <c r="AG227" s="21"/>
      <c r="AH227" s="22" t="e" cm="1">
        <f t="array" ref="AH227">_xlfn.LET(_xlpm.r,_xlfn.XLOOKUP(1,MappingGuide[[#This Row],[API]:[API_3]],'[1]Squirrel SQL Export 1'!$K:$N,[1]!Table1[[#This Row],[Pending Items]]),IF(_xlpm.r=0,"",_xlpm.r))</f>
        <v>#REF!</v>
      </c>
      <c r="AI227" s="22" t="e" cm="1">
        <f t="array" ref="AI227">_xlfn.LET(_xlpm.r,_xlfn.XLOOKUP(1,MappingGuide[[#This Row],[API]:[API_3]],'[1]Squirrel SQL Export 1'!$K:$N,[1]!Table1[[#This Row],[Syndigo Name]]),IF(_xlpm.r=0,"",_xlpm.r))</f>
        <v>#REF!</v>
      </c>
      <c r="AJ227" s="17"/>
    </row>
    <row r="228" spans="1:36" ht="17" hidden="1">
      <c r="A228" s="17">
        <v>226</v>
      </c>
      <c r="B228" s="17" t="s">
        <v>40</v>
      </c>
      <c r="C228" s="17" t="s">
        <v>992</v>
      </c>
      <c r="D228" s="17" t="s">
        <v>993</v>
      </c>
      <c r="E228" s="17" t="s">
        <v>43</v>
      </c>
      <c r="F228" s="17" t="s">
        <v>118</v>
      </c>
      <c r="G228" s="17"/>
      <c r="H228" s="17"/>
      <c r="I228" s="17"/>
      <c r="J228" s="17"/>
      <c r="K228" s="17"/>
      <c r="L228" s="17"/>
      <c r="M228" s="17"/>
      <c r="N228" s="17" t="s">
        <v>994</v>
      </c>
      <c r="O228" s="17"/>
      <c r="P228" s="17"/>
      <c r="Q228" s="17"/>
      <c r="R228" s="17"/>
      <c r="S228" s="17" t="e" cm="1">
        <f t="array" ref="S228">_xlfn.LET(_xlpm.r,_xlfn.XLOOKUP(1,MappingGuide[[#This Row],[API]:[API_3]],'[1]Squirrel SQL Export 1'!$K:$N,[1]!Table1[[#This Row],[Responsible from HJ]]),IF(_xlpm.r=0,"",_xlpm.r))</f>
        <v>#REF!</v>
      </c>
      <c r="T228" s="17"/>
      <c r="U228" s="17"/>
      <c r="V228" s="17" t="e" cm="1">
        <f t="array" ref="V228">_xlfn.LET(_xlpm.r,_xlfn.XLOOKUP(1,MappingGuide[[#This Row],[API]:[API_3]],'[1]Squirrel SQL Export 1'!$K:$N,[1]!Table1[[#This Row],[MDM Comments]]),IF(_xlpm.r=0,"",_xlpm.r))</f>
        <v>#REF!</v>
      </c>
      <c r="W228" s="17" t="e" cm="1">
        <f t="array" ref="W228">_xlfn.LET(_xlpm.r,_xlfn.XLOOKUP(1,MappingGuide[[#This Row],[API]:[API_3]],'[1]Squirrel SQL Export 1'!$K:$N,[1]!Table1[[#This Row],[Exists In Syndigo?]]),IF(_xlpm.r=0,"",_xlpm.r))</f>
        <v>#REF!</v>
      </c>
      <c r="X228" s="17" t="e" cm="1">
        <f t="array" ref="X228">_xlfn.LET(_xlpm.r,_xlfn.XLOOKUP(1,MappingGuide[[#This Row],[API]:[API_3]],'[1]Squirrel SQL Export 1'!$K:$N,[1]!Table1[[#This Row],[Syndigo Name]]),IF(_xlpm.r=0,"",_xlpm.r))</f>
        <v>#REF!</v>
      </c>
      <c r="Y228" s="17"/>
      <c r="Z228" s="17" t="s">
        <v>995</v>
      </c>
      <c r="AA228" s="17"/>
      <c r="AB228" s="17"/>
      <c r="AC228" s="17" t="e" cm="1">
        <f t="array" ref="AC228">_xlfn.XLOOKUP(1,MappingGuide[[#This Row],[API]:[API_3]],'[1]Squirrel SQL Export 1'!$K:$N,[1]!Table1[[#This Row],[Doppio Notes2]])</f>
        <v>#REF!</v>
      </c>
      <c r="AD228" s="17"/>
      <c r="AE228" s="17" t="e" cm="1">
        <f t="array" ref="AE228">_xlfn.XLOOKUP(1,MappingGuide[[#This Row],[API]:[API_3]],'[1]Squirrel SQL Export 1'!$K:$N,[1]!Table1[[#This Row],[DG_required]])</f>
        <v>#REF!</v>
      </c>
      <c r="AF228" s="21" t="s">
        <v>1305</v>
      </c>
      <c r="AG228" s="21"/>
      <c r="AH228" s="22" t="e" cm="1">
        <f t="array" ref="AH228">_xlfn.LET(_xlpm.r,_xlfn.XLOOKUP(1,MappingGuide[[#This Row],[API]:[API_3]],'[1]Squirrel SQL Export 1'!$K:$N,[1]!Table1[[#This Row],[Pending Items]]),IF(_xlpm.r=0,"",_xlpm.r))</f>
        <v>#REF!</v>
      </c>
      <c r="AI228" s="22" t="e" cm="1">
        <f t="array" ref="AI228">_xlfn.LET(_xlpm.r,_xlfn.XLOOKUP(1,MappingGuide[[#This Row],[API]:[API_3]],'[1]Squirrel SQL Export 1'!$K:$N,[1]!Table1[[#This Row],[Syndigo Name]]),IF(_xlpm.r=0,"",_xlpm.r))</f>
        <v>#REF!</v>
      </c>
      <c r="AJ228" s="17"/>
    </row>
    <row r="229" spans="1:36" ht="17" hidden="1">
      <c r="A229" s="17">
        <v>227</v>
      </c>
      <c r="B229" s="17" t="s">
        <v>40</v>
      </c>
      <c r="C229" s="17" t="s">
        <v>996</v>
      </c>
      <c r="D229" s="17" t="s">
        <v>997</v>
      </c>
      <c r="E229" s="17" t="s">
        <v>43</v>
      </c>
      <c r="F229" s="17" t="s">
        <v>373</v>
      </c>
      <c r="G229" s="17"/>
      <c r="H229" s="17"/>
      <c r="I229" s="17"/>
      <c r="J229" s="17"/>
      <c r="K229" s="17"/>
      <c r="L229" s="17"/>
      <c r="M229" s="17"/>
      <c r="N229" s="17" t="s">
        <v>998</v>
      </c>
      <c r="O229" s="17"/>
      <c r="P229" s="17"/>
      <c r="Q229" s="17"/>
      <c r="R229" s="17"/>
      <c r="S229" s="17" t="e" cm="1">
        <f t="array" ref="S229">_xlfn.LET(_xlpm.r,_xlfn.XLOOKUP(1,MappingGuide[[#This Row],[API]:[API_3]],'[1]Squirrel SQL Export 1'!$K:$N,[1]!Table1[[#This Row],[Responsible from HJ]]),IF(_xlpm.r=0,"",_xlpm.r))</f>
        <v>#REF!</v>
      </c>
      <c r="T229" s="17"/>
      <c r="U229" s="17"/>
      <c r="V229" s="17" t="e" cm="1">
        <f t="array" ref="V229">_xlfn.LET(_xlpm.r,_xlfn.XLOOKUP(1,MappingGuide[[#This Row],[API]:[API_3]],'[1]Squirrel SQL Export 1'!$K:$N,[1]!Table1[[#This Row],[MDM Comments]]),IF(_xlpm.r=0,"",_xlpm.r))</f>
        <v>#REF!</v>
      </c>
      <c r="W229" s="17" t="e" cm="1">
        <f t="array" ref="W229">_xlfn.LET(_xlpm.r,_xlfn.XLOOKUP(1,MappingGuide[[#This Row],[API]:[API_3]],'[1]Squirrel SQL Export 1'!$K:$N,[1]!Table1[[#This Row],[Exists In Syndigo?]]),IF(_xlpm.r=0,"",_xlpm.r))</f>
        <v>#REF!</v>
      </c>
      <c r="X229" s="17" t="e" cm="1">
        <f t="array" ref="X229">_xlfn.LET(_xlpm.r,_xlfn.XLOOKUP(1,MappingGuide[[#This Row],[API]:[API_3]],'[1]Squirrel SQL Export 1'!$K:$N,[1]!Table1[[#This Row],[Syndigo Name]]),IF(_xlpm.r=0,"",_xlpm.r))</f>
        <v>#REF!</v>
      </c>
      <c r="Y229" s="17"/>
      <c r="Z229" s="17" t="s">
        <v>999</v>
      </c>
      <c r="AA229" s="17"/>
      <c r="AB229" s="17"/>
      <c r="AC229" s="17" t="e" cm="1">
        <f t="array" ref="AC229">_xlfn.XLOOKUP(1,MappingGuide[[#This Row],[API]:[API_3]],'[1]Squirrel SQL Export 1'!$K:$N,[1]!Table1[[#This Row],[Doppio Notes2]])</f>
        <v>#REF!</v>
      </c>
      <c r="AD229" s="17"/>
      <c r="AE229" s="17" t="e" cm="1">
        <f t="array" ref="AE229">_xlfn.XLOOKUP(1,MappingGuide[[#This Row],[API]:[API_3]],'[1]Squirrel SQL Export 1'!$K:$N,[1]!Table1[[#This Row],[DG_required]])</f>
        <v>#REF!</v>
      </c>
      <c r="AF229" s="21" t="s">
        <v>1301</v>
      </c>
      <c r="AG229" s="21"/>
      <c r="AH229" s="22" t="e" cm="1">
        <f t="array" ref="AH229">_xlfn.LET(_xlpm.r,_xlfn.XLOOKUP(1,MappingGuide[[#This Row],[API]:[API_3]],'[1]Squirrel SQL Export 1'!$K:$N,[1]!Table1[[#This Row],[Pending Items]]),IF(_xlpm.r=0,"",_xlpm.r))</f>
        <v>#REF!</v>
      </c>
      <c r="AI229" s="22" t="e" cm="1">
        <f t="array" ref="AI229">_xlfn.LET(_xlpm.r,_xlfn.XLOOKUP(1,MappingGuide[[#This Row],[API]:[API_3]],'[1]Squirrel SQL Export 1'!$K:$N,[1]!Table1[[#This Row],[Syndigo Name]]),IF(_xlpm.r=0,"",_xlpm.r))</f>
        <v>#REF!</v>
      </c>
      <c r="AJ229" s="17"/>
    </row>
    <row r="230" spans="1:36" ht="17" hidden="1">
      <c r="A230" s="17">
        <v>228</v>
      </c>
      <c r="B230" s="17" t="s">
        <v>40</v>
      </c>
      <c r="C230" s="17" t="s">
        <v>1000</v>
      </c>
      <c r="D230" s="17" t="s">
        <v>1001</v>
      </c>
      <c r="E230" s="17" t="s">
        <v>43</v>
      </c>
      <c r="F230" s="17" t="s">
        <v>44</v>
      </c>
      <c r="G230" s="17"/>
      <c r="H230" s="17"/>
      <c r="I230" s="17"/>
      <c r="J230" s="17"/>
      <c r="K230" s="17"/>
      <c r="L230" s="17"/>
      <c r="M230" s="17"/>
      <c r="N230" s="17" t="s">
        <v>1002</v>
      </c>
      <c r="O230" s="17"/>
      <c r="P230" s="17"/>
      <c r="Q230" s="17"/>
      <c r="R230" s="17"/>
      <c r="S230" s="17" t="e" cm="1">
        <f t="array" ref="S230">_xlfn.LET(_xlpm.r,_xlfn.XLOOKUP(1,MappingGuide[[#This Row],[API]:[API_3]],'[1]Squirrel SQL Export 1'!$K:$N,[1]!Table1[[#This Row],[Responsible from HJ]]),IF(_xlpm.r=0,"",_xlpm.r))</f>
        <v>#REF!</v>
      </c>
      <c r="T230" s="17"/>
      <c r="U230" s="17"/>
      <c r="V230" s="17" t="e" cm="1">
        <f t="array" ref="V230">_xlfn.LET(_xlpm.r,_xlfn.XLOOKUP(1,MappingGuide[[#This Row],[API]:[API_3]],'[1]Squirrel SQL Export 1'!$K:$N,[1]!Table1[[#This Row],[MDM Comments]]),IF(_xlpm.r=0,"",_xlpm.r))</f>
        <v>#REF!</v>
      </c>
      <c r="W230" s="17" t="e" cm="1">
        <f t="array" ref="W230">_xlfn.LET(_xlpm.r,_xlfn.XLOOKUP(1,MappingGuide[[#This Row],[API]:[API_3]],'[1]Squirrel SQL Export 1'!$K:$N,[1]!Table1[[#This Row],[Exists In Syndigo?]]),IF(_xlpm.r=0,"",_xlpm.r))</f>
        <v>#REF!</v>
      </c>
      <c r="X230" s="17" t="e" cm="1">
        <f t="array" ref="X230">_xlfn.LET(_xlpm.r,_xlfn.XLOOKUP(1,MappingGuide[[#This Row],[API]:[API_3]],'[1]Squirrel SQL Export 1'!$K:$N,[1]!Table1[[#This Row],[Syndigo Name]]),IF(_xlpm.r=0,"",_xlpm.r))</f>
        <v>#REF!</v>
      </c>
      <c r="Y230" s="17"/>
      <c r="Z230" s="17" t="s">
        <v>1003</v>
      </c>
      <c r="AA230" s="17"/>
      <c r="AB230" s="17"/>
      <c r="AC230" s="17" t="e" cm="1">
        <f t="array" ref="AC230">_xlfn.XLOOKUP(1,MappingGuide[[#This Row],[API]:[API_3]],'[1]Squirrel SQL Export 1'!$K:$N,[1]!Table1[[#This Row],[Doppio Notes2]])</f>
        <v>#REF!</v>
      </c>
      <c r="AD230" s="17"/>
      <c r="AE230" s="17" t="e" cm="1">
        <f t="array" ref="AE230">_xlfn.XLOOKUP(1,MappingGuide[[#This Row],[API]:[API_3]],'[1]Squirrel SQL Export 1'!$K:$N,[1]!Table1[[#This Row],[DG_required]])</f>
        <v>#REF!</v>
      </c>
      <c r="AF230" s="21" t="s">
        <v>1308</v>
      </c>
      <c r="AG230" s="21"/>
      <c r="AH230" s="22" t="e" cm="1">
        <f t="array" ref="AH230">_xlfn.LET(_xlpm.r,_xlfn.XLOOKUP(1,MappingGuide[[#This Row],[API]:[API_3]],'[1]Squirrel SQL Export 1'!$K:$N,[1]!Table1[[#This Row],[Pending Items]]),IF(_xlpm.r=0,"",_xlpm.r))</f>
        <v>#REF!</v>
      </c>
      <c r="AI230" s="22" t="e" cm="1">
        <f t="array" ref="AI230">_xlfn.LET(_xlpm.r,_xlfn.XLOOKUP(1,MappingGuide[[#This Row],[API]:[API_3]],'[1]Squirrel SQL Export 1'!$K:$N,[1]!Table1[[#This Row],[Syndigo Name]]),IF(_xlpm.r=0,"",_xlpm.r))</f>
        <v>#REF!</v>
      </c>
      <c r="AJ230" s="17"/>
    </row>
    <row r="231" spans="1:36" ht="17" hidden="1">
      <c r="A231" s="17">
        <v>229</v>
      </c>
      <c r="B231" s="17" t="s">
        <v>40</v>
      </c>
      <c r="C231" s="17" t="s">
        <v>1004</v>
      </c>
      <c r="D231" s="17" t="s">
        <v>602</v>
      </c>
      <c r="E231" s="17" t="s">
        <v>33</v>
      </c>
      <c r="F231" s="17" t="s">
        <v>34</v>
      </c>
      <c r="G231" s="17"/>
      <c r="H231" s="17"/>
      <c r="I231" s="17"/>
      <c r="J231" s="17"/>
      <c r="K231" s="17"/>
      <c r="L231" s="17"/>
      <c r="M231" s="17"/>
      <c r="N231" s="17" t="s">
        <v>1005</v>
      </c>
      <c r="O231" s="17"/>
      <c r="P231" s="17"/>
      <c r="Q231" s="17"/>
      <c r="R231" s="17"/>
      <c r="S231" s="17" t="e" cm="1">
        <f t="array" ref="S231">_xlfn.LET(_xlpm.r,_xlfn.XLOOKUP(1,MappingGuide[[#This Row],[API]:[API_3]],'[1]Squirrel SQL Export 1'!$K:$N,[1]!Table1[[#This Row],[Responsible from HJ]]),IF(_xlpm.r=0,"",_xlpm.r))</f>
        <v>#REF!</v>
      </c>
      <c r="T231" s="17"/>
      <c r="U231" s="17"/>
      <c r="V231" s="17" t="e" cm="1">
        <f t="array" ref="V231">_xlfn.LET(_xlpm.r,_xlfn.XLOOKUP(1,MappingGuide[[#This Row],[API]:[API_3]],'[1]Squirrel SQL Export 1'!$K:$N,[1]!Table1[[#This Row],[MDM Comments]]),IF(_xlpm.r=0,"",_xlpm.r))</f>
        <v>#REF!</v>
      </c>
      <c r="W231" s="17" t="e" cm="1">
        <f t="array" ref="W231">_xlfn.LET(_xlpm.r,_xlfn.XLOOKUP(1,MappingGuide[[#This Row],[API]:[API_3]],'[1]Squirrel SQL Export 1'!$K:$N,[1]!Table1[[#This Row],[Exists In Syndigo?]]),IF(_xlpm.r=0,"",_xlpm.r))</f>
        <v>#REF!</v>
      </c>
      <c r="X231" s="17" t="e" cm="1">
        <f t="array" ref="X231">_xlfn.LET(_xlpm.r,_xlfn.XLOOKUP(1,MappingGuide[[#This Row],[API]:[API_3]],'[1]Squirrel SQL Export 1'!$K:$N,[1]!Table1[[#This Row],[Syndigo Name]]),IF(_xlpm.r=0,"",_xlpm.r))</f>
        <v>#REF!</v>
      </c>
      <c r="Y231" s="17"/>
      <c r="Z231" s="17" t="s">
        <v>1006</v>
      </c>
      <c r="AA231" s="17"/>
      <c r="AB231" s="17"/>
      <c r="AC231" s="17" t="e" cm="1">
        <f t="array" ref="AC231">_xlfn.XLOOKUP(1,MappingGuide[[#This Row],[API]:[API_3]],'[1]Squirrel SQL Export 1'!$K:$N,[1]!Table1[[#This Row],[Doppio Notes2]])</f>
        <v>#REF!</v>
      </c>
      <c r="AD231" s="17"/>
      <c r="AE231" s="17" t="e" cm="1">
        <f t="array" ref="AE231">_xlfn.XLOOKUP(1,MappingGuide[[#This Row],[API]:[API_3]],'[1]Squirrel SQL Export 1'!$K:$N,[1]!Table1[[#This Row],[DG_required]])</f>
        <v>#REF!</v>
      </c>
      <c r="AF231" s="21" t="s">
        <v>1300</v>
      </c>
      <c r="AG231" s="21"/>
      <c r="AH231" s="22" t="e" cm="1">
        <f t="array" ref="AH231">_xlfn.LET(_xlpm.r,_xlfn.XLOOKUP(1,MappingGuide[[#This Row],[API]:[API_3]],'[1]Squirrel SQL Export 1'!$K:$N,[1]!Table1[[#This Row],[Pending Items]]),IF(_xlpm.r=0,"",_xlpm.r))</f>
        <v>#REF!</v>
      </c>
      <c r="AI231" s="22" t="e" cm="1">
        <f t="array" ref="AI231">_xlfn.LET(_xlpm.r,_xlfn.XLOOKUP(1,MappingGuide[[#This Row],[API]:[API_3]],'[1]Squirrel SQL Export 1'!$K:$N,[1]!Table1[[#This Row],[Syndigo Name]]),IF(_xlpm.r=0,"",_xlpm.r))</f>
        <v>#REF!</v>
      </c>
      <c r="AJ231" s="17"/>
    </row>
    <row r="232" spans="1:36" ht="17" hidden="1">
      <c r="A232" s="17">
        <v>230</v>
      </c>
      <c r="B232" s="17" t="s">
        <v>40</v>
      </c>
      <c r="C232" s="17" t="s">
        <v>1007</v>
      </c>
      <c r="D232" s="17" t="s">
        <v>1008</v>
      </c>
      <c r="E232" s="17" t="s">
        <v>43</v>
      </c>
      <c r="F232" s="17" t="s">
        <v>811</v>
      </c>
      <c r="G232" s="17"/>
      <c r="H232" s="17"/>
      <c r="I232" s="17"/>
      <c r="J232" s="17"/>
      <c r="K232" s="17"/>
      <c r="L232" s="17"/>
      <c r="M232" s="17"/>
      <c r="N232" s="17" t="s">
        <v>1009</v>
      </c>
      <c r="O232" s="17"/>
      <c r="P232" s="17"/>
      <c r="Q232" s="17"/>
      <c r="R232" s="17"/>
      <c r="S232" s="17" t="e" cm="1">
        <f t="array" ref="S232">_xlfn.LET(_xlpm.r,_xlfn.XLOOKUP(1,MappingGuide[[#This Row],[API]:[API_3]],'[1]Squirrel SQL Export 1'!$K:$N,[1]!Table1[[#This Row],[Responsible from HJ]]),IF(_xlpm.r=0,"",_xlpm.r))</f>
        <v>#REF!</v>
      </c>
      <c r="T232" s="17"/>
      <c r="U232" s="17"/>
      <c r="V232" s="17" t="e" cm="1">
        <f t="array" ref="V232">_xlfn.LET(_xlpm.r,_xlfn.XLOOKUP(1,MappingGuide[[#This Row],[API]:[API_3]],'[1]Squirrel SQL Export 1'!$K:$N,[1]!Table1[[#This Row],[MDM Comments]]),IF(_xlpm.r=0,"",_xlpm.r))</f>
        <v>#REF!</v>
      </c>
      <c r="W232" s="17" t="e" cm="1">
        <f t="array" ref="W232">_xlfn.LET(_xlpm.r,_xlfn.XLOOKUP(1,MappingGuide[[#This Row],[API]:[API_3]],'[1]Squirrel SQL Export 1'!$K:$N,[1]!Table1[[#This Row],[Exists In Syndigo?]]),IF(_xlpm.r=0,"",_xlpm.r))</f>
        <v>#REF!</v>
      </c>
      <c r="X232" s="17" t="e" cm="1">
        <f t="array" ref="X232">_xlfn.LET(_xlpm.r,_xlfn.XLOOKUP(1,MappingGuide[[#This Row],[API]:[API_3]],'[1]Squirrel SQL Export 1'!$K:$N,[1]!Table1[[#This Row],[Syndigo Name]]),IF(_xlpm.r=0,"",_xlpm.r))</f>
        <v>#REF!</v>
      </c>
      <c r="Y232" s="17"/>
      <c r="Z232" s="17"/>
      <c r="AA232" s="17"/>
      <c r="AB232" s="17"/>
      <c r="AC232" s="17" t="e" cm="1">
        <f t="array" ref="AC232">_xlfn.XLOOKUP(1,MappingGuide[[#This Row],[API]:[API_3]],'[1]Squirrel SQL Export 1'!$K:$N,[1]!Table1[[#This Row],[Doppio Notes2]])</f>
        <v>#REF!</v>
      </c>
      <c r="AD232" s="17"/>
      <c r="AE232" s="17" t="e" cm="1">
        <f t="array" ref="AE232">_xlfn.XLOOKUP(1,MappingGuide[[#This Row],[API]:[API_3]],'[1]Squirrel SQL Export 1'!$K:$N,[1]!Table1[[#This Row],[DG_required]])</f>
        <v>#REF!</v>
      </c>
      <c r="AF232" s="21" t="s">
        <v>1309</v>
      </c>
      <c r="AG232" s="21"/>
      <c r="AH232" s="22" t="e" cm="1">
        <f t="array" ref="AH232">_xlfn.LET(_xlpm.r,_xlfn.XLOOKUP(1,MappingGuide[[#This Row],[API]:[API_3]],'[1]Squirrel SQL Export 1'!$K:$N,[1]!Table1[[#This Row],[Pending Items]]),IF(_xlpm.r=0,"",_xlpm.r))</f>
        <v>#REF!</v>
      </c>
      <c r="AI232" s="22" t="e" cm="1">
        <f t="array" ref="AI232">_xlfn.LET(_xlpm.r,_xlfn.XLOOKUP(1,MappingGuide[[#This Row],[API]:[API_3]],'[1]Squirrel SQL Export 1'!$K:$N,[1]!Table1[[#This Row],[Syndigo Name]]),IF(_xlpm.r=0,"",_xlpm.r))</f>
        <v>#REF!</v>
      </c>
      <c r="AJ232" s="17"/>
    </row>
    <row r="233" spans="1:36" ht="17" hidden="1">
      <c r="A233" s="17">
        <v>231</v>
      </c>
      <c r="B233" s="17" t="s">
        <v>40</v>
      </c>
      <c r="C233" s="17" t="s">
        <v>1010</v>
      </c>
      <c r="D233" s="17" t="s">
        <v>1011</v>
      </c>
      <c r="E233" s="17" t="s">
        <v>43</v>
      </c>
      <c r="F233" s="17" t="s">
        <v>80</v>
      </c>
      <c r="G233" s="17"/>
      <c r="H233" s="17"/>
      <c r="I233" s="17" t="s">
        <v>57</v>
      </c>
      <c r="J233" s="17" t="s">
        <v>119</v>
      </c>
      <c r="K233" s="17"/>
      <c r="L233" s="17" t="s">
        <v>35</v>
      </c>
      <c r="M233" s="17" t="s">
        <v>73</v>
      </c>
      <c r="N233" s="17" t="s">
        <v>1012</v>
      </c>
      <c r="O233" s="17"/>
      <c r="P233" s="17"/>
      <c r="Q233" s="17"/>
      <c r="R233" s="17"/>
      <c r="S233" s="17" t="e" cm="1">
        <f t="array" ref="S233">_xlfn.LET(_xlpm.r,_xlfn.XLOOKUP(1,MappingGuide[[#This Row],[API]:[API_3]],'[1]Squirrel SQL Export 1'!$K:$N,[1]!Table1[[#This Row],[Responsible from HJ]]),IF(_xlpm.r=0,"",_xlpm.r))</f>
        <v>#REF!</v>
      </c>
      <c r="T233" s="17"/>
      <c r="U233" s="17"/>
      <c r="V233" s="17" t="e" cm="1">
        <f t="array" ref="V233">_xlfn.LET(_xlpm.r,_xlfn.XLOOKUP(1,MappingGuide[[#This Row],[API]:[API_3]],'[1]Squirrel SQL Export 1'!$K:$N,[1]!Table1[[#This Row],[MDM Comments]]),IF(_xlpm.r=0,"",_xlpm.r))</f>
        <v>#REF!</v>
      </c>
      <c r="W233" s="17" t="e" cm="1">
        <f t="array" ref="W233">_xlfn.LET(_xlpm.r,_xlfn.XLOOKUP(1,MappingGuide[[#This Row],[API]:[API_3]],'[1]Squirrel SQL Export 1'!$K:$N,[1]!Table1[[#This Row],[Exists In Syndigo?]]),IF(_xlpm.r=0,"",_xlpm.r))</f>
        <v>#REF!</v>
      </c>
      <c r="X233" s="17" t="e" cm="1">
        <f t="array" ref="X233">_xlfn.LET(_xlpm.r,_xlfn.XLOOKUP(1,MappingGuide[[#This Row],[API]:[API_3]],'[1]Squirrel SQL Export 1'!$K:$N,[1]!Table1[[#This Row],[Syndigo Name]]),IF(_xlpm.r=0,"",_xlpm.r))</f>
        <v>#REF!</v>
      </c>
      <c r="Y233" s="17"/>
      <c r="Z233" s="17" t="s">
        <v>1013</v>
      </c>
      <c r="AA233" s="17"/>
      <c r="AB233" s="17"/>
      <c r="AC233" s="17" t="e" cm="1">
        <f t="array" ref="AC233">_xlfn.XLOOKUP(1,MappingGuide[[#This Row],[API]:[API_3]],'[1]Squirrel SQL Export 1'!$K:$N,[1]!Table1[[#This Row],[Doppio Notes2]])</f>
        <v>#REF!</v>
      </c>
      <c r="AD233" s="17"/>
      <c r="AE233" s="17" t="e" cm="1">
        <f t="array" ref="AE233">_xlfn.XLOOKUP(1,MappingGuide[[#This Row],[API]:[API_3]],'[1]Squirrel SQL Export 1'!$K:$N,[1]!Table1[[#This Row],[DG_required]])</f>
        <v>#REF!</v>
      </c>
      <c r="AF233" s="21" t="s">
        <v>1290</v>
      </c>
      <c r="AG233" s="21"/>
      <c r="AH233" s="22" t="e" cm="1">
        <f t="array" ref="AH233">_xlfn.LET(_xlpm.r,_xlfn.XLOOKUP(1,MappingGuide[[#This Row],[API]:[API_3]],'[1]Squirrel SQL Export 1'!$K:$N,[1]!Table1[[#This Row],[Pending Items]]),IF(_xlpm.r=0,"",_xlpm.r))</f>
        <v>#REF!</v>
      </c>
      <c r="AI233" s="22" t="e" cm="1">
        <f t="array" ref="AI233">_xlfn.LET(_xlpm.r,_xlfn.XLOOKUP(1,MappingGuide[[#This Row],[API]:[API_3]],'[1]Squirrel SQL Export 1'!$K:$N,[1]!Table1[[#This Row],[Syndigo Name]]),IF(_xlpm.r=0,"",_xlpm.r))</f>
        <v>#REF!</v>
      </c>
      <c r="AJ233" s="17"/>
    </row>
    <row r="234" spans="1:36" ht="17" hidden="1">
      <c r="A234" s="17">
        <v>232</v>
      </c>
      <c r="B234" s="17" t="s">
        <v>40</v>
      </c>
      <c r="C234" s="17" t="s">
        <v>1014</v>
      </c>
      <c r="D234" s="17" t="s">
        <v>1015</v>
      </c>
      <c r="E234" s="17" t="s">
        <v>43</v>
      </c>
      <c r="F234" s="17" t="s">
        <v>80</v>
      </c>
      <c r="G234" s="17"/>
      <c r="H234" s="17"/>
      <c r="I234" s="17"/>
      <c r="J234" s="17"/>
      <c r="K234" s="17"/>
      <c r="L234" s="17" t="s">
        <v>35</v>
      </c>
      <c r="M234" s="17" t="s">
        <v>73</v>
      </c>
      <c r="N234" s="17" t="s">
        <v>1016</v>
      </c>
      <c r="O234" s="17"/>
      <c r="P234" s="17"/>
      <c r="Q234" s="17"/>
      <c r="R234" s="17"/>
      <c r="S234" s="17" t="e" cm="1">
        <f t="array" ref="S234">_xlfn.LET(_xlpm.r,_xlfn.XLOOKUP(1,MappingGuide[[#This Row],[API]:[API_3]],'[1]Squirrel SQL Export 1'!$K:$N,[1]!Table1[[#This Row],[Responsible from HJ]]),IF(_xlpm.r=0,"",_xlpm.r))</f>
        <v>#REF!</v>
      </c>
      <c r="T234" s="17"/>
      <c r="U234" s="17"/>
      <c r="V234" s="17" t="e" cm="1">
        <f t="array" ref="V234">_xlfn.LET(_xlpm.r,_xlfn.XLOOKUP(1,MappingGuide[[#This Row],[API]:[API_3]],'[1]Squirrel SQL Export 1'!$K:$N,[1]!Table1[[#This Row],[MDM Comments]]),IF(_xlpm.r=0,"",_xlpm.r))</f>
        <v>#REF!</v>
      </c>
      <c r="W234" s="17" t="e" cm="1">
        <f t="array" ref="W234">_xlfn.LET(_xlpm.r,_xlfn.XLOOKUP(1,MappingGuide[[#This Row],[API]:[API_3]],'[1]Squirrel SQL Export 1'!$K:$N,[1]!Table1[[#This Row],[Exists In Syndigo?]]),IF(_xlpm.r=0,"",_xlpm.r))</f>
        <v>#REF!</v>
      </c>
      <c r="X234" s="17" t="e" cm="1">
        <f t="array" ref="X234">_xlfn.LET(_xlpm.r,_xlfn.XLOOKUP(1,MappingGuide[[#This Row],[API]:[API_3]],'[1]Squirrel SQL Export 1'!$K:$N,[1]!Table1[[#This Row],[Syndigo Name]]),IF(_xlpm.r=0,"",_xlpm.r))</f>
        <v>#REF!</v>
      </c>
      <c r="Y234" s="17"/>
      <c r="Z234" s="17" t="s">
        <v>1017</v>
      </c>
      <c r="AA234" s="17" t="s">
        <v>1018</v>
      </c>
      <c r="AB234" s="17"/>
      <c r="AC234" s="17" t="e" cm="1">
        <f t="array" ref="AC234">_xlfn.XLOOKUP(1,MappingGuide[[#This Row],[API]:[API_3]],'[1]Squirrel SQL Export 1'!$K:$N,[1]!Table1[[#This Row],[Doppio Notes2]])</f>
        <v>#REF!</v>
      </c>
      <c r="AD234" s="17"/>
      <c r="AE234" s="17" t="e" cm="1">
        <f t="array" ref="AE234">_xlfn.XLOOKUP(1,MappingGuide[[#This Row],[API]:[API_3]],'[1]Squirrel SQL Export 1'!$K:$N,[1]!Table1[[#This Row],[DG_required]])</f>
        <v>#REF!</v>
      </c>
      <c r="AF234" s="21" t="s">
        <v>1290</v>
      </c>
      <c r="AG234" s="21"/>
      <c r="AH234" s="22" t="e" cm="1">
        <f t="array" ref="AH234">_xlfn.LET(_xlpm.r,_xlfn.XLOOKUP(1,MappingGuide[[#This Row],[API]:[API_3]],'[1]Squirrel SQL Export 1'!$K:$N,[1]!Table1[[#This Row],[Pending Items]]),IF(_xlpm.r=0,"",_xlpm.r))</f>
        <v>#REF!</v>
      </c>
      <c r="AI234" s="22" t="e" cm="1">
        <f t="array" ref="AI234">_xlfn.LET(_xlpm.r,_xlfn.XLOOKUP(1,MappingGuide[[#This Row],[API]:[API_3]],'[1]Squirrel SQL Export 1'!$K:$N,[1]!Table1[[#This Row],[Syndigo Name]]),IF(_xlpm.r=0,"",_xlpm.r))</f>
        <v>#REF!</v>
      </c>
      <c r="AJ234" s="17"/>
    </row>
    <row r="235" spans="1:36" ht="18" hidden="1">
      <c r="A235" s="17">
        <v>233</v>
      </c>
      <c r="B235" s="17" t="s">
        <v>40</v>
      </c>
      <c r="C235" s="17" t="s">
        <v>1019</v>
      </c>
      <c r="D235" s="17" t="s">
        <v>1020</v>
      </c>
      <c r="E235" s="17" t="s">
        <v>43</v>
      </c>
      <c r="F235" s="17" t="s">
        <v>80</v>
      </c>
      <c r="G235" s="17"/>
      <c r="H235" s="17"/>
      <c r="I235" s="17"/>
      <c r="J235" s="17"/>
      <c r="K235" s="17"/>
      <c r="L235" s="17" t="s">
        <v>35</v>
      </c>
      <c r="M235" s="17" t="s">
        <v>73</v>
      </c>
      <c r="N235" s="17" t="s">
        <v>1021</v>
      </c>
      <c r="O235" s="17"/>
      <c r="P235" s="17"/>
      <c r="Q235" s="17"/>
      <c r="R235" s="17"/>
      <c r="S235" s="17" t="e" cm="1">
        <f t="array" ref="S235">_xlfn.LET(_xlpm.r,_xlfn.XLOOKUP(1,MappingGuide[[#This Row],[API]:[API_3]],'[1]Squirrel SQL Export 1'!$K:$N,[1]!Table1[[#This Row],[Responsible from HJ]]),IF(_xlpm.r=0,"",_xlpm.r))</f>
        <v>#REF!</v>
      </c>
      <c r="T235" s="17"/>
      <c r="U235" s="17"/>
      <c r="V235" s="17" t="e" cm="1">
        <f t="array" ref="V235">_xlfn.LET(_xlpm.r,_xlfn.XLOOKUP(1,MappingGuide[[#This Row],[API]:[API_3]],'[1]Squirrel SQL Export 1'!$K:$N,[1]!Table1[[#This Row],[MDM Comments]]),IF(_xlpm.r=0,"",_xlpm.r))</f>
        <v>#REF!</v>
      </c>
      <c r="W235" s="17" t="e" cm="1">
        <f t="array" ref="W235">_xlfn.LET(_xlpm.r,_xlfn.XLOOKUP(1,MappingGuide[[#This Row],[API]:[API_3]],'[1]Squirrel SQL Export 1'!$K:$N,[1]!Table1[[#This Row],[Exists In Syndigo?]]),IF(_xlpm.r=0,"",_xlpm.r))</f>
        <v>#REF!</v>
      </c>
      <c r="X235" s="17" t="e" cm="1">
        <f t="array" ref="X235">_xlfn.LET(_xlpm.r,_xlfn.XLOOKUP(1,MappingGuide[[#This Row],[API]:[API_3]],'[1]Squirrel SQL Export 1'!$K:$N,[1]!Table1[[#This Row],[Syndigo Name]]),IF(_xlpm.r=0,"",_xlpm.r))</f>
        <v>#REF!</v>
      </c>
      <c r="Y235" s="17"/>
      <c r="Z235" s="17" t="s">
        <v>1022</v>
      </c>
      <c r="AA235" s="17" t="s">
        <v>1023</v>
      </c>
      <c r="AB235" s="17"/>
      <c r="AC235" s="17" t="e" cm="1">
        <f t="array" ref="AC235">_xlfn.XLOOKUP(1,MappingGuide[[#This Row],[API]:[API_3]],'[1]Squirrel SQL Export 1'!$K:$N,[1]!Table1[[#This Row],[Doppio Notes2]])</f>
        <v>#REF!</v>
      </c>
      <c r="AD235" s="17" t="s">
        <v>1279</v>
      </c>
      <c r="AE235" s="17" t="e" cm="1">
        <f t="array" ref="AE235">_xlfn.XLOOKUP(1,MappingGuide[[#This Row],[API]:[API_3]],'[1]Squirrel SQL Export 1'!$K:$N,[1]!Table1[[#This Row],[DG_required]])</f>
        <v>#REF!</v>
      </c>
      <c r="AF235" s="21" t="s">
        <v>80</v>
      </c>
      <c r="AG235" s="21"/>
      <c r="AH235" s="24" t="e" cm="1">
        <f t="array" ref="AH235">_xlfn.LET(_xlpm.r,_xlfn.XLOOKUP(1,MappingGuide[[#This Row],[API]:[API_3]],'[1]Squirrel SQL Export 1'!$K:$N,[1]!Table1[[#This Row],[Pending Items]]),IF(_xlpm.r=0,"",_xlpm.r))</f>
        <v>#REF!</v>
      </c>
      <c r="AI235" s="22" t="e" cm="1">
        <f t="array" ref="AI235">_xlfn.LET(_xlpm.r,_xlfn.XLOOKUP(1,MappingGuide[[#This Row],[API]:[API_3]],'[1]Squirrel SQL Export 1'!$K:$N,[1]!Table1[[#This Row],[Syndigo Name]]),IF(_xlpm.r=0,"",_xlpm.r))</f>
        <v>#REF!</v>
      </c>
      <c r="AJ235" s="17"/>
    </row>
    <row r="236" spans="1:36" ht="17" hidden="1">
      <c r="A236" s="17">
        <v>234</v>
      </c>
      <c r="B236" s="17" t="s">
        <v>40</v>
      </c>
      <c r="C236" s="17" t="s">
        <v>1024</v>
      </c>
      <c r="D236" s="17" t="s">
        <v>1025</v>
      </c>
      <c r="E236" s="17" t="s">
        <v>33</v>
      </c>
      <c r="F236" s="17" t="s">
        <v>34</v>
      </c>
      <c r="G236" s="17"/>
      <c r="H236" s="17"/>
      <c r="I236" s="17"/>
      <c r="J236" s="17"/>
      <c r="K236" s="17"/>
      <c r="L236" s="17" t="s">
        <v>35</v>
      </c>
      <c r="M236" s="17" t="s">
        <v>1026</v>
      </c>
      <c r="N236" s="17" t="s">
        <v>1027</v>
      </c>
      <c r="O236" s="17"/>
      <c r="P236" s="17"/>
      <c r="Q236" s="17"/>
      <c r="R236" s="17"/>
      <c r="S236" s="17" t="e" cm="1">
        <f t="array" ref="S236">_xlfn.LET(_xlpm.r,_xlfn.XLOOKUP(1,MappingGuide[[#This Row],[API]:[API_3]],'[1]Squirrel SQL Export 1'!$K:$N,[1]!Table1[[#This Row],[Responsible from HJ]]),IF(_xlpm.r=0,"",_xlpm.r))</f>
        <v>#REF!</v>
      </c>
      <c r="T236" s="17"/>
      <c r="U236" s="17"/>
      <c r="V236" s="17" t="e" cm="1">
        <f t="array" ref="V236">_xlfn.LET(_xlpm.r,_xlfn.XLOOKUP(1,MappingGuide[[#This Row],[API]:[API_3]],'[1]Squirrel SQL Export 1'!$K:$N,[1]!Table1[[#This Row],[MDM Comments]]),IF(_xlpm.r=0,"",_xlpm.r))</f>
        <v>#REF!</v>
      </c>
      <c r="W236" s="17" t="e" cm="1">
        <f t="array" ref="W236">_xlfn.LET(_xlpm.r,_xlfn.XLOOKUP(1,MappingGuide[[#This Row],[API]:[API_3]],'[1]Squirrel SQL Export 1'!$K:$N,[1]!Table1[[#This Row],[Exists In Syndigo?]]),IF(_xlpm.r=0,"",_xlpm.r))</f>
        <v>#REF!</v>
      </c>
      <c r="X236" s="17" t="e" cm="1">
        <f t="array" ref="X236">_xlfn.LET(_xlpm.r,_xlfn.XLOOKUP(1,MappingGuide[[#This Row],[API]:[API_3]],'[1]Squirrel SQL Export 1'!$K:$N,[1]!Table1[[#This Row],[Syndigo Name]]),IF(_xlpm.r=0,"",_xlpm.r))</f>
        <v>#REF!</v>
      </c>
      <c r="Y236" s="17"/>
      <c r="Z236" s="17" t="s">
        <v>1028</v>
      </c>
      <c r="AA236" s="17"/>
      <c r="AB236" s="17"/>
      <c r="AC236" s="17" t="e" cm="1">
        <f t="array" ref="AC236">_xlfn.XLOOKUP(1,MappingGuide[[#This Row],[API]:[API_3]],'[1]Squirrel SQL Export 1'!$K:$N,[1]!Table1[[#This Row],[Doppio Notes2]])</f>
        <v>#REF!</v>
      </c>
      <c r="AD236" s="17"/>
      <c r="AE236" s="17" t="e" cm="1">
        <f t="array" ref="AE236">_xlfn.XLOOKUP(1,MappingGuide[[#This Row],[API]:[API_3]],'[1]Squirrel SQL Export 1'!$K:$N,[1]!Table1[[#This Row],[DG_required]])</f>
        <v>#REF!</v>
      </c>
      <c r="AF236" s="21" t="s">
        <v>1306</v>
      </c>
      <c r="AG236" s="21"/>
      <c r="AH236" s="22" t="e" cm="1">
        <f t="array" ref="AH236">_xlfn.LET(_xlpm.r,_xlfn.XLOOKUP(1,MappingGuide[[#This Row],[API]:[API_3]],'[1]Squirrel SQL Export 1'!$K:$N,[1]!Table1[[#This Row],[Pending Items]]),IF(_xlpm.r=0,"",_xlpm.r))</f>
        <v>#REF!</v>
      </c>
      <c r="AI236" s="22" t="e" cm="1">
        <f t="array" ref="AI236">_xlfn.LET(_xlpm.r,_xlfn.XLOOKUP(1,MappingGuide[[#This Row],[API]:[API_3]],'[1]Squirrel SQL Export 1'!$K:$N,[1]!Table1[[#This Row],[Syndigo Name]]),IF(_xlpm.r=0,"",_xlpm.r))</f>
        <v>#REF!</v>
      </c>
      <c r="AJ236" s="17"/>
    </row>
    <row r="237" spans="1:36" ht="17" hidden="1">
      <c r="A237" s="17">
        <v>235</v>
      </c>
      <c r="B237" s="17" t="s">
        <v>40</v>
      </c>
      <c r="C237" s="17" t="s">
        <v>1029</v>
      </c>
      <c r="D237" s="17" t="s">
        <v>1030</v>
      </c>
      <c r="E237" s="17" t="s">
        <v>33</v>
      </c>
      <c r="F237" s="17" t="s">
        <v>34</v>
      </c>
      <c r="G237" s="17"/>
      <c r="H237" s="17"/>
      <c r="I237" s="17"/>
      <c r="J237" s="17"/>
      <c r="K237" s="17"/>
      <c r="L237" s="17" t="s">
        <v>35</v>
      </c>
      <c r="M237" s="17" t="s">
        <v>1026</v>
      </c>
      <c r="N237" s="17" t="s">
        <v>1031</v>
      </c>
      <c r="O237" s="17"/>
      <c r="P237" s="17"/>
      <c r="Q237" s="17"/>
      <c r="R237" s="17"/>
      <c r="S237" s="17" t="e" cm="1">
        <f t="array" ref="S237">_xlfn.LET(_xlpm.r,_xlfn.XLOOKUP(1,MappingGuide[[#This Row],[API]:[API_3]],'[1]Squirrel SQL Export 1'!$K:$N,[1]!Table1[[#This Row],[Responsible from HJ]]),IF(_xlpm.r=0,"",_xlpm.r))</f>
        <v>#REF!</v>
      </c>
      <c r="T237" s="17"/>
      <c r="U237" s="17"/>
      <c r="V237" s="17" t="e" cm="1">
        <f t="array" ref="V237">_xlfn.LET(_xlpm.r,_xlfn.XLOOKUP(1,MappingGuide[[#This Row],[API]:[API_3]],'[1]Squirrel SQL Export 1'!$K:$N,[1]!Table1[[#This Row],[MDM Comments]]),IF(_xlpm.r=0,"",_xlpm.r))</f>
        <v>#REF!</v>
      </c>
      <c r="W237" s="17" t="e" cm="1">
        <f t="array" ref="W237">_xlfn.LET(_xlpm.r,_xlfn.XLOOKUP(1,MappingGuide[[#This Row],[API]:[API_3]],'[1]Squirrel SQL Export 1'!$K:$N,[1]!Table1[[#This Row],[Exists In Syndigo?]]),IF(_xlpm.r=0,"",_xlpm.r))</f>
        <v>#REF!</v>
      </c>
      <c r="X237" s="17" t="e" cm="1">
        <f t="array" ref="X237">_xlfn.LET(_xlpm.r,_xlfn.XLOOKUP(1,MappingGuide[[#This Row],[API]:[API_3]],'[1]Squirrel SQL Export 1'!$K:$N,[1]!Table1[[#This Row],[Syndigo Name]]),IF(_xlpm.r=0,"",_xlpm.r))</f>
        <v>#REF!</v>
      </c>
      <c r="Y237" s="17"/>
      <c r="Z237" s="17" t="s">
        <v>1032</v>
      </c>
      <c r="AA237" s="17"/>
      <c r="AB237" s="17"/>
      <c r="AC237" s="17" t="e" cm="1">
        <f t="array" ref="AC237">_xlfn.XLOOKUP(1,MappingGuide[[#This Row],[API]:[API_3]],'[1]Squirrel SQL Export 1'!$K:$N,[1]!Table1[[#This Row],[Doppio Notes2]])</f>
        <v>#REF!</v>
      </c>
      <c r="AD237" s="17"/>
      <c r="AE237" s="17" t="e" cm="1">
        <f t="array" ref="AE237">_xlfn.XLOOKUP(1,MappingGuide[[#This Row],[API]:[API_3]],'[1]Squirrel SQL Export 1'!$K:$N,[1]!Table1[[#This Row],[DG_required]])</f>
        <v>#REF!</v>
      </c>
      <c r="AF237" s="21" t="s">
        <v>1306</v>
      </c>
      <c r="AG237" s="21"/>
      <c r="AH237" s="22" t="e" cm="1">
        <f t="array" ref="AH237">_xlfn.LET(_xlpm.r,_xlfn.XLOOKUP(1,MappingGuide[[#This Row],[API]:[API_3]],'[1]Squirrel SQL Export 1'!$K:$N,[1]!Table1[[#This Row],[Pending Items]]),IF(_xlpm.r=0,"",_xlpm.r))</f>
        <v>#REF!</v>
      </c>
      <c r="AI237" s="22" t="e" cm="1">
        <f t="array" ref="AI237">_xlfn.LET(_xlpm.r,_xlfn.XLOOKUP(1,MappingGuide[[#This Row],[API]:[API_3]],'[1]Squirrel SQL Export 1'!$K:$N,[1]!Table1[[#This Row],[Syndigo Name]]),IF(_xlpm.r=0,"",_xlpm.r))</f>
        <v>#REF!</v>
      </c>
      <c r="AJ237" s="17"/>
    </row>
    <row r="238" spans="1:36" ht="17" hidden="1">
      <c r="A238" s="17">
        <v>236</v>
      </c>
      <c r="B238" s="17" t="s">
        <v>40</v>
      </c>
      <c r="C238" s="17" t="s">
        <v>1033</v>
      </c>
      <c r="D238" s="17" t="s">
        <v>1034</v>
      </c>
      <c r="E238" s="17" t="s">
        <v>33</v>
      </c>
      <c r="F238" s="17" t="s">
        <v>34</v>
      </c>
      <c r="G238" s="17"/>
      <c r="H238" s="17"/>
      <c r="I238" s="17"/>
      <c r="J238" s="17"/>
      <c r="K238" s="17"/>
      <c r="L238" s="17"/>
      <c r="M238" s="17"/>
      <c r="N238" s="17" t="s">
        <v>1035</v>
      </c>
      <c r="O238" s="17"/>
      <c r="P238" s="17"/>
      <c r="Q238" s="17"/>
      <c r="R238" s="17"/>
      <c r="S238" s="17" t="e" cm="1">
        <f t="array" ref="S238">_xlfn.LET(_xlpm.r,_xlfn.XLOOKUP(1,MappingGuide[[#This Row],[API]:[API_3]],'[1]Squirrel SQL Export 1'!$K:$N,[1]!Table1[[#This Row],[Responsible from HJ]]),IF(_xlpm.r=0,"",_xlpm.r))</f>
        <v>#REF!</v>
      </c>
      <c r="T238" s="17"/>
      <c r="U238" s="17"/>
      <c r="V238" s="17" t="e" cm="1">
        <f t="array" ref="V238">_xlfn.LET(_xlpm.r,_xlfn.XLOOKUP(1,MappingGuide[[#This Row],[API]:[API_3]],'[1]Squirrel SQL Export 1'!$K:$N,[1]!Table1[[#This Row],[MDM Comments]]),IF(_xlpm.r=0,"",_xlpm.r))</f>
        <v>#REF!</v>
      </c>
      <c r="W238" s="17" t="e" cm="1">
        <f t="array" ref="W238">_xlfn.LET(_xlpm.r,_xlfn.XLOOKUP(1,MappingGuide[[#This Row],[API]:[API_3]],'[1]Squirrel SQL Export 1'!$K:$N,[1]!Table1[[#This Row],[Exists In Syndigo?]]),IF(_xlpm.r=0,"",_xlpm.r))</f>
        <v>#REF!</v>
      </c>
      <c r="X238" s="17" t="e" cm="1">
        <f t="array" ref="X238">_xlfn.LET(_xlpm.r,_xlfn.XLOOKUP(1,MappingGuide[[#This Row],[API]:[API_3]],'[1]Squirrel SQL Export 1'!$K:$N,[1]!Table1[[#This Row],[Syndigo Name]]),IF(_xlpm.r=0,"",_xlpm.r))</f>
        <v>#REF!</v>
      </c>
      <c r="Y238" s="17"/>
      <c r="Z238" s="17" t="s">
        <v>1036</v>
      </c>
      <c r="AA238" s="17"/>
      <c r="AB238" s="17"/>
      <c r="AC238" s="17" t="e" cm="1">
        <f t="array" ref="AC238">_xlfn.XLOOKUP(1,MappingGuide[[#This Row],[API]:[API_3]],'[1]Squirrel SQL Export 1'!$K:$N,[1]!Table1[[#This Row],[Doppio Notes2]])</f>
        <v>#REF!</v>
      </c>
      <c r="AD238" s="17"/>
      <c r="AE238" s="17" t="e" cm="1">
        <f t="array" ref="AE238">_xlfn.XLOOKUP(1,MappingGuide[[#This Row],[API]:[API_3]],'[1]Squirrel SQL Export 1'!$K:$N,[1]!Table1[[#This Row],[DG_required]])</f>
        <v>#REF!</v>
      </c>
      <c r="AF238" s="21" t="s">
        <v>1306</v>
      </c>
      <c r="AG238" s="21"/>
      <c r="AH238" s="22" t="e" cm="1">
        <f t="array" ref="AH238">_xlfn.LET(_xlpm.r,_xlfn.XLOOKUP(1,MappingGuide[[#This Row],[API]:[API_3]],'[1]Squirrel SQL Export 1'!$K:$N,[1]!Table1[[#This Row],[Pending Items]]),IF(_xlpm.r=0,"",_xlpm.r))</f>
        <v>#REF!</v>
      </c>
      <c r="AI238" s="22" t="e" cm="1">
        <f t="array" ref="AI238">_xlfn.LET(_xlpm.r,_xlfn.XLOOKUP(1,MappingGuide[[#This Row],[API]:[API_3]],'[1]Squirrel SQL Export 1'!$K:$N,[1]!Table1[[#This Row],[Syndigo Name]]),IF(_xlpm.r=0,"",_xlpm.r))</f>
        <v>#REF!</v>
      </c>
      <c r="AJ238" s="17"/>
    </row>
    <row r="239" spans="1:36" ht="17" hidden="1">
      <c r="A239" s="17">
        <v>237</v>
      </c>
      <c r="B239" s="17" t="s">
        <v>40</v>
      </c>
      <c r="C239" s="17" t="s">
        <v>1037</v>
      </c>
      <c r="D239" s="17" t="s">
        <v>1038</v>
      </c>
      <c r="E239" s="17" t="s">
        <v>33</v>
      </c>
      <c r="F239" s="17" t="s">
        <v>44</v>
      </c>
      <c r="G239" s="17"/>
      <c r="H239" s="17"/>
      <c r="I239" s="17"/>
      <c r="J239" s="17"/>
      <c r="K239" s="17"/>
      <c r="L239" s="17" t="s">
        <v>35</v>
      </c>
      <c r="M239" s="17" t="s">
        <v>1026</v>
      </c>
      <c r="N239" s="17" t="s">
        <v>1039</v>
      </c>
      <c r="O239" s="17"/>
      <c r="P239" s="17"/>
      <c r="Q239" s="17"/>
      <c r="R239" s="17"/>
      <c r="S239" s="17" t="e" cm="1">
        <f t="array" ref="S239">_xlfn.LET(_xlpm.r,_xlfn.XLOOKUP(1,MappingGuide[[#This Row],[API]:[API_3]],'[1]Squirrel SQL Export 1'!$K:$N,[1]!Table1[[#This Row],[Responsible from HJ]]),IF(_xlpm.r=0,"",_xlpm.r))</f>
        <v>#REF!</v>
      </c>
      <c r="T239" s="17"/>
      <c r="U239" s="17"/>
      <c r="V239" s="17" t="e" cm="1">
        <f t="array" ref="V239">_xlfn.LET(_xlpm.r,_xlfn.XLOOKUP(1,MappingGuide[[#This Row],[API]:[API_3]],'[1]Squirrel SQL Export 1'!$K:$N,[1]!Table1[[#This Row],[MDM Comments]]),IF(_xlpm.r=0,"",_xlpm.r))</f>
        <v>#REF!</v>
      </c>
      <c r="W239" s="17" t="e" cm="1">
        <f t="array" ref="W239">_xlfn.LET(_xlpm.r,_xlfn.XLOOKUP(1,MappingGuide[[#This Row],[API]:[API_3]],'[1]Squirrel SQL Export 1'!$K:$N,[1]!Table1[[#This Row],[Exists In Syndigo?]]),IF(_xlpm.r=0,"",_xlpm.r))</f>
        <v>#REF!</v>
      </c>
      <c r="X239" s="17" t="e" cm="1">
        <f t="array" ref="X239">_xlfn.LET(_xlpm.r,_xlfn.XLOOKUP(1,MappingGuide[[#This Row],[API]:[API_3]],'[1]Squirrel SQL Export 1'!$K:$N,[1]!Table1[[#This Row],[Syndigo Name]]),IF(_xlpm.r=0,"",_xlpm.r))</f>
        <v>#REF!</v>
      </c>
      <c r="Y239" s="17"/>
      <c r="Z239" s="17" t="s">
        <v>1040</v>
      </c>
      <c r="AA239" s="17"/>
      <c r="AB239" s="17"/>
      <c r="AC239" s="17" t="e" cm="1">
        <f t="array" ref="AC239">_xlfn.XLOOKUP(1,MappingGuide[[#This Row],[API]:[API_3]],'[1]Squirrel SQL Export 1'!$K:$N,[1]!Table1[[#This Row],[Doppio Notes2]])</f>
        <v>#REF!</v>
      </c>
      <c r="AD239" s="17"/>
      <c r="AE239" s="17" t="e" cm="1">
        <f t="array" ref="AE239">_xlfn.XLOOKUP(1,MappingGuide[[#This Row],[API]:[API_3]],'[1]Squirrel SQL Export 1'!$K:$N,[1]!Table1[[#This Row],[DG_required]])</f>
        <v>#REF!</v>
      </c>
      <c r="AF239" s="21" t="s">
        <v>1306</v>
      </c>
      <c r="AG239" s="21"/>
      <c r="AH239" s="22" t="e" cm="1">
        <f t="array" ref="AH239">_xlfn.LET(_xlpm.r,_xlfn.XLOOKUP(1,MappingGuide[[#This Row],[API]:[API_3]],'[1]Squirrel SQL Export 1'!$K:$N,[1]!Table1[[#This Row],[Pending Items]]),IF(_xlpm.r=0,"",_xlpm.r))</f>
        <v>#REF!</v>
      </c>
      <c r="AI239" s="22" t="e" cm="1">
        <f t="array" ref="AI239">_xlfn.LET(_xlpm.r,_xlfn.XLOOKUP(1,MappingGuide[[#This Row],[API]:[API_3]],'[1]Squirrel SQL Export 1'!$K:$N,[1]!Table1[[#This Row],[Syndigo Name]]),IF(_xlpm.r=0,"",_xlpm.r))</f>
        <v>#REF!</v>
      </c>
      <c r="AJ239" s="17"/>
    </row>
    <row r="240" spans="1:36" ht="17" hidden="1">
      <c r="A240" s="17">
        <v>238</v>
      </c>
      <c r="B240" s="17" t="s">
        <v>40</v>
      </c>
      <c r="C240" s="17" t="s">
        <v>1041</v>
      </c>
      <c r="D240" s="17" t="s">
        <v>1042</v>
      </c>
      <c r="E240" s="17" t="s">
        <v>33</v>
      </c>
      <c r="F240" s="17" t="s">
        <v>34</v>
      </c>
      <c r="G240" s="17"/>
      <c r="H240" s="17"/>
      <c r="I240" s="17"/>
      <c r="J240" s="17"/>
      <c r="K240" s="17"/>
      <c r="L240" s="17" t="s">
        <v>35</v>
      </c>
      <c r="M240" s="17" t="s">
        <v>1026</v>
      </c>
      <c r="N240" s="17" t="s">
        <v>1043</v>
      </c>
      <c r="O240" s="17"/>
      <c r="P240" s="17"/>
      <c r="Q240" s="17"/>
      <c r="R240" s="17"/>
      <c r="S240" s="17" t="e" cm="1">
        <f t="array" ref="S240">_xlfn.LET(_xlpm.r,_xlfn.XLOOKUP(1,MappingGuide[[#This Row],[API]:[API_3]],'[1]Squirrel SQL Export 1'!$K:$N,[1]!Table1[[#This Row],[Responsible from HJ]]),IF(_xlpm.r=0,"",_xlpm.r))</f>
        <v>#REF!</v>
      </c>
      <c r="T240" s="17"/>
      <c r="U240" s="17"/>
      <c r="V240" s="17" t="e" cm="1">
        <f t="array" ref="V240">_xlfn.LET(_xlpm.r,_xlfn.XLOOKUP(1,MappingGuide[[#This Row],[API]:[API_3]],'[1]Squirrel SQL Export 1'!$K:$N,[1]!Table1[[#This Row],[MDM Comments]]),IF(_xlpm.r=0,"",_xlpm.r))</f>
        <v>#REF!</v>
      </c>
      <c r="W240" s="17" t="e" cm="1">
        <f t="array" ref="W240">_xlfn.LET(_xlpm.r,_xlfn.XLOOKUP(1,MappingGuide[[#This Row],[API]:[API_3]],'[1]Squirrel SQL Export 1'!$K:$N,[1]!Table1[[#This Row],[Exists In Syndigo?]]),IF(_xlpm.r=0,"",_xlpm.r))</f>
        <v>#REF!</v>
      </c>
      <c r="X240" s="17" t="e" cm="1">
        <f t="array" ref="X240">_xlfn.LET(_xlpm.r,_xlfn.XLOOKUP(1,MappingGuide[[#This Row],[API]:[API_3]],'[1]Squirrel SQL Export 1'!$K:$N,[1]!Table1[[#This Row],[Syndigo Name]]),IF(_xlpm.r=0,"",_xlpm.r))</f>
        <v>#REF!</v>
      </c>
      <c r="Y240" s="17"/>
      <c r="Z240" s="17" t="s">
        <v>1044</v>
      </c>
      <c r="AA240" s="17"/>
      <c r="AB240" s="17"/>
      <c r="AC240" s="17" t="e" cm="1">
        <f t="array" ref="AC240">_xlfn.XLOOKUP(1,MappingGuide[[#This Row],[API]:[API_3]],'[1]Squirrel SQL Export 1'!$K:$N,[1]!Table1[[#This Row],[Doppio Notes2]])</f>
        <v>#REF!</v>
      </c>
      <c r="AD240" s="17"/>
      <c r="AE240" s="17" t="e" cm="1">
        <f t="array" ref="AE240">_xlfn.XLOOKUP(1,MappingGuide[[#This Row],[API]:[API_3]],'[1]Squirrel SQL Export 1'!$K:$N,[1]!Table1[[#This Row],[DG_required]])</f>
        <v>#REF!</v>
      </c>
      <c r="AF240" s="21" t="s">
        <v>1306</v>
      </c>
      <c r="AG240" s="21"/>
      <c r="AH240" s="22" t="e" cm="1">
        <f t="array" ref="AH240">_xlfn.LET(_xlpm.r,_xlfn.XLOOKUP(1,MappingGuide[[#This Row],[API]:[API_3]],'[1]Squirrel SQL Export 1'!$K:$N,[1]!Table1[[#This Row],[Pending Items]]),IF(_xlpm.r=0,"",_xlpm.r))</f>
        <v>#REF!</v>
      </c>
      <c r="AI240" s="22" t="e" cm="1">
        <f t="array" ref="AI240">_xlfn.LET(_xlpm.r,_xlfn.XLOOKUP(1,MappingGuide[[#This Row],[API]:[API_3]],'[1]Squirrel SQL Export 1'!$K:$N,[1]!Table1[[#This Row],[Syndigo Name]]),IF(_xlpm.r=0,"",_xlpm.r))</f>
        <v>#REF!</v>
      </c>
      <c r="AJ240" s="17"/>
    </row>
    <row r="241" spans="1:36" ht="17" hidden="1">
      <c r="A241" s="17">
        <v>239</v>
      </c>
      <c r="B241" s="17" t="s">
        <v>40</v>
      </c>
      <c r="C241" s="17" t="s">
        <v>1045</v>
      </c>
      <c r="D241" s="17" t="s">
        <v>1046</v>
      </c>
      <c r="E241" s="17" t="s">
        <v>33</v>
      </c>
      <c r="F241" s="17" t="s">
        <v>34</v>
      </c>
      <c r="G241" s="17"/>
      <c r="H241" s="17"/>
      <c r="I241" s="17"/>
      <c r="J241" s="17"/>
      <c r="K241" s="17"/>
      <c r="L241" s="17" t="s">
        <v>35</v>
      </c>
      <c r="M241" s="17" t="s">
        <v>73</v>
      </c>
      <c r="N241" s="17" t="s">
        <v>1047</v>
      </c>
      <c r="O241" s="17"/>
      <c r="P241" s="17"/>
      <c r="Q241" s="17"/>
      <c r="R241" s="17"/>
      <c r="S241" s="17" t="e" cm="1">
        <f t="array" ref="S241">_xlfn.LET(_xlpm.r,_xlfn.XLOOKUP(1,MappingGuide[[#This Row],[API]:[API_3]],'[1]Squirrel SQL Export 1'!$K:$N,[1]!Table1[[#This Row],[Responsible from HJ]]),IF(_xlpm.r=0,"",_xlpm.r))</f>
        <v>#REF!</v>
      </c>
      <c r="T241" s="17"/>
      <c r="U241" s="17"/>
      <c r="V241" s="17" t="e" cm="1">
        <f t="array" ref="V241">_xlfn.LET(_xlpm.r,_xlfn.XLOOKUP(1,MappingGuide[[#This Row],[API]:[API_3]],'[1]Squirrel SQL Export 1'!$K:$N,[1]!Table1[[#This Row],[MDM Comments]]),IF(_xlpm.r=0,"",_xlpm.r))</f>
        <v>#REF!</v>
      </c>
      <c r="W241" s="17" t="e" cm="1">
        <f t="array" ref="W241">_xlfn.LET(_xlpm.r,_xlfn.XLOOKUP(1,MappingGuide[[#This Row],[API]:[API_3]],'[1]Squirrel SQL Export 1'!$K:$N,[1]!Table1[[#This Row],[Exists In Syndigo?]]),IF(_xlpm.r=0,"",_xlpm.r))</f>
        <v>#REF!</v>
      </c>
      <c r="X241" s="17" t="e" cm="1">
        <f t="array" ref="X241">_xlfn.LET(_xlpm.r,_xlfn.XLOOKUP(1,MappingGuide[[#This Row],[API]:[API_3]],'[1]Squirrel SQL Export 1'!$K:$N,[1]!Table1[[#This Row],[Syndigo Name]]),IF(_xlpm.r=0,"",_xlpm.r))</f>
        <v>#REF!</v>
      </c>
      <c r="Y241" s="17"/>
      <c r="Z241" s="17" t="s">
        <v>1048</v>
      </c>
      <c r="AA241" s="17"/>
      <c r="AB241" s="17"/>
      <c r="AC241" s="17" t="e" cm="1">
        <f t="array" ref="AC241">_xlfn.XLOOKUP(1,MappingGuide[[#This Row],[API]:[API_3]],'[1]Squirrel SQL Export 1'!$K:$N,[1]!Table1[[#This Row],[Doppio Notes2]])</f>
        <v>#REF!</v>
      </c>
      <c r="AD241" s="17"/>
      <c r="AE241" s="17" t="e" cm="1">
        <f t="array" ref="AE241">_xlfn.XLOOKUP(1,MappingGuide[[#This Row],[API]:[API_3]],'[1]Squirrel SQL Export 1'!$K:$N,[1]!Table1[[#This Row],[DG_required]])</f>
        <v>#REF!</v>
      </c>
      <c r="AF241" s="21" t="s">
        <v>1306</v>
      </c>
      <c r="AG241" s="21"/>
      <c r="AH241" s="22" t="e" cm="1">
        <f t="array" ref="AH241">_xlfn.LET(_xlpm.r,_xlfn.XLOOKUP(1,MappingGuide[[#This Row],[API]:[API_3]],'[1]Squirrel SQL Export 1'!$K:$N,[1]!Table1[[#This Row],[Pending Items]]),IF(_xlpm.r=0,"",_xlpm.r))</f>
        <v>#REF!</v>
      </c>
      <c r="AI241" s="22" t="e" cm="1">
        <f t="array" ref="AI241">_xlfn.LET(_xlpm.r,_xlfn.XLOOKUP(1,MappingGuide[[#This Row],[API]:[API_3]],'[1]Squirrel SQL Export 1'!$K:$N,[1]!Table1[[#This Row],[Syndigo Name]]),IF(_xlpm.r=0,"",_xlpm.r))</f>
        <v>#REF!</v>
      </c>
      <c r="AJ241" s="17"/>
    </row>
    <row r="242" spans="1:36" ht="17" hidden="1">
      <c r="A242" s="17">
        <v>240</v>
      </c>
      <c r="B242" s="17" t="s">
        <v>40</v>
      </c>
      <c r="C242" s="17" t="s">
        <v>1049</v>
      </c>
      <c r="D242" s="17" t="s">
        <v>1050</v>
      </c>
      <c r="E242" s="17" t="s">
        <v>33</v>
      </c>
      <c r="F242" s="17" t="s">
        <v>44</v>
      </c>
      <c r="G242" s="17"/>
      <c r="H242" s="17"/>
      <c r="I242" s="17"/>
      <c r="J242" s="17"/>
      <c r="K242" s="17"/>
      <c r="L242" s="17" t="s">
        <v>35</v>
      </c>
      <c r="M242" s="17" t="s">
        <v>1026</v>
      </c>
      <c r="N242" s="17" t="s">
        <v>1051</v>
      </c>
      <c r="O242" s="17"/>
      <c r="P242" s="17"/>
      <c r="Q242" s="17"/>
      <c r="R242" s="17"/>
      <c r="S242" s="17" t="e" cm="1">
        <f t="array" ref="S242">_xlfn.LET(_xlpm.r,_xlfn.XLOOKUP(1,MappingGuide[[#This Row],[API]:[API_3]],'[1]Squirrel SQL Export 1'!$K:$N,[1]!Table1[[#This Row],[Responsible from HJ]]),IF(_xlpm.r=0,"",_xlpm.r))</f>
        <v>#REF!</v>
      </c>
      <c r="T242" s="17"/>
      <c r="U242" s="17"/>
      <c r="V242" s="17" t="e" cm="1">
        <f t="array" ref="V242">_xlfn.LET(_xlpm.r,_xlfn.XLOOKUP(1,MappingGuide[[#This Row],[API]:[API_3]],'[1]Squirrel SQL Export 1'!$K:$N,[1]!Table1[[#This Row],[MDM Comments]]),IF(_xlpm.r=0,"",_xlpm.r))</f>
        <v>#REF!</v>
      </c>
      <c r="W242" s="17" t="e" cm="1">
        <f t="array" ref="W242">_xlfn.LET(_xlpm.r,_xlfn.XLOOKUP(1,MappingGuide[[#This Row],[API]:[API_3]],'[1]Squirrel SQL Export 1'!$K:$N,[1]!Table1[[#This Row],[Exists In Syndigo?]]),IF(_xlpm.r=0,"",_xlpm.r))</f>
        <v>#REF!</v>
      </c>
      <c r="X242" s="17" t="e" cm="1">
        <f t="array" ref="X242">_xlfn.LET(_xlpm.r,_xlfn.XLOOKUP(1,MappingGuide[[#This Row],[API]:[API_3]],'[1]Squirrel SQL Export 1'!$K:$N,[1]!Table1[[#This Row],[Syndigo Name]]),IF(_xlpm.r=0,"",_xlpm.r))</f>
        <v>#REF!</v>
      </c>
      <c r="Y242" s="17"/>
      <c r="Z242" s="17" t="s">
        <v>1052</v>
      </c>
      <c r="AA242" s="17"/>
      <c r="AB242" s="17"/>
      <c r="AC242" s="17" t="e" cm="1">
        <f t="array" ref="AC242">_xlfn.XLOOKUP(1,MappingGuide[[#This Row],[API]:[API_3]],'[1]Squirrel SQL Export 1'!$K:$N,[1]!Table1[[#This Row],[Doppio Notes2]])</f>
        <v>#REF!</v>
      </c>
      <c r="AD242" s="17"/>
      <c r="AE242" s="17" t="e" cm="1">
        <f t="array" ref="AE242">_xlfn.XLOOKUP(1,MappingGuide[[#This Row],[API]:[API_3]],'[1]Squirrel SQL Export 1'!$K:$N,[1]!Table1[[#This Row],[DG_required]])</f>
        <v>#REF!</v>
      </c>
      <c r="AF242" s="21" t="s">
        <v>1306</v>
      </c>
      <c r="AG242" s="21"/>
      <c r="AH242" s="22" t="e" cm="1">
        <f t="array" ref="AH242">_xlfn.LET(_xlpm.r,_xlfn.XLOOKUP(1,MappingGuide[[#This Row],[API]:[API_3]],'[1]Squirrel SQL Export 1'!$K:$N,[1]!Table1[[#This Row],[Pending Items]]),IF(_xlpm.r=0,"",_xlpm.r))</f>
        <v>#REF!</v>
      </c>
      <c r="AI242" s="22" t="e" cm="1">
        <f t="array" ref="AI242">_xlfn.LET(_xlpm.r,_xlfn.XLOOKUP(1,MappingGuide[[#This Row],[API]:[API_3]],'[1]Squirrel SQL Export 1'!$K:$N,[1]!Table1[[#This Row],[Syndigo Name]]),IF(_xlpm.r=0,"",_xlpm.r))</f>
        <v>#REF!</v>
      </c>
      <c r="AJ242" s="17"/>
    </row>
    <row r="243" spans="1:36" ht="17" hidden="1">
      <c r="A243" s="17">
        <v>241</v>
      </c>
      <c r="B243" s="17" t="s">
        <v>40</v>
      </c>
      <c r="C243" s="17" t="s">
        <v>1053</v>
      </c>
      <c r="D243" s="17" t="s">
        <v>1054</v>
      </c>
      <c r="E243" s="17" t="s">
        <v>33</v>
      </c>
      <c r="F243" s="17" t="s">
        <v>686</v>
      </c>
      <c r="G243" s="17"/>
      <c r="H243" s="17"/>
      <c r="I243" s="17"/>
      <c r="J243" s="17"/>
      <c r="K243" s="17"/>
      <c r="L243" s="17" t="s">
        <v>35</v>
      </c>
      <c r="M243" s="17" t="s">
        <v>36</v>
      </c>
      <c r="N243" s="17" t="s">
        <v>1055</v>
      </c>
      <c r="O243" s="17"/>
      <c r="P243" s="17"/>
      <c r="Q243" s="17"/>
      <c r="R243" s="17"/>
      <c r="S243" s="17" t="e" cm="1">
        <f t="array" ref="S243">_xlfn.LET(_xlpm.r,_xlfn.XLOOKUP(1,MappingGuide[[#This Row],[API]:[API_3]],'[1]Squirrel SQL Export 1'!$K:$N,[1]!Table1[[#This Row],[Responsible from HJ]]),IF(_xlpm.r=0,"",_xlpm.r))</f>
        <v>#REF!</v>
      </c>
      <c r="T243" s="17"/>
      <c r="U243" s="17"/>
      <c r="V243" s="17" t="e" cm="1">
        <f t="array" ref="V243">_xlfn.LET(_xlpm.r,_xlfn.XLOOKUP(1,MappingGuide[[#This Row],[API]:[API_3]],'[1]Squirrel SQL Export 1'!$K:$N,[1]!Table1[[#This Row],[MDM Comments]]),IF(_xlpm.r=0,"",_xlpm.r))</f>
        <v>#REF!</v>
      </c>
      <c r="W243" s="17" t="e" cm="1">
        <f t="array" ref="W243">_xlfn.LET(_xlpm.r,_xlfn.XLOOKUP(1,MappingGuide[[#This Row],[API]:[API_3]],'[1]Squirrel SQL Export 1'!$K:$N,[1]!Table1[[#This Row],[Exists In Syndigo?]]),IF(_xlpm.r=0,"",_xlpm.r))</f>
        <v>#REF!</v>
      </c>
      <c r="X243" s="17" t="e" cm="1">
        <f t="array" ref="X243">_xlfn.LET(_xlpm.r,_xlfn.XLOOKUP(1,MappingGuide[[#This Row],[API]:[API_3]],'[1]Squirrel SQL Export 1'!$K:$N,[1]!Table1[[#This Row],[Syndigo Name]]),IF(_xlpm.r=0,"",_xlpm.r))</f>
        <v>#REF!</v>
      </c>
      <c r="Y243" s="17"/>
      <c r="Z243" s="17" t="s">
        <v>1056</v>
      </c>
      <c r="AA243" s="17"/>
      <c r="AB243" s="17"/>
      <c r="AC243" s="17" t="e" cm="1">
        <f t="array" ref="AC243">_xlfn.XLOOKUP(1,MappingGuide[[#This Row],[API]:[API_3]],'[1]Squirrel SQL Export 1'!$K:$N,[1]!Table1[[#This Row],[Doppio Notes2]])</f>
        <v>#REF!</v>
      </c>
      <c r="AD243" s="17"/>
      <c r="AE243" s="17" t="e" cm="1">
        <f t="array" ref="AE243">_xlfn.XLOOKUP(1,MappingGuide[[#This Row],[API]:[API_3]],'[1]Squirrel SQL Export 1'!$K:$N,[1]!Table1[[#This Row],[DG_required]])</f>
        <v>#REF!</v>
      </c>
      <c r="AF243" s="21" t="s">
        <v>1306</v>
      </c>
      <c r="AG243" s="21"/>
      <c r="AH243" s="22" t="e" cm="1">
        <f t="array" ref="AH243">_xlfn.LET(_xlpm.r,_xlfn.XLOOKUP(1,MappingGuide[[#This Row],[API]:[API_3]],'[1]Squirrel SQL Export 1'!$K:$N,[1]!Table1[[#This Row],[Pending Items]]),IF(_xlpm.r=0,"",_xlpm.r))</f>
        <v>#REF!</v>
      </c>
      <c r="AI243" s="22" t="e" cm="1">
        <f t="array" ref="AI243">_xlfn.LET(_xlpm.r,_xlfn.XLOOKUP(1,MappingGuide[[#This Row],[API]:[API_3]],'[1]Squirrel SQL Export 1'!$K:$N,[1]!Table1[[#This Row],[Syndigo Name]]),IF(_xlpm.r=0,"",_xlpm.r))</f>
        <v>#REF!</v>
      </c>
      <c r="AJ243" s="17"/>
    </row>
    <row r="244" spans="1:36" ht="17" hidden="1">
      <c r="A244" s="17">
        <v>242</v>
      </c>
      <c r="B244" s="17" t="s">
        <v>40</v>
      </c>
      <c r="C244" s="17" t="s">
        <v>1057</v>
      </c>
      <c r="D244" s="17" t="s">
        <v>1058</v>
      </c>
      <c r="E244" s="17" t="s">
        <v>33</v>
      </c>
      <c r="F244" s="17" t="s">
        <v>34</v>
      </c>
      <c r="G244" s="17"/>
      <c r="H244" s="17"/>
      <c r="I244" s="17"/>
      <c r="J244" s="17"/>
      <c r="K244" s="17"/>
      <c r="L244" s="17" t="s">
        <v>35</v>
      </c>
      <c r="M244" s="17" t="s">
        <v>36</v>
      </c>
      <c r="N244" s="17" t="s">
        <v>1059</v>
      </c>
      <c r="O244" s="17"/>
      <c r="P244" s="17"/>
      <c r="Q244" s="17"/>
      <c r="R244" s="17"/>
      <c r="S244" s="17" t="e" cm="1">
        <f t="array" ref="S244">_xlfn.LET(_xlpm.r,_xlfn.XLOOKUP(1,MappingGuide[[#This Row],[API]:[API_3]],'[1]Squirrel SQL Export 1'!$K:$N,[1]!Table1[[#This Row],[Responsible from HJ]]),IF(_xlpm.r=0,"",_xlpm.r))</f>
        <v>#REF!</v>
      </c>
      <c r="T244" s="17"/>
      <c r="U244" s="17"/>
      <c r="V244" s="17" t="e" cm="1">
        <f t="array" ref="V244">_xlfn.LET(_xlpm.r,_xlfn.XLOOKUP(1,MappingGuide[[#This Row],[API]:[API_3]],'[1]Squirrel SQL Export 1'!$K:$N,[1]!Table1[[#This Row],[MDM Comments]]),IF(_xlpm.r=0,"",_xlpm.r))</f>
        <v>#REF!</v>
      </c>
      <c r="W244" s="17" t="e" cm="1">
        <f t="array" ref="W244">_xlfn.LET(_xlpm.r,_xlfn.XLOOKUP(1,MappingGuide[[#This Row],[API]:[API_3]],'[1]Squirrel SQL Export 1'!$K:$N,[1]!Table1[[#This Row],[Exists In Syndigo?]]),IF(_xlpm.r=0,"",_xlpm.r))</f>
        <v>#REF!</v>
      </c>
      <c r="X244" s="17" t="e" cm="1">
        <f t="array" ref="X244">_xlfn.LET(_xlpm.r,_xlfn.XLOOKUP(1,MappingGuide[[#This Row],[API]:[API_3]],'[1]Squirrel SQL Export 1'!$K:$N,[1]!Table1[[#This Row],[Syndigo Name]]),IF(_xlpm.r=0,"",_xlpm.r))</f>
        <v>#REF!</v>
      </c>
      <c r="Y244" s="17"/>
      <c r="Z244" s="17" t="s">
        <v>1060</v>
      </c>
      <c r="AA244" s="17"/>
      <c r="AB244" s="17"/>
      <c r="AC244" s="17" t="e" cm="1">
        <f t="array" ref="AC244">_xlfn.XLOOKUP(1,MappingGuide[[#This Row],[API]:[API_3]],'[1]Squirrel SQL Export 1'!$K:$N,[1]!Table1[[#This Row],[Doppio Notes2]])</f>
        <v>#REF!</v>
      </c>
      <c r="AD244" s="17"/>
      <c r="AE244" s="17" t="e" cm="1">
        <f t="array" ref="AE244">_xlfn.XLOOKUP(1,MappingGuide[[#This Row],[API]:[API_3]],'[1]Squirrel SQL Export 1'!$K:$N,[1]!Table1[[#This Row],[DG_required]])</f>
        <v>#REF!</v>
      </c>
      <c r="AF244" s="21" t="s">
        <v>1306</v>
      </c>
      <c r="AG244" s="21"/>
      <c r="AH244" s="22" t="e" cm="1">
        <f t="array" ref="AH244">_xlfn.LET(_xlpm.r,_xlfn.XLOOKUP(1,MappingGuide[[#This Row],[API]:[API_3]],'[1]Squirrel SQL Export 1'!$K:$N,[1]!Table1[[#This Row],[Pending Items]]),IF(_xlpm.r=0,"",_xlpm.r))</f>
        <v>#REF!</v>
      </c>
      <c r="AI244" s="22" t="e" cm="1">
        <f t="array" ref="AI244">_xlfn.LET(_xlpm.r,_xlfn.XLOOKUP(1,MappingGuide[[#This Row],[API]:[API_3]],'[1]Squirrel SQL Export 1'!$K:$N,[1]!Table1[[#This Row],[Syndigo Name]]),IF(_xlpm.r=0,"",_xlpm.r))</f>
        <v>#REF!</v>
      </c>
      <c r="AJ244" s="17"/>
    </row>
    <row r="245" spans="1:36" ht="17" hidden="1">
      <c r="A245" s="17">
        <v>243</v>
      </c>
      <c r="B245" s="17" t="s">
        <v>40</v>
      </c>
      <c r="C245" s="17" t="s">
        <v>1061</v>
      </c>
      <c r="D245" s="17" t="s">
        <v>1062</v>
      </c>
      <c r="E245" s="17" t="s">
        <v>33</v>
      </c>
      <c r="F245" s="17" t="s">
        <v>34</v>
      </c>
      <c r="G245" s="17"/>
      <c r="H245" s="17"/>
      <c r="I245" s="17"/>
      <c r="J245" s="17"/>
      <c r="K245" s="17"/>
      <c r="L245" s="17" t="s">
        <v>35</v>
      </c>
      <c r="M245" s="17" t="s">
        <v>36</v>
      </c>
      <c r="N245" s="17" t="s">
        <v>1063</v>
      </c>
      <c r="O245" s="17"/>
      <c r="P245" s="17"/>
      <c r="Q245" s="17"/>
      <c r="R245" s="17"/>
      <c r="S245" s="17" t="e" cm="1">
        <f t="array" ref="S245">_xlfn.LET(_xlpm.r,_xlfn.XLOOKUP(1,MappingGuide[[#This Row],[API]:[API_3]],'[1]Squirrel SQL Export 1'!$K:$N,[1]!Table1[[#This Row],[Responsible from HJ]]),IF(_xlpm.r=0,"",_xlpm.r))</f>
        <v>#REF!</v>
      </c>
      <c r="T245" s="17"/>
      <c r="U245" s="17"/>
      <c r="V245" s="17" t="e" cm="1">
        <f t="array" ref="V245">_xlfn.LET(_xlpm.r,_xlfn.XLOOKUP(1,MappingGuide[[#This Row],[API]:[API_3]],'[1]Squirrel SQL Export 1'!$K:$N,[1]!Table1[[#This Row],[MDM Comments]]),IF(_xlpm.r=0,"",_xlpm.r))</f>
        <v>#REF!</v>
      </c>
      <c r="W245" s="17" t="e" cm="1">
        <f t="array" ref="W245">_xlfn.LET(_xlpm.r,_xlfn.XLOOKUP(1,MappingGuide[[#This Row],[API]:[API_3]],'[1]Squirrel SQL Export 1'!$K:$N,[1]!Table1[[#This Row],[Exists In Syndigo?]]),IF(_xlpm.r=0,"",_xlpm.r))</f>
        <v>#REF!</v>
      </c>
      <c r="X245" s="17" t="e" cm="1">
        <f t="array" ref="X245">_xlfn.LET(_xlpm.r,_xlfn.XLOOKUP(1,MappingGuide[[#This Row],[API]:[API_3]],'[1]Squirrel SQL Export 1'!$K:$N,[1]!Table1[[#This Row],[Syndigo Name]]),IF(_xlpm.r=0,"",_xlpm.r))</f>
        <v>#REF!</v>
      </c>
      <c r="Y245" s="17"/>
      <c r="Z245" s="17" t="s">
        <v>1064</v>
      </c>
      <c r="AA245" s="17"/>
      <c r="AB245" s="17"/>
      <c r="AC245" s="17" t="e" cm="1">
        <f t="array" ref="AC245">_xlfn.XLOOKUP(1,MappingGuide[[#This Row],[API]:[API_3]],'[1]Squirrel SQL Export 1'!$K:$N,[1]!Table1[[#This Row],[Doppio Notes2]])</f>
        <v>#REF!</v>
      </c>
      <c r="AD245" s="17"/>
      <c r="AE245" s="17" t="e" cm="1">
        <f t="array" ref="AE245">_xlfn.XLOOKUP(1,MappingGuide[[#This Row],[API]:[API_3]],'[1]Squirrel SQL Export 1'!$K:$N,[1]!Table1[[#This Row],[DG_required]])</f>
        <v>#REF!</v>
      </c>
      <c r="AF245" s="21" t="s">
        <v>1306</v>
      </c>
      <c r="AG245" s="21"/>
      <c r="AH245" s="22" t="e" cm="1">
        <f t="array" ref="AH245">_xlfn.LET(_xlpm.r,_xlfn.XLOOKUP(1,MappingGuide[[#This Row],[API]:[API_3]],'[1]Squirrel SQL Export 1'!$K:$N,[1]!Table1[[#This Row],[Pending Items]]),IF(_xlpm.r=0,"",_xlpm.r))</f>
        <v>#REF!</v>
      </c>
      <c r="AI245" s="22" t="e" cm="1">
        <f t="array" ref="AI245">_xlfn.LET(_xlpm.r,_xlfn.XLOOKUP(1,MappingGuide[[#This Row],[API]:[API_3]],'[1]Squirrel SQL Export 1'!$K:$N,[1]!Table1[[#This Row],[Syndigo Name]]),IF(_xlpm.r=0,"",_xlpm.r))</f>
        <v>#REF!</v>
      </c>
      <c r="AJ245" s="17"/>
    </row>
    <row r="246" spans="1:36" ht="17" hidden="1">
      <c r="A246" s="17">
        <v>244</v>
      </c>
      <c r="B246" s="17" t="s">
        <v>40</v>
      </c>
      <c r="C246" s="17" t="s">
        <v>1065</v>
      </c>
      <c r="D246" s="17" t="s">
        <v>1066</v>
      </c>
      <c r="E246" s="17" t="s">
        <v>33</v>
      </c>
      <c r="F246" s="17" t="s">
        <v>80</v>
      </c>
      <c r="G246" s="17"/>
      <c r="H246" s="17"/>
      <c r="I246" s="17"/>
      <c r="J246" s="17"/>
      <c r="K246" s="17"/>
      <c r="L246" s="17" t="s">
        <v>35</v>
      </c>
      <c r="M246" s="17" t="s">
        <v>1026</v>
      </c>
      <c r="N246" s="17" t="s">
        <v>1067</v>
      </c>
      <c r="O246" s="17"/>
      <c r="P246" s="17"/>
      <c r="Q246" s="17"/>
      <c r="R246" s="17"/>
      <c r="S246" s="17" t="e" cm="1">
        <f t="array" ref="S246">_xlfn.LET(_xlpm.r,_xlfn.XLOOKUP(1,MappingGuide[[#This Row],[API]:[API_3]],'[1]Squirrel SQL Export 1'!$K:$N,[1]!Table1[[#This Row],[Responsible from HJ]]),IF(_xlpm.r=0,"",_xlpm.r))</f>
        <v>#REF!</v>
      </c>
      <c r="T246" s="17"/>
      <c r="U246" s="17"/>
      <c r="V246" s="17" t="e" cm="1">
        <f t="array" ref="V246">_xlfn.LET(_xlpm.r,_xlfn.XLOOKUP(1,MappingGuide[[#This Row],[API]:[API_3]],'[1]Squirrel SQL Export 1'!$K:$N,[1]!Table1[[#This Row],[MDM Comments]]),IF(_xlpm.r=0,"",_xlpm.r))</f>
        <v>#REF!</v>
      </c>
      <c r="W246" s="17" t="e" cm="1">
        <f t="array" ref="W246">_xlfn.LET(_xlpm.r,_xlfn.XLOOKUP(1,MappingGuide[[#This Row],[API]:[API_3]],'[1]Squirrel SQL Export 1'!$K:$N,[1]!Table1[[#This Row],[Exists In Syndigo?]]),IF(_xlpm.r=0,"",_xlpm.r))</f>
        <v>#REF!</v>
      </c>
      <c r="X246" s="17" t="e" cm="1">
        <f t="array" ref="X246">_xlfn.LET(_xlpm.r,_xlfn.XLOOKUP(1,MappingGuide[[#This Row],[API]:[API_3]],'[1]Squirrel SQL Export 1'!$K:$N,[1]!Table1[[#This Row],[Syndigo Name]]),IF(_xlpm.r=0,"",_xlpm.r))</f>
        <v>#REF!</v>
      </c>
      <c r="Y246" s="17"/>
      <c r="Z246" s="17" t="s">
        <v>1068</v>
      </c>
      <c r="AA246" s="17" t="s">
        <v>1069</v>
      </c>
      <c r="AB246" s="17"/>
      <c r="AC246" s="17" t="e" cm="1">
        <f t="array" ref="AC246">_xlfn.XLOOKUP(1,MappingGuide[[#This Row],[API]:[API_3]],'[1]Squirrel SQL Export 1'!$K:$N,[1]!Table1[[#This Row],[Doppio Notes2]])</f>
        <v>#REF!</v>
      </c>
      <c r="AD246" s="17"/>
      <c r="AE246" s="17" t="e" cm="1">
        <f t="array" ref="AE246">_xlfn.XLOOKUP(1,MappingGuide[[#This Row],[API]:[API_3]],'[1]Squirrel SQL Export 1'!$K:$N,[1]!Table1[[#This Row],[DG_required]])</f>
        <v>#REF!</v>
      </c>
      <c r="AF246" s="21" t="s">
        <v>1306</v>
      </c>
      <c r="AG246" s="21"/>
      <c r="AH246" s="22" t="e" cm="1">
        <f t="array" ref="AH246">_xlfn.LET(_xlpm.r,_xlfn.XLOOKUP(1,MappingGuide[[#This Row],[API]:[API_3]],'[1]Squirrel SQL Export 1'!$K:$N,[1]!Table1[[#This Row],[Pending Items]]),IF(_xlpm.r=0,"",_xlpm.r))</f>
        <v>#REF!</v>
      </c>
      <c r="AI246" s="22" t="e" cm="1">
        <f t="array" ref="AI246">_xlfn.LET(_xlpm.r,_xlfn.XLOOKUP(1,MappingGuide[[#This Row],[API]:[API_3]],'[1]Squirrel SQL Export 1'!$K:$N,[1]!Table1[[#This Row],[Syndigo Name]]),IF(_xlpm.r=0,"",_xlpm.r))</f>
        <v>#REF!</v>
      </c>
      <c r="AJ246" s="17"/>
    </row>
    <row r="247" spans="1:36" ht="17" hidden="1">
      <c r="A247" s="17">
        <v>245</v>
      </c>
      <c r="B247" s="17" t="s">
        <v>40</v>
      </c>
      <c r="C247" s="17" t="s">
        <v>1070</v>
      </c>
      <c r="D247" s="17" t="s">
        <v>1071</v>
      </c>
      <c r="E247" s="17" t="s">
        <v>43</v>
      </c>
      <c r="F247" s="17" t="s">
        <v>80</v>
      </c>
      <c r="G247" s="17"/>
      <c r="H247" s="17"/>
      <c r="I247" s="17"/>
      <c r="J247" s="17"/>
      <c r="K247" s="17"/>
      <c r="L247" s="17" t="s">
        <v>35</v>
      </c>
      <c r="M247" s="17" t="s">
        <v>1026</v>
      </c>
      <c r="N247" s="17" t="s">
        <v>1072</v>
      </c>
      <c r="O247" s="17"/>
      <c r="P247" s="17"/>
      <c r="Q247" s="17"/>
      <c r="R247" s="17"/>
      <c r="S247" s="17" t="e" cm="1">
        <f t="array" ref="S247">_xlfn.LET(_xlpm.r,_xlfn.XLOOKUP(1,MappingGuide[[#This Row],[API]:[API_3]],'[1]Squirrel SQL Export 1'!$K:$N,[1]!Table1[[#This Row],[Responsible from HJ]]),IF(_xlpm.r=0,"",_xlpm.r))</f>
        <v>#REF!</v>
      </c>
      <c r="T247" s="17"/>
      <c r="U247" s="17"/>
      <c r="V247" s="17" t="e" cm="1">
        <f t="array" ref="V247">_xlfn.LET(_xlpm.r,_xlfn.XLOOKUP(1,MappingGuide[[#This Row],[API]:[API_3]],'[1]Squirrel SQL Export 1'!$K:$N,[1]!Table1[[#This Row],[MDM Comments]]),IF(_xlpm.r=0,"",_xlpm.r))</f>
        <v>#REF!</v>
      </c>
      <c r="W247" s="17" t="e" cm="1">
        <f t="array" ref="W247">_xlfn.LET(_xlpm.r,_xlfn.XLOOKUP(1,MappingGuide[[#This Row],[API]:[API_3]],'[1]Squirrel SQL Export 1'!$K:$N,[1]!Table1[[#This Row],[Exists In Syndigo?]]),IF(_xlpm.r=0,"",_xlpm.r))</f>
        <v>#REF!</v>
      </c>
      <c r="X247" s="17" t="e" cm="1">
        <f t="array" ref="X247">_xlfn.LET(_xlpm.r,_xlfn.XLOOKUP(1,MappingGuide[[#This Row],[API]:[API_3]],'[1]Squirrel SQL Export 1'!$K:$N,[1]!Table1[[#This Row],[Syndigo Name]]),IF(_xlpm.r=0,"",_xlpm.r))</f>
        <v>#REF!</v>
      </c>
      <c r="Y247" s="17"/>
      <c r="Z247" s="17" t="s">
        <v>1073</v>
      </c>
      <c r="AA247" s="17" t="s">
        <v>1074</v>
      </c>
      <c r="AB247" s="17"/>
      <c r="AC247" s="17" t="e" cm="1">
        <f t="array" ref="AC247">_xlfn.XLOOKUP(1,MappingGuide[[#This Row],[API]:[API_3]],'[1]Squirrel SQL Export 1'!$K:$N,[1]!Table1[[#This Row],[Doppio Notes2]])</f>
        <v>#REF!</v>
      </c>
      <c r="AD247" s="17"/>
      <c r="AE247" s="17" t="e" cm="1">
        <f t="array" ref="AE247">_xlfn.XLOOKUP(1,MappingGuide[[#This Row],[API]:[API_3]],'[1]Squirrel SQL Export 1'!$K:$N,[1]!Table1[[#This Row],[DG_required]])</f>
        <v>#REF!</v>
      </c>
      <c r="AF247" s="21" t="s">
        <v>1290</v>
      </c>
      <c r="AG247" s="21"/>
      <c r="AH247" s="22" t="e" cm="1">
        <f t="array" ref="AH247">_xlfn.LET(_xlpm.r,_xlfn.XLOOKUP(1,MappingGuide[[#This Row],[API]:[API_3]],'[1]Squirrel SQL Export 1'!$K:$N,[1]!Table1[[#This Row],[Pending Items]]),IF(_xlpm.r=0,"",_xlpm.r))</f>
        <v>#REF!</v>
      </c>
      <c r="AI247" s="22" t="e" cm="1">
        <f t="array" ref="AI247">_xlfn.LET(_xlpm.r,_xlfn.XLOOKUP(1,MappingGuide[[#This Row],[API]:[API_3]],'[1]Squirrel SQL Export 1'!$K:$N,[1]!Table1[[#This Row],[Syndigo Name]]),IF(_xlpm.r=0,"",_xlpm.r))</f>
        <v>#REF!</v>
      </c>
      <c r="AJ247" s="17"/>
    </row>
    <row r="248" spans="1:36" ht="17" hidden="1">
      <c r="A248" s="17">
        <v>246</v>
      </c>
      <c r="B248" s="17" t="s">
        <v>40</v>
      </c>
      <c r="C248" s="17" t="s">
        <v>1075</v>
      </c>
      <c r="D248" s="17" t="s">
        <v>1076</v>
      </c>
      <c r="E248" s="17" t="s">
        <v>43</v>
      </c>
      <c r="F248" s="17" t="s">
        <v>80</v>
      </c>
      <c r="G248" s="17"/>
      <c r="H248" s="17"/>
      <c r="I248" s="17"/>
      <c r="J248" s="17"/>
      <c r="K248" s="17"/>
      <c r="L248" s="17" t="s">
        <v>35</v>
      </c>
      <c r="M248" s="17" t="s">
        <v>1026</v>
      </c>
      <c r="N248" s="17" t="s">
        <v>1077</v>
      </c>
      <c r="O248" s="17"/>
      <c r="P248" s="17"/>
      <c r="Q248" s="17"/>
      <c r="R248" s="17"/>
      <c r="S248" s="17" t="e" cm="1">
        <f t="array" ref="S248">_xlfn.LET(_xlpm.r,_xlfn.XLOOKUP(1,MappingGuide[[#This Row],[API]:[API_3]],'[1]Squirrel SQL Export 1'!$K:$N,[1]!Table1[[#This Row],[Responsible from HJ]]),IF(_xlpm.r=0,"",_xlpm.r))</f>
        <v>#REF!</v>
      </c>
      <c r="T248" s="17"/>
      <c r="U248" s="17"/>
      <c r="V248" s="17" t="e" cm="1">
        <f t="array" ref="V248">_xlfn.LET(_xlpm.r,_xlfn.XLOOKUP(1,MappingGuide[[#This Row],[API]:[API_3]],'[1]Squirrel SQL Export 1'!$K:$N,[1]!Table1[[#This Row],[MDM Comments]]),IF(_xlpm.r=0,"",_xlpm.r))</f>
        <v>#REF!</v>
      </c>
      <c r="W248" s="17" t="e" cm="1">
        <f t="array" ref="W248">_xlfn.LET(_xlpm.r,_xlfn.XLOOKUP(1,MappingGuide[[#This Row],[API]:[API_3]],'[1]Squirrel SQL Export 1'!$K:$N,[1]!Table1[[#This Row],[Exists In Syndigo?]]),IF(_xlpm.r=0,"",_xlpm.r))</f>
        <v>#REF!</v>
      </c>
      <c r="X248" s="17" t="e" cm="1">
        <f t="array" ref="X248">_xlfn.LET(_xlpm.r,_xlfn.XLOOKUP(1,MappingGuide[[#This Row],[API]:[API_3]],'[1]Squirrel SQL Export 1'!$K:$N,[1]!Table1[[#This Row],[Syndigo Name]]),IF(_xlpm.r=0,"",_xlpm.r))</f>
        <v>#REF!</v>
      </c>
      <c r="Y248" s="17"/>
      <c r="Z248" s="17" t="s">
        <v>1078</v>
      </c>
      <c r="AA248" s="17"/>
      <c r="AB248" s="17"/>
      <c r="AC248" s="17" t="e" cm="1">
        <f t="array" ref="AC248">_xlfn.XLOOKUP(1,MappingGuide[[#This Row],[API]:[API_3]],'[1]Squirrel SQL Export 1'!$K:$N,[1]!Table1[[#This Row],[Doppio Notes2]])</f>
        <v>#REF!</v>
      </c>
      <c r="AD248" s="17"/>
      <c r="AE248" s="17" t="e" cm="1">
        <f t="array" ref="AE248">_xlfn.XLOOKUP(1,MappingGuide[[#This Row],[API]:[API_3]],'[1]Squirrel SQL Export 1'!$K:$N,[1]!Table1[[#This Row],[DG_required]])</f>
        <v>#REF!</v>
      </c>
      <c r="AF248" s="21" t="s">
        <v>1290</v>
      </c>
      <c r="AG248" s="21"/>
      <c r="AH248" s="22" t="e" cm="1">
        <f t="array" ref="AH248">_xlfn.LET(_xlpm.r,_xlfn.XLOOKUP(1,MappingGuide[[#This Row],[API]:[API_3]],'[1]Squirrel SQL Export 1'!$K:$N,[1]!Table1[[#This Row],[Pending Items]]),IF(_xlpm.r=0,"",_xlpm.r))</f>
        <v>#REF!</v>
      </c>
      <c r="AI248" s="22" t="e" cm="1">
        <f t="array" ref="AI248">_xlfn.LET(_xlpm.r,_xlfn.XLOOKUP(1,MappingGuide[[#This Row],[API]:[API_3]],'[1]Squirrel SQL Export 1'!$K:$N,[1]!Table1[[#This Row],[Syndigo Name]]),IF(_xlpm.r=0,"",_xlpm.r))</f>
        <v>#REF!</v>
      </c>
      <c r="AJ248" s="17"/>
    </row>
    <row r="249" spans="1:36" ht="17" hidden="1">
      <c r="A249" s="17">
        <v>247</v>
      </c>
      <c r="B249" s="17" t="s">
        <v>40</v>
      </c>
      <c r="C249" s="17" t="s">
        <v>1079</v>
      </c>
      <c r="D249" s="17" t="s">
        <v>1080</v>
      </c>
      <c r="E249" s="17" t="s">
        <v>43</v>
      </c>
      <c r="F249" s="17" t="s">
        <v>80</v>
      </c>
      <c r="G249" s="17"/>
      <c r="H249" s="17"/>
      <c r="I249" s="17"/>
      <c r="J249" s="17"/>
      <c r="K249" s="17"/>
      <c r="L249" s="17" t="s">
        <v>35</v>
      </c>
      <c r="M249" s="17" t="s">
        <v>1026</v>
      </c>
      <c r="N249" s="17" t="s">
        <v>1081</v>
      </c>
      <c r="O249" s="17"/>
      <c r="P249" s="17"/>
      <c r="Q249" s="17"/>
      <c r="R249" s="17"/>
      <c r="S249" s="17" t="e" cm="1">
        <f t="array" ref="S249">_xlfn.LET(_xlpm.r,_xlfn.XLOOKUP(1,MappingGuide[[#This Row],[API]:[API_3]],'[1]Squirrel SQL Export 1'!$K:$N,[1]!Table1[[#This Row],[Responsible from HJ]]),IF(_xlpm.r=0,"",_xlpm.r))</f>
        <v>#REF!</v>
      </c>
      <c r="T249" s="17"/>
      <c r="U249" s="17"/>
      <c r="V249" s="17" t="e" cm="1">
        <f t="array" ref="V249">_xlfn.LET(_xlpm.r,_xlfn.XLOOKUP(1,MappingGuide[[#This Row],[API]:[API_3]],'[1]Squirrel SQL Export 1'!$K:$N,[1]!Table1[[#This Row],[MDM Comments]]),IF(_xlpm.r=0,"",_xlpm.r))</f>
        <v>#REF!</v>
      </c>
      <c r="W249" s="17" t="e" cm="1">
        <f t="array" ref="W249">_xlfn.LET(_xlpm.r,_xlfn.XLOOKUP(1,MappingGuide[[#This Row],[API]:[API_3]],'[1]Squirrel SQL Export 1'!$K:$N,[1]!Table1[[#This Row],[Exists In Syndigo?]]),IF(_xlpm.r=0,"",_xlpm.r))</f>
        <v>#REF!</v>
      </c>
      <c r="X249" s="17" t="e" cm="1">
        <f t="array" ref="X249">_xlfn.LET(_xlpm.r,_xlfn.XLOOKUP(1,MappingGuide[[#This Row],[API]:[API_3]],'[1]Squirrel SQL Export 1'!$K:$N,[1]!Table1[[#This Row],[Syndigo Name]]),IF(_xlpm.r=0,"",_xlpm.r))</f>
        <v>#REF!</v>
      </c>
      <c r="Y249" s="17"/>
      <c r="Z249" s="17" t="s">
        <v>1082</v>
      </c>
      <c r="AA249" s="17"/>
      <c r="AB249" s="17"/>
      <c r="AC249" s="17" t="e" cm="1">
        <f t="array" ref="AC249">_xlfn.XLOOKUP(1,MappingGuide[[#This Row],[API]:[API_3]],'[1]Squirrel SQL Export 1'!$K:$N,[1]!Table1[[#This Row],[Doppio Notes2]])</f>
        <v>#REF!</v>
      </c>
      <c r="AD249" s="17"/>
      <c r="AE249" s="17" t="e" cm="1">
        <f t="array" ref="AE249">_xlfn.XLOOKUP(1,MappingGuide[[#This Row],[API]:[API_3]],'[1]Squirrel SQL Export 1'!$K:$N,[1]!Table1[[#This Row],[DG_required]])</f>
        <v>#REF!</v>
      </c>
      <c r="AF249" s="21" t="s">
        <v>1290</v>
      </c>
      <c r="AG249" s="21"/>
      <c r="AH249" s="22" t="e" cm="1">
        <f t="array" ref="AH249">_xlfn.LET(_xlpm.r,_xlfn.XLOOKUP(1,MappingGuide[[#This Row],[API]:[API_3]],'[1]Squirrel SQL Export 1'!$K:$N,[1]!Table1[[#This Row],[Pending Items]]),IF(_xlpm.r=0,"",_xlpm.r))</f>
        <v>#REF!</v>
      </c>
      <c r="AI249" s="22" t="e" cm="1">
        <f t="array" ref="AI249">_xlfn.LET(_xlpm.r,_xlfn.XLOOKUP(1,MappingGuide[[#This Row],[API]:[API_3]],'[1]Squirrel SQL Export 1'!$K:$N,[1]!Table1[[#This Row],[Syndigo Name]]),IF(_xlpm.r=0,"",_xlpm.r))</f>
        <v>#REF!</v>
      </c>
      <c r="AJ249" s="17"/>
    </row>
    <row r="250" spans="1:36" ht="17" hidden="1">
      <c r="A250" s="17">
        <v>248</v>
      </c>
      <c r="B250" s="17" t="s">
        <v>40</v>
      </c>
      <c r="C250" s="17" t="s">
        <v>1083</v>
      </c>
      <c r="D250" s="17" t="s">
        <v>1084</v>
      </c>
      <c r="E250" s="17" t="s">
        <v>43</v>
      </c>
      <c r="F250" s="17" t="s">
        <v>80</v>
      </c>
      <c r="G250" s="17"/>
      <c r="H250" s="17"/>
      <c r="I250" s="17"/>
      <c r="J250" s="17"/>
      <c r="K250" s="17"/>
      <c r="L250" s="17" t="s">
        <v>35</v>
      </c>
      <c r="M250" s="17" t="s">
        <v>1026</v>
      </c>
      <c r="N250" s="17" t="s">
        <v>1085</v>
      </c>
      <c r="O250" s="17"/>
      <c r="P250" s="17"/>
      <c r="Q250" s="17"/>
      <c r="R250" s="17"/>
      <c r="S250" s="17" t="e" cm="1">
        <f t="array" ref="S250">_xlfn.LET(_xlpm.r,_xlfn.XLOOKUP(1,MappingGuide[[#This Row],[API]:[API_3]],'[1]Squirrel SQL Export 1'!$K:$N,[1]!Table1[[#This Row],[Responsible from HJ]]),IF(_xlpm.r=0,"",_xlpm.r))</f>
        <v>#REF!</v>
      </c>
      <c r="T250" s="17"/>
      <c r="U250" s="17"/>
      <c r="V250" s="17" t="e" cm="1">
        <f t="array" ref="V250">_xlfn.LET(_xlpm.r,_xlfn.XLOOKUP(1,MappingGuide[[#This Row],[API]:[API_3]],'[1]Squirrel SQL Export 1'!$K:$N,[1]!Table1[[#This Row],[MDM Comments]]),IF(_xlpm.r=0,"",_xlpm.r))</f>
        <v>#REF!</v>
      </c>
      <c r="W250" s="17" t="e" cm="1">
        <f t="array" ref="W250">_xlfn.LET(_xlpm.r,_xlfn.XLOOKUP(1,MappingGuide[[#This Row],[API]:[API_3]],'[1]Squirrel SQL Export 1'!$K:$N,[1]!Table1[[#This Row],[Exists In Syndigo?]]),IF(_xlpm.r=0,"",_xlpm.r))</f>
        <v>#REF!</v>
      </c>
      <c r="X250" s="17" t="e" cm="1">
        <f t="array" ref="X250">_xlfn.LET(_xlpm.r,_xlfn.XLOOKUP(1,MappingGuide[[#This Row],[API]:[API_3]],'[1]Squirrel SQL Export 1'!$K:$N,[1]!Table1[[#This Row],[Syndigo Name]]),IF(_xlpm.r=0,"",_xlpm.r))</f>
        <v>#REF!</v>
      </c>
      <c r="Y250" s="17"/>
      <c r="Z250" s="17" t="s">
        <v>1086</v>
      </c>
      <c r="AA250" s="17" t="s">
        <v>1087</v>
      </c>
      <c r="AB250" s="17"/>
      <c r="AC250" s="17" t="e" cm="1">
        <f t="array" ref="AC250">_xlfn.XLOOKUP(1,MappingGuide[[#This Row],[API]:[API_3]],'[1]Squirrel SQL Export 1'!$K:$N,[1]!Table1[[#This Row],[Doppio Notes2]])</f>
        <v>#REF!</v>
      </c>
      <c r="AD250" s="17"/>
      <c r="AE250" s="17" t="e" cm="1">
        <f t="array" ref="AE250">_xlfn.XLOOKUP(1,MappingGuide[[#This Row],[API]:[API_3]],'[1]Squirrel SQL Export 1'!$K:$N,[1]!Table1[[#This Row],[DG_required]])</f>
        <v>#REF!</v>
      </c>
      <c r="AF250" s="21" t="s">
        <v>1290</v>
      </c>
      <c r="AG250" s="21"/>
      <c r="AH250" s="22" t="e" cm="1">
        <f t="array" ref="AH250">_xlfn.LET(_xlpm.r,_xlfn.XLOOKUP(1,MappingGuide[[#This Row],[API]:[API_3]],'[1]Squirrel SQL Export 1'!$K:$N,[1]!Table1[[#This Row],[Pending Items]]),IF(_xlpm.r=0,"",_xlpm.r))</f>
        <v>#REF!</v>
      </c>
      <c r="AI250" s="22" t="e" cm="1">
        <f t="array" ref="AI250">_xlfn.LET(_xlpm.r,_xlfn.XLOOKUP(1,MappingGuide[[#This Row],[API]:[API_3]],'[1]Squirrel SQL Export 1'!$K:$N,[1]!Table1[[#This Row],[Syndigo Name]]),IF(_xlpm.r=0,"",_xlpm.r))</f>
        <v>#REF!</v>
      </c>
      <c r="AJ250" s="17"/>
    </row>
    <row r="251" spans="1:36" ht="17" hidden="1">
      <c r="A251" s="17">
        <v>249</v>
      </c>
      <c r="B251" s="17" t="s">
        <v>40</v>
      </c>
      <c r="C251" s="17" t="s">
        <v>1088</v>
      </c>
      <c r="D251" s="17" t="s">
        <v>1089</v>
      </c>
      <c r="E251" s="17" t="s">
        <v>33</v>
      </c>
      <c r="F251" s="17" t="s">
        <v>80</v>
      </c>
      <c r="G251" s="17"/>
      <c r="H251" s="17"/>
      <c r="I251" s="17"/>
      <c r="J251" s="17"/>
      <c r="K251" s="17"/>
      <c r="L251" s="17" t="s">
        <v>35</v>
      </c>
      <c r="M251" s="17" t="s">
        <v>1026</v>
      </c>
      <c r="N251" s="17" t="s">
        <v>1090</v>
      </c>
      <c r="O251" s="17"/>
      <c r="P251" s="17"/>
      <c r="Q251" s="17"/>
      <c r="R251" s="17"/>
      <c r="S251" s="17" t="e" cm="1">
        <f t="array" ref="S251">_xlfn.LET(_xlpm.r,_xlfn.XLOOKUP(1,MappingGuide[[#This Row],[API]:[API_3]],'[1]Squirrel SQL Export 1'!$K:$N,[1]!Table1[[#This Row],[Responsible from HJ]]),IF(_xlpm.r=0,"",_xlpm.r))</f>
        <v>#REF!</v>
      </c>
      <c r="T251" s="17"/>
      <c r="U251" s="17"/>
      <c r="V251" s="17" t="e" cm="1">
        <f t="array" ref="V251">_xlfn.LET(_xlpm.r,_xlfn.XLOOKUP(1,MappingGuide[[#This Row],[API]:[API_3]],'[1]Squirrel SQL Export 1'!$K:$N,[1]!Table1[[#This Row],[MDM Comments]]),IF(_xlpm.r=0,"",_xlpm.r))</f>
        <v>#REF!</v>
      </c>
      <c r="W251" s="17" t="e" cm="1">
        <f t="array" ref="W251">_xlfn.LET(_xlpm.r,_xlfn.XLOOKUP(1,MappingGuide[[#This Row],[API]:[API_3]],'[1]Squirrel SQL Export 1'!$K:$N,[1]!Table1[[#This Row],[Exists In Syndigo?]]),IF(_xlpm.r=0,"",_xlpm.r))</f>
        <v>#REF!</v>
      </c>
      <c r="X251" s="17" t="e" cm="1">
        <f t="array" ref="X251">_xlfn.LET(_xlpm.r,_xlfn.XLOOKUP(1,MappingGuide[[#This Row],[API]:[API_3]],'[1]Squirrel SQL Export 1'!$K:$N,[1]!Table1[[#This Row],[Syndigo Name]]),IF(_xlpm.r=0,"",_xlpm.r))</f>
        <v>#REF!</v>
      </c>
      <c r="Y251" s="17"/>
      <c r="Z251" s="17"/>
      <c r="AA251" s="17"/>
      <c r="AB251" s="17"/>
      <c r="AC251" s="17" t="e" cm="1">
        <f t="array" ref="AC251">_xlfn.XLOOKUP(1,MappingGuide[[#This Row],[API]:[API_3]],'[1]Squirrel SQL Export 1'!$K:$N,[1]!Table1[[#This Row],[Doppio Notes2]])</f>
        <v>#REF!</v>
      </c>
      <c r="AD251" s="17"/>
      <c r="AE251" s="17" t="e" cm="1">
        <f t="array" ref="AE251">_xlfn.XLOOKUP(1,MappingGuide[[#This Row],[API]:[API_3]],'[1]Squirrel SQL Export 1'!$K:$N,[1]!Table1[[#This Row],[DG_required]])</f>
        <v>#REF!</v>
      </c>
      <c r="AF251" s="21" t="s">
        <v>1306</v>
      </c>
      <c r="AG251" s="21"/>
      <c r="AH251" s="22" t="e" cm="1">
        <f t="array" ref="AH251">_xlfn.LET(_xlpm.r,_xlfn.XLOOKUP(1,MappingGuide[[#This Row],[API]:[API_3]],'[1]Squirrel SQL Export 1'!$K:$N,[1]!Table1[[#This Row],[Pending Items]]),IF(_xlpm.r=0,"",_xlpm.r))</f>
        <v>#REF!</v>
      </c>
      <c r="AI251" s="22" t="e" cm="1">
        <f t="array" ref="AI251">_xlfn.LET(_xlpm.r,_xlfn.XLOOKUP(1,MappingGuide[[#This Row],[API]:[API_3]],'[1]Squirrel SQL Export 1'!$K:$N,[1]!Table1[[#This Row],[Syndigo Name]]),IF(_xlpm.r=0,"",_xlpm.r))</f>
        <v>#REF!</v>
      </c>
      <c r="AJ251" s="17"/>
    </row>
    <row r="252" spans="1:36" ht="17" hidden="1">
      <c r="A252" s="17">
        <v>250</v>
      </c>
      <c r="B252" s="17" t="s">
        <v>40</v>
      </c>
      <c r="C252" s="17" t="s">
        <v>1091</v>
      </c>
      <c r="D252" s="17" t="s">
        <v>1092</v>
      </c>
      <c r="E252" s="17" t="s">
        <v>43</v>
      </c>
      <c r="F252" s="17" t="s">
        <v>341</v>
      </c>
      <c r="G252" s="17" t="s">
        <v>56</v>
      </c>
      <c r="H252" s="17"/>
      <c r="I252" s="17"/>
      <c r="J252" s="17"/>
      <c r="K252" s="17"/>
      <c r="L252" s="17" t="s">
        <v>35</v>
      </c>
      <c r="M252" s="17" t="s">
        <v>1026</v>
      </c>
      <c r="N252" s="17" t="s">
        <v>1093</v>
      </c>
      <c r="O252" s="17"/>
      <c r="P252" s="17"/>
      <c r="Q252" s="17"/>
      <c r="R252" s="17"/>
      <c r="S252" s="17" t="e" cm="1">
        <f t="array" ref="S252">_xlfn.LET(_xlpm.r,_xlfn.XLOOKUP(1,MappingGuide[[#This Row],[API]:[API_3]],'[1]Squirrel SQL Export 1'!$K:$N,[1]!Table1[[#This Row],[Responsible from HJ]]),IF(_xlpm.r=0,"",_xlpm.r))</f>
        <v>#REF!</v>
      </c>
      <c r="T252" s="17"/>
      <c r="U252" s="17"/>
      <c r="V252" s="17" t="e" cm="1">
        <f t="array" ref="V252">_xlfn.LET(_xlpm.r,_xlfn.XLOOKUP(1,MappingGuide[[#This Row],[API]:[API_3]],'[1]Squirrel SQL Export 1'!$K:$N,[1]!Table1[[#This Row],[MDM Comments]]),IF(_xlpm.r=0,"",_xlpm.r))</f>
        <v>#REF!</v>
      </c>
      <c r="W252" s="17" t="e" cm="1">
        <f t="array" ref="W252">_xlfn.LET(_xlpm.r,_xlfn.XLOOKUP(1,MappingGuide[[#This Row],[API]:[API_3]],'[1]Squirrel SQL Export 1'!$K:$N,[1]!Table1[[#This Row],[Exists In Syndigo?]]),IF(_xlpm.r=0,"",_xlpm.r))</f>
        <v>#REF!</v>
      </c>
      <c r="X252" s="17" t="e" cm="1">
        <f t="array" ref="X252">_xlfn.LET(_xlpm.r,_xlfn.XLOOKUP(1,MappingGuide[[#This Row],[API]:[API_3]],'[1]Squirrel SQL Export 1'!$K:$N,[1]!Table1[[#This Row],[Syndigo Name]]),IF(_xlpm.r=0,"",_xlpm.r))</f>
        <v>#REF!</v>
      </c>
      <c r="Y252" s="17"/>
      <c r="Z252" s="17"/>
      <c r="AA252" s="17"/>
      <c r="AB252" s="17"/>
      <c r="AC252" s="17" t="e" cm="1">
        <f t="array" ref="AC252">_xlfn.XLOOKUP(1,MappingGuide[[#This Row],[API]:[API_3]],'[1]Squirrel SQL Export 1'!$K:$N,[1]!Table1[[#This Row],[Doppio Notes2]])</f>
        <v>#REF!</v>
      </c>
      <c r="AD252" s="17"/>
      <c r="AE252" s="17" t="e" cm="1">
        <f t="array" ref="AE252">_xlfn.XLOOKUP(1,MappingGuide[[#This Row],[API]:[API_3]],'[1]Squirrel SQL Export 1'!$K:$N,[1]!Table1[[#This Row],[DG_required]])</f>
        <v>#REF!</v>
      </c>
      <c r="AF252" s="21" t="s">
        <v>1295</v>
      </c>
      <c r="AG252" s="21"/>
      <c r="AH252" s="22" t="e" cm="1">
        <f t="array" ref="AH252">_xlfn.LET(_xlpm.r,_xlfn.XLOOKUP(1,MappingGuide[[#This Row],[API]:[API_3]],'[1]Squirrel SQL Export 1'!$K:$N,[1]!Table1[[#This Row],[Pending Items]]),IF(_xlpm.r=0,"",_xlpm.r))</f>
        <v>#REF!</v>
      </c>
      <c r="AI252" s="22" t="e" cm="1">
        <f t="array" ref="AI252">_xlfn.LET(_xlpm.r,_xlfn.XLOOKUP(1,MappingGuide[[#This Row],[API]:[API_3]],'[1]Squirrel SQL Export 1'!$K:$N,[1]!Table1[[#This Row],[Syndigo Name]]),IF(_xlpm.r=0,"",_xlpm.r))</f>
        <v>#REF!</v>
      </c>
      <c r="AJ252" s="17"/>
    </row>
    <row r="253" spans="1:36" ht="17" hidden="1">
      <c r="A253" s="17">
        <v>251</v>
      </c>
      <c r="B253" s="17" t="s">
        <v>40</v>
      </c>
      <c r="C253" s="17" t="s">
        <v>1094</v>
      </c>
      <c r="D253" s="17" t="s">
        <v>1095</v>
      </c>
      <c r="E253" s="17" t="s">
        <v>43</v>
      </c>
      <c r="F253" s="17" t="s">
        <v>373</v>
      </c>
      <c r="G253" s="17"/>
      <c r="H253" s="17"/>
      <c r="I253" s="17"/>
      <c r="J253" s="17"/>
      <c r="K253" s="17"/>
      <c r="L253" s="17" t="s">
        <v>35</v>
      </c>
      <c r="M253" s="17" t="s">
        <v>1026</v>
      </c>
      <c r="N253" s="17" t="s">
        <v>1096</v>
      </c>
      <c r="O253" s="17"/>
      <c r="P253" s="17"/>
      <c r="Q253" s="17"/>
      <c r="R253" s="17"/>
      <c r="S253" s="17" t="e" cm="1">
        <f t="array" ref="S253">_xlfn.LET(_xlpm.r,_xlfn.XLOOKUP(1,MappingGuide[[#This Row],[API]:[API_3]],'[1]Squirrel SQL Export 1'!$K:$N,[1]!Table1[[#This Row],[Responsible from HJ]]),IF(_xlpm.r=0,"",_xlpm.r))</f>
        <v>#REF!</v>
      </c>
      <c r="T253" s="17"/>
      <c r="U253" s="17"/>
      <c r="V253" s="17" t="e" cm="1">
        <f t="array" ref="V253">_xlfn.LET(_xlpm.r,_xlfn.XLOOKUP(1,MappingGuide[[#This Row],[API]:[API_3]],'[1]Squirrel SQL Export 1'!$K:$N,[1]!Table1[[#This Row],[MDM Comments]]),IF(_xlpm.r=0,"",_xlpm.r))</f>
        <v>#REF!</v>
      </c>
      <c r="W253" s="17" t="e" cm="1">
        <f t="array" ref="W253">_xlfn.LET(_xlpm.r,_xlfn.XLOOKUP(1,MappingGuide[[#This Row],[API]:[API_3]],'[1]Squirrel SQL Export 1'!$K:$N,[1]!Table1[[#This Row],[Exists In Syndigo?]]),IF(_xlpm.r=0,"",_xlpm.r))</f>
        <v>#REF!</v>
      </c>
      <c r="X253" s="17" t="e" cm="1">
        <f t="array" ref="X253">_xlfn.LET(_xlpm.r,_xlfn.XLOOKUP(1,MappingGuide[[#This Row],[API]:[API_3]],'[1]Squirrel SQL Export 1'!$K:$N,[1]!Table1[[#This Row],[Syndigo Name]]),IF(_xlpm.r=0,"",_xlpm.r))</f>
        <v>#REF!</v>
      </c>
      <c r="Y253" s="17"/>
      <c r="Z253" s="17"/>
      <c r="AA253" s="17"/>
      <c r="AB253" s="17"/>
      <c r="AC253" s="17" t="e" cm="1">
        <f t="array" ref="AC253">_xlfn.XLOOKUP(1,MappingGuide[[#This Row],[API]:[API_3]],'[1]Squirrel SQL Export 1'!$K:$N,[1]!Table1[[#This Row],[Doppio Notes2]])</f>
        <v>#REF!</v>
      </c>
      <c r="AD253" s="17"/>
      <c r="AE253" s="17" t="e" cm="1">
        <f t="array" ref="AE253">_xlfn.XLOOKUP(1,MappingGuide[[#This Row],[API]:[API_3]],'[1]Squirrel SQL Export 1'!$K:$N,[1]!Table1[[#This Row],[DG_required]])</f>
        <v>#REF!</v>
      </c>
      <c r="AF253" s="21" t="s">
        <v>1290</v>
      </c>
      <c r="AG253" s="21"/>
      <c r="AH253" s="22" t="e" cm="1">
        <f t="array" ref="AH253">_xlfn.LET(_xlpm.r,_xlfn.XLOOKUP(1,MappingGuide[[#This Row],[API]:[API_3]],'[1]Squirrel SQL Export 1'!$K:$N,[1]!Table1[[#This Row],[Pending Items]]),IF(_xlpm.r=0,"",_xlpm.r))</f>
        <v>#REF!</v>
      </c>
      <c r="AI253" s="22" t="e" cm="1">
        <f t="array" ref="AI253">_xlfn.LET(_xlpm.r,_xlfn.XLOOKUP(1,MappingGuide[[#This Row],[API]:[API_3]],'[1]Squirrel SQL Export 1'!$K:$N,[1]!Table1[[#This Row],[Syndigo Name]]),IF(_xlpm.r=0,"",_xlpm.r))</f>
        <v>#REF!</v>
      </c>
      <c r="AJ253" s="17"/>
    </row>
    <row r="254" spans="1:36" ht="17" hidden="1">
      <c r="A254" s="17">
        <v>252</v>
      </c>
      <c r="B254" s="17" t="s">
        <v>40</v>
      </c>
      <c r="C254" s="17" t="s">
        <v>1097</v>
      </c>
      <c r="D254" s="17" t="s">
        <v>1098</v>
      </c>
      <c r="E254" s="17" t="s">
        <v>43</v>
      </c>
      <c r="F254" s="17" t="s">
        <v>56</v>
      </c>
      <c r="G254" s="17"/>
      <c r="H254" s="17"/>
      <c r="I254" s="17"/>
      <c r="J254" s="17"/>
      <c r="K254" s="17"/>
      <c r="L254" s="17" t="s">
        <v>35</v>
      </c>
      <c r="M254" s="17" t="s">
        <v>1026</v>
      </c>
      <c r="N254" s="17" t="s">
        <v>1099</v>
      </c>
      <c r="O254" s="17"/>
      <c r="P254" s="17"/>
      <c r="Q254" s="17"/>
      <c r="R254" s="17"/>
      <c r="S254" s="17" t="e" cm="1">
        <f t="array" ref="S254">_xlfn.LET(_xlpm.r,_xlfn.XLOOKUP(1,MappingGuide[[#This Row],[API]:[API_3]],'[1]Squirrel SQL Export 1'!$K:$N,[1]!Table1[[#This Row],[Responsible from HJ]]),IF(_xlpm.r=0,"",_xlpm.r))</f>
        <v>#REF!</v>
      </c>
      <c r="T254" s="17"/>
      <c r="U254" s="17"/>
      <c r="V254" s="17" t="e" cm="1">
        <f t="array" ref="V254">_xlfn.LET(_xlpm.r,_xlfn.XLOOKUP(1,MappingGuide[[#This Row],[API]:[API_3]],'[1]Squirrel SQL Export 1'!$K:$N,[1]!Table1[[#This Row],[MDM Comments]]),IF(_xlpm.r=0,"",_xlpm.r))</f>
        <v>#REF!</v>
      </c>
      <c r="W254" s="17" t="e" cm="1">
        <f t="array" ref="W254">_xlfn.LET(_xlpm.r,_xlfn.XLOOKUP(1,MappingGuide[[#This Row],[API]:[API_3]],'[1]Squirrel SQL Export 1'!$K:$N,[1]!Table1[[#This Row],[Exists In Syndigo?]]),IF(_xlpm.r=0,"",_xlpm.r))</f>
        <v>#REF!</v>
      </c>
      <c r="X254" s="17" t="e" cm="1">
        <f t="array" ref="X254">_xlfn.LET(_xlpm.r,_xlfn.XLOOKUP(1,MappingGuide[[#This Row],[API]:[API_3]],'[1]Squirrel SQL Export 1'!$K:$N,[1]!Table1[[#This Row],[Syndigo Name]]),IF(_xlpm.r=0,"",_xlpm.r))</f>
        <v>#REF!</v>
      </c>
      <c r="Y254" s="17"/>
      <c r="Z254" s="17"/>
      <c r="AA254" s="17"/>
      <c r="AB254" s="17"/>
      <c r="AC254" s="17" t="e" cm="1">
        <f t="array" ref="AC254">_xlfn.XLOOKUP(1,MappingGuide[[#This Row],[API]:[API_3]],'[1]Squirrel SQL Export 1'!$K:$N,[1]!Table1[[#This Row],[Doppio Notes2]])</f>
        <v>#REF!</v>
      </c>
      <c r="AD254" s="17"/>
      <c r="AE254" s="17" t="e" cm="1">
        <f t="array" ref="AE254">_xlfn.XLOOKUP(1,MappingGuide[[#This Row],[API]:[API_3]],'[1]Squirrel SQL Export 1'!$K:$N,[1]!Table1[[#This Row],[DG_required]])</f>
        <v>#REF!</v>
      </c>
      <c r="AF254" s="21" t="s">
        <v>1290</v>
      </c>
      <c r="AG254" s="21"/>
      <c r="AH254" s="22" t="e" cm="1">
        <f t="array" ref="AH254">_xlfn.LET(_xlpm.r,_xlfn.XLOOKUP(1,MappingGuide[[#This Row],[API]:[API_3]],'[1]Squirrel SQL Export 1'!$K:$N,[1]!Table1[[#This Row],[Pending Items]]),IF(_xlpm.r=0,"",_xlpm.r))</f>
        <v>#REF!</v>
      </c>
      <c r="AI254" s="22" t="e" cm="1">
        <f t="array" ref="AI254">_xlfn.LET(_xlpm.r,_xlfn.XLOOKUP(1,MappingGuide[[#This Row],[API]:[API_3]],'[1]Squirrel SQL Export 1'!$K:$N,[1]!Table1[[#This Row],[Syndigo Name]]),IF(_xlpm.r=0,"",_xlpm.r))</f>
        <v>#REF!</v>
      </c>
      <c r="AJ254" s="17"/>
    </row>
    <row r="255" spans="1:36" ht="17" hidden="1">
      <c r="A255" s="17">
        <v>253</v>
      </c>
      <c r="B255" s="17" t="s">
        <v>40</v>
      </c>
      <c r="C255" s="17" t="s">
        <v>1100</v>
      </c>
      <c r="D255" s="17" t="s">
        <v>1101</v>
      </c>
      <c r="E255" s="17" t="s">
        <v>43</v>
      </c>
      <c r="F255" s="17" t="s">
        <v>56</v>
      </c>
      <c r="G255" s="17"/>
      <c r="H255" s="17"/>
      <c r="I255" s="17"/>
      <c r="J255" s="17"/>
      <c r="K255" s="17"/>
      <c r="L255" s="17" t="s">
        <v>35</v>
      </c>
      <c r="M255" s="17" t="s">
        <v>1026</v>
      </c>
      <c r="N255" s="17" t="s">
        <v>1102</v>
      </c>
      <c r="O255" s="17"/>
      <c r="P255" s="17"/>
      <c r="Q255" s="17"/>
      <c r="R255" s="17"/>
      <c r="S255" s="17" t="e" cm="1">
        <f t="array" ref="S255">_xlfn.LET(_xlpm.r,_xlfn.XLOOKUP(1,MappingGuide[[#This Row],[API]:[API_3]],'[1]Squirrel SQL Export 1'!$K:$N,[1]!Table1[[#This Row],[Responsible from HJ]]),IF(_xlpm.r=0,"",_xlpm.r))</f>
        <v>#REF!</v>
      </c>
      <c r="T255" s="17"/>
      <c r="U255" s="17"/>
      <c r="V255" s="17" t="e" cm="1">
        <f t="array" ref="V255">_xlfn.LET(_xlpm.r,_xlfn.XLOOKUP(1,MappingGuide[[#This Row],[API]:[API_3]],'[1]Squirrel SQL Export 1'!$K:$N,[1]!Table1[[#This Row],[MDM Comments]]),IF(_xlpm.r=0,"",_xlpm.r))</f>
        <v>#REF!</v>
      </c>
      <c r="W255" s="17" t="e" cm="1">
        <f t="array" ref="W255">_xlfn.LET(_xlpm.r,_xlfn.XLOOKUP(1,MappingGuide[[#This Row],[API]:[API_3]],'[1]Squirrel SQL Export 1'!$K:$N,[1]!Table1[[#This Row],[Exists In Syndigo?]]),IF(_xlpm.r=0,"",_xlpm.r))</f>
        <v>#REF!</v>
      </c>
      <c r="X255" s="17" t="e" cm="1">
        <f t="array" ref="X255">_xlfn.LET(_xlpm.r,_xlfn.XLOOKUP(1,MappingGuide[[#This Row],[API]:[API_3]],'[1]Squirrel SQL Export 1'!$K:$N,[1]!Table1[[#This Row],[Syndigo Name]]),IF(_xlpm.r=0,"",_xlpm.r))</f>
        <v>#REF!</v>
      </c>
      <c r="Y255" s="17"/>
      <c r="Z255" s="17"/>
      <c r="AA255" s="17"/>
      <c r="AB255" s="17"/>
      <c r="AC255" s="17" t="e" cm="1">
        <f t="array" ref="AC255">_xlfn.XLOOKUP(1,MappingGuide[[#This Row],[API]:[API_3]],'[1]Squirrel SQL Export 1'!$K:$N,[1]!Table1[[#This Row],[Doppio Notes2]])</f>
        <v>#REF!</v>
      </c>
      <c r="AD255" s="17"/>
      <c r="AE255" s="17" t="e" cm="1">
        <f t="array" ref="AE255">_xlfn.XLOOKUP(1,MappingGuide[[#This Row],[API]:[API_3]],'[1]Squirrel SQL Export 1'!$K:$N,[1]!Table1[[#This Row],[DG_required]])</f>
        <v>#REF!</v>
      </c>
      <c r="AF255" s="21" t="s">
        <v>1290</v>
      </c>
      <c r="AG255" s="21"/>
      <c r="AH255" s="22" t="e" cm="1">
        <f t="array" ref="AH255">_xlfn.LET(_xlpm.r,_xlfn.XLOOKUP(1,MappingGuide[[#This Row],[API]:[API_3]],'[1]Squirrel SQL Export 1'!$K:$N,[1]!Table1[[#This Row],[Pending Items]]),IF(_xlpm.r=0,"",_xlpm.r))</f>
        <v>#REF!</v>
      </c>
      <c r="AI255" s="22" t="e" cm="1">
        <f t="array" ref="AI255">_xlfn.LET(_xlpm.r,_xlfn.XLOOKUP(1,MappingGuide[[#This Row],[API]:[API_3]],'[1]Squirrel SQL Export 1'!$K:$N,[1]!Table1[[#This Row],[Syndigo Name]]),IF(_xlpm.r=0,"",_xlpm.r))</f>
        <v>#REF!</v>
      </c>
      <c r="AJ255" s="17"/>
    </row>
    <row r="256" spans="1:36" ht="17" hidden="1">
      <c r="A256" s="17">
        <v>254</v>
      </c>
      <c r="B256" s="17" t="s">
        <v>40</v>
      </c>
      <c r="C256" s="17" t="s">
        <v>1103</v>
      </c>
      <c r="D256" s="17" t="s">
        <v>1104</v>
      </c>
      <c r="E256" s="17" t="s">
        <v>43</v>
      </c>
      <c r="F256" s="17" t="s">
        <v>56</v>
      </c>
      <c r="G256" s="17"/>
      <c r="H256" s="17"/>
      <c r="I256" s="17"/>
      <c r="J256" s="17"/>
      <c r="K256" s="17"/>
      <c r="L256" s="17" t="s">
        <v>35</v>
      </c>
      <c r="M256" s="17" t="s">
        <v>1026</v>
      </c>
      <c r="N256" s="17" t="s">
        <v>1105</v>
      </c>
      <c r="O256" s="17"/>
      <c r="P256" s="17"/>
      <c r="Q256" s="17"/>
      <c r="R256" s="17"/>
      <c r="S256" s="17" t="e" cm="1">
        <f t="array" ref="S256">_xlfn.LET(_xlpm.r,_xlfn.XLOOKUP(1,MappingGuide[[#This Row],[API]:[API_3]],'[1]Squirrel SQL Export 1'!$K:$N,[1]!Table1[[#This Row],[Responsible from HJ]]),IF(_xlpm.r=0,"",_xlpm.r))</f>
        <v>#REF!</v>
      </c>
      <c r="T256" s="17"/>
      <c r="U256" s="17"/>
      <c r="V256" s="17" t="e" cm="1">
        <f t="array" ref="V256">_xlfn.LET(_xlpm.r,_xlfn.XLOOKUP(1,MappingGuide[[#This Row],[API]:[API_3]],'[1]Squirrel SQL Export 1'!$K:$N,[1]!Table1[[#This Row],[MDM Comments]]),IF(_xlpm.r=0,"",_xlpm.r))</f>
        <v>#REF!</v>
      </c>
      <c r="W256" s="17" t="e" cm="1">
        <f t="array" ref="W256">_xlfn.LET(_xlpm.r,_xlfn.XLOOKUP(1,MappingGuide[[#This Row],[API]:[API_3]],'[1]Squirrel SQL Export 1'!$K:$N,[1]!Table1[[#This Row],[Exists In Syndigo?]]),IF(_xlpm.r=0,"",_xlpm.r))</f>
        <v>#REF!</v>
      </c>
      <c r="X256" s="17" t="e" cm="1">
        <f t="array" ref="X256">_xlfn.LET(_xlpm.r,_xlfn.XLOOKUP(1,MappingGuide[[#This Row],[API]:[API_3]],'[1]Squirrel SQL Export 1'!$K:$N,[1]!Table1[[#This Row],[Syndigo Name]]),IF(_xlpm.r=0,"",_xlpm.r))</f>
        <v>#REF!</v>
      </c>
      <c r="Y256" s="17"/>
      <c r="Z256" s="17" t="s">
        <v>1106</v>
      </c>
      <c r="AA256" s="17"/>
      <c r="AB256" s="17"/>
      <c r="AC256" s="17" t="e" cm="1">
        <f t="array" ref="AC256">_xlfn.XLOOKUP(1,MappingGuide[[#This Row],[API]:[API_3]],'[1]Squirrel SQL Export 1'!$K:$N,[1]!Table1[[#This Row],[Doppio Notes2]])</f>
        <v>#REF!</v>
      </c>
      <c r="AD256" s="17"/>
      <c r="AE256" s="17" t="e" cm="1">
        <f t="array" ref="AE256">_xlfn.XLOOKUP(1,MappingGuide[[#This Row],[API]:[API_3]],'[1]Squirrel SQL Export 1'!$K:$N,[1]!Table1[[#This Row],[DG_required]])</f>
        <v>#REF!</v>
      </c>
      <c r="AF256" s="21" t="s">
        <v>1290</v>
      </c>
      <c r="AG256" s="21"/>
      <c r="AH256" s="22" t="e" cm="1">
        <f t="array" ref="AH256">_xlfn.LET(_xlpm.r,_xlfn.XLOOKUP(1,MappingGuide[[#This Row],[API]:[API_3]],'[1]Squirrel SQL Export 1'!$K:$N,[1]!Table1[[#This Row],[Pending Items]]),IF(_xlpm.r=0,"",_xlpm.r))</f>
        <v>#REF!</v>
      </c>
      <c r="AI256" s="22" t="e" cm="1">
        <f t="array" ref="AI256">_xlfn.LET(_xlpm.r,_xlfn.XLOOKUP(1,MappingGuide[[#This Row],[API]:[API_3]],'[1]Squirrel SQL Export 1'!$K:$N,[1]!Table1[[#This Row],[Syndigo Name]]),IF(_xlpm.r=0,"",_xlpm.r))</f>
        <v>#REF!</v>
      </c>
      <c r="AJ256" s="17"/>
    </row>
    <row r="257" spans="1:36" ht="17" hidden="1">
      <c r="A257" s="17">
        <v>255</v>
      </c>
      <c r="B257" s="17" t="s">
        <v>40</v>
      </c>
      <c r="C257" s="17" t="s">
        <v>1107</v>
      </c>
      <c r="D257" s="17" t="s">
        <v>1108</v>
      </c>
      <c r="E257" s="17" t="s">
        <v>43</v>
      </c>
      <c r="F257" s="17" t="s">
        <v>56</v>
      </c>
      <c r="G257" s="17"/>
      <c r="H257" s="17"/>
      <c r="I257" s="17"/>
      <c r="J257" s="17"/>
      <c r="K257" s="17"/>
      <c r="L257" s="17" t="s">
        <v>35</v>
      </c>
      <c r="M257" s="17" t="s">
        <v>1026</v>
      </c>
      <c r="N257" s="17" t="s">
        <v>1109</v>
      </c>
      <c r="O257" s="17"/>
      <c r="P257" s="17"/>
      <c r="Q257" s="17"/>
      <c r="R257" s="17"/>
      <c r="S257" s="17" t="e" cm="1">
        <f t="array" ref="S257">_xlfn.LET(_xlpm.r,_xlfn.XLOOKUP(1,MappingGuide[[#This Row],[API]:[API_3]],'[1]Squirrel SQL Export 1'!$K:$N,[1]!Table1[[#This Row],[Responsible from HJ]]),IF(_xlpm.r=0,"",_xlpm.r))</f>
        <v>#REF!</v>
      </c>
      <c r="T257" s="17"/>
      <c r="U257" s="17"/>
      <c r="V257" s="17" t="e" cm="1">
        <f t="array" ref="V257">_xlfn.LET(_xlpm.r,_xlfn.XLOOKUP(1,MappingGuide[[#This Row],[API]:[API_3]],'[1]Squirrel SQL Export 1'!$K:$N,[1]!Table1[[#This Row],[MDM Comments]]),IF(_xlpm.r=0,"",_xlpm.r))</f>
        <v>#REF!</v>
      </c>
      <c r="W257" s="17" t="e" cm="1">
        <f t="array" ref="W257">_xlfn.LET(_xlpm.r,_xlfn.XLOOKUP(1,MappingGuide[[#This Row],[API]:[API_3]],'[1]Squirrel SQL Export 1'!$K:$N,[1]!Table1[[#This Row],[Exists In Syndigo?]]),IF(_xlpm.r=0,"",_xlpm.r))</f>
        <v>#REF!</v>
      </c>
      <c r="X257" s="17" t="e" cm="1">
        <f t="array" ref="X257">_xlfn.LET(_xlpm.r,_xlfn.XLOOKUP(1,MappingGuide[[#This Row],[API]:[API_3]],'[1]Squirrel SQL Export 1'!$K:$N,[1]!Table1[[#This Row],[Syndigo Name]]),IF(_xlpm.r=0,"",_xlpm.r))</f>
        <v>#REF!</v>
      </c>
      <c r="Y257" s="17"/>
      <c r="Z257" s="17" t="s">
        <v>1110</v>
      </c>
      <c r="AA257" s="17"/>
      <c r="AB257" s="17"/>
      <c r="AC257" s="17" t="e" cm="1">
        <f t="array" ref="AC257">_xlfn.XLOOKUP(1,MappingGuide[[#This Row],[API]:[API_3]],'[1]Squirrel SQL Export 1'!$K:$N,[1]!Table1[[#This Row],[Doppio Notes2]])</f>
        <v>#REF!</v>
      </c>
      <c r="AD257" s="17"/>
      <c r="AE257" s="17" t="e" cm="1">
        <f t="array" ref="AE257">_xlfn.XLOOKUP(1,MappingGuide[[#This Row],[API]:[API_3]],'[1]Squirrel SQL Export 1'!$K:$N,[1]!Table1[[#This Row],[DG_required]])</f>
        <v>#REF!</v>
      </c>
      <c r="AF257" s="21" t="s">
        <v>1290</v>
      </c>
      <c r="AG257" s="21"/>
      <c r="AH257" s="22" t="e" cm="1">
        <f t="array" ref="AH257">_xlfn.LET(_xlpm.r,_xlfn.XLOOKUP(1,MappingGuide[[#This Row],[API]:[API_3]],'[1]Squirrel SQL Export 1'!$K:$N,[1]!Table1[[#This Row],[Pending Items]]),IF(_xlpm.r=0,"",_xlpm.r))</f>
        <v>#REF!</v>
      </c>
      <c r="AI257" s="22" t="e" cm="1">
        <f t="array" ref="AI257">_xlfn.LET(_xlpm.r,_xlfn.XLOOKUP(1,MappingGuide[[#This Row],[API]:[API_3]],'[1]Squirrel SQL Export 1'!$K:$N,[1]!Table1[[#This Row],[Syndigo Name]]),IF(_xlpm.r=0,"",_xlpm.r))</f>
        <v>#REF!</v>
      </c>
      <c r="AJ257" s="17"/>
    </row>
    <row r="258" spans="1:36" ht="17" hidden="1">
      <c r="A258" s="17">
        <v>256</v>
      </c>
      <c r="B258" s="17" t="s">
        <v>40</v>
      </c>
      <c r="C258" s="17" t="s">
        <v>1111</v>
      </c>
      <c r="D258" s="17" t="s">
        <v>1112</v>
      </c>
      <c r="E258" s="17" t="s">
        <v>43</v>
      </c>
      <c r="F258" s="17" t="s">
        <v>56</v>
      </c>
      <c r="G258" s="17"/>
      <c r="H258" s="17"/>
      <c r="I258" s="17"/>
      <c r="J258" s="17"/>
      <c r="K258" s="17"/>
      <c r="L258" s="17" t="s">
        <v>35</v>
      </c>
      <c r="M258" s="17" t="s">
        <v>1026</v>
      </c>
      <c r="N258" s="17" t="s">
        <v>1113</v>
      </c>
      <c r="O258" s="17"/>
      <c r="P258" s="17"/>
      <c r="Q258" s="17"/>
      <c r="R258" s="17"/>
      <c r="S258" s="17" t="e" cm="1">
        <f t="array" ref="S258">_xlfn.LET(_xlpm.r,_xlfn.XLOOKUP(1,MappingGuide[[#This Row],[API]:[API_3]],'[1]Squirrel SQL Export 1'!$K:$N,[1]!Table1[[#This Row],[Responsible from HJ]]),IF(_xlpm.r=0,"",_xlpm.r))</f>
        <v>#REF!</v>
      </c>
      <c r="T258" s="17"/>
      <c r="U258" s="17"/>
      <c r="V258" s="17" t="e" cm="1">
        <f t="array" ref="V258">_xlfn.LET(_xlpm.r,_xlfn.XLOOKUP(1,MappingGuide[[#This Row],[API]:[API_3]],'[1]Squirrel SQL Export 1'!$K:$N,[1]!Table1[[#This Row],[MDM Comments]]),IF(_xlpm.r=0,"",_xlpm.r))</f>
        <v>#REF!</v>
      </c>
      <c r="W258" s="17" t="e" cm="1">
        <f t="array" ref="W258">_xlfn.LET(_xlpm.r,_xlfn.XLOOKUP(1,MappingGuide[[#This Row],[API]:[API_3]],'[1]Squirrel SQL Export 1'!$K:$N,[1]!Table1[[#This Row],[Exists In Syndigo?]]),IF(_xlpm.r=0,"",_xlpm.r))</f>
        <v>#REF!</v>
      </c>
      <c r="X258" s="17" t="e" cm="1">
        <f t="array" ref="X258">_xlfn.LET(_xlpm.r,_xlfn.XLOOKUP(1,MappingGuide[[#This Row],[API]:[API_3]],'[1]Squirrel SQL Export 1'!$K:$N,[1]!Table1[[#This Row],[Syndigo Name]]),IF(_xlpm.r=0,"",_xlpm.r))</f>
        <v>#REF!</v>
      </c>
      <c r="Y258" s="17"/>
      <c r="Z258" s="17" t="s">
        <v>1114</v>
      </c>
      <c r="AA258" s="17"/>
      <c r="AB258" s="17"/>
      <c r="AC258" s="17" t="e" cm="1">
        <f t="array" ref="AC258">_xlfn.XLOOKUP(1,MappingGuide[[#This Row],[API]:[API_3]],'[1]Squirrel SQL Export 1'!$K:$N,[1]!Table1[[#This Row],[Doppio Notes2]])</f>
        <v>#REF!</v>
      </c>
      <c r="AD258" s="17"/>
      <c r="AE258" s="17" t="e" cm="1">
        <f t="array" ref="AE258">_xlfn.XLOOKUP(1,MappingGuide[[#This Row],[API]:[API_3]],'[1]Squirrel SQL Export 1'!$K:$N,[1]!Table1[[#This Row],[DG_required]])</f>
        <v>#REF!</v>
      </c>
      <c r="AF258" s="21" t="s">
        <v>1290</v>
      </c>
      <c r="AG258" s="21"/>
      <c r="AH258" s="22" t="e" cm="1">
        <f t="array" ref="AH258">_xlfn.LET(_xlpm.r,_xlfn.XLOOKUP(1,MappingGuide[[#This Row],[API]:[API_3]],'[1]Squirrel SQL Export 1'!$K:$N,[1]!Table1[[#This Row],[Pending Items]]),IF(_xlpm.r=0,"",_xlpm.r))</f>
        <v>#REF!</v>
      </c>
      <c r="AI258" s="22" t="e" cm="1">
        <f t="array" ref="AI258">_xlfn.LET(_xlpm.r,_xlfn.XLOOKUP(1,MappingGuide[[#This Row],[API]:[API_3]],'[1]Squirrel SQL Export 1'!$K:$N,[1]!Table1[[#This Row],[Syndigo Name]]),IF(_xlpm.r=0,"",_xlpm.r))</f>
        <v>#REF!</v>
      </c>
      <c r="AJ258" s="17"/>
    </row>
    <row r="259" spans="1:36" ht="17" hidden="1">
      <c r="A259" s="17">
        <v>257</v>
      </c>
      <c r="B259" s="17" t="s">
        <v>40</v>
      </c>
      <c r="C259" s="17" t="s">
        <v>1115</v>
      </c>
      <c r="D259" s="17" t="s">
        <v>1116</v>
      </c>
      <c r="E259" s="17" t="s">
        <v>33</v>
      </c>
      <c r="F259" s="17" t="s">
        <v>44</v>
      </c>
      <c r="G259" s="17"/>
      <c r="H259" s="17"/>
      <c r="I259" s="17"/>
      <c r="J259" s="17"/>
      <c r="K259" s="17"/>
      <c r="L259" s="17" t="s">
        <v>35</v>
      </c>
      <c r="M259" s="17" t="s">
        <v>1026</v>
      </c>
      <c r="N259" s="17" t="s">
        <v>1117</v>
      </c>
      <c r="O259" s="17"/>
      <c r="P259" s="17"/>
      <c r="Q259" s="17"/>
      <c r="R259" s="17"/>
      <c r="S259" s="17" t="e" cm="1">
        <f t="array" ref="S259">_xlfn.LET(_xlpm.r,_xlfn.XLOOKUP(1,MappingGuide[[#This Row],[API]:[API_3]],'[1]Squirrel SQL Export 1'!$K:$N,[1]!Table1[[#This Row],[Responsible from HJ]]),IF(_xlpm.r=0,"",_xlpm.r))</f>
        <v>#REF!</v>
      </c>
      <c r="T259" s="17"/>
      <c r="U259" s="17"/>
      <c r="V259" s="17" t="e" cm="1">
        <f t="array" ref="V259">_xlfn.LET(_xlpm.r,_xlfn.XLOOKUP(1,MappingGuide[[#This Row],[API]:[API_3]],'[1]Squirrel SQL Export 1'!$K:$N,[1]!Table1[[#This Row],[MDM Comments]]),IF(_xlpm.r=0,"",_xlpm.r))</f>
        <v>#REF!</v>
      </c>
      <c r="W259" s="17" t="e" cm="1">
        <f t="array" ref="W259">_xlfn.LET(_xlpm.r,_xlfn.XLOOKUP(1,MappingGuide[[#This Row],[API]:[API_3]],'[1]Squirrel SQL Export 1'!$K:$N,[1]!Table1[[#This Row],[Exists In Syndigo?]]),IF(_xlpm.r=0,"",_xlpm.r))</f>
        <v>#REF!</v>
      </c>
      <c r="X259" s="17" t="e" cm="1">
        <f t="array" ref="X259">_xlfn.LET(_xlpm.r,_xlfn.XLOOKUP(1,MappingGuide[[#This Row],[API]:[API_3]],'[1]Squirrel SQL Export 1'!$K:$N,[1]!Table1[[#This Row],[Syndigo Name]]),IF(_xlpm.r=0,"",_xlpm.r))</f>
        <v>#REF!</v>
      </c>
      <c r="Y259" s="17"/>
      <c r="Z259" s="17" t="s">
        <v>1118</v>
      </c>
      <c r="AA259" s="17"/>
      <c r="AB259" s="17"/>
      <c r="AC259" s="17" t="e" cm="1">
        <f t="array" ref="AC259">_xlfn.XLOOKUP(1,MappingGuide[[#This Row],[API]:[API_3]],'[1]Squirrel SQL Export 1'!$K:$N,[1]!Table1[[#This Row],[Doppio Notes2]])</f>
        <v>#REF!</v>
      </c>
      <c r="AD259" s="17"/>
      <c r="AE259" s="17" t="e" cm="1">
        <f t="array" ref="AE259">_xlfn.XLOOKUP(1,MappingGuide[[#This Row],[API]:[API_3]],'[1]Squirrel SQL Export 1'!$K:$N,[1]!Table1[[#This Row],[DG_required]])</f>
        <v>#REF!</v>
      </c>
      <c r="AF259" s="21" t="s">
        <v>1306</v>
      </c>
      <c r="AG259" s="21"/>
      <c r="AH259" s="22" t="e" cm="1">
        <f t="array" ref="AH259">_xlfn.LET(_xlpm.r,_xlfn.XLOOKUP(1,MappingGuide[[#This Row],[API]:[API_3]],'[1]Squirrel SQL Export 1'!$K:$N,[1]!Table1[[#This Row],[Pending Items]]),IF(_xlpm.r=0,"",_xlpm.r))</f>
        <v>#REF!</v>
      </c>
      <c r="AI259" s="22" t="e" cm="1">
        <f t="array" ref="AI259">_xlfn.LET(_xlpm.r,_xlfn.XLOOKUP(1,MappingGuide[[#This Row],[API]:[API_3]],'[1]Squirrel SQL Export 1'!$K:$N,[1]!Table1[[#This Row],[Syndigo Name]]),IF(_xlpm.r=0,"",_xlpm.r))</f>
        <v>#REF!</v>
      </c>
      <c r="AJ259" s="17"/>
    </row>
    <row r="260" spans="1:36" ht="17" hidden="1">
      <c r="A260" s="17">
        <v>258</v>
      </c>
      <c r="B260" s="17" t="s">
        <v>40</v>
      </c>
      <c r="C260" s="17" t="s">
        <v>1119</v>
      </c>
      <c r="D260" s="17" t="s">
        <v>1120</v>
      </c>
      <c r="E260" s="17" t="s">
        <v>43</v>
      </c>
      <c r="F260" s="17" t="s">
        <v>80</v>
      </c>
      <c r="G260" s="17"/>
      <c r="H260" s="17"/>
      <c r="I260" s="17"/>
      <c r="J260" s="17"/>
      <c r="K260" s="17"/>
      <c r="L260" s="17" t="s">
        <v>35</v>
      </c>
      <c r="M260" s="17" t="s">
        <v>73</v>
      </c>
      <c r="N260" s="17" t="s">
        <v>1121</v>
      </c>
      <c r="O260" s="17"/>
      <c r="P260" s="17"/>
      <c r="Q260" s="17"/>
      <c r="R260" s="17"/>
      <c r="S260" s="17" t="e" cm="1">
        <f t="array" ref="S260">_xlfn.LET(_xlpm.r,_xlfn.XLOOKUP(1,MappingGuide[[#This Row],[API]:[API_3]],'[1]Squirrel SQL Export 1'!$K:$N,[1]!Table1[[#This Row],[Responsible from HJ]]),IF(_xlpm.r=0,"",_xlpm.r))</f>
        <v>#REF!</v>
      </c>
      <c r="T260" s="17"/>
      <c r="U260" s="17"/>
      <c r="V260" s="17" t="e" cm="1">
        <f t="array" ref="V260">_xlfn.LET(_xlpm.r,_xlfn.XLOOKUP(1,MappingGuide[[#This Row],[API]:[API_3]],'[1]Squirrel SQL Export 1'!$K:$N,[1]!Table1[[#This Row],[MDM Comments]]),IF(_xlpm.r=0,"",_xlpm.r))</f>
        <v>#REF!</v>
      </c>
      <c r="W260" s="17" t="e" cm="1">
        <f t="array" ref="W260">_xlfn.LET(_xlpm.r,_xlfn.XLOOKUP(1,MappingGuide[[#This Row],[API]:[API_3]],'[1]Squirrel SQL Export 1'!$K:$N,[1]!Table1[[#This Row],[Exists In Syndigo?]]),IF(_xlpm.r=0,"",_xlpm.r))</f>
        <v>#REF!</v>
      </c>
      <c r="X260" s="17" t="e" cm="1">
        <f t="array" ref="X260">_xlfn.LET(_xlpm.r,_xlfn.XLOOKUP(1,MappingGuide[[#This Row],[API]:[API_3]],'[1]Squirrel SQL Export 1'!$K:$N,[1]!Table1[[#This Row],[Syndigo Name]]),IF(_xlpm.r=0,"",_xlpm.r))</f>
        <v>#REF!</v>
      </c>
      <c r="Y260" s="17"/>
      <c r="Z260" s="17"/>
      <c r="AA260" s="17"/>
      <c r="AB260" s="17"/>
      <c r="AC260" s="17" t="e" cm="1">
        <f t="array" ref="AC260">_xlfn.XLOOKUP(1,MappingGuide[[#This Row],[API]:[API_3]],'[1]Squirrel SQL Export 1'!$K:$N,[1]!Table1[[#This Row],[Doppio Notes2]])</f>
        <v>#REF!</v>
      </c>
      <c r="AD260" s="17"/>
      <c r="AE260" s="17" t="e" cm="1">
        <f t="array" ref="AE260">_xlfn.XLOOKUP(1,MappingGuide[[#This Row],[API]:[API_3]],'[1]Squirrel SQL Export 1'!$K:$N,[1]!Table1[[#This Row],[DG_required]])</f>
        <v>#REF!</v>
      </c>
      <c r="AF260" s="21" t="s">
        <v>1290</v>
      </c>
      <c r="AG260" s="21"/>
      <c r="AH260" s="22" t="e" cm="1">
        <f t="array" ref="AH260">_xlfn.LET(_xlpm.r,_xlfn.XLOOKUP(1,MappingGuide[[#This Row],[API]:[API_3]],'[1]Squirrel SQL Export 1'!$K:$N,[1]!Table1[[#This Row],[Pending Items]]),IF(_xlpm.r=0,"",_xlpm.r))</f>
        <v>#REF!</v>
      </c>
      <c r="AI260" s="22" t="e" cm="1">
        <f t="array" ref="AI260">_xlfn.LET(_xlpm.r,_xlfn.XLOOKUP(1,MappingGuide[[#This Row],[API]:[API_3]],'[1]Squirrel SQL Export 1'!$K:$N,[1]!Table1[[#This Row],[Syndigo Name]]),IF(_xlpm.r=0,"",_xlpm.r))</f>
        <v>#REF!</v>
      </c>
      <c r="AJ260" s="17"/>
    </row>
    <row r="261" spans="1:36" ht="17" hidden="1">
      <c r="A261" s="17">
        <v>259</v>
      </c>
      <c r="B261" s="17" t="s">
        <v>40</v>
      </c>
      <c r="C261" s="17" t="s">
        <v>1122</v>
      </c>
      <c r="D261" s="17" t="s">
        <v>1123</v>
      </c>
      <c r="E261" s="17" t="s">
        <v>43</v>
      </c>
      <c r="F261" s="17" t="s">
        <v>80</v>
      </c>
      <c r="G261" s="17"/>
      <c r="H261" s="17"/>
      <c r="I261" s="17"/>
      <c r="J261" s="17"/>
      <c r="K261" s="17"/>
      <c r="L261" s="17" t="s">
        <v>35</v>
      </c>
      <c r="M261" s="17" t="s">
        <v>73</v>
      </c>
      <c r="N261" s="17" t="s">
        <v>1124</v>
      </c>
      <c r="O261" s="17"/>
      <c r="P261" s="17"/>
      <c r="Q261" s="17"/>
      <c r="R261" s="17"/>
      <c r="S261" s="17" t="e" cm="1">
        <f t="array" ref="S261">_xlfn.LET(_xlpm.r,_xlfn.XLOOKUP(1,MappingGuide[[#This Row],[API]:[API_3]],'[1]Squirrel SQL Export 1'!$K:$N,[1]!Table1[[#This Row],[Responsible from HJ]]),IF(_xlpm.r=0,"",_xlpm.r))</f>
        <v>#REF!</v>
      </c>
      <c r="T261" s="17"/>
      <c r="U261" s="17"/>
      <c r="V261" s="17" t="e" cm="1">
        <f t="array" ref="V261">_xlfn.LET(_xlpm.r,_xlfn.XLOOKUP(1,MappingGuide[[#This Row],[API]:[API_3]],'[1]Squirrel SQL Export 1'!$K:$N,[1]!Table1[[#This Row],[MDM Comments]]),IF(_xlpm.r=0,"",_xlpm.r))</f>
        <v>#REF!</v>
      </c>
      <c r="W261" s="17" t="e" cm="1">
        <f t="array" ref="W261">_xlfn.LET(_xlpm.r,_xlfn.XLOOKUP(1,MappingGuide[[#This Row],[API]:[API_3]],'[1]Squirrel SQL Export 1'!$K:$N,[1]!Table1[[#This Row],[Exists In Syndigo?]]),IF(_xlpm.r=0,"",_xlpm.r))</f>
        <v>#REF!</v>
      </c>
      <c r="X261" s="17" t="e" cm="1">
        <f t="array" ref="X261">_xlfn.LET(_xlpm.r,_xlfn.XLOOKUP(1,MappingGuide[[#This Row],[API]:[API_3]],'[1]Squirrel SQL Export 1'!$K:$N,[1]!Table1[[#This Row],[Syndigo Name]]),IF(_xlpm.r=0,"",_xlpm.r))</f>
        <v>#REF!</v>
      </c>
      <c r="Y261" s="17"/>
      <c r="Z261" s="17" t="s">
        <v>1125</v>
      </c>
      <c r="AA261" s="17"/>
      <c r="AB261" s="17"/>
      <c r="AC261" s="17" t="e" cm="1">
        <f t="array" ref="AC261">_xlfn.XLOOKUP(1,MappingGuide[[#This Row],[API]:[API_3]],'[1]Squirrel SQL Export 1'!$K:$N,[1]!Table1[[#This Row],[Doppio Notes2]])</f>
        <v>#REF!</v>
      </c>
      <c r="AD261" s="17"/>
      <c r="AE261" s="17" t="e" cm="1">
        <f t="array" ref="AE261">_xlfn.XLOOKUP(1,MappingGuide[[#This Row],[API]:[API_3]],'[1]Squirrel SQL Export 1'!$K:$N,[1]!Table1[[#This Row],[DG_required]])</f>
        <v>#REF!</v>
      </c>
      <c r="AF261" s="21" t="s">
        <v>1290</v>
      </c>
      <c r="AG261" s="21"/>
      <c r="AH261" s="22" t="e" cm="1">
        <f t="array" ref="AH261">_xlfn.LET(_xlpm.r,_xlfn.XLOOKUP(1,MappingGuide[[#This Row],[API]:[API_3]],'[1]Squirrel SQL Export 1'!$K:$N,[1]!Table1[[#This Row],[Pending Items]]),IF(_xlpm.r=0,"",_xlpm.r))</f>
        <v>#REF!</v>
      </c>
      <c r="AI261" s="22" t="e" cm="1">
        <f t="array" ref="AI261">_xlfn.LET(_xlpm.r,_xlfn.XLOOKUP(1,MappingGuide[[#This Row],[API]:[API_3]],'[1]Squirrel SQL Export 1'!$K:$N,[1]!Table1[[#This Row],[Syndigo Name]]),IF(_xlpm.r=0,"",_xlpm.r))</f>
        <v>#REF!</v>
      </c>
      <c r="AJ261" s="17"/>
    </row>
    <row r="262" spans="1:36" ht="17" hidden="1">
      <c r="A262" s="17">
        <v>260</v>
      </c>
      <c r="B262" s="17" t="s">
        <v>40</v>
      </c>
      <c r="C262" s="17" t="s">
        <v>1126</v>
      </c>
      <c r="D262" s="17" t="s">
        <v>1127</v>
      </c>
      <c r="E262" s="17" t="s">
        <v>43</v>
      </c>
      <c r="F262" s="17" t="s">
        <v>80</v>
      </c>
      <c r="G262" s="17"/>
      <c r="H262" s="17"/>
      <c r="I262" s="17"/>
      <c r="J262" s="17"/>
      <c r="K262" s="17"/>
      <c r="L262" s="17" t="s">
        <v>35</v>
      </c>
      <c r="M262" s="17" t="s">
        <v>73</v>
      </c>
      <c r="N262" s="17" t="s">
        <v>1128</v>
      </c>
      <c r="O262" s="17"/>
      <c r="P262" s="17"/>
      <c r="Q262" s="17"/>
      <c r="R262" s="17"/>
      <c r="S262" s="17" t="e" cm="1">
        <f t="array" ref="S262">_xlfn.LET(_xlpm.r,_xlfn.XLOOKUP(1,MappingGuide[[#This Row],[API]:[API_3]],'[1]Squirrel SQL Export 1'!$K:$N,[1]!Table1[[#This Row],[Responsible from HJ]]),IF(_xlpm.r=0,"",_xlpm.r))</f>
        <v>#REF!</v>
      </c>
      <c r="T262" s="17"/>
      <c r="U262" s="17"/>
      <c r="V262" s="17" t="e" cm="1">
        <f t="array" ref="V262">_xlfn.LET(_xlpm.r,_xlfn.XLOOKUP(1,MappingGuide[[#This Row],[API]:[API_3]],'[1]Squirrel SQL Export 1'!$K:$N,[1]!Table1[[#This Row],[MDM Comments]]),IF(_xlpm.r=0,"",_xlpm.r))</f>
        <v>#REF!</v>
      </c>
      <c r="W262" s="17" t="e" cm="1">
        <f t="array" ref="W262">_xlfn.LET(_xlpm.r,_xlfn.XLOOKUP(1,MappingGuide[[#This Row],[API]:[API_3]],'[1]Squirrel SQL Export 1'!$K:$N,[1]!Table1[[#This Row],[Exists In Syndigo?]]),IF(_xlpm.r=0,"",_xlpm.r))</f>
        <v>#REF!</v>
      </c>
      <c r="X262" s="17" t="e" cm="1">
        <f t="array" ref="X262">_xlfn.LET(_xlpm.r,_xlfn.XLOOKUP(1,MappingGuide[[#This Row],[API]:[API_3]],'[1]Squirrel SQL Export 1'!$K:$N,[1]!Table1[[#This Row],[Syndigo Name]]),IF(_xlpm.r=0,"",_xlpm.r))</f>
        <v>#REF!</v>
      </c>
      <c r="Y262" s="17"/>
      <c r="Z262" s="17" t="s">
        <v>1129</v>
      </c>
      <c r="AA262" s="17"/>
      <c r="AB262" s="17"/>
      <c r="AC262" s="17" t="e" cm="1">
        <f t="array" ref="AC262">_xlfn.XLOOKUP(1,MappingGuide[[#This Row],[API]:[API_3]],'[1]Squirrel SQL Export 1'!$K:$N,[1]!Table1[[#This Row],[Doppio Notes2]])</f>
        <v>#REF!</v>
      </c>
      <c r="AD262" s="17"/>
      <c r="AE262" s="17" t="e" cm="1">
        <f t="array" ref="AE262">_xlfn.XLOOKUP(1,MappingGuide[[#This Row],[API]:[API_3]],'[1]Squirrel SQL Export 1'!$K:$N,[1]!Table1[[#This Row],[DG_required]])</f>
        <v>#REF!</v>
      </c>
      <c r="AF262" s="21" t="s">
        <v>1290</v>
      </c>
      <c r="AG262" s="21"/>
      <c r="AH262" s="22" t="e" cm="1">
        <f t="array" ref="AH262">_xlfn.LET(_xlpm.r,_xlfn.XLOOKUP(1,MappingGuide[[#This Row],[API]:[API_3]],'[1]Squirrel SQL Export 1'!$K:$N,[1]!Table1[[#This Row],[Pending Items]]),IF(_xlpm.r=0,"",_xlpm.r))</f>
        <v>#REF!</v>
      </c>
      <c r="AI262" s="22" t="e" cm="1">
        <f t="array" ref="AI262">_xlfn.LET(_xlpm.r,_xlfn.XLOOKUP(1,MappingGuide[[#This Row],[API]:[API_3]],'[1]Squirrel SQL Export 1'!$K:$N,[1]!Table1[[#This Row],[Syndigo Name]]),IF(_xlpm.r=0,"",_xlpm.r))</f>
        <v>#REF!</v>
      </c>
      <c r="AJ262" s="17"/>
    </row>
    <row r="263" spans="1:36" ht="17" hidden="1">
      <c r="A263" s="17">
        <v>261</v>
      </c>
      <c r="B263" s="17" t="s">
        <v>40</v>
      </c>
      <c r="C263" s="17" t="s">
        <v>1130</v>
      </c>
      <c r="D263" s="17" t="s">
        <v>1131</v>
      </c>
      <c r="E263" s="17" t="s">
        <v>33</v>
      </c>
      <c r="F263" s="17" t="s">
        <v>56</v>
      </c>
      <c r="G263" s="17"/>
      <c r="H263" s="17"/>
      <c r="I263" s="17"/>
      <c r="J263" s="17"/>
      <c r="K263" s="17"/>
      <c r="L263" s="17" t="s">
        <v>35</v>
      </c>
      <c r="M263" s="17" t="s">
        <v>146</v>
      </c>
      <c r="N263" s="17" t="s">
        <v>1132</v>
      </c>
      <c r="O263" s="17"/>
      <c r="P263" s="17"/>
      <c r="Q263" s="17"/>
      <c r="R263" s="17"/>
      <c r="S263" s="17" t="e" cm="1">
        <f t="array" ref="S263">_xlfn.LET(_xlpm.r,_xlfn.XLOOKUP(1,MappingGuide[[#This Row],[API]:[API_3]],'[1]Squirrel SQL Export 1'!$K:$N,[1]!Table1[[#This Row],[Responsible from HJ]]),IF(_xlpm.r=0,"",_xlpm.r))</f>
        <v>#REF!</v>
      </c>
      <c r="T263" s="17"/>
      <c r="U263" s="17"/>
      <c r="V263" s="17" t="e" cm="1">
        <f t="array" ref="V263">_xlfn.LET(_xlpm.r,_xlfn.XLOOKUP(1,MappingGuide[[#This Row],[API]:[API_3]],'[1]Squirrel SQL Export 1'!$K:$N,[1]!Table1[[#This Row],[MDM Comments]]),IF(_xlpm.r=0,"",_xlpm.r))</f>
        <v>#REF!</v>
      </c>
      <c r="W263" s="17" t="e" cm="1">
        <f t="array" ref="W263">_xlfn.LET(_xlpm.r,_xlfn.XLOOKUP(1,MappingGuide[[#This Row],[API]:[API_3]],'[1]Squirrel SQL Export 1'!$K:$N,[1]!Table1[[#This Row],[Exists In Syndigo?]]),IF(_xlpm.r=0,"",_xlpm.r))</f>
        <v>#REF!</v>
      </c>
      <c r="X263" s="17" t="e" cm="1">
        <f t="array" ref="X263">_xlfn.LET(_xlpm.r,_xlfn.XLOOKUP(1,MappingGuide[[#This Row],[API]:[API_3]],'[1]Squirrel SQL Export 1'!$K:$N,[1]!Table1[[#This Row],[Syndigo Name]]),IF(_xlpm.r=0,"",_xlpm.r))</f>
        <v>#REF!</v>
      </c>
      <c r="Y263" s="17"/>
      <c r="Z263" s="17" t="s">
        <v>1133</v>
      </c>
      <c r="AA263" s="17" t="s">
        <v>1134</v>
      </c>
      <c r="AB263" s="17"/>
      <c r="AC263" s="17" t="e" cm="1">
        <f t="array" ref="AC263">_xlfn.XLOOKUP(1,MappingGuide[[#This Row],[API]:[API_3]],'[1]Squirrel SQL Export 1'!$K:$N,[1]!Table1[[#This Row],[Doppio Notes2]])</f>
        <v>#REF!</v>
      </c>
      <c r="AD263" s="17"/>
      <c r="AE263" s="17" t="e" cm="1">
        <f t="array" ref="AE263">_xlfn.XLOOKUP(1,MappingGuide[[#This Row],[API]:[API_3]],'[1]Squirrel SQL Export 1'!$K:$N,[1]!Table1[[#This Row],[DG_required]])</f>
        <v>#REF!</v>
      </c>
      <c r="AF263" s="21" t="s">
        <v>1306</v>
      </c>
      <c r="AG263" s="21"/>
      <c r="AH263" s="22" t="e" cm="1">
        <f t="array" ref="AH263">_xlfn.LET(_xlpm.r,_xlfn.XLOOKUP(1,MappingGuide[[#This Row],[API]:[API_3]],'[1]Squirrel SQL Export 1'!$K:$N,[1]!Table1[[#This Row],[Pending Items]]),IF(_xlpm.r=0,"",_xlpm.r))</f>
        <v>#REF!</v>
      </c>
      <c r="AI263" s="22" t="e" cm="1">
        <f t="array" ref="AI263">_xlfn.LET(_xlpm.r,_xlfn.XLOOKUP(1,MappingGuide[[#This Row],[API]:[API_3]],'[1]Squirrel SQL Export 1'!$K:$N,[1]!Table1[[#This Row],[Syndigo Name]]),IF(_xlpm.r=0,"",_xlpm.r))</f>
        <v>#REF!</v>
      </c>
      <c r="AJ263" s="17"/>
    </row>
    <row r="264" spans="1:36" ht="17" hidden="1">
      <c r="A264" s="17">
        <v>262</v>
      </c>
      <c r="B264" s="17" t="s">
        <v>40</v>
      </c>
      <c r="C264" s="17" t="s">
        <v>1135</v>
      </c>
      <c r="D264" s="17" t="s">
        <v>1136</v>
      </c>
      <c r="E264" s="17" t="s">
        <v>43</v>
      </c>
      <c r="F264" s="17" t="s">
        <v>80</v>
      </c>
      <c r="G264" s="17"/>
      <c r="H264" s="17"/>
      <c r="I264" s="17"/>
      <c r="J264" s="17"/>
      <c r="K264" s="17"/>
      <c r="L264" s="17"/>
      <c r="M264" s="17"/>
      <c r="N264" s="17" t="s">
        <v>1137</v>
      </c>
      <c r="O264" s="17"/>
      <c r="P264" s="17"/>
      <c r="Q264" s="17"/>
      <c r="R264" s="17"/>
      <c r="S264" s="17" t="e" cm="1">
        <f t="array" ref="S264">_xlfn.LET(_xlpm.r,_xlfn.XLOOKUP(1,MappingGuide[[#This Row],[API]:[API_3]],'[1]Squirrel SQL Export 1'!$K:$N,[1]!Table1[[#This Row],[Responsible from HJ]]),IF(_xlpm.r=0,"",_xlpm.r))</f>
        <v>#REF!</v>
      </c>
      <c r="T264" s="17"/>
      <c r="U264" s="17"/>
      <c r="V264" s="17" t="e" cm="1">
        <f t="array" ref="V264">_xlfn.LET(_xlpm.r,_xlfn.XLOOKUP(1,MappingGuide[[#This Row],[API]:[API_3]],'[1]Squirrel SQL Export 1'!$K:$N,[1]!Table1[[#This Row],[MDM Comments]]),IF(_xlpm.r=0,"",_xlpm.r))</f>
        <v>#REF!</v>
      </c>
      <c r="W264" s="17" t="e" cm="1">
        <f t="array" ref="W264">_xlfn.LET(_xlpm.r,_xlfn.XLOOKUP(1,MappingGuide[[#This Row],[API]:[API_3]],'[1]Squirrel SQL Export 1'!$K:$N,[1]!Table1[[#This Row],[Exists In Syndigo?]]),IF(_xlpm.r=0,"",_xlpm.r))</f>
        <v>#REF!</v>
      </c>
      <c r="X264" s="17" t="e" cm="1">
        <f t="array" ref="X264">_xlfn.LET(_xlpm.r,_xlfn.XLOOKUP(1,MappingGuide[[#This Row],[API]:[API_3]],'[1]Squirrel SQL Export 1'!$K:$N,[1]!Table1[[#This Row],[Syndigo Name]]),IF(_xlpm.r=0,"",_xlpm.r))</f>
        <v>#REF!</v>
      </c>
      <c r="Y264" s="17"/>
      <c r="Z264" s="17"/>
      <c r="AA264" s="17"/>
      <c r="AB264" s="17"/>
      <c r="AC264" s="17" t="e" cm="1">
        <f t="array" ref="AC264">_xlfn.XLOOKUP(1,MappingGuide[[#This Row],[API]:[API_3]],'[1]Squirrel SQL Export 1'!$K:$N,[1]!Table1[[#This Row],[Doppio Notes2]])</f>
        <v>#REF!</v>
      </c>
      <c r="AD264" s="17"/>
      <c r="AE264" s="17" t="e" cm="1">
        <f t="array" ref="AE264">_xlfn.XLOOKUP(1,MappingGuide[[#This Row],[API]:[API_3]],'[1]Squirrel SQL Export 1'!$K:$N,[1]!Table1[[#This Row],[DG_required]])</f>
        <v>#REF!</v>
      </c>
      <c r="AF264" s="21" t="s">
        <v>1290</v>
      </c>
      <c r="AG264" s="21"/>
      <c r="AH264" s="22" t="e" cm="1">
        <f t="array" ref="AH264">_xlfn.LET(_xlpm.r,_xlfn.XLOOKUP(1,MappingGuide[[#This Row],[API]:[API_3]],'[1]Squirrel SQL Export 1'!$K:$N,[1]!Table1[[#This Row],[Pending Items]]),IF(_xlpm.r=0,"",_xlpm.r))</f>
        <v>#REF!</v>
      </c>
      <c r="AI264" s="22" t="e" cm="1">
        <f t="array" ref="AI264">_xlfn.LET(_xlpm.r,_xlfn.XLOOKUP(1,MappingGuide[[#This Row],[API]:[API_3]],'[1]Squirrel SQL Export 1'!$K:$N,[1]!Table1[[#This Row],[Syndigo Name]]),IF(_xlpm.r=0,"",_xlpm.r))</f>
        <v>#REF!</v>
      </c>
      <c r="AJ264" s="17"/>
    </row>
    <row r="265" spans="1:36" ht="17" hidden="1">
      <c r="A265" s="17">
        <v>263</v>
      </c>
      <c r="B265" s="17" t="s">
        <v>40</v>
      </c>
      <c r="C265" s="17" t="s">
        <v>1138</v>
      </c>
      <c r="D265" s="17" t="s">
        <v>1139</v>
      </c>
      <c r="E265" s="17" t="s">
        <v>33</v>
      </c>
      <c r="F265" s="17" t="s">
        <v>34</v>
      </c>
      <c r="G265" s="17"/>
      <c r="H265" s="17"/>
      <c r="I265" s="17"/>
      <c r="J265" s="17"/>
      <c r="K265" s="17"/>
      <c r="L265" s="17"/>
      <c r="M265" s="17"/>
      <c r="N265" s="17" t="s">
        <v>1140</v>
      </c>
      <c r="O265" s="17"/>
      <c r="P265" s="17"/>
      <c r="Q265" s="17"/>
      <c r="R265" s="17"/>
      <c r="S265" s="17" t="e" cm="1">
        <f t="array" ref="S265">_xlfn.LET(_xlpm.r,_xlfn.XLOOKUP(1,MappingGuide[[#This Row],[API]:[API_3]],'[1]Squirrel SQL Export 1'!$K:$N,[1]!Table1[[#This Row],[Responsible from HJ]]),IF(_xlpm.r=0,"",_xlpm.r))</f>
        <v>#REF!</v>
      </c>
      <c r="T265" s="17"/>
      <c r="U265" s="17"/>
      <c r="V265" s="17" t="e" cm="1">
        <f t="array" ref="V265">_xlfn.LET(_xlpm.r,_xlfn.XLOOKUP(1,MappingGuide[[#This Row],[API]:[API_3]],'[1]Squirrel SQL Export 1'!$K:$N,[1]!Table1[[#This Row],[MDM Comments]]),IF(_xlpm.r=0,"",_xlpm.r))</f>
        <v>#REF!</v>
      </c>
      <c r="W265" s="17" t="e" cm="1">
        <f t="array" ref="W265">_xlfn.LET(_xlpm.r,_xlfn.XLOOKUP(1,MappingGuide[[#This Row],[API]:[API_3]],'[1]Squirrel SQL Export 1'!$K:$N,[1]!Table1[[#This Row],[Exists In Syndigo?]]),IF(_xlpm.r=0,"",_xlpm.r))</f>
        <v>#REF!</v>
      </c>
      <c r="X265" s="17" t="e" cm="1">
        <f t="array" ref="X265">_xlfn.LET(_xlpm.r,_xlfn.XLOOKUP(1,MappingGuide[[#This Row],[API]:[API_3]],'[1]Squirrel SQL Export 1'!$K:$N,[1]!Table1[[#This Row],[Syndigo Name]]),IF(_xlpm.r=0,"",_xlpm.r))</f>
        <v>#REF!</v>
      </c>
      <c r="Y265" s="17"/>
      <c r="Z265" s="17" t="s">
        <v>1141</v>
      </c>
      <c r="AA265" s="17"/>
      <c r="AB265" s="17"/>
      <c r="AC265" s="17" t="e" cm="1">
        <f t="array" ref="AC265">_xlfn.XLOOKUP(1,MappingGuide[[#This Row],[API]:[API_3]],'[1]Squirrel SQL Export 1'!$K:$N,[1]!Table1[[#This Row],[Doppio Notes2]])</f>
        <v>#REF!</v>
      </c>
      <c r="AD265" s="17"/>
      <c r="AE265" s="17" t="e" cm="1">
        <f t="array" ref="AE265">_xlfn.XLOOKUP(1,MappingGuide[[#This Row],[API]:[API_3]],'[1]Squirrel SQL Export 1'!$K:$N,[1]!Table1[[#This Row],[DG_required]])</f>
        <v>#REF!</v>
      </c>
      <c r="AF265" s="21" t="s">
        <v>1306</v>
      </c>
      <c r="AG265" s="21"/>
      <c r="AH265" s="22" t="e" cm="1">
        <f t="array" ref="AH265">_xlfn.LET(_xlpm.r,_xlfn.XLOOKUP(1,MappingGuide[[#This Row],[API]:[API_3]],'[1]Squirrel SQL Export 1'!$K:$N,[1]!Table1[[#This Row],[Pending Items]]),IF(_xlpm.r=0,"",_xlpm.r))</f>
        <v>#REF!</v>
      </c>
      <c r="AI265" s="22" t="e" cm="1">
        <f t="array" ref="AI265">_xlfn.LET(_xlpm.r,_xlfn.XLOOKUP(1,MappingGuide[[#This Row],[API]:[API_3]],'[1]Squirrel SQL Export 1'!$K:$N,[1]!Table1[[#This Row],[Syndigo Name]]),IF(_xlpm.r=0,"",_xlpm.r))</f>
        <v>#REF!</v>
      </c>
      <c r="AJ265" s="17"/>
    </row>
    <row r="266" spans="1:36" ht="17" hidden="1">
      <c r="A266" s="17">
        <v>264</v>
      </c>
      <c r="B266" s="17" t="s">
        <v>40</v>
      </c>
      <c r="C266" s="17" t="s">
        <v>1142</v>
      </c>
      <c r="D266" s="17" t="s">
        <v>1143</v>
      </c>
      <c r="E266" s="17" t="s">
        <v>33</v>
      </c>
      <c r="F266" s="17" t="s">
        <v>44</v>
      </c>
      <c r="G266" s="17"/>
      <c r="H266" s="17"/>
      <c r="I266" s="17"/>
      <c r="J266" s="17"/>
      <c r="K266" s="17"/>
      <c r="L266" s="17" t="s">
        <v>35</v>
      </c>
      <c r="M266" s="17" t="s">
        <v>146</v>
      </c>
      <c r="N266" s="17" t="s">
        <v>1144</v>
      </c>
      <c r="O266" s="17"/>
      <c r="P266" s="17"/>
      <c r="Q266" s="17"/>
      <c r="R266" s="17"/>
      <c r="S266" s="17" t="e" cm="1">
        <f t="array" ref="S266">_xlfn.LET(_xlpm.r,_xlfn.XLOOKUP(1,MappingGuide[[#This Row],[API]:[API_3]],'[1]Squirrel SQL Export 1'!$K:$N,[1]!Table1[[#This Row],[Responsible from HJ]]),IF(_xlpm.r=0,"",_xlpm.r))</f>
        <v>#REF!</v>
      </c>
      <c r="T266" s="17"/>
      <c r="U266" s="17"/>
      <c r="V266" s="17" t="e" cm="1">
        <f t="array" ref="V266">_xlfn.LET(_xlpm.r,_xlfn.XLOOKUP(1,MappingGuide[[#This Row],[API]:[API_3]],'[1]Squirrel SQL Export 1'!$K:$N,[1]!Table1[[#This Row],[MDM Comments]]),IF(_xlpm.r=0,"",_xlpm.r))</f>
        <v>#REF!</v>
      </c>
      <c r="W266" s="17" t="e" cm="1">
        <f t="array" ref="W266">_xlfn.LET(_xlpm.r,_xlfn.XLOOKUP(1,MappingGuide[[#This Row],[API]:[API_3]],'[1]Squirrel SQL Export 1'!$K:$N,[1]!Table1[[#This Row],[Exists In Syndigo?]]),IF(_xlpm.r=0,"",_xlpm.r))</f>
        <v>#REF!</v>
      </c>
      <c r="X266" s="17" t="e" cm="1">
        <f t="array" ref="X266">_xlfn.LET(_xlpm.r,_xlfn.XLOOKUP(1,MappingGuide[[#This Row],[API]:[API_3]],'[1]Squirrel SQL Export 1'!$K:$N,[1]!Table1[[#This Row],[Syndigo Name]]),IF(_xlpm.r=0,"",_xlpm.r))</f>
        <v>#REF!</v>
      </c>
      <c r="Y266" s="17"/>
      <c r="Z266" s="17" t="s">
        <v>1145</v>
      </c>
      <c r="AA266" s="17"/>
      <c r="AB266" s="17"/>
      <c r="AC266" s="17" t="e" cm="1">
        <f t="array" ref="AC266">_xlfn.XLOOKUP(1,MappingGuide[[#This Row],[API]:[API_3]],'[1]Squirrel SQL Export 1'!$K:$N,[1]!Table1[[#This Row],[Doppio Notes2]])</f>
        <v>#REF!</v>
      </c>
      <c r="AD266" s="17"/>
      <c r="AE266" s="17" t="e" cm="1">
        <f t="array" ref="AE266">_xlfn.XLOOKUP(1,MappingGuide[[#This Row],[API]:[API_3]],'[1]Squirrel SQL Export 1'!$K:$N,[1]!Table1[[#This Row],[DG_required]])</f>
        <v>#REF!</v>
      </c>
      <c r="AF266" s="21" t="s">
        <v>1306</v>
      </c>
      <c r="AG266" s="21"/>
      <c r="AH266" s="22" t="e" cm="1">
        <f t="array" ref="AH266">_xlfn.LET(_xlpm.r,_xlfn.XLOOKUP(1,MappingGuide[[#This Row],[API]:[API_3]],'[1]Squirrel SQL Export 1'!$K:$N,[1]!Table1[[#This Row],[Pending Items]]),IF(_xlpm.r=0,"",_xlpm.r))</f>
        <v>#REF!</v>
      </c>
      <c r="AI266" s="22" t="e" cm="1">
        <f t="array" ref="AI266">_xlfn.LET(_xlpm.r,_xlfn.XLOOKUP(1,MappingGuide[[#This Row],[API]:[API_3]],'[1]Squirrel SQL Export 1'!$K:$N,[1]!Table1[[#This Row],[Syndigo Name]]),IF(_xlpm.r=0,"",_xlpm.r))</f>
        <v>#REF!</v>
      </c>
      <c r="AJ266" s="17"/>
    </row>
    <row r="267" spans="1:36" ht="17" hidden="1">
      <c r="A267" s="17">
        <v>265</v>
      </c>
      <c r="B267" s="17" t="s">
        <v>40</v>
      </c>
      <c r="C267" s="17" t="s">
        <v>1146</v>
      </c>
      <c r="D267" s="17" t="s">
        <v>1147</v>
      </c>
      <c r="E267" s="17" t="s">
        <v>33</v>
      </c>
      <c r="F267" s="17" t="s">
        <v>34</v>
      </c>
      <c r="G267" s="17"/>
      <c r="H267" s="17"/>
      <c r="I267" s="17"/>
      <c r="J267" s="17"/>
      <c r="K267" s="17"/>
      <c r="L267" s="17" t="s">
        <v>35</v>
      </c>
      <c r="M267" s="17" t="s">
        <v>73</v>
      </c>
      <c r="N267" s="17" t="s">
        <v>1148</v>
      </c>
      <c r="O267" s="17"/>
      <c r="P267" s="17"/>
      <c r="Q267" s="17"/>
      <c r="R267" s="17"/>
      <c r="S267" s="17" t="e" cm="1">
        <f t="array" ref="S267">_xlfn.LET(_xlpm.r,_xlfn.XLOOKUP(1,MappingGuide[[#This Row],[API]:[API_3]],'[1]Squirrel SQL Export 1'!$K:$N,[1]!Table1[[#This Row],[Responsible from HJ]]),IF(_xlpm.r=0,"",_xlpm.r))</f>
        <v>#REF!</v>
      </c>
      <c r="T267" s="17"/>
      <c r="U267" s="17"/>
      <c r="V267" s="17" t="e" cm="1">
        <f t="array" ref="V267">_xlfn.LET(_xlpm.r,_xlfn.XLOOKUP(1,MappingGuide[[#This Row],[API]:[API_3]],'[1]Squirrel SQL Export 1'!$K:$N,[1]!Table1[[#This Row],[MDM Comments]]),IF(_xlpm.r=0,"",_xlpm.r))</f>
        <v>#REF!</v>
      </c>
      <c r="W267" s="17" t="e" cm="1">
        <f t="array" ref="W267">_xlfn.LET(_xlpm.r,_xlfn.XLOOKUP(1,MappingGuide[[#This Row],[API]:[API_3]],'[1]Squirrel SQL Export 1'!$K:$N,[1]!Table1[[#This Row],[Exists In Syndigo?]]),IF(_xlpm.r=0,"",_xlpm.r))</f>
        <v>#REF!</v>
      </c>
      <c r="X267" s="17" t="e" cm="1">
        <f t="array" ref="X267">_xlfn.LET(_xlpm.r,_xlfn.XLOOKUP(1,MappingGuide[[#This Row],[API]:[API_3]],'[1]Squirrel SQL Export 1'!$K:$N,[1]!Table1[[#This Row],[Syndigo Name]]),IF(_xlpm.r=0,"",_xlpm.r))</f>
        <v>#REF!</v>
      </c>
      <c r="Y267" s="17"/>
      <c r="Z267" s="17" t="s">
        <v>1149</v>
      </c>
      <c r="AA267" s="17"/>
      <c r="AB267" s="17"/>
      <c r="AC267" s="17" t="e" cm="1">
        <f t="array" ref="AC267">_xlfn.XLOOKUP(1,MappingGuide[[#This Row],[API]:[API_3]],'[1]Squirrel SQL Export 1'!$K:$N,[1]!Table1[[#This Row],[Doppio Notes2]])</f>
        <v>#REF!</v>
      </c>
      <c r="AD267" s="17"/>
      <c r="AE267" s="17" t="e" cm="1">
        <f t="array" ref="AE267">_xlfn.XLOOKUP(1,MappingGuide[[#This Row],[API]:[API_3]],'[1]Squirrel SQL Export 1'!$K:$N,[1]!Table1[[#This Row],[DG_required]])</f>
        <v>#REF!</v>
      </c>
      <c r="AF267" s="21" t="s">
        <v>1306</v>
      </c>
      <c r="AG267" s="21"/>
      <c r="AH267" s="22" t="e" cm="1">
        <f t="array" ref="AH267">_xlfn.LET(_xlpm.r,_xlfn.XLOOKUP(1,MappingGuide[[#This Row],[API]:[API_3]],'[1]Squirrel SQL Export 1'!$K:$N,[1]!Table1[[#This Row],[Pending Items]]),IF(_xlpm.r=0,"",_xlpm.r))</f>
        <v>#REF!</v>
      </c>
      <c r="AI267" s="22" t="e" cm="1">
        <f t="array" ref="AI267">_xlfn.LET(_xlpm.r,_xlfn.XLOOKUP(1,MappingGuide[[#This Row],[API]:[API_3]],'[1]Squirrel SQL Export 1'!$K:$N,[1]!Table1[[#This Row],[Syndigo Name]]),IF(_xlpm.r=0,"",_xlpm.r))</f>
        <v>#REF!</v>
      </c>
      <c r="AJ267" s="17"/>
    </row>
    <row r="268" spans="1:36" ht="17" hidden="1">
      <c r="A268" s="17">
        <v>266</v>
      </c>
      <c r="B268" s="17" t="s">
        <v>40</v>
      </c>
      <c r="C268" s="17" t="s">
        <v>1150</v>
      </c>
      <c r="D268" s="17" t="s">
        <v>1151</v>
      </c>
      <c r="E268" s="17" t="s">
        <v>43</v>
      </c>
      <c r="F268" s="17" t="s">
        <v>80</v>
      </c>
      <c r="G268" s="17"/>
      <c r="H268" s="17"/>
      <c r="I268" s="17"/>
      <c r="J268" s="17"/>
      <c r="K268" s="17"/>
      <c r="L268" s="17" t="s">
        <v>35</v>
      </c>
      <c r="M268" s="17" t="s">
        <v>146</v>
      </c>
      <c r="N268" s="17" t="s">
        <v>1152</v>
      </c>
      <c r="O268" s="17"/>
      <c r="P268" s="17"/>
      <c r="Q268" s="17"/>
      <c r="R268" s="17"/>
      <c r="S268" s="17" t="e" cm="1">
        <f t="array" ref="S268">_xlfn.LET(_xlpm.r,_xlfn.XLOOKUP(1,MappingGuide[[#This Row],[API]:[API_3]],'[1]Squirrel SQL Export 1'!$K:$N,[1]!Table1[[#This Row],[Responsible from HJ]]),IF(_xlpm.r=0,"",_xlpm.r))</f>
        <v>#REF!</v>
      </c>
      <c r="T268" s="17"/>
      <c r="U268" s="17"/>
      <c r="V268" s="17" t="e" cm="1">
        <f t="array" ref="V268">_xlfn.LET(_xlpm.r,_xlfn.XLOOKUP(1,MappingGuide[[#This Row],[API]:[API_3]],'[1]Squirrel SQL Export 1'!$K:$N,[1]!Table1[[#This Row],[MDM Comments]]),IF(_xlpm.r=0,"",_xlpm.r))</f>
        <v>#REF!</v>
      </c>
      <c r="W268" s="17" t="e" cm="1">
        <f t="array" ref="W268">_xlfn.LET(_xlpm.r,_xlfn.XLOOKUP(1,MappingGuide[[#This Row],[API]:[API_3]],'[1]Squirrel SQL Export 1'!$K:$N,[1]!Table1[[#This Row],[Exists In Syndigo?]]),IF(_xlpm.r=0,"",_xlpm.r))</f>
        <v>#REF!</v>
      </c>
      <c r="X268" s="17" t="e" cm="1">
        <f t="array" ref="X268">_xlfn.LET(_xlpm.r,_xlfn.XLOOKUP(1,MappingGuide[[#This Row],[API]:[API_3]],'[1]Squirrel SQL Export 1'!$K:$N,[1]!Table1[[#This Row],[Syndigo Name]]),IF(_xlpm.r=0,"",_xlpm.r))</f>
        <v>#REF!</v>
      </c>
      <c r="Y268" s="17"/>
      <c r="Z268" s="17" t="s">
        <v>1153</v>
      </c>
      <c r="AA268" s="17" t="s">
        <v>1154</v>
      </c>
      <c r="AB268" s="17"/>
      <c r="AC268" s="17" t="e" cm="1">
        <f t="array" ref="AC268">_xlfn.XLOOKUP(1,MappingGuide[[#This Row],[API]:[API_3]],'[1]Squirrel SQL Export 1'!$K:$N,[1]!Table1[[#This Row],[Doppio Notes2]])</f>
        <v>#REF!</v>
      </c>
      <c r="AD268" s="17"/>
      <c r="AE268" s="17" t="e" cm="1">
        <f t="array" ref="AE268">_xlfn.XLOOKUP(1,MappingGuide[[#This Row],[API]:[API_3]],'[1]Squirrel SQL Export 1'!$K:$N,[1]!Table1[[#This Row],[DG_required]])</f>
        <v>#REF!</v>
      </c>
      <c r="AF268" s="21" t="s">
        <v>1290</v>
      </c>
      <c r="AG268" s="21"/>
      <c r="AH268" s="22" t="e" cm="1">
        <f t="array" ref="AH268">_xlfn.LET(_xlpm.r,_xlfn.XLOOKUP(1,MappingGuide[[#This Row],[API]:[API_3]],'[1]Squirrel SQL Export 1'!$K:$N,[1]!Table1[[#This Row],[Pending Items]]),IF(_xlpm.r=0,"",_xlpm.r))</f>
        <v>#REF!</v>
      </c>
      <c r="AI268" s="22" t="e" cm="1">
        <f t="array" ref="AI268">_xlfn.LET(_xlpm.r,_xlfn.XLOOKUP(1,MappingGuide[[#This Row],[API]:[API_3]],'[1]Squirrel SQL Export 1'!$K:$N,[1]!Table1[[#This Row],[Syndigo Name]]),IF(_xlpm.r=0,"",_xlpm.r))</f>
        <v>#REF!</v>
      </c>
      <c r="AJ268" s="17"/>
    </row>
    <row r="269" spans="1:36" ht="17" hidden="1">
      <c r="A269" s="17">
        <v>267</v>
      </c>
      <c r="B269" s="17" t="s">
        <v>40</v>
      </c>
      <c r="C269" s="17" t="s">
        <v>1155</v>
      </c>
      <c r="D269" s="17" t="s">
        <v>1156</v>
      </c>
      <c r="E269" s="17" t="s">
        <v>43</v>
      </c>
      <c r="F269" s="17" t="s">
        <v>80</v>
      </c>
      <c r="G269" s="17"/>
      <c r="H269" s="17"/>
      <c r="I269" s="17"/>
      <c r="J269" s="17"/>
      <c r="K269" s="17"/>
      <c r="L269" s="17" t="s">
        <v>35</v>
      </c>
      <c r="M269" s="17" t="s">
        <v>146</v>
      </c>
      <c r="N269" s="17" t="s">
        <v>1157</v>
      </c>
      <c r="O269" s="17"/>
      <c r="P269" s="17"/>
      <c r="Q269" s="17"/>
      <c r="R269" s="17"/>
      <c r="S269" s="17" t="e" cm="1">
        <f t="array" ref="S269">_xlfn.LET(_xlpm.r,_xlfn.XLOOKUP(1,MappingGuide[[#This Row],[API]:[API_3]],'[1]Squirrel SQL Export 1'!$K:$N,[1]!Table1[[#This Row],[Responsible from HJ]]),IF(_xlpm.r=0,"",_xlpm.r))</f>
        <v>#REF!</v>
      </c>
      <c r="T269" s="17"/>
      <c r="U269" s="17"/>
      <c r="V269" s="17" t="e" cm="1">
        <f t="array" ref="V269">_xlfn.LET(_xlpm.r,_xlfn.XLOOKUP(1,MappingGuide[[#This Row],[API]:[API_3]],'[1]Squirrel SQL Export 1'!$K:$N,[1]!Table1[[#This Row],[MDM Comments]]),IF(_xlpm.r=0,"",_xlpm.r))</f>
        <v>#REF!</v>
      </c>
      <c r="W269" s="17" t="e" cm="1">
        <f t="array" ref="W269">_xlfn.LET(_xlpm.r,_xlfn.XLOOKUP(1,MappingGuide[[#This Row],[API]:[API_3]],'[1]Squirrel SQL Export 1'!$K:$N,[1]!Table1[[#This Row],[Exists In Syndigo?]]),IF(_xlpm.r=0,"",_xlpm.r))</f>
        <v>#REF!</v>
      </c>
      <c r="X269" s="17" t="e" cm="1">
        <f t="array" ref="X269">_xlfn.LET(_xlpm.r,_xlfn.XLOOKUP(1,MappingGuide[[#This Row],[API]:[API_3]],'[1]Squirrel SQL Export 1'!$K:$N,[1]!Table1[[#This Row],[Syndigo Name]]),IF(_xlpm.r=0,"",_xlpm.r))</f>
        <v>#REF!</v>
      </c>
      <c r="Y269" s="17"/>
      <c r="Z269" s="17" t="s">
        <v>1158</v>
      </c>
      <c r="AA269" s="17"/>
      <c r="AB269" s="17"/>
      <c r="AC269" s="17" t="e" cm="1">
        <f t="array" ref="AC269">_xlfn.XLOOKUP(1,MappingGuide[[#This Row],[API]:[API_3]],'[1]Squirrel SQL Export 1'!$K:$N,[1]!Table1[[#This Row],[Doppio Notes2]])</f>
        <v>#REF!</v>
      </c>
      <c r="AD269" s="17"/>
      <c r="AE269" s="17" t="e" cm="1">
        <f t="array" ref="AE269">_xlfn.XLOOKUP(1,MappingGuide[[#This Row],[API]:[API_3]],'[1]Squirrel SQL Export 1'!$K:$N,[1]!Table1[[#This Row],[DG_required]])</f>
        <v>#REF!</v>
      </c>
      <c r="AF269" s="21" t="s">
        <v>1290</v>
      </c>
      <c r="AG269" s="21"/>
      <c r="AH269" s="22" t="e" cm="1">
        <f t="array" ref="AH269">_xlfn.LET(_xlpm.r,_xlfn.XLOOKUP(1,MappingGuide[[#This Row],[API]:[API_3]],'[1]Squirrel SQL Export 1'!$K:$N,[1]!Table1[[#This Row],[Pending Items]]),IF(_xlpm.r=0,"",_xlpm.r))</f>
        <v>#REF!</v>
      </c>
      <c r="AI269" s="22" t="e" cm="1">
        <f t="array" ref="AI269">_xlfn.LET(_xlpm.r,_xlfn.XLOOKUP(1,MappingGuide[[#This Row],[API]:[API_3]],'[1]Squirrel SQL Export 1'!$K:$N,[1]!Table1[[#This Row],[Syndigo Name]]),IF(_xlpm.r=0,"",_xlpm.r))</f>
        <v>#REF!</v>
      </c>
      <c r="AJ269" s="17"/>
    </row>
    <row r="270" spans="1:36" ht="17" hidden="1">
      <c r="A270" s="17">
        <v>268</v>
      </c>
      <c r="B270" s="17" t="s">
        <v>40</v>
      </c>
      <c r="C270" s="17" t="s">
        <v>1159</v>
      </c>
      <c r="D270" s="17" t="s">
        <v>1160</v>
      </c>
      <c r="E270" s="17" t="s">
        <v>43</v>
      </c>
      <c r="F270" s="17" t="s">
        <v>80</v>
      </c>
      <c r="G270" s="17"/>
      <c r="H270" s="17"/>
      <c r="I270" s="17"/>
      <c r="J270" s="17"/>
      <c r="K270" s="17"/>
      <c r="L270" s="17" t="s">
        <v>35</v>
      </c>
      <c r="M270" s="17" t="s">
        <v>146</v>
      </c>
      <c r="N270" s="17" t="s">
        <v>1161</v>
      </c>
      <c r="O270" s="17"/>
      <c r="P270" s="17"/>
      <c r="Q270" s="17"/>
      <c r="R270" s="17"/>
      <c r="S270" s="17" t="e" cm="1">
        <f t="array" ref="S270">_xlfn.LET(_xlpm.r,_xlfn.XLOOKUP(1,MappingGuide[[#This Row],[API]:[API_3]],'[1]Squirrel SQL Export 1'!$K:$N,[1]!Table1[[#This Row],[Responsible from HJ]]),IF(_xlpm.r=0,"",_xlpm.r))</f>
        <v>#REF!</v>
      </c>
      <c r="T270" s="17"/>
      <c r="U270" s="17"/>
      <c r="V270" s="17" t="e" cm="1">
        <f t="array" ref="V270">_xlfn.LET(_xlpm.r,_xlfn.XLOOKUP(1,MappingGuide[[#This Row],[API]:[API_3]],'[1]Squirrel SQL Export 1'!$K:$N,[1]!Table1[[#This Row],[MDM Comments]]),IF(_xlpm.r=0,"",_xlpm.r))</f>
        <v>#REF!</v>
      </c>
      <c r="W270" s="17" t="e" cm="1">
        <f t="array" ref="W270">_xlfn.LET(_xlpm.r,_xlfn.XLOOKUP(1,MappingGuide[[#This Row],[API]:[API_3]],'[1]Squirrel SQL Export 1'!$K:$N,[1]!Table1[[#This Row],[Exists In Syndigo?]]),IF(_xlpm.r=0,"",_xlpm.r))</f>
        <v>#REF!</v>
      </c>
      <c r="X270" s="17" t="e" cm="1">
        <f t="array" ref="X270">_xlfn.LET(_xlpm.r,_xlfn.XLOOKUP(1,MappingGuide[[#This Row],[API]:[API_3]],'[1]Squirrel SQL Export 1'!$K:$N,[1]!Table1[[#This Row],[Syndigo Name]]),IF(_xlpm.r=0,"",_xlpm.r))</f>
        <v>#REF!</v>
      </c>
      <c r="Y270" s="17"/>
      <c r="Z270" s="17" t="s">
        <v>1162</v>
      </c>
      <c r="AA270" s="17"/>
      <c r="AB270" s="17"/>
      <c r="AC270" s="17" t="e" cm="1">
        <f t="array" ref="AC270">_xlfn.XLOOKUP(1,MappingGuide[[#This Row],[API]:[API_3]],'[1]Squirrel SQL Export 1'!$K:$N,[1]!Table1[[#This Row],[Doppio Notes2]])</f>
        <v>#REF!</v>
      </c>
      <c r="AD270" s="17"/>
      <c r="AE270" s="17" t="e" cm="1">
        <f t="array" ref="AE270">_xlfn.XLOOKUP(1,MappingGuide[[#This Row],[API]:[API_3]],'[1]Squirrel SQL Export 1'!$K:$N,[1]!Table1[[#This Row],[DG_required]])</f>
        <v>#REF!</v>
      </c>
      <c r="AF270" s="21" t="s">
        <v>1290</v>
      </c>
      <c r="AG270" s="21"/>
      <c r="AH270" s="22" t="e" cm="1">
        <f t="array" ref="AH270">_xlfn.LET(_xlpm.r,_xlfn.XLOOKUP(1,MappingGuide[[#This Row],[API]:[API_3]],'[1]Squirrel SQL Export 1'!$K:$N,[1]!Table1[[#This Row],[Pending Items]]),IF(_xlpm.r=0,"",_xlpm.r))</f>
        <v>#REF!</v>
      </c>
      <c r="AI270" s="22" t="e" cm="1">
        <f t="array" ref="AI270">_xlfn.LET(_xlpm.r,_xlfn.XLOOKUP(1,MappingGuide[[#This Row],[API]:[API_3]],'[1]Squirrel SQL Export 1'!$K:$N,[1]!Table1[[#This Row],[Syndigo Name]]),IF(_xlpm.r=0,"",_xlpm.r))</f>
        <v>#REF!</v>
      </c>
      <c r="AJ270" s="17"/>
    </row>
    <row r="271" spans="1:36" ht="17" hidden="1">
      <c r="A271" s="17">
        <v>269</v>
      </c>
      <c r="B271" s="17" t="s">
        <v>40</v>
      </c>
      <c r="C271" s="17" t="s">
        <v>1163</v>
      </c>
      <c r="D271" s="17" t="s">
        <v>1164</v>
      </c>
      <c r="E271" s="17" t="s">
        <v>43</v>
      </c>
      <c r="F271" s="17" t="s">
        <v>80</v>
      </c>
      <c r="G271" s="17"/>
      <c r="H271" s="17"/>
      <c r="I271" s="17"/>
      <c r="J271" s="17"/>
      <c r="K271" s="17"/>
      <c r="L271" s="17" t="s">
        <v>35</v>
      </c>
      <c r="M271" s="17" t="s">
        <v>146</v>
      </c>
      <c r="N271" s="17" t="s">
        <v>1165</v>
      </c>
      <c r="O271" s="17"/>
      <c r="P271" s="17"/>
      <c r="Q271" s="17"/>
      <c r="R271" s="17"/>
      <c r="S271" s="17" t="e" cm="1">
        <f t="array" ref="S271">_xlfn.LET(_xlpm.r,_xlfn.XLOOKUP(1,MappingGuide[[#This Row],[API]:[API_3]],'[1]Squirrel SQL Export 1'!$K:$N,[1]!Table1[[#This Row],[Responsible from HJ]]),IF(_xlpm.r=0,"",_xlpm.r))</f>
        <v>#REF!</v>
      </c>
      <c r="T271" s="17"/>
      <c r="U271" s="17"/>
      <c r="V271" s="17" t="e" cm="1">
        <f t="array" ref="V271">_xlfn.LET(_xlpm.r,_xlfn.XLOOKUP(1,MappingGuide[[#This Row],[API]:[API_3]],'[1]Squirrel SQL Export 1'!$K:$N,[1]!Table1[[#This Row],[MDM Comments]]),IF(_xlpm.r=0,"",_xlpm.r))</f>
        <v>#REF!</v>
      </c>
      <c r="W271" s="17" t="e" cm="1">
        <f t="array" ref="W271">_xlfn.LET(_xlpm.r,_xlfn.XLOOKUP(1,MappingGuide[[#This Row],[API]:[API_3]],'[1]Squirrel SQL Export 1'!$K:$N,[1]!Table1[[#This Row],[Exists In Syndigo?]]),IF(_xlpm.r=0,"",_xlpm.r))</f>
        <v>#REF!</v>
      </c>
      <c r="X271" s="17" t="e" cm="1">
        <f t="array" ref="X271">_xlfn.LET(_xlpm.r,_xlfn.XLOOKUP(1,MappingGuide[[#This Row],[API]:[API_3]],'[1]Squirrel SQL Export 1'!$K:$N,[1]!Table1[[#This Row],[Syndigo Name]]),IF(_xlpm.r=0,"",_xlpm.r))</f>
        <v>#REF!</v>
      </c>
      <c r="Y271" s="17"/>
      <c r="Z271" s="17" t="s">
        <v>1166</v>
      </c>
      <c r="AA271" s="17"/>
      <c r="AB271" s="17"/>
      <c r="AC271" s="17" t="e" cm="1">
        <f t="array" ref="AC271">_xlfn.XLOOKUP(1,MappingGuide[[#This Row],[API]:[API_3]],'[1]Squirrel SQL Export 1'!$K:$N,[1]!Table1[[#This Row],[Doppio Notes2]])</f>
        <v>#REF!</v>
      </c>
      <c r="AD271" s="17"/>
      <c r="AE271" s="17" t="e" cm="1">
        <f t="array" ref="AE271">_xlfn.XLOOKUP(1,MappingGuide[[#This Row],[API]:[API_3]],'[1]Squirrel SQL Export 1'!$K:$N,[1]!Table1[[#This Row],[DG_required]])</f>
        <v>#REF!</v>
      </c>
      <c r="AF271" s="21" t="s">
        <v>1290</v>
      </c>
      <c r="AG271" s="21"/>
      <c r="AH271" s="22" t="e" cm="1">
        <f t="array" ref="AH271">_xlfn.LET(_xlpm.r,_xlfn.XLOOKUP(1,MappingGuide[[#This Row],[API]:[API_3]],'[1]Squirrel SQL Export 1'!$K:$N,[1]!Table1[[#This Row],[Pending Items]]),IF(_xlpm.r=0,"",_xlpm.r))</f>
        <v>#REF!</v>
      </c>
      <c r="AI271" s="22" t="e" cm="1">
        <f t="array" ref="AI271">_xlfn.LET(_xlpm.r,_xlfn.XLOOKUP(1,MappingGuide[[#This Row],[API]:[API_3]],'[1]Squirrel SQL Export 1'!$K:$N,[1]!Table1[[#This Row],[Syndigo Name]]),IF(_xlpm.r=0,"",_xlpm.r))</f>
        <v>#REF!</v>
      </c>
      <c r="AJ271" s="17"/>
    </row>
    <row r="272" spans="1:36" ht="17">
      <c r="A272" s="17">
        <v>270</v>
      </c>
      <c r="B272" s="17" t="s">
        <v>1167</v>
      </c>
      <c r="C272" s="17" t="s">
        <v>1168</v>
      </c>
      <c r="D272" s="17" t="s">
        <v>42</v>
      </c>
      <c r="E272" s="17" t="s">
        <v>43</v>
      </c>
      <c r="F272" s="17" t="s">
        <v>44</v>
      </c>
      <c r="G272" s="17"/>
      <c r="H272" s="17"/>
      <c r="I272" s="17"/>
      <c r="J272" s="17"/>
      <c r="K272" s="17"/>
      <c r="L272" s="17" t="s">
        <v>35</v>
      </c>
      <c r="M272" s="17" t="s">
        <v>1169</v>
      </c>
      <c r="N272" s="17" t="s">
        <v>45</v>
      </c>
      <c r="O272" s="17"/>
      <c r="P272" s="17"/>
      <c r="Q272" s="17"/>
      <c r="R272" s="17"/>
      <c r="S272" s="17" t="e" cm="1">
        <f t="array" ref="S272">_xlfn.LET(_xlpm.r,_xlfn.XLOOKUP(1,MappingGuide[[#This Row],[API]:[API_3]],'[1]Squirrel SQL Export 1'!$K:$N,[1]!Table1[[#This Row],[Responsible from HJ]]),IF(_xlpm.r=0,"",_xlpm.r))</f>
        <v>#REF!</v>
      </c>
      <c r="T272" s="17"/>
      <c r="U272" s="17"/>
      <c r="V272" s="17" t="e" cm="1">
        <f t="array" ref="V272">_xlfn.LET(_xlpm.r,_xlfn.XLOOKUP(1,MappingGuide[[#This Row],[API]:[API_3]],'[1]Squirrel SQL Export 1'!$K:$N,[1]!Table1[[#This Row],[MDM Comments]]),IF(_xlpm.r=0,"",_xlpm.r))</f>
        <v>#REF!</v>
      </c>
      <c r="W272" s="17" t="e" cm="1">
        <f t="array" ref="W272">_xlfn.LET(_xlpm.r,_xlfn.XLOOKUP(1,MappingGuide[[#This Row],[API]:[API_3]],'[1]Squirrel SQL Export 1'!$K:$N,[1]!Table1[[#This Row],[Exists In Syndigo?]]),IF(_xlpm.r=0,"",_xlpm.r))</f>
        <v>#REF!</v>
      </c>
      <c r="X272" s="17" t="e" cm="1">
        <f t="array" ref="X272">_xlfn.LET(_xlpm.r,_xlfn.XLOOKUP(1,MappingGuide[[#This Row],[API]:[API_3]],'[1]Squirrel SQL Export 1'!$K:$N,[1]!Table1[[#This Row],[Syndigo Name]]),IF(_xlpm.r=0,"",_xlpm.r))</f>
        <v>#REF!</v>
      </c>
      <c r="Y272" s="17"/>
      <c r="Z272" s="17" t="s">
        <v>47</v>
      </c>
      <c r="AA272" s="17"/>
      <c r="AB272" s="17"/>
      <c r="AC272" s="17" t="e" cm="1">
        <f t="array" ref="AC272">_xlfn.XLOOKUP(1,MappingGuide[[#This Row],[API]:[API_3]],'[1]Squirrel SQL Export 1'!$K:$N,[1]!Table1[[#This Row],[Doppio Notes2]])</f>
        <v>#REF!</v>
      </c>
      <c r="AD272" s="17"/>
      <c r="AE272" s="17" t="e" cm="1">
        <f t="array" ref="AE272">_xlfn.XLOOKUP(1,MappingGuide[[#This Row],[API]:[API_3]],'[1]Squirrel SQL Export 1'!$K:$N,[1]!Table1[[#This Row],[DG_required]])</f>
        <v>#REF!</v>
      </c>
      <c r="AF272" s="17" t="s">
        <v>48</v>
      </c>
      <c r="AG272" s="17"/>
      <c r="AH272" s="17" t="e" cm="1">
        <f t="array" ref="AH272">_xlfn.LET(_xlpm.r,_xlfn.XLOOKUP(1,MappingGuide[[#This Row],[API]:[API_3]],'[1]Squirrel SQL Export 1'!$K:$N,[1]!Table1[[#This Row],[Pending Items]]),IF(_xlpm.r=0,"",_xlpm.r))</f>
        <v>#REF!</v>
      </c>
      <c r="AI272" s="17" t="e" cm="1">
        <f t="array" ref="AI272">_xlfn.LET(_xlpm.r,_xlfn.XLOOKUP(1,MappingGuide[[#This Row],[API]:[API_3]],'[1]Squirrel SQL Export 1'!$K:$N,[1]!Table1[[#This Row],[Syndigo Name]]),IF(_xlpm.r=0,"",_xlpm.r))</f>
        <v>#REF!</v>
      </c>
      <c r="AJ272" s="17"/>
    </row>
    <row r="273" spans="1:36" ht="17">
      <c r="A273" s="17">
        <v>271</v>
      </c>
      <c r="B273" s="17" t="s">
        <v>1167</v>
      </c>
      <c r="C273" s="17" t="s">
        <v>1170</v>
      </c>
      <c r="D273" s="17" t="s">
        <v>50</v>
      </c>
      <c r="E273" s="17" t="s">
        <v>33</v>
      </c>
      <c r="F273" s="17" t="s">
        <v>44</v>
      </c>
      <c r="G273" s="17"/>
      <c r="H273" s="17"/>
      <c r="I273" s="17"/>
      <c r="J273" s="17"/>
      <c r="K273" s="17"/>
      <c r="L273" s="17" t="s">
        <v>35</v>
      </c>
      <c r="M273" s="17" t="s">
        <v>1169</v>
      </c>
      <c r="N273" s="17" t="s">
        <v>51</v>
      </c>
      <c r="O273" s="17"/>
      <c r="P273" s="17"/>
      <c r="Q273" s="17"/>
      <c r="R273" s="17"/>
      <c r="S273" s="17" t="e" cm="1">
        <f t="array" ref="S273">_xlfn.LET(_xlpm.r,_xlfn.XLOOKUP(1,MappingGuide[[#This Row],[API]:[API_3]],'[1]Squirrel SQL Export 1'!$K:$N,[1]!Table1[[#This Row],[Responsible from HJ]]),IF(_xlpm.r=0,"",_xlpm.r))</f>
        <v>#REF!</v>
      </c>
      <c r="T273" s="17"/>
      <c r="U273" s="17"/>
      <c r="V273" s="17" t="e" cm="1">
        <f t="array" ref="V273">_xlfn.LET(_xlpm.r,_xlfn.XLOOKUP(1,MappingGuide[[#This Row],[API]:[API_3]],'[1]Squirrel SQL Export 1'!$K:$N,[1]!Table1[[#This Row],[MDM Comments]]),IF(_xlpm.r=0,"",_xlpm.r))</f>
        <v>#REF!</v>
      </c>
      <c r="W273" s="17" t="e" cm="1">
        <f t="array" ref="W273">_xlfn.LET(_xlpm.r,_xlfn.XLOOKUP(1,MappingGuide[[#This Row],[API]:[API_3]],'[1]Squirrel SQL Export 1'!$K:$N,[1]!Table1[[#This Row],[Exists In Syndigo?]]),IF(_xlpm.r=0,"",_xlpm.r))</f>
        <v>#REF!</v>
      </c>
      <c r="X273" s="17" t="e" cm="1">
        <f t="array" ref="X273">_xlfn.LET(_xlpm.r,_xlfn.XLOOKUP(1,MappingGuide[[#This Row],[API]:[API_3]],'[1]Squirrel SQL Export 1'!$K:$N,[1]!Table1[[#This Row],[Syndigo Name]]),IF(_xlpm.r=0,"",_xlpm.r))</f>
        <v>#REF!</v>
      </c>
      <c r="Y273" s="17"/>
      <c r="Z273" s="17" t="s">
        <v>52</v>
      </c>
      <c r="AA273" s="17"/>
      <c r="AB273" s="17"/>
      <c r="AC273" s="17" t="e" cm="1">
        <f t="array" ref="AC273">_xlfn.XLOOKUP(1,MappingGuide[[#This Row],[API]:[API_3]],'[1]Squirrel SQL Export 1'!$K:$N,[1]!Table1[[#This Row],[Doppio Notes2]])</f>
        <v>#REF!</v>
      </c>
      <c r="AD273" s="17"/>
      <c r="AE273" s="17" t="e" cm="1">
        <f t="array" ref="AE273">_xlfn.XLOOKUP(1,MappingGuide[[#This Row],[API]:[API_3]],'[1]Squirrel SQL Export 1'!$K:$N,[1]!Table1[[#This Row],[DG_required]])</f>
        <v>#REF!</v>
      </c>
      <c r="AF273" s="17" t="s">
        <v>53</v>
      </c>
      <c r="AG273" s="17"/>
      <c r="AH273" s="17" t="e" cm="1">
        <f t="array" ref="AH273">_xlfn.LET(_xlpm.r,_xlfn.XLOOKUP(1,MappingGuide[[#This Row],[API]:[API_3]],'[1]Squirrel SQL Export 1'!$K:$N,[1]!Table1[[#This Row],[Pending Items]]),IF(_xlpm.r=0,"",_xlpm.r))</f>
        <v>#REF!</v>
      </c>
      <c r="AI273" s="17" t="e" cm="1">
        <f t="array" ref="AI273">_xlfn.LET(_xlpm.r,_xlfn.XLOOKUP(1,MappingGuide[[#This Row],[API]:[API_3]],'[1]Squirrel SQL Export 1'!$K:$N,[1]!Table1[[#This Row],[Syndigo Name]]),IF(_xlpm.r=0,"",_xlpm.r))</f>
        <v>#REF!</v>
      </c>
      <c r="AJ273" s="17"/>
    </row>
    <row r="274" spans="1:36" ht="17">
      <c r="A274" s="17">
        <v>272</v>
      </c>
      <c r="B274" s="17" t="s">
        <v>1167</v>
      </c>
      <c r="C274" s="17" t="s">
        <v>1171</v>
      </c>
      <c r="D274" s="17" t="s">
        <v>65</v>
      </c>
      <c r="E274" s="17" t="s">
        <v>33</v>
      </c>
      <c r="F274" s="17" t="s">
        <v>34</v>
      </c>
      <c r="G274" s="17"/>
      <c r="H274" s="17"/>
      <c r="I274" s="17" t="s">
        <v>1172</v>
      </c>
      <c r="J274" s="17" t="s">
        <v>58</v>
      </c>
      <c r="K274" s="17"/>
      <c r="L274" s="17" t="s">
        <v>35</v>
      </c>
      <c r="M274" s="17" t="s">
        <v>1169</v>
      </c>
      <c r="N274" s="17" t="s">
        <v>66</v>
      </c>
      <c r="O274" s="17"/>
      <c r="P274" s="17"/>
      <c r="Q274" s="17"/>
      <c r="R274" s="17"/>
      <c r="S274" s="17" t="e" cm="1">
        <f t="array" ref="S274">_xlfn.LET(_xlpm.r,_xlfn.XLOOKUP(1,MappingGuide[[#This Row],[API]:[API_3]],'[1]Squirrel SQL Export 1'!$K:$N,[1]!Table1[[#This Row],[Responsible from HJ]]),IF(_xlpm.r=0,"",_xlpm.r))</f>
        <v>#REF!</v>
      </c>
      <c r="T274" s="17"/>
      <c r="U274" s="17"/>
      <c r="V274" s="17" t="e" cm="1">
        <f t="array" ref="V274">_xlfn.LET(_xlpm.r,_xlfn.XLOOKUP(1,MappingGuide[[#This Row],[API]:[API_3]],'[1]Squirrel SQL Export 1'!$K:$N,[1]!Table1[[#This Row],[MDM Comments]]),IF(_xlpm.r=0,"",_xlpm.r))</f>
        <v>#REF!</v>
      </c>
      <c r="W274" s="17" t="e" cm="1">
        <f t="array" ref="W274">_xlfn.LET(_xlpm.r,_xlfn.XLOOKUP(1,MappingGuide[[#This Row],[API]:[API_3]],'[1]Squirrel SQL Export 1'!$K:$N,[1]!Table1[[#This Row],[Exists In Syndigo?]]),IF(_xlpm.r=0,"",_xlpm.r))</f>
        <v>#REF!</v>
      </c>
      <c r="X274" s="17" t="e" cm="1">
        <f t="array" ref="X274">_xlfn.LET(_xlpm.r,_xlfn.XLOOKUP(1,MappingGuide[[#This Row],[API]:[API_3]],'[1]Squirrel SQL Export 1'!$K:$N,[1]!Table1[[#This Row],[Syndigo Name]]),IF(_xlpm.r=0,"",_xlpm.r))</f>
        <v>#REF!</v>
      </c>
      <c r="Y274" s="17"/>
      <c r="Z274" s="17" t="s">
        <v>69</v>
      </c>
      <c r="AA274" s="17"/>
      <c r="AB274" s="17"/>
      <c r="AC274" s="17" t="e" cm="1">
        <f t="array" ref="AC274">_xlfn.XLOOKUP(1,MappingGuide[[#This Row],[API]:[API_3]],'[1]Squirrel SQL Export 1'!$K:$N,[1]!Table1[[#This Row],[Doppio Notes2]])</f>
        <v>#REF!</v>
      </c>
      <c r="AD274" s="17"/>
      <c r="AE274" s="17" t="e" cm="1">
        <f t="array" ref="AE274">_xlfn.XLOOKUP(1,MappingGuide[[#This Row],[API]:[API_3]],'[1]Squirrel SQL Export 1'!$K:$N,[1]!Table1[[#This Row],[DG_required]])</f>
        <v>#REF!</v>
      </c>
      <c r="AF274" s="17"/>
      <c r="AG274" s="17"/>
      <c r="AH274" s="17" t="e" cm="1">
        <f t="array" ref="AH274">_xlfn.LET(_xlpm.r,_xlfn.XLOOKUP(1,MappingGuide[[#This Row],[API]:[API_3]],'[1]Squirrel SQL Export 1'!$K:$N,[1]!Table1[[#This Row],[Pending Items]]),IF(_xlpm.r=0,"",_xlpm.r))</f>
        <v>#REF!</v>
      </c>
      <c r="AI274" s="17" t="e" cm="1">
        <f t="array" ref="AI274">_xlfn.LET(_xlpm.r,_xlfn.XLOOKUP(1,MappingGuide[[#This Row],[API]:[API_3]],'[1]Squirrel SQL Export 1'!$K:$N,[1]!Table1[[#This Row],[Syndigo Name]]),IF(_xlpm.r=0,"",_xlpm.r))</f>
        <v>#REF!</v>
      </c>
      <c r="AJ274" s="17"/>
    </row>
    <row r="275" spans="1:36" ht="18">
      <c r="A275" s="17">
        <v>273</v>
      </c>
      <c r="B275" s="17" t="s">
        <v>1167</v>
      </c>
      <c r="C275" s="17" t="s">
        <v>1173</v>
      </c>
      <c r="D275" s="17" t="s">
        <v>1174</v>
      </c>
      <c r="E275" s="17" t="s">
        <v>43</v>
      </c>
      <c r="F275" s="17" t="s">
        <v>56</v>
      </c>
      <c r="G275" s="17"/>
      <c r="H275" s="17"/>
      <c r="I275" s="17" t="s">
        <v>1172</v>
      </c>
      <c r="J275" s="17" t="s">
        <v>58</v>
      </c>
      <c r="K275" s="17"/>
      <c r="L275" s="17" t="s">
        <v>35</v>
      </c>
      <c r="M275" s="17" t="s">
        <v>1169</v>
      </c>
      <c r="N275" s="17" t="s">
        <v>1175</v>
      </c>
      <c r="O275" s="17"/>
      <c r="P275" s="17"/>
      <c r="Q275" s="17"/>
      <c r="R275" s="17"/>
      <c r="S275" s="17" t="e" cm="1">
        <f t="array" ref="S275">_xlfn.LET(_xlpm.r,_xlfn.XLOOKUP(1,MappingGuide[[#This Row],[API]:[API_3]],'[1]Squirrel SQL Export 1'!$K:$N,[1]!Table1[[#This Row],[Responsible from HJ]]),IF(_xlpm.r=0,"",_xlpm.r))</f>
        <v>#REF!</v>
      </c>
      <c r="T275" s="17"/>
      <c r="U275" s="17"/>
      <c r="V275" s="17" t="e" cm="1">
        <f t="array" ref="V275">_xlfn.LET(_xlpm.r,_xlfn.XLOOKUP(1,MappingGuide[[#This Row],[API]:[API_3]],'[1]Squirrel SQL Export 1'!$K:$N,[1]!Table1[[#This Row],[MDM Comments]]),IF(_xlpm.r=0,"",_xlpm.r))</f>
        <v>#REF!</v>
      </c>
      <c r="W275" s="17" t="e" cm="1">
        <f t="array" ref="W275">_xlfn.LET(_xlpm.r,_xlfn.XLOOKUP(1,MappingGuide[[#This Row],[API]:[API_3]],'[1]Squirrel SQL Export 1'!$K:$N,[1]!Table1[[#This Row],[Exists In Syndigo?]]),IF(_xlpm.r=0,"",_xlpm.r))</f>
        <v>#REF!</v>
      </c>
      <c r="X275" s="17" t="e" cm="1">
        <f t="array" ref="X275">_xlfn.LET(_xlpm.r,_xlfn.XLOOKUP(1,MappingGuide[[#This Row],[API]:[API_3]],'[1]Squirrel SQL Export 1'!$K:$N,[1]!Table1[[#This Row],[Syndigo Name]]),IF(_xlpm.r=0,"",_xlpm.r))</f>
        <v>#REF!</v>
      </c>
      <c r="Y275" s="17"/>
      <c r="Z275" s="17" t="s">
        <v>1176</v>
      </c>
      <c r="AA275" s="17" t="s">
        <v>1177</v>
      </c>
      <c r="AB275" s="17"/>
      <c r="AC275" s="17" t="e" cm="1">
        <f t="array" ref="AC275">_xlfn.XLOOKUP(1,MappingGuide[[#This Row],[API]:[API_3]],'[1]Squirrel SQL Export 1'!$K:$N,[1]!Table1[[#This Row],[Doppio Notes2]])</f>
        <v>#REF!</v>
      </c>
      <c r="AD275" s="17" t="s">
        <v>1279</v>
      </c>
      <c r="AE275" s="17" t="e" cm="1">
        <f t="array" ref="AE275">_xlfn.XLOOKUP(1,MappingGuide[[#This Row],[API]:[API_3]],'[1]Squirrel SQL Export 1'!$K:$N,[1]!Table1[[#This Row],[DG_required]])</f>
        <v>#REF!</v>
      </c>
      <c r="AF275" s="17"/>
      <c r="AG275" s="17"/>
      <c r="AH275" s="18" t="e" cm="1">
        <f t="array" ref="AH275">_xlfn.LET(_xlpm.r,_xlfn.XLOOKUP(1,MappingGuide[[#This Row],[API]:[API_3]],'[1]Squirrel SQL Export 1'!$K:$N,[1]!Table1[[#This Row],[Pending Items]]),IF(_xlpm.r=0,"",_xlpm.r))</f>
        <v>#REF!</v>
      </c>
      <c r="AI275" s="17" t="e" cm="1">
        <f t="array" ref="AI275">_xlfn.LET(_xlpm.r,_xlfn.XLOOKUP(1,MappingGuide[[#This Row],[API]:[API_3]],'[1]Squirrel SQL Export 1'!$K:$N,[1]!Table1[[#This Row],[Syndigo Name]]),IF(_xlpm.r=0,"",_xlpm.r))</f>
        <v>#REF!</v>
      </c>
      <c r="AJ275" s="17"/>
    </row>
    <row r="276" spans="1:36" ht="36">
      <c r="A276" s="17">
        <v>274</v>
      </c>
      <c r="B276" s="17" t="s">
        <v>1167</v>
      </c>
      <c r="C276" s="17" t="s">
        <v>1178</v>
      </c>
      <c r="D276" s="17" t="s">
        <v>117</v>
      </c>
      <c r="E276" s="17" t="s">
        <v>33</v>
      </c>
      <c r="F276" s="17" t="s">
        <v>118</v>
      </c>
      <c r="G276" s="17"/>
      <c r="H276" s="17"/>
      <c r="I276" s="17" t="s">
        <v>1172</v>
      </c>
      <c r="J276" s="17" t="s">
        <v>58</v>
      </c>
      <c r="K276" s="17"/>
      <c r="L276" s="17" t="s">
        <v>35</v>
      </c>
      <c r="M276" s="17" t="s">
        <v>1169</v>
      </c>
      <c r="N276" s="17" t="s">
        <v>120</v>
      </c>
      <c r="O276" s="17"/>
      <c r="P276" s="17"/>
      <c r="Q276" s="17"/>
      <c r="R276" s="17"/>
      <c r="S276" s="17" t="e" cm="1">
        <f t="array" ref="S276">_xlfn.LET(_xlpm.r,_xlfn.XLOOKUP(1,MappingGuide[[#This Row],[API]:[API_3]],'[1]Squirrel SQL Export 1'!$K:$N,[1]!Table1[[#This Row],[Responsible from HJ]]),IF(_xlpm.r=0,"",_xlpm.r))</f>
        <v>#REF!</v>
      </c>
      <c r="T276" s="17"/>
      <c r="U276" s="17"/>
      <c r="V276" s="17" t="e" cm="1">
        <f t="array" ref="V276">_xlfn.LET(_xlpm.r,_xlfn.XLOOKUP(1,MappingGuide[[#This Row],[API]:[API_3]],'[1]Squirrel SQL Export 1'!$K:$N,[1]!Table1[[#This Row],[MDM Comments]]),IF(_xlpm.r=0,"",_xlpm.r))</f>
        <v>#REF!</v>
      </c>
      <c r="W276" s="17" t="e" cm="1">
        <f t="array" ref="W276">_xlfn.LET(_xlpm.r,_xlfn.XLOOKUP(1,MappingGuide[[#This Row],[API]:[API_3]],'[1]Squirrel SQL Export 1'!$K:$N,[1]!Table1[[#This Row],[Exists In Syndigo?]]),IF(_xlpm.r=0,"",_xlpm.r))</f>
        <v>#REF!</v>
      </c>
      <c r="X276" s="17" t="e" cm="1">
        <f t="array" ref="X276">_xlfn.LET(_xlpm.r,_xlfn.XLOOKUP(1,MappingGuide[[#This Row],[API]:[API_3]],'[1]Squirrel SQL Export 1'!$K:$N,[1]!Table1[[#This Row],[Syndigo Name]]),IF(_xlpm.r=0,"",_xlpm.r))</f>
        <v>#REF!</v>
      </c>
      <c r="Y276" s="17"/>
      <c r="Z276" s="17" t="s">
        <v>1179</v>
      </c>
      <c r="AA276" s="17"/>
      <c r="AB276" s="17"/>
      <c r="AC276" s="17" t="e" cm="1">
        <f t="array" ref="AC276">_xlfn.XLOOKUP(1,MappingGuide[[#This Row],[API]:[API_3]],'[1]Squirrel SQL Export 1'!$K:$N,[1]!Table1[[#This Row],[Doppio Notes2]])</f>
        <v>#REF!</v>
      </c>
      <c r="AD276" s="17" t="s">
        <v>1279</v>
      </c>
      <c r="AE276" s="17" t="e" cm="1">
        <f t="array" ref="AE276">_xlfn.XLOOKUP(1,MappingGuide[[#This Row],[API]:[API_3]],'[1]Squirrel SQL Export 1'!$K:$N,[1]!Table1[[#This Row],[DG_required]])</f>
        <v>#REF!</v>
      </c>
      <c r="AF276" s="17"/>
      <c r="AG276" s="17"/>
      <c r="AH276" s="18" t="e" cm="1">
        <f t="array" ref="AH276">_xlfn.LET(_xlpm.r,_xlfn.XLOOKUP(1,MappingGuide[[#This Row],[API]:[API_3]],'[1]Squirrel SQL Export 1'!$K:$N,[1]!Table1[[#This Row],[Pending Items]]),IF(_xlpm.r=0,"",_xlpm.r))</f>
        <v>#REF!</v>
      </c>
      <c r="AI276" s="17" t="e" cm="1">
        <f t="array" ref="AI276">_xlfn.LET(_xlpm.r,_xlfn.XLOOKUP(1,MappingGuide[[#This Row],[API]:[API_3]],'[1]Squirrel SQL Export 1'!$K:$N,[1]!Table1[[#This Row],[Syndigo Name]]),IF(_xlpm.r=0,"",_xlpm.r))</f>
        <v>#REF!</v>
      </c>
      <c r="AJ276" s="17"/>
    </row>
    <row r="277" spans="1:36" ht="54">
      <c r="A277" s="17">
        <v>275</v>
      </c>
      <c r="B277" s="17" t="s">
        <v>1167</v>
      </c>
      <c r="C277" s="17" t="s">
        <v>1180</v>
      </c>
      <c r="D277" s="17" t="s">
        <v>90</v>
      </c>
      <c r="E277" s="17" t="s">
        <v>33</v>
      </c>
      <c r="F277" s="17" t="s">
        <v>91</v>
      </c>
      <c r="G277" s="17"/>
      <c r="H277" s="17"/>
      <c r="I277" s="17" t="s">
        <v>1172</v>
      </c>
      <c r="J277" s="17" t="s">
        <v>58</v>
      </c>
      <c r="K277" s="17"/>
      <c r="L277" s="17" t="s">
        <v>35</v>
      </c>
      <c r="M277" s="17" t="s">
        <v>1169</v>
      </c>
      <c r="N277" s="17" t="s">
        <v>92</v>
      </c>
      <c r="O277" s="17"/>
      <c r="P277" s="17"/>
      <c r="Q277" s="17"/>
      <c r="R277" s="17"/>
      <c r="S277" s="17" t="e" cm="1">
        <f t="array" ref="S277">_xlfn.LET(_xlpm.r,_xlfn.XLOOKUP(1,MappingGuide[[#This Row],[API]:[API_3]],'[1]Squirrel SQL Export 1'!$K:$N,[1]!Table1[[#This Row],[Responsible from HJ]]),IF(_xlpm.r=0,"",_xlpm.r))</f>
        <v>#REF!</v>
      </c>
      <c r="T277" s="17"/>
      <c r="U277" s="17"/>
      <c r="V277" s="17" t="e" cm="1">
        <f t="array" ref="V277">_xlfn.LET(_xlpm.r,_xlfn.XLOOKUP(1,MappingGuide[[#This Row],[API]:[API_3]],'[1]Squirrel SQL Export 1'!$K:$N,[1]!Table1[[#This Row],[MDM Comments]]),IF(_xlpm.r=0,"",_xlpm.r))</f>
        <v>#REF!</v>
      </c>
      <c r="W277" s="17" t="e" cm="1">
        <f t="array" ref="W277">_xlfn.LET(_xlpm.r,_xlfn.XLOOKUP(1,MappingGuide[[#This Row],[API]:[API_3]],'[1]Squirrel SQL Export 1'!$K:$N,[1]!Table1[[#This Row],[Exists In Syndigo?]]),IF(_xlpm.r=0,"",_xlpm.r))</f>
        <v>#REF!</v>
      </c>
      <c r="X277" s="17" t="e" cm="1">
        <f t="array" ref="X277">_xlfn.LET(_xlpm.r,_xlfn.XLOOKUP(1,MappingGuide[[#This Row],[API]:[API_3]],'[1]Squirrel SQL Export 1'!$K:$N,[1]!Table1[[#This Row],[Syndigo Name]]),IF(_xlpm.r=0,"",_xlpm.r))</f>
        <v>#REF!</v>
      </c>
      <c r="Y277" s="17"/>
      <c r="Z277" s="17" t="s">
        <v>1181</v>
      </c>
      <c r="AA277" s="17"/>
      <c r="AB277" s="17"/>
      <c r="AC277" s="17" t="e" cm="1">
        <f t="array" ref="AC277">_xlfn.XLOOKUP(1,MappingGuide[[#This Row],[API]:[API_3]],'[1]Squirrel SQL Export 1'!$K:$N,[1]!Table1[[#This Row],[Doppio Notes2]])</f>
        <v>#REF!</v>
      </c>
      <c r="AD277" s="17" t="s">
        <v>1279</v>
      </c>
      <c r="AE277" s="17" t="e" cm="1">
        <f t="array" ref="AE277">_xlfn.XLOOKUP(1,MappingGuide[[#This Row],[API]:[API_3]],'[1]Squirrel SQL Export 1'!$K:$N,[1]!Table1[[#This Row],[DG_required]])</f>
        <v>#REF!</v>
      </c>
      <c r="AF277" s="17"/>
      <c r="AG277" s="17"/>
      <c r="AH277" s="18" t="e" cm="1">
        <f t="array" ref="AH277">_xlfn.LET(_xlpm.r,_xlfn.XLOOKUP(1,MappingGuide[[#This Row],[API]:[API_3]],'[1]Squirrel SQL Export 1'!$K:$N,[1]!Table1[[#This Row],[Pending Items]]),IF(_xlpm.r=0,"",_xlpm.r))</f>
        <v>#REF!</v>
      </c>
      <c r="AI277" s="17" t="e" cm="1">
        <f t="array" ref="AI277">_xlfn.LET(_xlpm.r,_xlfn.XLOOKUP(1,MappingGuide[[#This Row],[API]:[API_3]],'[1]Squirrel SQL Export 1'!$K:$N,[1]!Table1[[#This Row],[Syndigo Name]]),IF(_xlpm.r=0,"",_xlpm.r))</f>
        <v>#REF!</v>
      </c>
      <c r="AJ277" s="17"/>
    </row>
    <row r="278" spans="1:36" ht="18">
      <c r="A278" s="17">
        <v>276</v>
      </c>
      <c r="B278" s="17" t="s">
        <v>1167</v>
      </c>
      <c r="C278" s="17" t="s">
        <v>1182</v>
      </c>
      <c r="D278" s="17" t="s">
        <v>97</v>
      </c>
      <c r="E278" s="17" t="s">
        <v>33</v>
      </c>
      <c r="F278" s="17" t="s">
        <v>91</v>
      </c>
      <c r="G278" s="17"/>
      <c r="H278" s="17"/>
      <c r="I278" s="17" t="s">
        <v>1172</v>
      </c>
      <c r="J278" s="17" t="s">
        <v>58</v>
      </c>
      <c r="K278" s="17"/>
      <c r="L278" s="17" t="s">
        <v>35</v>
      </c>
      <c r="M278" s="17" t="s">
        <v>1169</v>
      </c>
      <c r="N278" s="17" t="s">
        <v>98</v>
      </c>
      <c r="O278" s="17"/>
      <c r="P278" s="17"/>
      <c r="Q278" s="17"/>
      <c r="R278" s="17"/>
      <c r="S278" s="17" t="e" cm="1">
        <f t="array" ref="S278">_xlfn.LET(_xlpm.r,_xlfn.XLOOKUP(1,MappingGuide[[#This Row],[API]:[API_3]],'[1]Squirrel SQL Export 1'!$K:$N,[1]!Table1[[#This Row],[Responsible from HJ]]),IF(_xlpm.r=0,"",_xlpm.r))</f>
        <v>#REF!</v>
      </c>
      <c r="T278" s="17"/>
      <c r="U278" s="17"/>
      <c r="V278" s="17" t="e" cm="1">
        <f t="array" ref="V278">_xlfn.LET(_xlpm.r,_xlfn.XLOOKUP(1,MappingGuide[[#This Row],[API]:[API_3]],'[1]Squirrel SQL Export 1'!$K:$N,[1]!Table1[[#This Row],[MDM Comments]]),IF(_xlpm.r=0,"",_xlpm.r))</f>
        <v>#REF!</v>
      </c>
      <c r="W278" s="17" t="e" cm="1">
        <f t="array" ref="W278">_xlfn.LET(_xlpm.r,_xlfn.XLOOKUP(1,MappingGuide[[#This Row],[API]:[API_3]],'[1]Squirrel SQL Export 1'!$K:$N,[1]!Table1[[#This Row],[Exists In Syndigo?]]),IF(_xlpm.r=0,"",_xlpm.r))</f>
        <v>#REF!</v>
      </c>
      <c r="X278" s="17" t="e" cm="1">
        <f t="array" ref="X278">_xlfn.LET(_xlpm.r,_xlfn.XLOOKUP(1,MappingGuide[[#This Row],[API]:[API_3]],'[1]Squirrel SQL Export 1'!$K:$N,[1]!Table1[[#This Row],[Syndigo Name]]),IF(_xlpm.r=0,"",_xlpm.r))</f>
        <v>#REF!</v>
      </c>
      <c r="Y278" s="17"/>
      <c r="Z278" s="17" t="s">
        <v>101</v>
      </c>
      <c r="AA278" s="17"/>
      <c r="AB278" s="17"/>
      <c r="AC278" s="17" t="e" cm="1">
        <f t="array" ref="AC278">_xlfn.XLOOKUP(1,MappingGuide[[#This Row],[API]:[API_3]],'[1]Squirrel SQL Export 1'!$K:$N,[1]!Table1[[#This Row],[Doppio Notes2]])</f>
        <v>#REF!</v>
      </c>
      <c r="AD278" s="17" t="s">
        <v>1279</v>
      </c>
      <c r="AE278" s="17" t="e" cm="1">
        <f t="array" ref="AE278">_xlfn.XLOOKUP(1,MappingGuide[[#This Row],[API]:[API_3]],'[1]Squirrel SQL Export 1'!$K:$N,[1]!Table1[[#This Row],[DG_required]])</f>
        <v>#REF!</v>
      </c>
      <c r="AF278" s="17"/>
      <c r="AG278" s="17"/>
      <c r="AH278" s="18" t="e" cm="1">
        <f t="array" ref="AH278">_xlfn.LET(_xlpm.r,_xlfn.XLOOKUP(1,MappingGuide[[#This Row],[API]:[API_3]],'[1]Squirrel SQL Export 1'!$K:$N,[1]!Table1[[#This Row],[Pending Items]]),IF(_xlpm.r=0,"",_xlpm.r))</f>
        <v>#REF!</v>
      </c>
      <c r="AI278" s="17" t="e" cm="1">
        <f t="array" ref="AI278">_xlfn.LET(_xlpm.r,_xlfn.XLOOKUP(1,MappingGuide[[#This Row],[API]:[API_3]],'[1]Squirrel SQL Export 1'!$K:$N,[1]!Table1[[#This Row],[Syndigo Name]]),IF(_xlpm.r=0,"",_xlpm.r))</f>
        <v>#REF!</v>
      </c>
      <c r="AJ278" s="17"/>
    </row>
    <row r="279" spans="1:36" ht="18">
      <c r="A279" s="17">
        <v>277</v>
      </c>
      <c r="B279" s="17" t="s">
        <v>1167</v>
      </c>
      <c r="C279" s="17" t="s">
        <v>1183</v>
      </c>
      <c r="D279" s="17" t="s">
        <v>103</v>
      </c>
      <c r="E279" s="17" t="s">
        <v>33</v>
      </c>
      <c r="F279" s="17" t="s">
        <v>91</v>
      </c>
      <c r="G279" s="17"/>
      <c r="H279" s="17"/>
      <c r="I279" s="17" t="s">
        <v>1172</v>
      </c>
      <c r="J279" s="17" t="s">
        <v>58</v>
      </c>
      <c r="K279" s="17"/>
      <c r="L279" s="17" t="s">
        <v>35</v>
      </c>
      <c r="M279" s="17" t="s">
        <v>1169</v>
      </c>
      <c r="N279" s="17" t="s">
        <v>104</v>
      </c>
      <c r="O279" s="17"/>
      <c r="P279" s="17"/>
      <c r="Q279" s="17"/>
      <c r="R279" s="17"/>
      <c r="S279" s="17" t="e" cm="1">
        <f t="array" ref="S279">_xlfn.LET(_xlpm.r,_xlfn.XLOOKUP(1,MappingGuide[[#This Row],[API]:[API_3]],'[1]Squirrel SQL Export 1'!$K:$N,[1]!Table1[[#This Row],[Responsible from HJ]]),IF(_xlpm.r=0,"",_xlpm.r))</f>
        <v>#REF!</v>
      </c>
      <c r="T279" s="17"/>
      <c r="U279" s="17"/>
      <c r="V279" s="17" t="e" cm="1">
        <f t="array" ref="V279">_xlfn.LET(_xlpm.r,_xlfn.XLOOKUP(1,MappingGuide[[#This Row],[API]:[API_3]],'[1]Squirrel SQL Export 1'!$K:$N,[1]!Table1[[#This Row],[MDM Comments]]),IF(_xlpm.r=0,"",_xlpm.r))</f>
        <v>#REF!</v>
      </c>
      <c r="W279" s="17" t="e" cm="1">
        <f t="array" ref="W279">_xlfn.LET(_xlpm.r,_xlfn.XLOOKUP(1,MappingGuide[[#This Row],[API]:[API_3]],'[1]Squirrel SQL Export 1'!$K:$N,[1]!Table1[[#This Row],[Exists In Syndigo?]]),IF(_xlpm.r=0,"",_xlpm.r))</f>
        <v>#REF!</v>
      </c>
      <c r="X279" s="17" t="e" cm="1">
        <f t="array" ref="X279">_xlfn.LET(_xlpm.r,_xlfn.XLOOKUP(1,MappingGuide[[#This Row],[API]:[API_3]],'[1]Squirrel SQL Export 1'!$K:$N,[1]!Table1[[#This Row],[Syndigo Name]]),IF(_xlpm.r=0,"",_xlpm.r))</f>
        <v>#REF!</v>
      </c>
      <c r="Y279" s="17"/>
      <c r="Z279" s="17" t="s">
        <v>101</v>
      </c>
      <c r="AA279" s="17"/>
      <c r="AB279" s="17"/>
      <c r="AC279" s="17" t="e" cm="1">
        <f t="array" ref="AC279">_xlfn.XLOOKUP(1,MappingGuide[[#This Row],[API]:[API_3]],'[1]Squirrel SQL Export 1'!$K:$N,[1]!Table1[[#This Row],[Doppio Notes2]])</f>
        <v>#REF!</v>
      </c>
      <c r="AD279" s="17" t="s">
        <v>1279</v>
      </c>
      <c r="AE279" s="17" t="e" cm="1">
        <f t="array" ref="AE279">_xlfn.XLOOKUP(1,MappingGuide[[#This Row],[API]:[API_3]],'[1]Squirrel SQL Export 1'!$K:$N,[1]!Table1[[#This Row],[DG_required]])</f>
        <v>#REF!</v>
      </c>
      <c r="AF279" s="17"/>
      <c r="AG279" s="17"/>
      <c r="AH279" s="18" t="e" cm="1">
        <f t="array" ref="AH279">_xlfn.LET(_xlpm.r,_xlfn.XLOOKUP(1,MappingGuide[[#This Row],[API]:[API_3]],'[1]Squirrel SQL Export 1'!$K:$N,[1]!Table1[[#This Row],[Pending Items]]),IF(_xlpm.r=0,"",_xlpm.r))</f>
        <v>#REF!</v>
      </c>
      <c r="AI279" s="17" t="e" cm="1">
        <f t="array" ref="AI279">_xlfn.LET(_xlpm.r,_xlfn.XLOOKUP(1,MappingGuide[[#This Row],[API]:[API_3]],'[1]Squirrel SQL Export 1'!$K:$N,[1]!Table1[[#This Row],[Syndigo Name]]),IF(_xlpm.r=0,"",_xlpm.r))</f>
        <v>#REF!</v>
      </c>
      <c r="AJ279" s="17"/>
    </row>
    <row r="280" spans="1:36" ht="18">
      <c r="A280" s="17">
        <v>278</v>
      </c>
      <c r="B280" s="17" t="s">
        <v>1167</v>
      </c>
      <c r="C280" s="17" t="s">
        <v>1184</v>
      </c>
      <c r="D280" s="17" t="s">
        <v>107</v>
      </c>
      <c r="E280" s="17" t="s">
        <v>33</v>
      </c>
      <c r="F280" s="17" t="s">
        <v>91</v>
      </c>
      <c r="G280" s="17"/>
      <c r="H280" s="17"/>
      <c r="I280" s="17" t="s">
        <v>1172</v>
      </c>
      <c r="J280" s="17" t="s">
        <v>58</v>
      </c>
      <c r="K280" s="17"/>
      <c r="L280" s="17" t="s">
        <v>35</v>
      </c>
      <c r="M280" s="17" t="s">
        <v>1169</v>
      </c>
      <c r="N280" s="17" t="s">
        <v>108</v>
      </c>
      <c r="O280" s="17"/>
      <c r="P280" s="17"/>
      <c r="Q280" s="17"/>
      <c r="R280" s="17"/>
      <c r="S280" s="17" t="e" cm="1">
        <f t="array" ref="S280">_xlfn.LET(_xlpm.r,_xlfn.XLOOKUP(1,MappingGuide[[#This Row],[API]:[API_3]],'[1]Squirrel SQL Export 1'!$K:$N,[1]!Table1[[#This Row],[Responsible from HJ]]),IF(_xlpm.r=0,"",_xlpm.r))</f>
        <v>#REF!</v>
      </c>
      <c r="T280" s="17"/>
      <c r="U280" s="17"/>
      <c r="V280" s="17" t="e" cm="1">
        <f t="array" ref="V280">_xlfn.LET(_xlpm.r,_xlfn.XLOOKUP(1,MappingGuide[[#This Row],[API]:[API_3]],'[1]Squirrel SQL Export 1'!$K:$N,[1]!Table1[[#This Row],[MDM Comments]]),IF(_xlpm.r=0,"",_xlpm.r))</f>
        <v>#REF!</v>
      </c>
      <c r="W280" s="17" t="e" cm="1">
        <f t="array" ref="W280">_xlfn.LET(_xlpm.r,_xlfn.XLOOKUP(1,MappingGuide[[#This Row],[API]:[API_3]],'[1]Squirrel SQL Export 1'!$K:$N,[1]!Table1[[#This Row],[Exists In Syndigo?]]),IF(_xlpm.r=0,"",_xlpm.r))</f>
        <v>#REF!</v>
      </c>
      <c r="X280" s="17" t="e" cm="1">
        <f t="array" ref="X280">_xlfn.LET(_xlpm.r,_xlfn.XLOOKUP(1,MappingGuide[[#This Row],[API]:[API_3]],'[1]Squirrel SQL Export 1'!$K:$N,[1]!Table1[[#This Row],[Syndigo Name]]),IF(_xlpm.r=0,"",_xlpm.r))</f>
        <v>#REF!</v>
      </c>
      <c r="Y280" s="17"/>
      <c r="Z280" s="17" t="s">
        <v>110</v>
      </c>
      <c r="AA280" s="17"/>
      <c r="AB280" s="17"/>
      <c r="AC280" s="17" t="e" cm="1">
        <f t="array" ref="AC280">_xlfn.XLOOKUP(1,MappingGuide[[#This Row],[API]:[API_3]],'[1]Squirrel SQL Export 1'!$K:$N,[1]!Table1[[#This Row],[Doppio Notes2]])</f>
        <v>#REF!</v>
      </c>
      <c r="AD280" s="17" t="s">
        <v>1279</v>
      </c>
      <c r="AE280" s="17" t="e" cm="1">
        <f t="array" ref="AE280">_xlfn.XLOOKUP(1,MappingGuide[[#This Row],[API]:[API_3]],'[1]Squirrel SQL Export 1'!$K:$N,[1]!Table1[[#This Row],[DG_required]])</f>
        <v>#REF!</v>
      </c>
      <c r="AF280" s="17"/>
      <c r="AG280" s="17"/>
      <c r="AH280" s="18" t="e" cm="1">
        <f t="array" ref="AH280">_xlfn.LET(_xlpm.r,_xlfn.XLOOKUP(1,MappingGuide[[#This Row],[API]:[API_3]],'[1]Squirrel SQL Export 1'!$K:$N,[1]!Table1[[#This Row],[Pending Items]]),IF(_xlpm.r=0,"",_xlpm.r))</f>
        <v>#REF!</v>
      </c>
      <c r="AI280" s="17" t="e" cm="1">
        <f t="array" ref="AI280">_xlfn.LET(_xlpm.r,_xlfn.XLOOKUP(1,MappingGuide[[#This Row],[API]:[API_3]],'[1]Squirrel SQL Export 1'!$K:$N,[1]!Table1[[#This Row],[Syndigo Name]]),IF(_xlpm.r=0,"",_xlpm.r))</f>
        <v>#REF!</v>
      </c>
      <c r="AJ280" s="17"/>
    </row>
    <row r="281" spans="1:36" ht="17">
      <c r="A281" s="17">
        <v>279</v>
      </c>
      <c r="B281" s="17" t="s">
        <v>1167</v>
      </c>
      <c r="C281" s="17" t="s">
        <v>1185</v>
      </c>
      <c r="D281" s="17" t="s">
        <v>112</v>
      </c>
      <c r="E281" s="17" t="s">
        <v>33</v>
      </c>
      <c r="F281" s="17" t="s">
        <v>91</v>
      </c>
      <c r="G281" s="17"/>
      <c r="H281" s="17"/>
      <c r="I281" s="17" t="s">
        <v>1172</v>
      </c>
      <c r="J281" s="17" t="s">
        <v>58</v>
      </c>
      <c r="K281" s="17"/>
      <c r="L281" s="17" t="s">
        <v>35</v>
      </c>
      <c r="M281" s="17" t="s">
        <v>1169</v>
      </c>
      <c r="N281" s="17" t="s">
        <v>113</v>
      </c>
      <c r="O281" s="17"/>
      <c r="P281" s="17"/>
      <c r="Q281" s="17"/>
      <c r="R281" s="17"/>
      <c r="S281" s="17" t="e" cm="1">
        <f t="array" ref="S281">_xlfn.LET(_xlpm.r,_xlfn.XLOOKUP(1,MappingGuide[[#This Row],[API]:[API_3]],'[1]Squirrel SQL Export 1'!$K:$N,[1]!Table1[[#This Row],[Responsible from HJ]]),IF(_xlpm.r=0,"",_xlpm.r))</f>
        <v>#REF!</v>
      </c>
      <c r="T281" s="17"/>
      <c r="U281" s="17"/>
      <c r="V281" s="17" t="e" cm="1">
        <f t="array" ref="V281">_xlfn.LET(_xlpm.r,_xlfn.XLOOKUP(1,MappingGuide[[#This Row],[API]:[API_3]],'[1]Squirrel SQL Export 1'!$K:$N,[1]!Table1[[#This Row],[MDM Comments]]),IF(_xlpm.r=0,"",_xlpm.r))</f>
        <v>#REF!</v>
      </c>
      <c r="W281" s="17" t="e" cm="1">
        <f t="array" ref="W281">_xlfn.LET(_xlpm.r,_xlfn.XLOOKUP(1,MappingGuide[[#This Row],[API]:[API_3]],'[1]Squirrel SQL Export 1'!$K:$N,[1]!Table1[[#This Row],[Exists In Syndigo?]]),IF(_xlpm.r=0,"",_xlpm.r))</f>
        <v>#REF!</v>
      </c>
      <c r="X281" s="17" t="e" cm="1">
        <f t="array" ref="X281">_xlfn.LET(_xlpm.r,_xlfn.XLOOKUP(1,MappingGuide[[#This Row],[API]:[API_3]],'[1]Squirrel SQL Export 1'!$K:$N,[1]!Table1[[#This Row],[Syndigo Name]]),IF(_xlpm.r=0,"",_xlpm.r))</f>
        <v>#REF!</v>
      </c>
      <c r="Y281" s="17"/>
      <c r="Z281" s="17" t="s">
        <v>110</v>
      </c>
      <c r="AA281" s="17"/>
      <c r="AB281" s="17"/>
      <c r="AC281" s="17" t="e" cm="1">
        <f t="array" ref="AC281">_xlfn.XLOOKUP(1,MappingGuide[[#This Row],[API]:[API_3]],'[1]Squirrel SQL Export 1'!$K:$N,[1]!Table1[[#This Row],[Doppio Notes2]])</f>
        <v>#REF!</v>
      </c>
      <c r="AD281" s="17"/>
      <c r="AE281" s="17" t="e" cm="1">
        <f t="array" ref="AE281">_xlfn.XLOOKUP(1,MappingGuide[[#This Row],[API]:[API_3]],'[1]Squirrel SQL Export 1'!$K:$N,[1]!Table1[[#This Row],[DG_required]])</f>
        <v>#REF!</v>
      </c>
      <c r="AF281" s="17"/>
      <c r="AG281" s="17"/>
      <c r="AH281" s="17" t="e" cm="1">
        <f t="array" ref="AH281">_xlfn.LET(_xlpm.r,_xlfn.XLOOKUP(1,MappingGuide[[#This Row],[API]:[API_3]],'[1]Squirrel SQL Export 1'!$K:$N,[1]!Table1[[#This Row],[Pending Items]]),IF(_xlpm.r=0,"",_xlpm.r))</f>
        <v>#REF!</v>
      </c>
      <c r="AI281" s="17" t="e" cm="1">
        <f t="array" ref="AI281">_xlfn.LET(_xlpm.r,_xlfn.XLOOKUP(1,MappingGuide[[#This Row],[API]:[API_3]],'[1]Squirrel SQL Export 1'!$K:$N,[1]!Table1[[#This Row],[Syndigo Name]]),IF(_xlpm.r=0,"",_xlpm.r))</f>
        <v>#REF!</v>
      </c>
      <c r="AJ281" s="17"/>
    </row>
    <row r="282" spans="1:36" ht="17">
      <c r="A282" s="17">
        <v>280</v>
      </c>
      <c r="B282" s="17" t="s">
        <v>1167</v>
      </c>
      <c r="C282" s="17" t="s">
        <v>1186</v>
      </c>
      <c r="D282" s="17" t="s">
        <v>441</v>
      </c>
      <c r="E282" s="17" t="s">
        <v>33</v>
      </c>
      <c r="F282" s="17" t="s">
        <v>34</v>
      </c>
      <c r="G282" s="17"/>
      <c r="H282" s="17"/>
      <c r="I282" s="17" t="s">
        <v>1172</v>
      </c>
      <c r="J282" s="17" t="s">
        <v>58</v>
      </c>
      <c r="K282" s="17"/>
      <c r="L282" s="17" t="s">
        <v>35</v>
      </c>
      <c r="M282" s="17" t="s">
        <v>1169</v>
      </c>
      <c r="N282" s="17" t="s">
        <v>442</v>
      </c>
      <c r="O282" s="17"/>
      <c r="P282" s="17"/>
      <c r="Q282" s="17"/>
      <c r="R282" s="17"/>
      <c r="S282" s="17" t="e" cm="1">
        <f t="array" ref="S282">_xlfn.LET(_xlpm.r,_xlfn.XLOOKUP(1,MappingGuide[[#This Row],[API]:[API_3]],'[1]Squirrel SQL Export 1'!$K:$N,[1]!Table1[[#This Row],[Responsible from HJ]]),IF(_xlpm.r=0,"",_xlpm.r))</f>
        <v>#REF!</v>
      </c>
      <c r="T282" s="17"/>
      <c r="U282" s="17"/>
      <c r="V282" s="17" t="e" cm="1">
        <f t="array" ref="V282">_xlfn.LET(_xlpm.r,_xlfn.XLOOKUP(1,MappingGuide[[#This Row],[API]:[API_3]],'[1]Squirrel SQL Export 1'!$K:$N,[1]!Table1[[#This Row],[MDM Comments]]),IF(_xlpm.r=0,"",_xlpm.r))</f>
        <v>#REF!</v>
      </c>
      <c r="W282" s="17" t="e" cm="1">
        <f t="array" ref="W282">_xlfn.LET(_xlpm.r,_xlfn.XLOOKUP(1,MappingGuide[[#This Row],[API]:[API_3]],'[1]Squirrel SQL Export 1'!$K:$N,[1]!Table1[[#This Row],[Exists In Syndigo?]]),IF(_xlpm.r=0,"",_xlpm.r))</f>
        <v>#REF!</v>
      </c>
      <c r="X282" s="17" t="e" cm="1">
        <f t="array" ref="X282">_xlfn.LET(_xlpm.r,_xlfn.XLOOKUP(1,MappingGuide[[#This Row],[API]:[API_3]],'[1]Squirrel SQL Export 1'!$K:$N,[1]!Table1[[#This Row],[Syndigo Name]]),IF(_xlpm.r=0,"",_xlpm.r))</f>
        <v>#REF!</v>
      </c>
      <c r="Y282" s="17"/>
      <c r="Z282" s="17" t="s">
        <v>445</v>
      </c>
      <c r="AA282" s="17"/>
      <c r="AB282" s="17"/>
      <c r="AC282" s="17" t="e" cm="1">
        <f t="array" ref="AC282">_xlfn.XLOOKUP(1,MappingGuide[[#This Row],[API]:[API_3]],'[1]Squirrel SQL Export 1'!$K:$N,[1]!Table1[[#This Row],[Doppio Notes2]])</f>
        <v>#REF!</v>
      </c>
      <c r="AD282" s="17"/>
      <c r="AE282" s="17" t="e" cm="1">
        <f t="array" ref="AE282">_xlfn.XLOOKUP(1,MappingGuide[[#This Row],[API]:[API_3]],'[1]Squirrel SQL Export 1'!$K:$N,[1]!Table1[[#This Row],[DG_required]])</f>
        <v>#REF!</v>
      </c>
      <c r="AF282" s="17"/>
      <c r="AG282" s="17"/>
      <c r="AH282" s="17" t="e" cm="1">
        <f t="array" ref="AH282">_xlfn.LET(_xlpm.r,_xlfn.XLOOKUP(1,MappingGuide[[#This Row],[API]:[API_3]],'[1]Squirrel SQL Export 1'!$K:$N,[1]!Table1[[#This Row],[Pending Items]]),IF(_xlpm.r=0,"",_xlpm.r))</f>
        <v>#REF!</v>
      </c>
      <c r="AI282" s="17" t="e" cm="1">
        <f t="array" ref="AI282">_xlfn.LET(_xlpm.r,_xlfn.XLOOKUP(1,MappingGuide[[#This Row],[API]:[API_3]],'[1]Squirrel SQL Export 1'!$K:$N,[1]!Table1[[#This Row],[Syndigo Name]]),IF(_xlpm.r=0,"",_xlpm.r))</f>
        <v>#REF!</v>
      </c>
      <c r="AJ282" s="17"/>
    </row>
    <row r="283" spans="1:36" ht="18">
      <c r="A283" s="17">
        <v>281</v>
      </c>
      <c r="B283" s="17" t="s">
        <v>1167</v>
      </c>
      <c r="C283" s="17" t="s">
        <v>1187</v>
      </c>
      <c r="D283" s="17" t="s">
        <v>787</v>
      </c>
      <c r="E283" s="17" t="s">
        <v>43</v>
      </c>
      <c r="F283" s="17" t="s">
        <v>668</v>
      </c>
      <c r="G283" s="17"/>
      <c r="H283" s="17"/>
      <c r="I283" s="17" t="s">
        <v>1172</v>
      </c>
      <c r="J283" s="17" t="s">
        <v>72</v>
      </c>
      <c r="K283" s="17"/>
      <c r="L283" s="17" t="s">
        <v>35</v>
      </c>
      <c r="M283" s="17" t="s">
        <v>1169</v>
      </c>
      <c r="N283" s="17" t="s">
        <v>788</v>
      </c>
      <c r="O283" s="17"/>
      <c r="P283" s="17"/>
      <c r="Q283" s="17"/>
      <c r="R283" s="17"/>
      <c r="S283" s="17" t="e" cm="1">
        <f t="array" ref="S283">_xlfn.LET(_xlpm.r,_xlfn.XLOOKUP(1,MappingGuide[[#This Row],[API]:[API_3]],'[1]Squirrel SQL Export 1'!$K:$N,[1]!Table1[[#This Row],[Responsible from HJ]]),IF(_xlpm.r=0,"",_xlpm.r))</f>
        <v>#REF!</v>
      </c>
      <c r="T283" s="17"/>
      <c r="U283" s="17"/>
      <c r="V283" s="17" t="e" cm="1">
        <f t="array" ref="V283">_xlfn.LET(_xlpm.r,_xlfn.XLOOKUP(1,MappingGuide[[#This Row],[API]:[API_3]],'[1]Squirrel SQL Export 1'!$K:$N,[1]!Table1[[#This Row],[MDM Comments]]),IF(_xlpm.r=0,"",_xlpm.r))</f>
        <v>#REF!</v>
      </c>
      <c r="W283" s="17" t="e" cm="1">
        <f t="array" ref="W283">_xlfn.LET(_xlpm.r,_xlfn.XLOOKUP(1,MappingGuide[[#This Row],[API]:[API_3]],'[1]Squirrel SQL Export 1'!$K:$N,[1]!Table1[[#This Row],[Exists In Syndigo?]]),IF(_xlpm.r=0,"",_xlpm.r))</f>
        <v>#REF!</v>
      </c>
      <c r="X283" s="17" t="e" cm="1">
        <f t="array" ref="X283">_xlfn.LET(_xlpm.r,_xlfn.XLOOKUP(1,MappingGuide[[#This Row],[API]:[API_3]],'[1]Squirrel SQL Export 1'!$K:$N,[1]!Table1[[#This Row],[Syndigo Name]]),IF(_xlpm.r=0,"",_xlpm.r))</f>
        <v>#REF!</v>
      </c>
      <c r="Y283" s="17"/>
      <c r="Z283" s="17"/>
      <c r="AA283" s="17"/>
      <c r="AB283" s="17"/>
      <c r="AC283" s="17" t="e" cm="1">
        <f t="array" ref="AC283">_xlfn.XLOOKUP(1,MappingGuide[[#This Row],[API]:[API_3]],'[1]Squirrel SQL Export 1'!$K:$N,[1]!Table1[[#This Row],[Doppio Notes2]])</f>
        <v>#REF!</v>
      </c>
      <c r="AD283" s="17" t="s">
        <v>1279</v>
      </c>
      <c r="AE283" s="17" t="e" cm="1">
        <f t="array" ref="AE283">_xlfn.XLOOKUP(1,MappingGuide[[#This Row],[API]:[API_3]],'[1]Squirrel SQL Export 1'!$K:$N,[1]!Table1[[#This Row],[DG_required]])</f>
        <v>#REF!</v>
      </c>
      <c r="AF283" s="17"/>
      <c r="AG283" s="17"/>
      <c r="AH283" s="18" t="e" cm="1">
        <f t="array" ref="AH283">_xlfn.LET(_xlpm.r,_xlfn.XLOOKUP(1,MappingGuide[[#This Row],[API]:[API_3]],'[1]Squirrel SQL Export 1'!$K:$N,[1]!Table1[[#This Row],[Pending Items]]),IF(_xlpm.r=0,"",_xlpm.r))</f>
        <v>#REF!</v>
      </c>
      <c r="AI283" s="17" t="e" cm="1">
        <f t="array" ref="AI283">_xlfn.LET(_xlpm.r,_xlfn.XLOOKUP(1,MappingGuide[[#This Row],[API]:[API_3]],'[1]Squirrel SQL Export 1'!$K:$N,[1]!Table1[[#This Row],[Syndigo Name]]),IF(_xlpm.r=0,"",_xlpm.r))</f>
        <v>#REF!</v>
      </c>
      <c r="AJ283" s="17"/>
    </row>
    <row r="284" spans="1:36" ht="17">
      <c r="A284" s="17">
        <v>282</v>
      </c>
      <c r="B284" s="17" t="s">
        <v>1167</v>
      </c>
      <c r="C284" s="17" t="s">
        <v>1188</v>
      </c>
      <c r="D284" s="17" t="s">
        <v>791</v>
      </c>
      <c r="E284" s="17" t="s">
        <v>33</v>
      </c>
      <c r="F284" s="17" t="s">
        <v>56</v>
      </c>
      <c r="G284" s="17"/>
      <c r="H284" s="17"/>
      <c r="I284" s="17" t="s">
        <v>1172</v>
      </c>
      <c r="J284" s="17" t="s">
        <v>58</v>
      </c>
      <c r="K284" s="17"/>
      <c r="L284" s="17" t="s">
        <v>35</v>
      </c>
      <c r="M284" s="17" t="s">
        <v>1169</v>
      </c>
      <c r="N284" s="17" t="s">
        <v>792</v>
      </c>
      <c r="O284" s="17"/>
      <c r="P284" s="17"/>
      <c r="Q284" s="17"/>
      <c r="R284" s="17"/>
      <c r="S284" s="17" t="e" cm="1">
        <f t="array" ref="S284">_xlfn.LET(_xlpm.r,_xlfn.XLOOKUP(1,MappingGuide[[#This Row],[API]:[API_3]],'[1]Squirrel SQL Export 1'!$K:$N,[1]!Table1[[#This Row],[Responsible from HJ]]),IF(_xlpm.r=0,"",_xlpm.r))</f>
        <v>#REF!</v>
      </c>
      <c r="T284" s="17"/>
      <c r="U284" s="17"/>
      <c r="V284" s="17" t="e" cm="1">
        <f t="array" ref="V284">_xlfn.LET(_xlpm.r,_xlfn.XLOOKUP(1,MappingGuide[[#This Row],[API]:[API_3]],'[1]Squirrel SQL Export 1'!$K:$N,[1]!Table1[[#This Row],[MDM Comments]]),IF(_xlpm.r=0,"",_xlpm.r))</f>
        <v>#REF!</v>
      </c>
      <c r="W284" s="17" t="e" cm="1">
        <f t="array" ref="W284">_xlfn.LET(_xlpm.r,_xlfn.XLOOKUP(1,MappingGuide[[#This Row],[API]:[API_3]],'[1]Squirrel SQL Export 1'!$K:$N,[1]!Table1[[#This Row],[Exists In Syndigo?]]),IF(_xlpm.r=0,"",_xlpm.r))</f>
        <v>#REF!</v>
      </c>
      <c r="X284" s="17" t="e" cm="1">
        <f t="array" ref="X284">_xlfn.LET(_xlpm.r,_xlfn.XLOOKUP(1,MappingGuide[[#This Row],[API]:[API_3]],'[1]Squirrel SQL Export 1'!$K:$N,[1]!Table1[[#This Row],[Syndigo Name]]),IF(_xlpm.r=0,"",_xlpm.r))</f>
        <v>#REF!</v>
      </c>
      <c r="Y284" s="17"/>
      <c r="Z284" s="17" t="s">
        <v>1189</v>
      </c>
      <c r="AA284" s="17"/>
      <c r="AB284" s="17"/>
      <c r="AC284" s="17" t="e" cm="1">
        <f t="array" ref="AC284">_xlfn.XLOOKUP(1,MappingGuide[[#This Row],[API]:[API_3]],'[1]Squirrel SQL Export 1'!$K:$N,[1]!Table1[[#This Row],[Doppio Notes2]])</f>
        <v>#REF!</v>
      </c>
      <c r="AD284" s="17" t="s">
        <v>1279</v>
      </c>
      <c r="AE284" s="17" t="e" cm="1">
        <f t="array" ref="AE284">_xlfn.XLOOKUP(1,MappingGuide[[#This Row],[API]:[API_3]],'[1]Squirrel SQL Export 1'!$K:$N,[1]!Table1[[#This Row],[DG_required]])</f>
        <v>#REF!</v>
      </c>
      <c r="AF284" s="17"/>
      <c r="AG284" s="17"/>
      <c r="AH284" s="17" t="e" cm="1">
        <f t="array" ref="AH284">_xlfn.LET(_xlpm.r,_xlfn.XLOOKUP(1,MappingGuide[[#This Row],[API]:[API_3]],'[1]Squirrel SQL Export 1'!$K:$N,[1]!Table1[[#This Row],[Pending Items]]),IF(_xlpm.r=0,"",_xlpm.r))</f>
        <v>#REF!</v>
      </c>
      <c r="AI284" s="17" t="e" cm="1">
        <f t="array" ref="AI284">_xlfn.LET(_xlpm.r,_xlfn.XLOOKUP(1,MappingGuide[[#This Row],[API]:[API_3]],'[1]Squirrel SQL Export 1'!$K:$N,[1]!Table1[[#This Row],[Syndigo Name]]),IF(_xlpm.r=0,"",_xlpm.r))</f>
        <v>#REF!</v>
      </c>
      <c r="AJ284" s="17"/>
    </row>
    <row r="285" spans="1:36" ht="18">
      <c r="A285" s="17">
        <v>283</v>
      </c>
      <c r="B285" s="17" t="s">
        <v>1167</v>
      </c>
      <c r="C285" s="17" t="s">
        <v>1190</v>
      </c>
      <c r="D285" s="17" t="s">
        <v>208</v>
      </c>
      <c r="E285" s="17" t="s">
        <v>33</v>
      </c>
      <c r="F285" s="17" t="s">
        <v>44</v>
      </c>
      <c r="G285" s="17"/>
      <c r="H285" s="17"/>
      <c r="I285" s="17" t="s">
        <v>1172</v>
      </c>
      <c r="J285" s="17" t="s">
        <v>58</v>
      </c>
      <c r="K285" s="17"/>
      <c r="L285" s="17" t="s">
        <v>35</v>
      </c>
      <c r="M285" s="17" t="s">
        <v>1169</v>
      </c>
      <c r="N285" s="17" t="s">
        <v>209</v>
      </c>
      <c r="O285" s="17"/>
      <c r="P285" s="17"/>
      <c r="Q285" s="17"/>
      <c r="R285" s="17"/>
      <c r="S285" s="17" t="e" cm="1">
        <f t="array" ref="S285">_xlfn.LET(_xlpm.r,_xlfn.XLOOKUP(1,MappingGuide[[#This Row],[API]:[API_3]],'[1]Squirrel SQL Export 1'!$K:$N,[1]!Table1[[#This Row],[Responsible from HJ]]),IF(_xlpm.r=0,"",_xlpm.r))</f>
        <v>#REF!</v>
      </c>
      <c r="T285" s="17"/>
      <c r="U285" s="17"/>
      <c r="V285" s="17" t="e" cm="1">
        <f t="array" ref="V285">_xlfn.LET(_xlpm.r,_xlfn.XLOOKUP(1,MappingGuide[[#This Row],[API]:[API_3]],'[1]Squirrel SQL Export 1'!$K:$N,[1]!Table1[[#This Row],[MDM Comments]]),IF(_xlpm.r=0,"",_xlpm.r))</f>
        <v>#REF!</v>
      </c>
      <c r="W285" s="17" t="e" cm="1">
        <f t="array" ref="W285">_xlfn.LET(_xlpm.r,_xlfn.XLOOKUP(1,MappingGuide[[#This Row],[API]:[API_3]],'[1]Squirrel SQL Export 1'!$K:$N,[1]!Table1[[#This Row],[Exists In Syndigo?]]),IF(_xlpm.r=0,"",_xlpm.r))</f>
        <v>#REF!</v>
      </c>
      <c r="X285" s="17" t="e" cm="1">
        <f t="array" ref="X285">_xlfn.LET(_xlpm.r,_xlfn.XLOOKUP(1,MappingGuide[[#This Row],[API]:[API_3]],'[1]Squirrel SQL Export 1'!$K:$N,[1]!Table1[[#This Row],[Syndigo Name]]),IF(_xlpm.r=0,"",_xlpm.r))</f>
        <v>#REF!</v>
      </c>
      <c r="Y285" s="17"/>
      <c r="Z285" s="17" t="s">
        <v>210</v>
      </c>
      <c r="AA285" s="17"/>
      <c r="AB285" s="17"/>
      <c r="AC285" s="17" t="e" cm="1">
        <f t="array" ref="AC285">_xlfn.XLOOKUP(1,MappingGuide[[#This Row],[API]:[API_3]],'[1]Squirrel SQL Export 1'!$K:$N,[1]!Table1[[#This Row],[Doppio Notes2]])</f>
        <v>#REF!</v>
      </c>
      <c r="AD285" s="17" t="s">
        <v>1279</v>
      </c>
      <c r="AE285" s="17" t="e" cm="1">
        <f t="array" ref="AE285">_xlfn.XLOOKUP(1,MappingGuide[[#This Row],[API]:[API_3]],'[1]Squirrel SQL Export 1'!$K:$N,[1]!Table1[[#This Row],[DG_required]])</f>
        <v>#REF!</v>
      </c>
      <c r="AF285" s="17"/>
      <c r="AG285" s="17"/>
      <c r="AH285" s="18" t="e" cm="1">
        <f t="array" ref="AH285">_xlfn.LET(_xlpm.r,_xlfn.XLOOKUP(1,MappingGuide[[#This Row],[API]:[API_3]],'[1]Squirrel SQL Export 1'!$K:$N,[1]!Table1[[#This Row],[Pending Items]]),IF(_xlpm.r=0,"",_xlpm.r))</f>
        <v>#REF!</v>
      </c>
      <c r="AI285" s="17" t="e" cm="1">
        <f t="array" ref="AI285">_xlfn.LET(_xlpm.r,_xlfn.XLOOKUP(1,MappingGuide[[#This Row],[API]:[API_3]],'[1]Squirrel SQL Export 1'!$K:$N,[1]!Table1[[#This Row],[Syndigo Name]]),IF(_xlpm.r=0,"",_xlpm.r))</f>
        <v>#REF!</v>
      </c>
      <c r="AJ285" s="17"/>
    </row>
    <row r="286" spans="1:36" ht="17">
      <c r="A286" s="17">
        <v>284</v>
      </c>
      <c r="B286" s="17" t="s">
        <v>1167</v>
      </c>
      <c r="C286" s="17" t="s">
        <v>1191</v>
      </c>
      <c r="D286" s="17" t="s">
        <v>196</v>
      </c>
      <c r="E286" s="17" t="s">
        <v>33</v>
      </c>
      <c r="F286" s="17" t="s">
        <v>44</v>
      </c>
      <c r="G286" s="17"/>
      <c r="H286" s="17"/>
      <c r="I286" s="17" t="s">
        <v>1172</v>
      </c>
      <c r="J286" s="17" t="s">
        <v>72</v>
      </c>
      <c r="K286" s="17"/>
      <c r="L286" s="17" t="s">
        <v>35</v>
      </c>
      <c r="M286" s="17" t="s">
        <v>1169</v>
      </c>
      <c r="N286" s="17" t="s">
        <v>197</v>
      </c>
      <c r="O286" s="17"/>
      <c r="P286" s="17"/>
      <c r="Q286" s="17"/>
      <c r="R286" s="17"/>
      <c r="S286" s="17" t="e" cm="1">
        <f t="array" ref="S286">_xlfn.LET(_xlpm.r,_xlfn.XLOOKUP(1,MappingGuide[[#This Row],[API]:[API_3]],'[1]Squirrel SQL Export 1'!$K:$N,[1]!Table1[[#This Row],[Responsible from HJ]]),IF(_xlpm.r=0,"",_xlpm.r))</f>
        <v>#REF!</v>
      </c>
      <c r="T286" s="17"/>
      <c r="U286" s="17"/>
      <c r="V286" s="17" t="e" cm="1">
        <f t="array" ref="V286">_xlfn.LET(_xlpm.r,_xlfn.XLOOKUP(1,MappingGuide[[#This Row],[API]:[API_3]],'[1]Squirrel SQL Export 1'!$K:$N,[1]!Table1[[#This Row],[MDM Comments]]),IF(_xlpm.r=0,"",_xlpm.r))</f>
        <v>#REF!</v>
      </c>
      <c r="W286" s="17" t="e" cm="1">
        <f t="array" ref="W286">_xlfn.LET(_xlpm.r,_xlfn.XLOOKUP(1,MappingGuide[[#This Row],[API]:[API_3]],'[1]Squirrel SQL Export 1'!$K:$N,[1]!Table1[[#This Row],[Exists In Syndigo?]]),IF(_xlpm.r=0,"",_xlpm.r))</f>
        <v>#REF!</v>
      </c>
      <c r="X286" s="17" t="e" cm="1">
        <f t="array" ref="X286">_xlfn.LET(_xlpm.r,_xlfn.XLOOKUP(1,MappingGuide[[#This Row],[API]:[API_3]],'[1]Squirrel SQL Export 1'!$K:$N,[1]!Table1[[#This Row],[Syndigo Name]]),IF(_xlpm.r=0,"",_xlpm.r))</f>
        <v>#REF!</v>
      </c>
      <c r="Y286" s="17"/>
      <c r="Z286" s="17" t="s">
        <v>1192</v>
      </c>
      <c r="AA286" s="17"/>
      <c r="AB286" s="17"/>
      <c r="AC286" s="17" t="e" cm="1">
        <f t="array" ref="AC286">_xlfn.XLOOKUP(1,MappingGuide[[#This Row],[API]:[API_3]],'[1]Squirrel SQL Export 1'!$K:$N,[1]!Table1[[#This Row],[Doppio Notes2]])</f>
        <v>#REF!</v>
      </c>
      <c r="AD286" s="17"/>
      <c r="AE286" s="17" t="e" cm="1">
        <f t="array" ref="AE286">_xlfn.XLOOKUP(1,MappingGuide[[#This Row],[API]:[API_3]],'[1]Squirrel SQL Export 1'!$K:$N,[1]!Table1[[#This Row],[DG_required]])</f>
        <v>#REF!</v>
      </c>
      <c r="AF286" s="17"/>
      <c r="AG286" s="17"/>
      <c r="AH286" s="17" t="e" cm="1">
        <f t="array" ref="AH286">_xlfn.LET(_xlpm.r,_xlfn.XLOOKUP(1,MappingGuide[[#This Row],[API]:[API_3]],'[1]Squirrel SQL Export 1'!$K:$N,[1]!Table1[[#This Row],[Pending Items]]),IF(_xlpm.r=0,"",_xlpm.r))</f>
        <v>#REF!</v>
      </c>
      <c r="AI286" s="17" t="e" cm="1">
        <f t="array" ref="AI286">_xlfn.LET(_xlpm.r,_xlfn.XLOOKUP(1,MappingGuide[[#This Row],[API]:[API_3]],'[1]Squirrel SQL Export 1'!$K:$N,[1]!Table1[[#This Row],[Syndigo Name]]),IF(_xlpm.r=0,"",_xlpm.r))</f>
        <v>#REF!</v>
      </c>
      <c r="AJ286" s="17"/>
    </row>
    <row r="287" spans="1:36" ht="17">
      <c r="A287" s="17">
        <v>285</v>
      </c>
      <c r="B287" s="17" t="s">
        <v>1167</v>
      </c>
      <c r="C287" s="17" t="s">
        <v>1193</v>
      </c>
      <c r="D287" s="17" t="s">
        <v>191</v>
      </c>
      <c r="E287" s="17" t="s">
        <v>33</v>
      </c>
      <c r="F287" s="17" t="s">
        <v>44</v>
      </c>
      <c r="G287" s="17"/>
      <c r="H287" s="17"/>
      <c r="I287" s="17" t="s">
        <v>1172</v>
      </c>
      <c r="J287" s="17" t="s">
        <v>72</v>
      </c>
      <c r="K287" s="17"/>
      <c r="L287" s="17" t="s">
        <v>35</v>
      </c>
      <c r="M287" s="17" t="s">
        <v>1169</v>
      </c>
      <c r="N287" s="17" t="s">
        <v>192</v>
      </c>
      <c r="O287" s="17"/>
      <c r="P287" s="17"/>
      <c r="Q287" s="17"/>
      <c r="R287" s="17"/>
      <c r="S287" s="17" t="e" cm="1">
        <f t="array" ref="S287">_xlfn.LET(_xlpm.r,_xlfn.XLOOKUP(1,MappingGuide[[#This Row],[API]:[API_3]],'[1]Squirrel SQL Export 1'!$K:$N,[1]!Table1[[#This Row],[Responsible from HJ]]),IF(_xlpm.r=0,"",_xlpm.r))</f>
        <v>#REF!</v>
      </c>
      <c r="T287" s="17"/>
      <c r="U287" s="17"/>
      <c r="V287" s="17" t="e" cm="1">
        <f t="array" ref="V287">_xlfn.LET(_xlpm.r,_xlfn.XLOOKUP(1,MappingGuide[[#This Row],[API]:[API_3]],'[1]Squirrel SQL Export 1'!$K:$N,[1]!Table1[[#This Row],[MDM Comments]]),IF(_xlpm.r=0,"",_xlpm.r))</f>
        <v>#REF!</v>
      </c>
      <c r="W287" s="17" t="e" cm="1">
        <f t="array" ref="W287">_xlfn.LET(_xlpm.r,_xlfn.XLOOKUP(1,MappingGuide[[#This Row],[API]:[API_3]],'[1]Squirrel SQL Export 1'!$K:$N,[1]!Table1[[#This Row],[Exists In Syndigo?]]),IF(_xlpm.r=0,"",_xlpm.r))</f>
        <v>#REF!</v>
      </c>
      <c r="X287" s="17" t="e" cm="1">
        <f t="array" ref="X287">_xlfn.LET(_xlpm.r,_xlfn.XLOOKUP(1,MappingGuide[[#This Row],[API]:[API_3]],'[1]Squirrel SQL Export 1'!$K:$N,[1]!Table1[[#This Row],[Syndigo Name]]),IF(_xlpm.r=0,"",_xlpm.r))</f>
        <v>#REF!</v>
      </c>
      <c r="Y287" s="17"/>
      <c r="Z287" s="17" t="s">
        <v>1194</v>
      </c>
      <c r="AA287" s="17"/>
      <c r="AB287" s="17"/>
      <c r="AC287" s="17" t="e" cm="1">
        <f t="array" ref="AC287">_xlfn.XLOOKUP(1,MappingGuide[[#This Row],[API]:[API_3]],'[1]Squirrel SQL Export 1'!$K:$N,[1]!Table1[[#This Row],[Doppio Notes2]])</f>
        <v>#REF!</v>
      </c>
      <c r="AD287" s="17"/>
      <c r="AE287" s="17" t="e" cm="1">
        <f t="array" ref="AE287">_xlfn.XLOOKUP(1,MappingGuide[[#This Row],[API]:[API_3]],'[1]Squirrel SQL Export 1'!$K:$N,[1]!Table1[[#This Row],[DG_required]])</f>
        <v>#REF!</v>
      </c>
      <c r="AF287" s="17"/>
      <c r="AG287" s="17"/>
      <c r="AH287" s="17" t="e" cm="1">
        <f t="array" ref="AH287">_xlfn.LET(_xlpm.r,_xlfn.XLOOKUP(1,MappingGuide[[#This Row],[API]:[API_3]],'[1]Squirrel SQL Export 1'!$K:$N,[1]!Table1[[#This Row],[Pending Items]]),IF(_xlpm.r=0,"",_xlpm.r))</f>
        <v>#REF!</v>
      </c>
      <c r="AI287" s="17" t="e" cm="1">
        <f t="array" ref="AI287">_xlfn.LET(_xlpm.r,_xlfn.XLOOKUP(1,MappingGuide[[#This Row],[API]:[API_3]],'[1]Squirrel SQL Export 1'!$K:$N,[1]!Table1[[#This Row],[Syndigo Name]]),IF(_xlpm.r=0,"",_xlpm.r))</f>
        <v>#REF!</v>
      </c>
      <c r="AJ287" s="17"/>
    </row>
    <row r="288" spans="1:36" ht="17">
      <c r="A288" s="17">
        <v>286</v>
      </c>
      <c r="B288" s="17" t="s">
        <v>1167</v>
      </c>
      <c r="C288" s="17" t="s">
        <v>1195</v>
      </c>
      <c r="D288" s="17" t="s">
        <v>1196</v>
      </c>
      <c r="E288" s="17" t="s">
        <v>33</v>
      </c>
      <c r="F288" s="17" t="s">
        <v>91</v>
      </c>
      <c r="G288" s="17"/>
      <c r="H288" s="17"/>
      <c r="I288" s="17" t="s">
        <v>1172</v>
      </c>
      <c r="J288" s="17" t="s">
        <v>72</v>
      </c>
      <c r="K288" s="17"/>
      <c r="L288" s="17" t="s">
        <v>35</v>
      </c>
      <c r="M288" s="17" t="s">
        <v>1169</v>
      </c>
      <c r="N288" s="17" t="s">
        <v>1197</v>
      </c>
      <c r="O288" s="17"/>
      <c r="P288" s="17"/>
      <c r="Q288" s="17"/>
      <c r="R288" s="17"/>
      <c r="S288" s="17" t="e" cm="1">
        <f t="array" ref="S288">_xlfn.LET(_xlpm.r,_xlfn.XLOOKUP(1,MappingGuide[[#This Row],[API]:[API_3]],'[1]Squirrel SQL Export 1'!$K:$N,[1]!Table1[[#This Row],[Responsible from HJ]]),IF(_xlpm.r=0,"",_xlpm.r))</f>
        <v>#REF!</v>
      </c>
      <c r="T288" s="17"/>
      <c r="U288" s="17"/>
      <c r="V288" s="17" t="e" cm="1">
        <f t="array" ref="V288">_xlfn.LET(_xlpm.r,_xlfn.XLOOKUP(1,MappingGuide[[#This Row],[API]:[API_3]],'[1]Squirrel SQL Export 1'!$K:$N,[1]!Table1[[#This Row],[MDM Comments]]),IF(_xlpm.r=0,"",_xlpm.r))</f>
        <v>#REF!</v>
      </c>
      <c r="W288" s="17" t="e" cm="1">
        <f t="array" ref="W288">_xlfn.LET(_xlpm.r,_xlfn.XLOOKUP(1,MappingGuide[[#This Row],[API]:[API_3]],'[1]Squirrel SQL Export 1'!$K:$N,[1]!Table1[[#This Row],[Exists In Syndigo?]]),IF(_xlpm.r=0,"",_xlpm.r))</f>
        <v>#REF!</v>
      </c>
      <c r="X288" s="17" t="e" cm="1">
        <f t="array" ref="X288">_xlfn.LET(_xlpm.r,_xlfn.XLOOKUP(1,MappingGuide[[#This Row],[API]:[API_3]],'[1]Squirrel SQL Export 1'!$K:$N,[1]!Table1[[#This Row],[Syndigo Name]]),IF(_xlpm.r=0,"",_xlpm.r))</f>
        <v>#REF!</v>
      </c>
      <c r="Y288" s="17"/>
      <c r="Z288" s="17" t="s">
        <v>1198</v>
      </c>
      <c r="AA288" s="17"/>
      <c r="AB288" s="17"/>
      <c r="AC288" s="17" t="e" cm="1">
        <f t="array" ref="AC288">_xlfn.XLOOKUP(1,MappingGuide[[#This Row],[API]:[API_3]],'[1]Squirrel SQL Export 1'!$K:$N,[1]!Table1[[#This Row],[Doppio Notes2]])</f>
        <v>#REF!</v>
      </c>
      <c r="AD288" s="17"/>
      <c r="AE288" s="17" t="e" cm="1">
        <f t="array" ref="AE288">_xlfn.XLOOKUP(1,MappingGuide[[#This Row],[API]:[API_3]],'[1]Squirrel SQL Export 1'!$K:$N,[1]!Table1[[#This Row],[DG_required]])</f>
        <v>#REF!</v>
      </c>
      <c r="AF288" s="17"/>
      <c r="AG288" s="17"/>
      <c r="AH288" s="17" t="e" cm="1">
        <f t="array" ref="AH288">_xlfn.LET(_xlpm.r,_xlfn.XLOOKUP(1,MappingGuide[[#This Row],[API]:[API_3]],'[1]Squirrel SQL Export 1'!$K:$N,[1]!Table1[[#This Row],[Pending Items]]),IF(_xlpm.r=0,"",_xlpm.r))</f>
        <v>#REF!</v>
      </c>
      <c r="AI288" s="17" t="e" cm="1">
        <f t="array" ref="AI288">_xlfn.LET(_xlpm.r,_xlfn.XLOOKUP(1,MappingGuide[[#This Row],[API]:[API_3]],'[1]Squirrel SQL Export 1'!$K:$N,[1]!Table1[[#This Row],[Syndigo Name]]),IF(_xlpm.r=0,"",_xlpm.r))</f>
        <v>#REF!</v>
      </c>
      <c r="AJ288" s="17"/>
    </row>
    <row r="289" spans="1:36" ht="18">
      <c r="A289" s="17">
        <v>287</v>
      </c>
      <c r="B289" s="17" t="s">
        <v>1167</v>
      </c>
      <c r="C289" s="17" t="s">
        <v>1199</v>
      </c>
      <c r="D289" s="17" t="s">
        <v>129</v>
      </c>
      <c r="E289" s="17" t="s">
        <v>33</v>
      </c>
      <c r="F289" s="17" t="s">
        <v>130</v>
      </c>
      <c r="G289" s="17"/>
      <c r="H289" s="17"/>
      <c r="I289" s="17" t="s">
        <v>1172</v>
      </c>
      <c r="J289" s="17" t="s">
        <v>72</v>
      </c>
      <c r="K289" s="17"/>
      <c r="L289" s="17" t="s">
        <v>35</v>
      </c>
      <c r="M289" s="17" t="s">
        <v>1169</v>
      </c>
      <c r="N289" s="17" t="s">
        <v>131</v>
      </c>
      <c r="O289" s="17"/>
      <c r="P289" s="17"/>
      <c r="Q289" s="17"/>
      <c r="R289" s="17"/>
      <c r="S289" s="17" t="e" cm="1">
        <f t="array" ref="S289">_xlfn.LET(_xlpm.r,_xlfn.XLOOKUP(1,MappingGuide[[#This Row],[API]:[API_3]],'[1]Squirrel SQL Export 1'!$K:$N,[1]!Table1[[#This Row],[Responsible from HJ]]),IF(_xlpm.r=0,"",_xlpm.r))</f>
        <v>#REF!</v>
      </c>
      <c r="T289" s="17"/>
      <c r="U289" s="17"/>
      <c r="V289" s="17" t="e" cm="1">
        <f t="array" ref="V289">_xlfn.LET(_xlpm.r,_xlfn.XLOOKUP(1,MappingGuide[[#This Row],[API]:[API_3]],'[1]Squirrel SQL Export 1'!$K:$N,[1]!Table1[[#This Row],[MDM Comments]]),IF(_xlpm.r=0,"",_xlpm.r))</f>
        <v>#REF!</v>
      </c>
      <c r="W289" s="17" t="e" cm="1">
        <f t="array" ref="W289">_xlfn.LET(_xlpm.r,_xlfn.XLOOKUP(1,MappingGuide[[#This Row],[API]:[API_3]],'[1]Squirrel SQL Export 1'!$K:$N,[1]!Table1[[#This Row],[Exists In Syndigo?]]),IF(_xlpm.r=0,"",_xlpm.r))</f>
        <v>#REF!</v>
      </c>
      <c r="X289" s="17" t="e" cm="1">
        <f t="array" ref="X289">_xlfn.LET(_xlpm.r,_xlfn.XLOOKUP(1,MappingGuide[[#This Row],[API]:[API_3]],'[1]Squirrel SQL Export 1'!$K:$N,[1]!Table1[[#This Row],[Syndigo Name]]),IF(_xlpm.r=0,"",_xlpm.r))</f>
        <v>#REF!</v>
      </c>
      <c r="Y289" s="17"/>
      <c r="Z289" s="17" t="s">
        <v>133</v>
      </c>
      <c r="AA289" s="17"/>
      <c r="AB289" s="17"/>
      <c r="AC289" s="17" t="e" cm="1">
        <f t="array" ref="AC289">_xlfn.XLOOKUP(1,MappingGuide[[#This Row],[API]:[API_3]],'[1]Squirrel SQL Export 1'!$K:$N,[1]!Table1[[#This Row],[Doppio Notes2]])</f>
        <v>#REF!</v>
      </c>
      <c r="AD289" s="17" t="s">
        <v>1279</v>
      </c>
      <c r="AE289" s="17" t="e" cm="1">
        <f t="array" ref="AE289">_xlfn.XLOOKUP(1,MappingGuide[[#This Row],[API]:[API_3]],'[1]Squirrel SQL Export 1'!$K:$N,[1]!Table1[[#This Row],[DG_required]])</f>
        <v>#REF!</v>
      </c>
      <c r="AF289" s="17"/>
      <c r="AG289" s="17"/>
      <c r="AH289" s="18" t="e" cm="1">
        <f t="array" ref="AH289">_xlfn.LET(_xlpm.r,_xlfn.XLOOKUP(1,MappingGuide[[#This Row],[API]:[API_3]],'[1]Squirrel SQL Export 1'!$K:$N,[1]!Table1[[#This Row],[Pending Items]]),IF(_xlpm.r=0,"",_xlpm.r))</f>
        <v>#REF!</v>
      </c>
      <c r="AI289" s="17" t="e" cm="1">
        <f t="array" ref="AI289">_xlfn.LET(_xlpm.r,_xlfn.XLOOKUP(1,MappingGuide[[#This Row],[API]:[API_3]],'[1]Squirrel SQL Export 1'!$K:$N,[1]!Table1[[#This Row],[Syndigo Name]]),IF(_xlpm.r=0,"",_xlpm.r))</f>
        <v>#REF!</v>
      </c>
      <c r="AJ289" s="17"/>
    </row>
    <row r="290" spans="1:36" ht="17">
      <c r="A290" s="17">
        <v>288</v>
      </c>
      <c r="B290" s="17" t="s">
        <v>1167</v>
      </c>
      <c r="C290" s="17" t="s">
        <v>1200</v>
      </c>
      <c r="D290" s="17" t="s">
        <v>138</v>
      </c>
      <c r="E290" s="17" t="s">
        <v>33</v>
      </c>
      <c r="F290" s="17" t="s">
        <v>130</v>
      </c>
      <c r="G290" s="17"/>
      <c r="H290" s="17"/>
      <c r="I290" s="17" t="s">
        <v>1172</v>
      </c>
      <c r="J290" s="17" t="s">
        <v>72</v>
      </c>
      <c r="K290" s="17"/>
      <c r="L290" s="17" t="s">
        <v>35</v>
      </c>
      <c r="M290" s="17" t="s">
        <v>1169</v>
      </c>
      <c r="N290" s="17" t="s">
        <v>139</v>
      </c>
      <c r="O290" s="17"/>
      <c r="P290" s="17"/>
      <c r="Q290" s="17"/>
      <c r="R290" s="17"/>
      <c r="S290" s="17" t="e" cm="1">
        <f t="array" ref="S290">_xlfn.LET(_xlpm.r,_xlfn.XLOOKUP(1,MappingGuide[[#This Row],[API]:[API_3]],'[1]Squirrel SQL Export 1'!$K:$N,[1]!Table1[[#This Row],[Responsible from HJ]]),IF(_xlpm.r=0,"",_xlpm.r))</f>
        <v>#REF!</v>
      </c>
      <c r="T290" s="17"/>
      <c r="U290" s="17"/>
      <c r="V290" s="17" t="e" cm="1">
        <f t="array" ref="V290">_xlfn.LET(_xlpm.r,_xlfn.XLOOKUP(1,MappingGuide[[#This Row],[API]:[API_3]],'[1]Squirrel SQL Export 1'!$K:$N,[1]!Table1[[#This Row],[MDM Comments]]),IF(_xlpm.r=0,"",_xlpm.r))</f>
        <v>#REF!</v>
      </c>
      <c r="W290" s="17" t="e" cm="1">
        <f t="array" ref="W290">_xlfn.LET(_xlpm.r,_xlfn.XLOOKUP(1,MappingGuide[[#This Row],[API]:[API_3]],'[1]Squirrel SQL Export 1'!$K:$N,[1]!Table1[[#This Row],[Exists In Syndigo?]]),IF(_xlpm.r=0,"",_xlpm.r))</f>
        <v>#REF!</v>
      </c>
      <c r="X290" s="17" t="e" cm="1">
        <f t="array" ref="X290">_xlfn.LET(_xlpm.r,_xlfn.XLOOKUP(1,MappingGuide[[#This Row],[API]:[API_3]],'[1]Squirrel SQL Export 1'!$K:$N,[1]!Table1[[#This Row],[Syndigo Name]]),IF(_xlpm.r=0,"",_xlpm.r))</f>
        <v>#REF!</v>
      </c>
      <c r="Y290" s="17"/>
      <c r="Z290" s="17" t="s">
        <v>141</v>
      </c>
      <c r="AA290" s="17"/>
      <c r="AB290" s="17"/>
      <c r="AC290" s="17" t="e" cm="1">
        <f t="array" ref="AC290">_xlfn.XLOOKUP(1,MappingGuide[[#This Row],[API]:[API_3]],'[1]Squirrel SQL Export 1'!$K:$N,[1]!Table1[[#This Row],[Doppio Notes2]])</f>
        <v>#REF!</v>
      </c>
      <c r="AD290" s="17" t="s">
        <v>1279</v>
      </c>
      <c r="AE290" s="17" t="e" cm="1">
        <f t="array" ref="AE290">_xlfn.XLOOKUP(1,MappingGuide[[#This Row],[API]:[API_3]],'[1]Squirrel SQL Export 1'!$K:$N,[1]!Table1[[#This Row],[DG_required]])</f>
        <v>#REF!</v>
      </c>
      <c r="AF290" s="17"/>
      <c r="AG290" s="17"/>
      <c r="AH290" s="17" t="e" cm="1">
        <f t="array" ref="AH290">_xlfn.LET(_xlpm.r,_xlfn.XLOOKUP(1,MappingGuide[[#This Row],[API]:[API_3]],'[1]Squirrel SQL Export 1'!$K:$N,[1]!Table1[[#This Row],[Pending Items]]),IF(_xlpm.r=0,"",_xlpm.r))</f>
        <v>#REF!</v>
      </c>
      <c r="AI290" s="17" t="e" cm="1">
        <f t="array" ref="AI290">_xlfn.LET(_xlpm.r,_xlfn.XLOOKUP(1,MappingGuide[[#This Row],[API]:[API_3]],'[1]Squirrel SQL Export 1'!$K:$N,[1]!Table1[[#This Row],[Syndigo Name]]),IF(_xlpm.r=0,"",_xlpm.r))</f>
        <v>#REF!</v>
      </c>
      <c r="AJ290" s="17"/>
    </row>
    <row r="291" spans="1:36" ht="17">
      <c r="A291" s="17">
        <v>289</v>
      </c>
      <c r="B291" s="17" t="s">
        <v>1167</v>
      </c>
      <c r="C291" s="17" t="s">
        <v>1201</v>
      </c>
      <c r="D291" s="17" t="s">
        <v>156</v>
      </c>
      <c r="E291" s="17" t="s">
        <v>33</v>
      </c>
      <c r="F291" s="17" t="s">
        <v>157</v>
      </c>
      <c r="G291" s="17"/>
      <c r="H291" s="17"/>
      <c r="I291" s="17" t="s">
        <v>1172</v>
      </c>
      <c r="J291" s="17" t="s">
        <v>72</v>
      </c>
      <c r="K291" s="17"/>
      <c r="L291" s="17" t="s">
        <v>35</v>
      </c>
      <c r="M291" s="17" t="s">
        <v>1169</v>
      </c>
      <c r="N291" s="17" t="s">
        <v>158</v>
      </c>
      <c r="O291" s="17"/>
      <c r="P291" s="17"/>
      <c r="Q291" s="17"/>
      <c r="R291" s="17"/>
      <c r="S291" s="17" t="e" cm="1">
        <f t="array" ref="S291">_xlfn.LET(_xlpm.r,_xlfn.XLOOKUP(1,MappingGuide[[#This Row],[API]:[API_3]],'[1]Squirrel SQL Export 1'!$K:$N,[1]!Table1[[#This Row],[Responsible from HJ]]),IF(_xlpm.r=0,"",_xlpm.r))</f>
        <v>#REF!</v>
      </c>
      <c r="T291" s="17"/>
      <c r="U291" s="17"/>
      <c r="V291" s="17" t="e" cm="1">
        <f t="array" ref="V291">_xlfn.LET(_xlpm.r,_xlfn.XLOOKUP(1,MappingGuide[[#This Row],[API]:[API_3]],'[1]Squirrel SQL Export 1'!$K:$N,[1]!Table1[[#This Row],[MDM Comments]]),IF(_xlpm.r=0,"",_xlpm.r))</f>
        <v>#REF!</v>
      </c>
      <c r="W291" s="17" t="e" cm="1">
        <f t="array" ref="W291">_xlfn.LET(_xlpm.r,_xlfn.XLOOKUP(1,MappingGuide[[#This Row],[API]:[API_3]],'[1]Squirrel SQL Export 1'!$K:$N,[1]!Table1[[#This Row],[Exists In Syndigo?]]),IF(_xlpm.r=0,"",_xlpm.r))</f>
        <v>#REF!</v>
      </c>
      <c r="X291" s="17" t="e" cm="1">
        <f t="array" ref="X291">_xlfn.LET(_xlpm.r,_xlfn.XLOOKUP(1,MappingGuide[[#This Row],[API]:[API_3]],'[1]Squirrel SQL Export 1'!$K:$N,[1]!Table1[[#This Row],[Syndigo Name]]),IF(_xlpm.r=0,"",_xlpm.r))</f>
        <v>#REF!</v>
      </c>
      <c r="Y291" s="17"/>
      <c r="Z291" s="17" t="s">
        <v>160</v>
      </c>
      <c r="AA291" s="17"/>
      <c r="AB291" s="17"/>
      <c r="AC291" s="17" t="e" cm="1">
        <f t="array" ref="AC291">_xlfn.XLOOKUP(1,MappingGuide[[#This Row],[API]:[API_3]],'[1]Squirrel SQL Export 1'!$K:$N,[1]!Table1[[#This Row],[Doppio Notes2]])</f>
        <v>#REF!</v>
      </c>
      <c r="AD291" s="17" t="s">
        <v>1279</v>
      </c>
      <c r="AE291" s="17" t="e" cm="1">
        <f t="array" ref="AE291">_xlfn.XLOOKUP(1,MappingGuide[[#This Row],[API]:[API_3]],'[1]Squirrel SQL Export 1'!$K:$N,[1]!Table1[[#This Row],[DG_required]])</f>
        <v>#REF!</v>
      </c>
      <c r="AF291" s="17"/>
      <c r="AG291" s="17"/>
      <c r="AH291" s="17" t="e" cm="1">
        <f t="array" ref="AH291">_xlfn.LET(_xlpm.r,_xlfn.XLOOKUP(1,MappingGuide[[#This Row],[API]:[API_3]],'[1]Squirrel SQL Export 1'!$K:$N,[1]!Table1[[#This Row],[Pending Items]]),IF(_xlpm.r=0,"",_xlpm.r))</f>
        <v>#REF!</v>
      </c>
      <c r="AI291" s="17" t="e" cm="1">
        <f t="array" ref="AI291">_xlfn.LET(_xlpm.r,_xlfn.XLOOKUP(1,MappingGuide[[#This Row],[API]:[API_3]],'[1]Squirrel SQL Export 1'!$K:$N,[1]!Table1[[#This Row],[Syndigo Name]]),IF(_xlpm.r=0,"",_xlpm.r))</f>
        <v>#REF!</v>
      </c>
      <c r="AJ291" s="17"/>
    </row>
    <row r="292" spans="1:36" ht="17">
      <c r="A292" s="17">
        <v>290</v>
      </c>
      <c r="B292" s="17" t="s">
        <v>1167</v>
      </c>
      <c r="C292" s="17" t="s">
        <v>1202</v>
      </c>
      <c r="D292" s="17" t="s">
        <v>521</v>
      </c>
      <c r="E292" s="17" t="s">
        <v>33</v>
      </c>
      <c r="F292" s="17" t="s">
        <v>373</v>
      </c>
      <c r="G292" s="17"/>
      <c r="H292" s="17"/>
      <c r="I292" s="17" t="s">
        <v>1172</v>
      </c>
      <c r="J292" s="17" t="s">
        <v>72</v>
      </c>
      <c r="K292" s="17"/>
      <c r="L292" s="17" t="s">
        <v>35</v>
      </c>
      <c r="M292" s="17" t="s">
        <v>1169</v>
      </c>
      <c r="N292" s="17" t="s">
        <v>523</v>
      </c>
      <c r="O292" s="17"/>
      <c r="P292" s="17"/>
      <c r="Q292" s="17"/>
      <c r="R292" s="17"/>
      <c r="S292" s="17" t="e" cm="1">
        <f t="array" ref="S292">_xlfn.LET(_xlpm.r,_xlfn.XLOOKUP(1,MappingGuide[[#This Row],[API]:[API_3]],'[1]Squirrel SQL Export 1'!$K:$N,[1]!Table1[[#This Row],[Responsible from HJ]]),IF(_xlpm.r=0,"",_xlpm.r))</f>
        <v>#REF!</v>
      </c>
      <c r="T292" s="17"/>
      <c r="U292" s="17"/>
      <c r="V292" s="17" t="e" cm="1">
        <f t="array" ref="V292">_xlfn.LET(_xlpm.r,_xlfn.XLOOKUP(1,MappingGuide[[#This Row],[API]:[API_3]],'[1]Squirrel SQL Export 1'!$K:$N,[1]!Table1[[#This Row],[MDM Comments]]),IF(_xlpm.r=0,"",_xlpm.r))</f>
        <v>#REF!</v>
      </c>
      <c r="W292" s="17" t="e" cm="1">
        <f t="array" ref="W292">_xlfn.LET(_xlpm.r,_xlfn.XLOOKUP(1,MappingGuide[[#This Row],[API]:[API_3]],'[1]Squirrel SQL Export 1'!$K:$N,[1]!Table1[[#This Row],[Exists In Syndigo?]]),IF(_xlpm.r=0,"",_xlpm.r))</f>
        <v>#REF!</v>
      </c>
      <c r="X292" s="17" t="e" cm="1">
        <f t="array" ref="X292">_xlfn.LET(_xlpm.r,_xlfn.XLOOKUP(1,MappingGuide[[#This Row],[API]:[API_3]],'[1]Squirrel SQL Export 1'!$K:$N,[1]!Table1[[#This Row],[Syndigo Name]]),IF(_xlpm.r=0,"",_xlpm.r))</f>
        <v>#REF!</v>
      </c>
      <c r="Y292" s="17"/>
      <c r="Z292" s="17" t="s">
        <v>524</v>
      </c>
      <c r="AA292" s="17"/>
      <c r="AB292" s="17"/>
      <c r="AC292" s="17" t="e" cm="1">
        <f t="array" ref="AC292">_xlfn.XLOOKUP(1,MappingGuide[[#This Row],[API]:[API_3]],'[1]Squirrel SQL Export 1'!$K:$N,[1]!Table1[[#This Row],[Doppio Notes2]])</f>
        <v>#REF!</v>
      </c>
      <c r="AD292" s="17" t="s">
        <v>1279</v>
      </c>
      <c r="AE292" s="17" t="e" cm="1">
        <f t="array" ref="AE292">_xlfn.XLOOKUP(1,MappingGuide[[#This Row],[API]:[API_3]],'[1]Squirrel SQL Export 1'!$K:$N,[1]!Table1[[#This Row],[DG_required]])</f>
        <v>#REF!</v>
      </c>
      <c r="AF292" s="17"/>
      <c r="AG292" s="17"/>
      <c r="AH292" s="17" t="e" cm="1">
        <f t="array" ref="AH292">_xlfn.LET(_xlpm.r,_xlfn.XLOOKUP(1,MappingGuide[[#This Row],[API]:[API_3]],'[1]Squirrel SQL Export 1'!$K:$N,[1]!Table1[[#This Row],[Pending Items]]),IF(_xlpm.r=0,"",_xlpm.r))</f>
        <v>#REF!</v>
      </c>
      <c r="AI292" s="17" t="e" cm="1">
        <f t="array" ref="AI292">_xlfn.LET(_xlpm.r,_xlfn.XLOOKUP(1,MappingGuide[[#This Row],[API]:[API_3]],'[1]Squirrel SQL Export 1'!$K:$N,[1]!Table1[[#This Row],[Syndigo Name]]),IF(_xlpm.r=0,"",_xlpm.r))</f>
        <v>#REF!</v>
      </c>
      <c r="AJ292" s="17"/>
    </row>
    <row r="293" spans="1:36" ht="17">
      <c r="A293" s="17">
        <v>291</v>
      </c>
      <c r="B293" s="17" t="s">
        <v>1167</v>
      </c>
      <c r="C293" s="17" t="s">
        <v>1203</v>
      </c>
      <c r="D293" s="17" t="s">
        <v>526</v>
      </c>
      <c r="E293" s="17" t="s">
        <v>33</v>
      </c>
      <c r="F293" s="17" t="s">
        <v>373</v>
      </c>
      <c r="G293" s="17"/>
      <c r="H293" s="17"/>
      <c r="I293" s="17" t="s">
        <v>1172</v>
      </c>
      <c r="J293" s="17" t="s">
        <v>72</v>
      </c>
      <c r="K293" s="17"/>
      <c r="L293" s="17" t="s">
        <v>35</v>
      </c>
      <c r="M293" s="17" t="s">
        <v>1169</v>
      </c>
      <c r="N293" s="17" t="s">
        <v>527</v>
      </c>
      <c r="O293" s="17"/>
      <c r="P293" s="17"/>
      <c r="Q293" s="17"/>
      <c r="R293" s="17"/>
      <c r="S293" s="17" t="e" cm="1">
        <f t="array" ref="S293">_xlfn.LET(_xlpm.r,_xlfn.XLOOKUP(1,MappingGuide[[#This Row],[API]:[API_3]],'[1]Squirrel SQL Export 1'!$K:$N,[1]!Table1[[#This Row],[Responsible from HJ]]),IF(_xlpm.r=0,"",_xlpm.r))</f>
        <v>#REF!</v>
      </c>
      <c r="T293" s="17"/>
      <c r="U293" s="17"/>
      <c r="V293" s="17" t="e" cm="1">
        <f t="array" ref="V293">_xlfn.LET(_xlpm.r,_xlfn.XLOOKUP(1,MappingGuide[[#This Row],[API]:[API_3]],'[1]Squirrel SQL Export 1'!$K:$N,[1]!Table1[[#This Row],[MDM Comments]]),IF(_xlpm.r=0,"",_xlpm.r))</f>
        <v>#REF!</v>
      </c>
      <c r="W293" s="17" t="e" cm="1">
        <f t="array" ref="W293">_xlfn.LET(_xlpm.r,_xlfn.XLOOKUP(1,MappingGuide[[#This Row],[API]:[API_3]],'[1]Squirrel SQL Export 1'!$K:$N,[1]!Table1[[#This Row],[Exists In Syndigo?]]),IF(_xlpm.r=0,"",_xlpm.r))</f>
        <v>#REF!</v>
      </c>
      <c r="X293" s="17" t="e" cm="1">
        <f t="array" ref="X293">_xlfn.LET(_xlpm.r,_xlfn.XLOOKUP(1,MappingGuide[[#This Row],[API]:[API_3]],'[1]Squirrel SQL Export 1'!$K:$N,[1]!Table1[[#This Row],[Syndigo Name]]),IF(_xlpm.r=0,"",_xlpm.r))</f>
        <v>#REF!</v>
      </c>
      <c r="Y293" s="17"/>
      <c r="Z293" s="17" t="s">
        <v>528</v>
      </c>
      <c r="AA293" s="17"/>
      <c r="AB293" s="17"/>
      <c r="AC293" s="17" t="e" cm="1">
        <f t="array" ref="AC293">_xlfn.XLOOKUP(1,MappingGuide[[#This Row],[API]:[API_3]],'[1]Squirrel SQL Export 1'!$K:$N,[1]!Table1[[#This Row],[Doppio Notes2]])</f>
        <v>#REF!</v>
      </c>
      <c r="AD293" s="17"/>
      <c r="AE293" s="17" t="e" cm="1">
        <f t="array" ref="AE293">_xlfn.XLOOKUP(1,MappingGuide[[#This Row],[API]:[API_3]],'[1]Squirrel SQL Export 1'!$K:$N,[1]!Table1[[#This Row],[DG_required]])</f>
        <v>#REF!</v>
      </c>
      <c r="AF293" s="17"/>
      <c r="AG293" s="17"/>
      <c r="AH293" s="17" t="e" cm="1">
        <f t="array" ref="AH293">_xlfn.LET(_xlpm.r,_xlfn.XLOOKUP(1,MappingGuide[[#This Row],[API]:[API_3]],'[1]Squirrel SQL Export 1'!$K:$N,[1]!Table1[[#This Row],[Pending Items]]),IF(_xlpm.r=0,"",_xlpm.r))</f>
        <v>#REF!</v>
      </c>
      <c r="AI293" s="17" t="e" cm="1">
        <f t="array" ref="AI293">_xlfn.LET(_xlpm.r,_xlfn.XLOOKUP(1,MappingGuide[[#This Row],[API]:[API_3]],'[1]Squirrel SQL Export 1'!$K:$N,[1]!Table1[[#This Row],[Syndigo Name]]),IF(_xlpm.r=0,"",_xlpm.r))</f>
        <v>#REF!</v>
      </c>
      <c r="AJ293" s="17"/>
    </row>
    <row r="294" spans="1:36" ht="17">
      <c r="A294" s="17">
        <v>292</v>
      </c>
      <c r="B294" s="17" t="s">
        <v>1167</v>
      </c>
      <c r="C294" s="17" t="s">
        <v>1204</v>
      </c>
      <c r="D294" s="17" t="s">
        <v>530</v>
      </c>
      <c r="E294" s="17" t="s">
        <v>33</v>
      </c>
      <c r="F294" s="17" t="s">
        <v>34</v>
      </c>
      <c r="G294" s="17"/>
      <c r="H294" s="17"/>
      <c r="I294" s="17" t="s">
        <v>1172</v>
      </c>
      <c r="J294" s="17" t="s">
        <v>72</v>
      </c>
      <c r="K294" s="17"/>
      <c r="L294" s="17" t="s">
        <v>35</v>
      </c>
      <c r="M294" s="17" t="s">
        <v>1169</v>
      </c>
      <c r="N294" s="17" t="s">
        <v>531</v>
      </c>
      <c r="O294" s="17"/>
      <c r="P294" s="17"/>
      <c r="Q294" s="17"/>
      <c r="R294" s="17"/>
      <c r="S294" s="17" t="e" cm="1">
        <f t="array" ref="S294">_xlfn.LET(_xlpm.r,_xlfn.XLOOKUP(1,MappingGuide[[#This Row],[API]:[API_3]],'[1]Squirrel SQL Export 1'!$K:$N,[1]!Table1[[#This Row],[Responsible from HJ]]),IF(_xlpm.r=0,"",_xlpm.r))</f>
        <v>#REF!</v>
      </c>
      <c r="T294" s="17"/>
      <c r="U294" s="17"/>
      <c r="V294" s="17" t="e" cm="1">
        <f t="array" ref="V294">_xlfn.LET(_xlpm.r,_xlfn.XLOOKUP(1,MappingGuide[[#This Row],[API]:[API_3]],'[1]Squirrel SQL Export 1'!$K:$N,[1]!Table1[[#This Row],[MDM Comments]]),IF(_xlpm.r=0,"",_xlpm.r))</f>
        <v>#REF!</v>
      </c>
      <c r="W294" s="17" t="e" cm="1">
        <f t="array" ref="W294">_xlfn.LET(_xlpm.r,_xlfn.XLOOKUP(1,MappingGuide[[#This Row],[API]:[API_3]],'[1]Squirrel SQL Export 1'!$K:$N,[1]!Table1[[#This Row],[Exists In Syndigo?]]),IF(_xlpm.r=0,"",_xlpm.r))</f>
        <v>#REF!</v>
      </c>
      <c r="X294" s="17" t="e" cm="1">
        <f t="array" ref="X294">_xlfn.LET(_xlpm.r,_xlfn.XLOOKUP(1,MappingGuide[[#This Row],[API]:[API_3]],'[1]Squirrel SQL Export 1'!$K:$N,[1]!Table1[[#This Row],[Syndigo Name]]),IF(_xlpm.r=0,"",_xlpm.r))</f>
        <v>#REF!</v>
      </c>
      <c r="Y294" s="17"/>
      <c r="Z294" s="17" t="s">
        <v>532</v>
      </c>
      <c r="AA294" s="17" t="s">
        <v>533</v>
      </c>
      <c r="AB294" s="17"/>
      <c r="AC294" s="17" t="e" cm="1">
        <f t="array" ref="AC294">_xlfn.XLOOKUP(1,MappingGuide[[#This Row],[API]:[API_3]],'[1]Squirrel SQL Export 1'!$K:$N,[1]!Table1[[#This Row],[Doppio Notes2]])</f>
        <v>#REF!</v>
      </c>
      <c r="AD294" s="17"/>
      <c r="AE294" s="17" t="e" cm="1">
        <f t="array" ref="AE294">_xlfn.XLOOKUP(1,MappingGuide[[#This Row],[API]:[API_3]],'[1]Squirrel SQL Export 1'!$K:$N,[1]!Table1[[#This Row],[DG_required]])</f>
        <v>#REF!</v>
      </c>
      <c r="AF294" s="17"/>
      <c r="AG294" s="17"/>
      <c r="AH294" s="17" t="e" cm="1">
        <f t="array" ref="AH294">_xlfn.LET(_xlpm.r,_xlfn.XLOOKUP(1,MappingGuide[[#This Row],[API]:[API_3]],'[1]Squirrel SQL Export 1'!$K:$N,[1]!Table1[[#This Row],[Pending Items]]),IF(_xlpm.r=0,"",_xlpm.r))</f>
        <v>#REF!</v>
      </c>
      <c r="AI294" s="17" t="e" cm="1">
        <f t="array" ref="AI294">_xlfn.LET(_xlpm.r,_xlfn.XLOOKUP(1,MappingGuide[[#This Row],[API]:[API_3]],'[1]Squirrel SQL Export 1'!$K:$N,[1]!Table1[[#This Row],[Syndigo Name]]),IF(_xlpm.r=0,"",_xlpm.r))</f>
        <v>#REF!</v>
      </c>
      <c r="AJ294" s="17"/>
    </row>
    <row r="295" spans="1:36" ht="17">
      <c r="A295" s="17">
        <v>293</v>
      </c>
      <c r="B295" s="17" t="s">
        <v>1167</v>
      </c>
      <c r="C295" s="17" t="s">
        <v>1205</v>
      </c>
      <c r="D295" s="17" t="s">
        <v>290</v>
      </c>
      <c r="E295" s="17" t="s">
        <v>33</v>
      </c>
      <c r="F295" s="17" t="s">
        <v>44</v>
      </c>
      <c r="G295" s="17"/>
      <c r="H295" s="17"/>
      <c r="I295" s="17" t="s">
        <v>1172</v>
      </c>
      <c r="J295" s="17" t="s">
        <v>58</v>
      </c>
      <c r="K295" s="17"/>
      <c r="L295" s="17" t="s">
        <v>35</v>
      </c>
      <c r="M295" s="17" t="s">
        <v>1169</v>
      </c>
      <c r="N295" s="17" t="s">
        <v>291</v>
      </c>
      <c r="O295" s="17"/>
      <c r="P295" s="17"/>
      <c r="Q295" s="17"/>
      <c r="R295" s="17"/>
      <c r="S295" s="17" t="e" cm="1">
        <f t="array" ref="S295">_xlfn.LET(_xlpm.r,_xlfn.XLOOKUP(1,MappingGuide[[#This Row],[API]:[API_3]],'[1]Squirrel SQL Export 1'!$K:$N,[1]!Table1[[#This Row],[Responsible from HJ]]),IF(_xlpm.r=0,"",_xlpm.r))</f>
        <v>#REF!</v>
      </c>
      <c r="T295" s="17"/>
      <c r="U295" s="17"/>
      <c r="V295" s="17" t="e" cm="1">
        <f t="array" ref="V295">_xlfn.LET(_xlpm.r,_xlfn.XLOOKUP(1,MappingGuide[[#This Row],[API]:[API_3]],'[1]Squirrel SQL Export 1'!$K:$N,[1]!Table1[[#This Row],[MDM Comments]]),IF(_xlpm.r=0,"",_xlpm.r))</f>
        <v>#REF!</v>
      </c>
      <c r="W295" s="17" t="e" cm="1">
        <f t="array" ref="W295">_xlfn.LET(_xlpm.r,_xlfn.XLOOKUP(1,MappingGuide[[#This Row],[API]:[API_3]],'[1]Squirrel SQL Export 1'!$K:$N,[1]!Table1[[#This Row],[Exists In Syndigo?]]),IF(_xlpm.r=0,"",_xlpm.r))</f>
        <v>#REF!</v>
      </c>
      <c r="X295" s="17" t="e" cm="1">
        <f t="array" ref="X295">_xlfn.LET(_xlpm.r,_xlfn.XLOOKUP(1,MappingGuide[[#This Row],[API]:[API_3]],'[1]Squirrel SQL Export 1'!$K:$N,[1]!Table1[[#This Row],[Syndigo Name]]),IF(_xlpm.r=0,"",_xlpm.r))</f>
        <v>#REF!</v>
      </c>
      <c r="Y295" s="17"/>
      <c r="Z295" s="17" t="s">
        <v>294</v>
      </c>
      <c r="AA295" s="17"/>
      <c r="AB295" s="17"/>
      <c r="AC295" s="17" t="e" cm="1">
        <f t="array" ref="AC295">_xlfn.XLOOKUP(1,MappingGuide[[#This Row],[API]:[API_3]],'[1]Squirrel SQL Export 1'!$K:$N,[1]!Table1[[#This Row],[Doppio Notes2]])</f>
        <v>#REF!</v>
      </c>
      <c r="AD295" s="17"/>
      <c r="AE295" s="17" t="e" cm="1">
        <f t="array" ref="AE295">_xlfn.XLOOKUP(1,MappingGuide[[#This Row],[API]:[API_3]],'[1]Squirrel SQL Export 1'!$K:$N,[1]!Table1[[#This Row],[DG_required]])</f>
        <v>#REF!</v>
      </c>
      <c r="AF295" s="17"/>
      <c r="AG295" s="17"/>
      <c r="AH295" s="17" t="e" cm="1">
        <f t="array" ref="AH295">_xlfn.LET(_xlpm.r,_xlfn.XLOOKUP(1,MappingGuide[[#This Row],[API]:[API_3]],'[1]Squirrel SQL Export 1'!$K:$N,[1]!Table1[[#This Row],[Pending Items]]),IF(_xlpm.r=0,"",_xlpm.r))</f>
        <v>#REF!</v>
      </c>
      <c r="AI295" s="17" t="e" cm="1">
        <f t="array" ref="AI295">_xlfn.LET(_xlpm.r,_xlfn.XLOOKUP(1,MappingGuide[[#This Row],[API]:[API_3]],'[1]Squirrel SQL Export 1'!$K:$N,[1]!Table1[[#This Row],[Syndigo Name]]),IF(_xlpm.r=0,"",_xlpm.r))</f>
        <v>#REF!</v>
      </c>
      <c r="AJ295" s="17"/>
    </row>
    <row r="296" spans="1:36" ht="18">
      <c r="A296" s="17">
        <v>294</v>
      </c>
      <c r="B296" s="17" t="s">
        <v>1167</v>
      </c>
      <c r="C296" s="17" t="s">
        <v>1206</v>
      </c>
      <c r="D296" s="17" t="s">
        <v>535</v>
      </c>
      <c r="E296" s="17" t="s">
        <v>33</v>
      </c>
      <c r="F296" s="17" t="s">
        <v>130</v>
      </c>
      <c r="G296" s="17"/>
      <c r="H296" s="17"/>
      <c r="I296" s="17" t="s">
        <v>1172</v>
      </c>
      <c r="J296" s="17" t="s">
        <v>72</v>
      </c>
      <c r="K296" s="17"/>
      <c r="L296" s="17" t="s">
        <v>35</v>
      </c>
      <c r="M296" s="17" t="s">
        <v>1169</v>
      </c>
      <c r="N296" s="17" t="s">
        <v>536</v>
      </c>
      <c r="O296" s="17"/>
      <c r="P296" s="17"/>
      <c r="Q296" s="17"/>
      <c r="R296" s="17"/>
      <c r="S296" s="17" t="e" cm="1">
        <f t="array" ref="S296">_xlfn.LET(_xlpm.r,_xlfn.XLOOKUP(1,MappingGuide[[#This Row],[API]:[API_3]],'[1]Squirrel SQL Export 1'!$K:$N,[1]!Table1[[#This Row],[Responsible from HJ]]),IF(_xlpm.r=0,"",_xlpm.r))</f>
        <v>#REF!</v>
      </c>
      <c r="T296" s="17"/>
      <c r="U296" s="17"/>
      <c r="V296" s="17" t="e" cm="1">
        <f t="array" ref="V296">_xlfn.LET(_xlpm.r,_xlfn.XLOOKUP(1,MappingGuide[[#This Row],[API]:[API_3]],'[1]Squirrel SQL Export 1'!$K:$N,[1]!Table1[[#This Row],[MDM Comments]]),IF(_xlpm.r=0,"",_xlpm.r))</f>
        <v>#REF!</v>
      </c>
      <c r="W296" s="17" t="e" cm="1">
        <f t="array" ref="W296">_xlfn.LET(_xlpm.r,_xlfn.XLOOKUP(1,MappingGuide[[#This Row],[API]:[API_3]],'[1]Squirrel SQL Export 1'!$K:$N,[1]!Table1[[#This Row],[Exists In Syndigo?]]),IF(_xlpm.r=0,"",_xlpm.r))</f>
        <v>#REF!</v>
      </c>
      <c r="X296" s="17" t="e" cm="1">
        <f t="array" ref="X296">_xlfn.LET(_xlpm.r,_xlfn.XLOOKUP(1,MappingGuide[[#This Row],[API]:[API_3]],'[1]Squirrel SQL Export 1'!$K:$N,[1]!Table1[[#This Row],[Syndigo Name]]),IF(_xlpm.r=0,"",_xlpm.r))</f>
        <v>#REF!</v>
      </c>
      <c r="Y296" s="17"/>
      <c r="Z296" s="17" t="s">
        <v>537</v>
      </c>
      <c r="AA296" s="17"/>
      <c r="AB296" s="17"/>
      <c r="AC296" s="17" t="e" cm="1">
        <f t="array" ref="AC296">_xlfn.XLOOKUP(1,MappingGuide[[#This Row],[API]:[API_3]],'[1]Squirrel SQL Export 1'!$K:$N,[1]!Table1[[#This Row],[Doppio Notes2]])</f>
        <v>#REF!</v>
      </c>
      <c r="AD296" s="17" t="s">
        <v>1279</v>
      </c>
      <c r="AE296" s="17" t="e" cm="1">
        <f t="array" ref="AE296">_xlfn.XLOOKUP(1,MappingGuide[[#This Row],[API]:[API_3]],'[1]Squirrel SQL Export 1'!$K:$N,[1]!Table1[[#This Row],[DG_required]])</f>
        <v>#REF!</v>
      </c>
      <c r="AF296" s="17"/>
      <c r="AG296" s="17"/>
      <c r="AH296" s="18" t="e" cm="1">
        <f t="array" ref="AH296">_xlfn.LET(_xlpm.r,_xlfn.XLOOKUP(1,MappingGuide[[#This Row],[API]:[API_3]],'[1]Squirrel SQL Export 1'!$K:$N,[1]!Table1[[#This Row],[Pending Items]]),IF(_xlpm.r=0,"",_xlpm.r))</f>
        <v>#REF!</v>
      </c>
      <c r="AI296" s="17" t="e" cm="1">
        <f t="array" ref="AI296">_xlfn.LET(_xlpm.r,_xlfn.XLOOKUP(1,MappingGuide[[#This Row],[API]:[API_3]],'[1]Squirrel SQL Export 1'!$K:$N,[1]!Table1[[#This Row],[Syndigo Name]]),IF(_xlpm.r=0,"",_xlpm.r))</f>
        <v>#REF!</v>
      </c>
      <c r="AJ296" s="17"/>
    </row>
    <row r="297" spans="1:36" ht="17">
      <c r="A297" s="17">
        <v>295</v>
      </c>
      <c r="B297" s="17" t="s">
        <v>1167</v>
      </c>
      <c r="C297" s="17" t="s">
        <v>1207</v>
      </c>
      <c r="D297" s="17" t="s">
        <v>621</v>
      </c>
      <c r="E297" s="17" t="s">
        <v>33</v>
      </c>
      <c r="F297" s="17" t="s">
        <v>34</v>
      </c>
      <c r="G297" s="17"/>
      <c r="H297" s="17"/>
      <c r="I297" s="17" t="s">
        <v>1172</v>
      </c>
      <c r="J297" s="17" t="s">
        <v>58</v>
      </c>
      <c r="K297" s="17"/>
      <c r="L297" s="17" t="s">
        <v>35</v>
      </c>
      <c r="M297" s="17" t="s">
        <v>1169</v>
      </c>
      <c r="N297" s="17" t="s">
        <v>622</v>
      </c>
      <c r="O297" s="17"/>
      <c r="P297" s="17"/>
      <c r="Q297" s="17"/>
      <c r="R297" s="17"/>
      <c r="S297" s="17" t="e" cm="1">
        <f t="array" ref="S297">_xlfn.LET(_xlpm.r,_xlfn.XLOOKUP(1,MappingGuide[[#This Row],[API]:[API_3]],'[1]Squirrel SQL Export 1'!$K:$N,[1]!Table1[[#This Row],[Responsible from HJ]]),IF(_xlpm.r=0,"",_xlpm.r))</f>
        <v>#REF!</v>
      </c>
      <c r="T297" s="17"/>
      <c r="U297" s="17"/>
      <c r="V297" s="17" t="e" cm="1">
        <f t="array" ref="V297">_xlfn.LET(_xlpm.r,_xlfn.XLOOKUP(1,MappingGuide[[#This Row],[API]:[API_3]],'[1]Squirrel SQL Export 1'!$K:$N,[1]!Table1[[#This Row],[MDM Comments]]),IF(_xlpm.r=0,"",_xlpm.r))</f>
        <v>#REF!</v>
      </c>
      <c r="W297" s="17" t="e" cm="1">
        <f t="array" ref="W297">_xlfn.LET(_xlpm.r,_xlfn.XLOOKUP(1,MappingGuide[[#This Row],[API]:[API_3]],'[1]Squirrel SQL Export 1'!$K:$N,[1]!Table1[[#This Row],[Exists In Syndigo?]]),IF(_xlpm.r=0,"",_xlpm.r))</f>
        <v>#REF!</v>
      </c>
      <c r="X297" s="17" t="e" cm="1">
        <f t="array" ref="X297">_xlfn.LET(_xlpm.r,_xlfn.XLOOKUP(1,MappingGuide[[#This Row],[API]:[API_3]],'[1]Squirrel SQL Export 1'!$K:$N,[1]!Table1[[#This Row],[Syndigo Name]]),IF(_xlpm.r=0,"",_xlpm.r))</f>
        <v>#REF!</v>
      </c>
      <c r="Y297" s="17"/>
      <c r="Z297" s="17" t="s">
        <v>623</v>
      </c>
      <c r="AA297" s="17"/>
      <c r="AB297" s="17"/>
      <c r="AC297" s="17" t="e" cm="1">
        <f t="array" ref="AC297">_xlfn.XLOOKUP(1,MappingGuide[[#This Row],[API]:[API_3]],'[1]Squirrel SQL Export 1'!$K:$N,[1]!Table1[[#This Row],[Doppio Notes2]])</f>
        <v>#REF!</v>
      </c>
      <c r="AD297" s="17"/>
      <c r="AE297" s="17" t="e" cm="1">
        <f t="array" ref="AE297">_xlfn.XLOOKUP(1,MappingGuide[[#This Row],[API]:[API_3]],'[1]Squirrel SQL Export 1'!$K:$N,[1]!Table1[[#This Row],[DG_required]])</f>
        <v>#REF!</v>
      </c>
      <c r="AF297" s="17"/>
      <c r="AG297" s="17"/>
      <c r="AH297" s="17" t="e" cm="1">
        <f t="array" ref="AH297">_xlfn.LET(_xlpm.r,_xlfn.XLOOKUP(1,MappingGuide[[#This Row],[API]:[API_3]],'[1]Squirrel SQL Export 1'!$K:$N,[1]!Table1[[#This Row],[Pending Items]]),IF(_xlpm.r=0,"",_xlpm.r))</f>
        <v>#REF!</v>
      </c>
      <c r="AI297" s="17" t="e" cm="1">
        <f t="array" ref="AI297">_xlfn.LET(_xlpm.r,_xlfn.XLOOKUP(1,MappingGuide[[#This Row],[API]:[API_3]],'[1]Squirrel SQL Export 1'!$K:$N,[1]!Table1[[#This Row],[Syndigo Name]]),IF(_xlpm.r=0,"",_xlpm.r))</f>
        <v>#REF!</v>
      </c>
      <c r="AJ297" s="17"/>
    </row>
    <row r="298" spans="1:36" ht="18">
      <c r="A298" s="17">
        <v>296</v>
      </c>
      <c r="B298" s="17" t="s">
        <v>1167</v>
      </c>
      <c r="C298" s="17" t="s">
        <v>1208</v>
      </c>
      <c r="D298" s="17" t="s">
        <v>625</v>
      </c>
      <c r="E298" s="17" t="s">
        <v>33</v>
      </c>
      <c r="F298" s="17" t="s">
        <v>118</v>
      </c>
      <c r="G298" s="17"/>
      <c r="H298" s="17"/>
      <c r="I298" s="17"/>
      <c r="J298" s="17"/>
      <c r="K298" s="17"/>
      <c r="L298" s="17" t="s">
        <v>35</v>
      </c>
      <c r="M298" s="17" t="s">
        <v>1169</v>
      </c>
      <c r="N298" s="17" t="s">
        <v>626</v>
      </c>
      <c r="O298" s="17"/>
      <c r="P298" s="17"/>
      <c r="Q298" s="17"/>
      <c r="R298" s="17"/>
      <c r="S298" s="17" t="e" cm="1">
        <f t="array" ref="S298">_xlfn.LET(_xlpm.r,_xlfn.XLOOKUP(1,MappingGuide[[#This Row],[API]:[API_3]],'[1]Squirrel SQL Export 1'!$K:$N,[1]!Table1[[#This Row],[Responsible from HJ]]),IF(_xlpm.r=0,"",_xlpm.r))</f>
        <v>#REF!</v>
      </c>
      <c r="T298" s="17"/>
      <c r="U298" s="17"/>
      <c r="V298" s="17" t="e" cm="1">
        <f t="array" ref="V298">_xlfn.LET(_xlpm.r,_xlfn.XLOOKUP(1,MappingGuide[[#This Row],[API]:[API_3]],'[1]Squirrel SQL Export 1'!$K:$N,[1]!Table1[[#This Row],[MDM Comments]]),IF(_xlpm.r=0,"",_xlpm.r))</f>
        <v>#REF!</v>
      </c>
      <c r="W298" s="17" t="e" cm="1">
        <f t="array" ref="W298">_xlfn.LET(_xlpm.r,_xlfn.XLOOKUP(1,MappingGuide[[#This Row],[API]:[API_3]],'[1]Squirrel SQL Export 1'!$K:$N,[1]!Table1[[#This Row],[Exists In Syndigo?]]),IF(_xlpm.r=0,"",_xlpm.r))</f>
        <v>#REF!</v>
      </c>
      <c r="X298" s="17" t="e" cm="1">
        <f t="array" ref="X298">_xlfn.LET(_xlpm.r,_xlfn.XLOOKUP(1,MappingGuide[[#This Row],[API]:[API_3]],'[1]Squirrel SQL Export 1'!$K:$N,[1]!Table1[[#This Row],[Syndigo Name]]),IF(_xlpm.r=0,"",_xlpm.r))</f>
        <v>#REF!</v>
      </c>
      <c r="Y298" s="17"/>
      <c r="Z298" s="17" t="s">
        <v>627</v>
      </c>
      <c r="AA298" s="17"/>
      <c r="AB298" s="17"/>
      <c r="AC298" s="17" t="e" cm="1">
        <f t="array" ref="AC298">_xlfn.XLOOKUP(1,MappingGuide[[#This Row],[API]:[API_3]],'[1]Squirrel SQL Export 1'!$K:$N,[1]!Table1[[#This Row],[Doppio Notes2]])</f>
        <v>#REF!</v>
      </c>
      <c r="AD298" s="17" t="s">
        <v>1279</v>
      </c>
      <c r="AE298" s="17" t="e" cm="1">
        <f t="array" ref="AE298">_xlfn.XLOOKUP(1,MappingGuide[[#This Row],[API]:[API_3]],'[1]Squirrel SQL Export 1'!$K:$N,[1]!Table1[[#This Row],[DG_required]])</f>
        <v>#REF!</v>
      </c>
      <c r="AF298" s="17"/>
      <c r="AG298" s="17"/>
      <c r="AH298" s="18" t="e" cm="1">
        <f t="array" ref="AH298">_xlfn.LET(_xlpm.r,_xlfn.XLOOKUP(1,MappingGuide[[#This Row],[API]:[API_3]],'[1]Squirrel SQL Export 1'!$K:$N,[1]!Table1[[#This Row],[Pending Items]]),IF(_xlpm.r=0,"",_xlpm.r))</f>
        <v>#REF!</v>
      </c>
      <c r="AI298" s="17" t="e" cm="1">
        <f t="array" ref="AI298">_xlfn.LET(_xlpm.r,_xlfn.XLOOKUP(1,MappingGuide[[#This Row],[API]:[API_3]],'[1]Squirrel SQL Export 1'!$K:$N,[1]!Table1[[#This Row],[Syndigo Name]]),IF(_xlpm.r=0,"",_xlpm.r))</f>
        <v>#REF!</v>
      </c>
      <c r="AJ298" s="17"/>
    </row>
    <row r="299" spans="1:36" ht="17">
      <c r="A299" s="17">
        <v>297</v>
      </c>
      <c r="B299" s="17" t="s">
        <v>1167</v>
      </c>
      <c r="C299" s="17" t="s">
        <v>1209</v>
      </c>
      <c r="D299" s="17" t="s">
        <v>629</v>
      </c>
      <c r="E299" s="17" t="s">
        <v>43</v>
      </c>
      <c r="F299" s="17" t="s">
        <v>44</v>
      </c>
      <c r="G299" s="17"/>
      <c r="H299" s="17"/>
      <c r="I299" s="17"/>
      <c r="J299" s="17"/>
      <c r="K299" s="17"/>
      <c r="L299" s="17" t="s">
        <v>35</v>
      </c>
      <c r="M299" s="17" t="s">
        <v>1169</v>
      </c>
      <c r="N299" s="17" t="s">
        <v>630</v>
      </c>
      <c r="O299" s="17"/>
      <c r="P299" s="17"/>
      <c r="Q299" s="17"/>
      <c r="R299" s="17"/>
      <c r="S299" s="17" t="e" cm="1">
        <f t="array" ref="S299">_xlfn.LET(_xlpm.r,_xlfn.XLOOKUP(1,MappingGuide[[#This Row],[API]:[API_3]],'[1]Squirrel SQL Export 1'!$K:$N,[1]!Table1[[#This Row],[Responsible from HJ]]),IF(_xlpm.r=0,"",_xlpm.r))</f>
        <v>#REF!</v>
      </c>
      <c r="T299" s="17"/>
      <c r="U299" s="17"/>
      <c r="V299" s="17" t="e" cm="1">
        <f t="array" ref="V299">_xlfn.LET(_xlpm.r,_xlfn.XLOOKUP(1,MappingGuide[[#This Row],[API]:[API_3]],'[1]Squirrel SQL Export 1'!$K:$N,[1]!Table1[[#This Row],[MDM Comments]]),IF(_xlpm.r=0,"",_xlpm.r))</f>
        <v>#REF!</v>
      </c>
      <c r="W299" s="17" t="e" cm="1">
        <f t="array" ref="W299">_xlfn.LET(_xlpm.r,_xlfn.XLOOKUP(1,MappingGuide[[#This Row],[API]:[API_3]],'[1]Squirrel SQL Export 1'!$K:$N,[1]!Table1[[#This Row],[Exists In Syndigo?]]),IF(_xlpm.r=0,"",_xlpm.r))</f>
        <v>#REF!</v>
      </c>
      <c r="X299" s="17" t="e" cm="1">
        <f t="array" ref="X299">_xlfn.LET(_xlpm.r,_xlfn.XLOOKUP(1,MappingGuide[[#This Row],[API]:[API_3]],'[1]Squirrel SQL Export 1'!$K:$N,[1]!Table1[[#This Row],[Syndigo Name]]),IF(_xlpm.r=0,"",_xlpm.r))</f>
        <v>#REF!</v>
      </c>
      <c r="Y299" s="17"/>
      <c r="Z299" s="17" t="s">
        <v>631</v>
      </c>
      <c r="AA299" s="17"/>
      <c r="AB299" s="17"/>
      <c r="AC299" s="17" t="e" cm="1">
        <f t="array" ref="AC299">_xlfn.XLOOKUP(1,MappingGuide[[#This Row],[API]:[API_3]],'[1]Squirrel SQL Export 1'!$K:$N,[1]!Table1[[#This Row],[Doppio Notes2]])</f>
        <v>#REF!</v>
      </c>
      <c r="AD299" s="17"/>
      <c r="AE299" s="17" t="e" cm="1">
        <f t="array" ref="AE299">_xlfn.XLOOKUP(1,MappingGuide[[#This Row],[API]:[API_3]],'[1]Squirrel SQL Export 1'!$K:$N,[1]!Table1[[#This Row],[DG_required]])</f>
        <v>#REF!</v>
      </c>
      <c r="AF299" s="17"/>
      <c r="AG299" s="17"/>
      <c r="AH299" s="17" t="e" cm="1">
        <f t="array" ref="AH299">_xlfn.LET(_xlpm.r,_xlfn.XLOOKUP(1,MappingGuide[[#This Row],[API]:[API_3]],'[1]Squirrel SQL Export 1'!$K:$N,[1]!Table1[[#This Row],[Pending Items]]),IF(_xlpm.r=0,"",_xlpm.r))</f>
        <v>#REF!</v>
      </c>
      <c r="AI299" s="17" t="e" cm="1">
        <f t="array" ref="AI299">_xlfn.LET(_xlpm.r,_xlfn.XLOOKUP(1,MappingGuide[[#This Row],[API]:[API_3]],'[1]Squirrel SQL Export 1'!$K:$N,[1]!Table1[[#This Row],[Syndigo Name]]),IF(_xlpm.r=0,"",_xlpm.r))</f>
        <v>#REF!</v>
      </c>
      <c r="AJ299" s="17"/>
    </row>
    <row r="300" spans="1:36" ht="17">
      <c r="A300" s="17">
        <v>298</v>
      </c>
      <c r="B300" s="17" t="s">
        <v>1167</v>
      </c>
      <c r="C300" s="17" t="s">
        <v>1210</v>
      </c>
      <c r="D300" s="17" t="s">
        <v>633</v>
      </c>
      <c r="E300" s="17" t="s">
        <v>33</v>
      </c>
      <c r="F300" s="17" t="s">
        <v>213</v>
      </c>
      <c r="G300" s="17"/>
      <c r="H300" s="17"/>
      <c r="I300" s="17" t="s">
        <v>1172</v>
      </c>
      <c r="J300" s="17" t="s">
        <v>58</v>
      </c>
      <c r="K300" s="17"/>
      <c r="L300" s="17" t="s">
        <v>35</v>
      </c>
      <c r="M300" s="17" t="s">
        <v>1169</v>
      </c>
      <c r="N300" s="17" t="s">
        <v>634</v>
      </c>
      <c r="O300" s="17"/>
      <c r="P300" s="17"/>
      <c r="Q300" s="17"/>
      <c r="R300" s="17"/>
      <c r="S300" s="17" t="e" cm="1">
        <f t="array" ref="S300">_xlfn.LET(_xlpm.r,_xlfn.XLOOKUP(1,MappingGuide[[#This Row],[API]:[API_3]],'[1]Squirrel SQL Export 1'!$K:$N,[1]!Table1[[#This Row],[Responsible from HJ]]),IF(_xlpm.r=0,"",_xlpm.r))</f>
        <v>#REF!</v>
      </c>
      <c r="T300" s="17"/>
      <c r="U300" s="17"/>
      <c r="V300" s="17" t="e" cm="1">
        <f t="array" ref="V300">_xlfn.LET(_xlpm.r,_xlfn.XLOOKUP(1,MappingGuide[[#This Row],[API]:[API_3]],'[1]Squirrel SQL Export 1'!$K:$N,[1]!Table1[[#This Row],[MDM Comments]]),IF(_xlpm.r=0,"",_xlpm.r))</f>
        <v>#REF!</v>
      </c>
      <c r="W300" s="17" t="e" cm="1">
        <f t="array" ref="W300">_xlfn.LET(_xlpm.r,_xlfn.XLOOKUP(1,MappingGuide[[#This Row],[API]:[API_3]],'[1]Squirrel SQL Export 1'!$K:$N,[1]!Table1[[#This Row],[Exists In Syndigo?]]),IF(_xlpm.r=0,"",_xlpm.r))</f>
        <v>#REF!</v>
      </c>
      <c r="X300" s="17" t="e" cm="1">
        <f t="array" ref="X300">_xlfn.LET(_xlpm.r,_xlfn.XLOOKUP(1,MappingGuide[[#This Row],[API]:[API_3]],'[1]Squirrel SQL Export 1'!$K:$N,[1]!Table1[[#This Row],[Syndigo Name]]),IF(_xlpm.r=0,"",_xlpm.r))</f>
        <v>#REF!</v>
      </c>
      <c r="Y300" s="17"/>
      <c r="Z300" s="17" t="s">
        <v>635</v>
      </c>
      <c r="AA300" s="17"/>
      <c r="AB300" s="17"/>
      <c r="AC300" s="17" t="e" cm="1">
        <f t="array" ref="AC300">_xlfn.XLOOKUP(1,MappingGuide[[#This Row],[API]:[API_3]],'[1]Squirrel SQL Export 1'!$K:$N,[1]!Table1[[#This Row],[Doppio Notes2]])</f>
        <v>#REF!</v>
      </c>
      <c r="AD300" s="17"/>
      <c r="AE300" s="17" t="e" cm="1">
        <f t="array" ref="AE300">_xlfn.XLOOKUP(1,MappingGuide[[#This Row],[API]:[API_3]],'[1]Squirrel SQL Export 1'!$K:$N,[1]!Table1[[#This Row],[DG_required]])</f>
        <v>#REF!</v>
      </c>
      <c r="AF300" s="17"/>
      <c r="AG300" s="17"/>
      <c r="AH300" s="17" t="e" cm="1">
        <f t="array" ref="AH300">_xlfn.LET(_xlpm.r,_xlfn.XLOOKUP(1,MappingGuide[[#This Row],[API]:[API_3]],'[1]Squirrel SQL Export 1'!$K:$N,[1]!Table1[[#This Row],[Pending Items]]),IF(_xlpm.r=0,"",_xlpm.r))</f>
        <v>#REF!</v>
      </c>
      <c r="AI300" s="17" t="e" cm="1">
        <f t="array" ref="AI300">_xlfn.LET(_xlpm.r,_xlfn.XLOOKUP(1,MappingGuide[[#This Row],[API]:[API_3]],'[1]Squirrel SQL Export 1'!$K:$N,[1]!Table1[[#This Row],[Syndigo Name]]),IF(_xlpm.r=0,"",_xlpm.r))</f>
        <v>#REF!</v>
      </c>
      <c r="AJ300" s="17"/>
    </row>
    <row r="301" spans="1:36" ht="17">
      <c r="A301" s="17">
        <v>299</v>
      </c>
      <c r="B301" s="17" t="s">
        <v>1167</v>
      </c>
      <c r="C301" s="17" t="s">
        <v>1211</v>
      </c>
      <c r="D301" s="17" t="s">
        <v>865</v>
      </c>
      <c r="E301" s="17" t="s">
        <v>33</v>
      </c>
      <c r="F301" s="17" t="s">
        <v>866</v>
      </c>
      <c r="G301" s="17"/>
      <c r="H301" s="17"/>
      <c r="I301" s="17"/>
      <c r="J301" s="17"/>
      <c r="K301" s="17"/>
      <c r="L301" s="17" t="s">
        <v>35</v>
      </c>
      <c r="M301" s="17" t="s">
        <v>1169</v>
      </c>
      <c r="N301" s="17" t="s">
        <v>867</v>
      </c>
      <c r="O301" s="17"/>
      <c r="P301" s="17"/>
      <c r="Q301" s="17"/>
      <c r="R301" s="17"/>
      <c r="S301" s="17" t="e" cm="1">
        <f t="array" ref="S301">_xlfn.LET(_xlpm.r,_xlfn.XLOOKUP(1,MappingGuide[[#This Row],[API]:[API_3]],'[1]Squirrel SQL Export 1'!$K:$N,[1]!Table1[[#This Row],[Responsible from HJ]]),IF(_xlpm.r=0,"",_xlpm.r))</f>
        <v>#REF!</v>
      </c>
      <c r="T301" s="17"/>
      <c r="U301" s="17"/>
      <c r="V301" s="17" t="e" cm="1">
        <f t="array" ref="V301">_xlfn.LET(_xlpm.r,_xlfn.XLOOKUP(1,MappingGuide[[#This Row],[API]:[API_3]],'[1]Squirrel SQL Export 1'!$K:$N,[1]!Table1[[#This Row],[MDM Comments]]),IF(_xlpm.r=0,"",_xlpm.r))</f>
        <v>#REF!</v>
      </c>
      <c r="W301" s="17" t="e" cm="1">
        <f t="array" ref="W301">_xlfn.LET(_xlpm.r,_xlfn.XLOOKUP(1,MappingGuide[[#This Row],[API]:[API_3]],'[1]Squirrel SQL Export 1'!$K:$N,[1]!Table1[[#This Row],[Exists In Syndigo?]]),IF(_xlpm.r=0,"",_xlpm.r))</f>
        <v>#REF!</v>
      </c>
      <c r="X301" s="17" t="e" cm="1">
        <f t="array" ref="X301">_xlfn.LET(_xlpm.r,_xlfn.XLOOKUP(1,MappingGuide[[#This Row],[API]:[API_3]],'[1]Squirrel SQL Export 1'!$K:$N,[1]!Table1[[#This Row],[Syndigo Name]]),IF(_xlpm.r=0,"",_xlpm.r))</f>
        <v>#REF!</v>
      </c>
      <c r="Y301" s="17"/>
      <c r="Z301" s="17"/>
      <c r="AA301" s="17"/>
      <c r="AB301" s="17"/>
      <c r="AC301" s="17" t="e" cm="1">
        <f t="array" ref="AC301">_xlfn.XLOOKUP(1,MappingGuide[[#This Row],[API]:[API_3]],'[1]Squirrel SQL Export 1'!$K:$N,[1]!Table1[[#This Row],[Doppio Notes2]])</f>
        <v>#REF!</v>
      </c>
      <c r="AD301" s="17"/>
      <c r="AE301" s="17" t="e" cm="1">
        <f t="array" ref="AE301">_xlfn.XLOOKUP(1,MappingGuide[[#This Row],[API]:[API_3]],'[1]Squirrel SQL Export 1'!$K:$N,[1]!Table1[[#This Row],[DG_required]])</f>
        <v>#REF!</v>
      </c>
      <c r="AF301" s="17"/>
      <c r="AG301" s="17"/>
      <c r="AH301" s="17" t="e" cm="1">
        <f t="array" ref="AH301">_xlfn.LET(_xlpm.r,_xlfn.XLOOKUP(1,MappingGuide[[#This Row],[API]:[API_3]],'[1]Squirrel SQL Export 1'!$K:$N,[1]!Table1[[#This Row],[Pending Items]]),IF(_xlpm.r=0,"",_xlpm.r))</f>
        <v>#REF!</v>
      </c>
      <c r="AI301" s="17" t="e" cm="1">
        <f t="array" ref="AI301">_xlfn.LET(_xlpm.r,_xlfn.XLOOKUP(1,MappingGuide[[#This Row],[API]:[API_3]],'[1]Squirrel SQL Export 1'!$K:$N,[1]!Table1[[#This Row],[Syndigo Name]]),IF(_xlpm.r=0,"",_xlpm.r))</f>
        <v>#REF!</v>
      </c>
      <c r="AJ301" s="17"/>
    </row>
    <row r="302" spans="1:36" ht="17">
      <c r="A302" s="17">
        <v>300</v>
      </c>
      <c r="B302" s="17" t="s">
        <v>1167</v>
      </c>
      <c r="C302" s="17" t="s">
        <v>1212</v>
      </c>
      <c r="D302" s="17" t="s">
        <v>797</v>
      </c>
      <c r="E302" s="17" t="s">
        <v>43</v>
      </c>
      <c r="F302" s="17" t="s">
        <v>229</v>
      </c>
      <c r="G302" s="17"/>
      <c r="H302" s="17"/>
      <c r="I302" s="17" t="s">
        <v>1172</v>
      </c>
      <c r="J302" s="17" t="s">
        <v>72</v>
      </c>
      <c r="K302" s="17"/>
      <c r="L302" s="17" t="s">
        <v>35</v>
      </c>
      <c r="M302" s="17" t="s">
        <v>1169</v>
      </c>
      <c r="N302" s="17" t="s">
        <v>799</v>
      </c>
      <c r="O302" s="17"/>
      <c r="P302" s="17"/>
      <c r="Q302" s="17"/>
      <c r="R302" s="17"/>
      <c r="S302" s="17" t="e" cm="1">
        <f t="array" ref="S302">_xlfn.LET(_xlpm.r,_xlfn.XLOOKUP(1,MappingGuide[[#This Row],[API]:[API_3]],'[1]Squirrel SQL Export 1'!$K:$N,[1]!Table1[[#This Row],[Responsible from HJ]]),IF(_xlpm.r=0,"",_xlpm.r))</f>
        <v>#REF!</v>
      </c>
      <c r="T302" s="17"/>
      <c r="U302" s="17"/>
      <c r="V302" s="17" t="e" cm="1">
        <f t="array" ref="V302">_xlfn.LET(_xlpm.r,_xlfn.XLOOKUP(1,MappingGuide[[#This Row],[API]:[API_3]],'[1]Squirrel SQL Export 1'!$K:$N,[1]!Table1[[#This Row],[MDM Comments]]),IF(_xlpm.r=0,"",_xlpm.r))</f>
        <v>#REF!</v>
      </c>
      <c r="W302" s="17" t="e" cm="1">
        <f t="array" ref="W302">_xlfn.LET(_xlpm.r,_xlfn.XLOOKUP(1,MappingGuide[[#This Row],[API]:[API_3]],'[1]Squirrel SQL Export 1'!$K:$N,[1]!Table1[[#This Row],[Exists In Syndigo?]]),IF(_xlpm.r=0,"",_xlpm.r))</f>
        <v>#REF!</v>
      </c>
      <c r="X302" s="17" t="e" cm="1">
        <f t="array" ref="X302">_xlfn.LET(_xlpm.r,_xlfn.XLOOKUP(1,MappingGuide[[#This Row],[API]:[API_3]],'[1]Squirrel SQL Export 1'!$K:$N,[1]!Table1[[#This Row],[Syndigo Name]]),IF(_xlpm.r=0,"",_xlpm.r))</f>
        <v>#REF!</v>
      </c>
      <c r="Y302" s="17"/>
      <c r="Z302" s="17" t="s">
        <v>800</v>
      </c>
      <c r="AA302" s="17"/>
      <c r="AB302" s="17"/>
      <c r="AC302" s="17" t="e" cm="1">
        <f t="array" ref="AC302">_xlfn.XLOOKUP(1,MappingGuide[[#This Row],[API]:[API_3]],'[1]Squirrel SQL Export 1'!$K:$N,[1]!Table1[[#This Row],[Doppio Notes2]])</f>
        <v>#REF!</v>
      </c>
      <c r="AD302" s="17"/>
      <c r="AE302" s="17" t="e" cm="1">
        <f t="array" ref="AE302">_xlfn.XLOOKUP(1,MappingGuide[[#This Row],[API]:[API_3]],'[1]Squirrel SQL Export 1'!$K:$N,[1]!Table1[[#This Row],[DG_required]])</f>
        <v>#REF!</v>
      </c>
      <c r="AF302" s="17"/>
      <c r="AG302" s="17"/>
      <c r="AH302" s="17" t="e" cm="1">
        <f t="array" ref="AH302">_xlfn.LET(_xlpm.r,_xlfn.XLOOKUP(1,MappingGuide[[#This Row],[API]:[API_3]],'[1]Squirrel SQL Export 1'!$K:$N,[1]!Table1[[#This Row],[Pending Items]]),IF(_xlpm.r=0,"",_xlpm.r))</f>
        <v>#REF!</v>
      </c>
      <c r="AI302" s="17" t="e" cm="1">
        <f t="array" ref="AI302">_xlfn.LET(_xlpm.r,_xlfn.XLOOKUP(1,MappingGuide[[#This Row],[API]:[API_3]],'[1]Squirrel SQL Export 1'!$K:$N,[1]!Table1[[#This Row],[Syndigo Name]]),IF(_xlpm.r=0,"",_xlpm.r))</f>
        <v>#REF!</v>
      </c>
      <c r="AJ302" s="17"/>
    </row>
    <row r="303" spans="1:36" ht="17">
      <c r="A303" s="17">
        <v>301</v>
      </c>
      <c r="B303" s="17" t="s">
        <v>1167</v>
      </c>
      <c r="C303" s="17" t="s">
        <v>1213</v>
      </c>
      <c r="D303" s="17" t="s">
        <v>873</v>
      </c>
      <c r="E303" s="17" t="s">
        <v>33</v>
      </c>
      <c r="F303" s="17" t="s">
        <v>44</v>
      </c>
      <c r="G303" s="17"/>
      <c r="H303" s="17"/>
      <c r="I303" s="17" t="s">
        <v>1172</v>
      </c>
      <c r="J303" s="17" t="s">
        <v>72</v>
      </c>
      <c r="K303" s="17"/>
      <c r="L303" s="17" t="s">
        <v>35</v>
      </c>
      <c r="M303" s="17" t="s">
        <v>1169</v>
      </c>
      <c r="N303" s="17" t="s">
        <v>874</v>
      </c>
      <c r="O303" s="17"/>
      <c r="P303" s="17"/>
      <c r="Q303" s="17"/>
      <c r="R303" s="17"/>
      <c r="S303" s="17" t="e" cm="1">
        <f t="array" ref="S303">_xlfn.LET(_xlpm.r,_xlfn.XLOOKUP(1,MappingGuide[[#This Row],[API]:[API_3]],'[1]Squirrel SQL Export 1'!$K:$N,[1]!Table1[[#This Row],[Responsible from HJ]]),IF(_xlpm.r=0,"",_xlpm.r))</f>
        <v>#REF!</v>
      </c>
      <c r="T303" s="17"/>
      <c r="U303" s="17"/>
      <c r="V303" s="17" t="e" cm="1">
        <f t="array" ref="V303">_xlfn.LET(_xlpm.r,_xlfn.XLOOKUP(1,MappingGuide[[#This Row],[API]:[API_3]],'[1]Squirrel SQL Export 1'!$K:$N,[1]!Table1[[#This Row],[MDM Comments]]),IF(_xlpm.r=0,"",_xlpm.r))</f>
        <v>#REF!</v>
      </c>
      <c r="W303" s="17" t="e" cm="1">
        <f t="array" ref="W303">_xlfn.LET(_xlpm.r,_xlfn.XLOOKUP(1,MappingGuide[[#This Row],[API]:[API_3]],'[1]Squirrel SQL Export 1'!$K:$N,[1]!Table1[[#This Row],[Exists In Syndigo?]]),IF(_xlpm.r=0,"",_xlpm.r))</f>
        <v>#REF!</v>
      </c>
      <c r="X303" s="17" t="e" cm="1">
        <f t="array" ref="X303">_xlfn.LET(_xlpm.r,_xlfn.XLOOKUP(1,MappingGuide[[#This Row],[API]:[API_3]],'[1]Squirrel SQL Export 1'!$K:$N,[1]!Table1[[#This Row],[Syndigo Name]]),IF(_xlpm.r=0,"",_xlpm.r))</f>
        <v>#REF!</v>
      </c>
      <c r="Y303" s="17"/>
      <c r="Z303" s="17" t="s">
        <v>875</v>
      </c>
      <c r="AA303" s="17"/>
      <c r="AB303" s="17"/>
      <c r="AC303" s="17" t="e" cm="1">
        <f t="array" ref="AC303">_xlfn.XLOOKUP(1,MappingGuide[[#This Row],[API]:[API_3]],'[1]Squirrel SQL Export 1'!$K:$N,[1]!Table1[[#This Row],[Doppio Notes2]])</f>
        <v>#REF!</v>
      </c>
      <c r="AD303" s="17"/>
      <c r="AE303" s="17" t="e" cm="1">
        <f t="array" ref="AE303">_xlfn.XLOOKUP(1,MappingGuide[[#This Row],[API]:[API_3]],'[1]Squirrel SQL Export 1'!$K:$N,[1]!Table1[[#This Row],[DG_required]])</f>
        <v>#REF!</v>
      </c>
      <c r="AF303" s="17"/>
      <c r="AG303" s="17"/>
      <c r="AH303" s="17" t="e" cm="1">
        <f t="array" ref="AH303">_xlfn.LET(_xlpm.r,_xlfn.XLOOKUP(1,MappingGuide[[#This Row],[API]:[API_3]],'[1]Squirrel SQL Export 1'!$K:$N,[1]!Table1[[#This Row],[Pending Items]]),IF(_xlpm.r=0,"",_xlpm.r))</f>
        <v>#REF!</v>
      </c>
      <c r="AI303" s="17" t="e" cm="1">
        <f t="array" ref="AI303">_xlfn.LET(_xlpm.r,_xlfn.XLOOKUP(1,MappingGuide[[#This Row],[API]:[API_3]],'[1]Squirrel SQL Export 1'!$K:$N,[1]!Table1[[#This Row],[Syndigo Name]]),IF(_xlpm.r=0,"",_xlpm.r))</f>
        <v>#REF!</v>
      </c>
      <c r="AJ303" s="17"/>
    </row>
    <row r="304" spans="1:36" ht="54">
      <c r="A304" s="17">
        <v>302</v>
      </c>
      <c r="B304" s="17" t="s">
        <v>1167</v>
      </c>
      <c r="C304" s="17" t="s">
        <v>1214</v>
      </c>
      <c r="D304" s="17" t="s">
        <v>878</v>
      </c>
      <c r="E304" s="17" t="s">
        <v>33</v>
      </c>
      <c r="F304" s="17" t="s">
        <v>118</v>
      </c>
      <c r="G304" s="17"/>
      <c r="H304" s="17"/>
      <c r="I304" s="17" t="s">
        <v>1172</v>
      </c>
      <c r="J304" s="17" t="s">
        <v>58</v>
      </c>
      <c r="K304" s="17"/>
      <c r="L304" s="17" t="s">
        <v>35</v>
      </c>
      <c r="M304" s="17" t="s">
        <v>1169</v>
      </c>
      <c r="N304" s="17" t="s">
        <v>879</v>
      </c>
      <c r="O304" s="17"/>
      <c r="P304" s="17"/>
      <c r="Q304" s="17"/>
      <c r="R304" s="17"/>
      <c r="S304" s="17" t="e" cm="1">
        <f t="array" ref="S304">_xlfn.LET(_xlpm.r,_xlfn.XLOOKUP(1,MappingGuide[[#This Row],[API]:[API_3]],'[1]Squirrel SQL Export 1'!$K:$N,[1]!Table1[[#This Row],[Responsible from HJ]]),IF(_xlpm.r=0,"",_xlpm.r))</f>
        <v>#REF!</v>
      </c>
      <c r="T304" s="17"/>
      <c r="U304" s="17"/>
      <c r="V304" s="17" t="e" cm="1">
        <f t="array" ref="V304">_xlfn.LET(_xlpm.r,_xlfn.XLOOKUP(1,MappingGuide[[#This Row],[API]:[API_3]],'[1]Squirrel SQL Export 1'!$K:$N,[1]!Table1[[#This Row],[MDM Comments]]),IF(_xlpm.r=0,"",_xlpm.r))</f>
        <v>#REF!</v>
      </c>
      <c r="W304" s="17" t="e" cm="1">
        <f t="array" ref="W304">_xlfn.LET(_xlpm.r,_xlfn.XLOOKUP(1,MappingGuide[[#This Row],[API]:[API_3]],'[1]Squirrel SQL Export 1'!$K:$N,[1]!Table1[[#This Row],[Exists In Syndigo?]]),IF(_xlpm.r=0,"",_xlpm.r))</f>
        <v>#REF!</v>
      </c>
      <c r="X304" s="17" t="e" cm="1">
        <f t="array" ref="X304">_xlfn.LET(_xlpm.r,_xlfn.XLOOKUP(1,MappingGuide[[#This Row],[API]:[API_3]],'[1]Squirrel SQL Export 1'!$K:$N,[1]!Table1[[#This Row],[Syndigo Name]]),IF(_xlpm.r=0,"",_xlpm.r))</f>
        <v>#REF!</v>
      </c>
      <c r="Y304" s="17"/>
      <c r="Z304" s="17" t="s">
        <v>880</v>
      </c>
      <c r="AA304" s="17"/>
      <c r="AB304" s="17"/>
      <c r="AC304" s="17" t="e" cm="1">
        <f t="array" ref="AC304">_xlfn.XLOOKUP(1,MappingGuide[[#This Row],[API]:[API_3]],'[1]Squirrel SQL Export 1'!$K:$N,[1]!Table1[[#This Row],[Doppio Notes2]])</f>
        <v>#REF!</v>
      </c>
      <c r="AD304" s="17" t="s">
        <v>1279</v>
      </c>
      <c r="AE304" s="17" t="e" cm="1">
        <f t="array" ref="AE304">_xlfn.XLOOKUP(1,MappingGuide[[#This Row],[API]:[API_3]],'[1]Squirrel SQL Export 1'!$K:$N,[1]!Table1[[#This Row],[DG_required]])</f>
        <v>#REF!</v>
      </c>
      <c r="AF304" s="17"/>
      <c r="AG304" s="17"/>
      <c r="AH304" s="18" t="e" cm="1">
        <f t="array" ref="AH304">_xlfn.LET(_xlpm.r,_xlfn.XLOOKUP(1,MappingGuide[[#This Row],[API]:[API_3]],'[1]Squirrel SQL Export 1'!$K:$N,[1]!Table1[[#This Row],[Pending Items]]),IF(_xlpm.r=0,"",_xlpm.r))</f>
        <v>#REF!</v>
      </c>
      <c r="AI304" s="17" t="e" cm="1">
        <f t="array" ref="AI304">_xlfn.LET(_xlpm.r,_xlfn.XLOOKUP(1,MappingGuide[[#This Row],[API]:[API_3]],'[1]Squirrel SQL Export 1'!$K:$N,[1]!Table1[[#This Row],[Syndigo Name]]),IF(_xlpm.r=0,"",_xlpm.r))</f>
        <v>#REF!</v>
      </c>
      <c r="AJ304" s="17"/>
    </row>
    <row r="305" spans="1:36" ht="17">
      <c r="A305" s="17">
        <v>303</v>
      </c>
      <c r="B305" s="17" t="s">
        <v>1167</v>
      </c>
      <c r="C305" s="17" t="s">
        <v>1215</v>
      </c>
      <c r="D305" s="17" t="s">
        <v>331</v>
      </c>
      <c r="E305" s="17" t="s">
        <v>33</v>
      </c>
      <c r="F305" s="17" t="s">
        <v>44</v>
      </c>
      <c r="G305" s="17"/>
      <c r="H305" s="17"/>
      <c r="I305" s="17"/>
      <c r="J305" s="17"/>
      <c r="K305" s="17"/>
      <c r="L305" s="17" t="s">
        <v>35</v>
      </c>
      <c r="M305" s="17" t="s">
        <v>73</v>
      </c>
      <c r="N305" s="17" t="s">
        <v>332</v>
      </c>
      <c r="O305" s="17"/>
      <c r="P305" s="17"/>
      <c r="Q305" s="17"/>
      <c r="R305" s="17"/>
      <c r="S305" s="17" t="e" cm="1">
        <f t="array" ref="S305">_xlfn.LET(_xlpm.r,_xlfn.XLOOKUP(1,MappingGuide[[#This Row],[API]:[API_3]],'[1]Squirrel SQL Export 1'!$K:$N,[1]!Table1[[#This Row],[Responsible from HJ]]),IF(_xlpm.r=0,"",_xlpm.r))</f>
        <v>#REF!</v>
      </c>
      <c r="T305" s="17"/>
      <c r="U305" s="17"/>
      <c r="V305" s="17" t="e" cm="1">
        <f t="array" ref="V305">_xlfn.LET(_xlpm.r,_xlfn.XLOOKUP(1,MappingGuide[[#This Row],[API]:[API_3]],'[1]Squirrel SQL Export 1'!$K:$N,[1]!Table1[[#This Row],[MDM Comments]]),IF(_xlpm.r=0,"",_xlpm.r))</f>
        <v>#REF!</v>
      </c>
      <c r="W305" s="17" t="e" cm="1">
        <f t="array" ref="W305">_xlfn.LET(_xlpm.r,_xlfn.XLOOKUP(1,MappingGuide[[#This Row],[API]:[API_3]],'[1]Squirrel SQL Export 1'!$K:$N,[1]!Table1[[#This Row],[Exists In Syndigo?]]),IF(_xlpm.r=0,"",_xlpm.r))</f>
        <v>#REF!</v>
      </c>
      <c r="X305" s="17" t="e" cm="1">
        <f t="array" ref="X305">_xlfn.LET(_xlpm.r,_xlfn.XLOOKUP(1,MappingGuide[[#This Row],[API]:[API_3]],'[1]Squirrel SQL Export 1'!$K:$N,[1]!Table1[[#This Row],[Syndigo Name]]),IF(_xlpm.r=0,"",_xlpm.r))</f>
        <v>#REF!</v>
      </c>
      <c r="Y305" s="17"/>
      <c r="Z305" s="17" t="s">
        <v>333</v>
      </c>
      <c r="AA305" s="17"/>
      <c r="AB305" s="17"/>
      <c r="AC305" s="17" t="e" cm="1">
        <f t="array" ref="AC305">_xlfn.XLOOKUP(1,MappingGuide[[#This Row],[API]:[API_3]],'[1]Squirrel SQL Export 1'!$K:$N,[1]!Table1[[#This Row],[Doppio Notes2]])</f>
        <v>#REF!</v>
      </c>
      <c r="AD305" s="17"/>
      <c r="AE305" s="17" t="e" cm="1">
        <f t="array" ref="AE305">_xlfn.XLOOKUP(1,MappingGuide[[#This Row],[API]:[API_3]],'[1]Squirrel SQL Export 1'!$K:$N,[1]!Table1[[#This Row],[DG_required]])</f>
        <v>#REF!</v>
      </c>
      <c r="AF305" s="17"/>
      <c r="AG305" s="17"/>
      <c r="AH305" s="17" t="e" cm="1">
        <f t="array" ref="AH305">_xlfn.LET(_xlpm.r,_xlfn.XLOOKUP(1,MappingGuide[[#This Row],[API]:[API_3]],'[1]Squirrel SQL Export 1'!$K:$N,[1]!Table1[[#This Row],[Pending Items]]),IF(_xlpm.r=0,"",_xlpm.r))</f>
        <v>#REF!</v>
      </c>
      <c r="AI305" s="17" t="e" cm="1">
        <f t="array" ref="AI305">_xlfn.LET(_xlpm.r,_xlfn.XLOOKUP(1,MappingGuide[[#This Row],[API]:[API_3]],'[1]Squirrel SQL Export 1'!$K:$N,[1]!Table1[[#This Row],[Syndigo Name]]),IF(_xlpm.r=0,"",_xlpm.r))</f>
        <v>#REF!</v>
      </c>
      <c r="AJ305" s="17"/>
    </row>
    <row r="306" spans="1:36" ht="17">
      <c r="A306" s="17">
        <v>304</v>
      </c>
      <c r="B306" s="17" t="s">
        <v>1167</v>
      </c>
      <c r="C306" s="17" t="s">
        <v>1216</v>
      </c>
      <c r="D306" s="17" t="s">
        <v>1217</v>
      </c>
      <c r="E306" s="17" t="s">
        <v>33</v>
      </c>
      <c r="F306" s="17" t="s">
        <v>118</v>
      </c>
      <c r="G306" s="17"/>
      <c r="H306" s="17"/>
      <c r="I306" s="17" t="s">
        <v>1172</v>
      </c>
      <c r="J306" s="17" t="s">
        <v>58</v>
      </c>
      <c r="K306" s="17"/>
      <c r="L306" s="17"/>
      <c r="M306" s="17"/>
      <c r="N306" s="17" t="s">
        <v>1218</v>
      </c>
      <c r="O306" s="17"/>
      <c r="P306" s="17"/>
      <c r="Q306" s="17"/>
      <c r="R306" s="17"/>
      <c r="S306" s="17" t="e" cm="1">
        <f t="array" ref="S306">_xlfn.LET(_xlpm.r,_xlfn.XLOOKUP(1,MappingGuide[[#This Row],[API]:[API_3]],'[1]Squirrel SQL Export 1'!$K:$N,[1]!Table1[[#This Row],[Responsible from HJ]]),IF(_xlpm.r=0,"",_xlpm.r))</f>
        <v>#REF!</v>
      </c>
      <c r="T306" s="17"/>
      <c r="U306" s="17"/>
      <c r="V306" s="17" t="e" cm="1">
        <f t="array" ref="V306">_xlfn.LET(_xlpm.r,_xlfn.XLOOKUP(1,MappingGuide[[#This Row],[API]:[API_3]],'[1]Squirrel SQL Export 1'!$K:$N,[1]!Table1[[#This Row],[MDM Comments]]),IF(_xlpm.r=0,"",_xlpm.r))</f>
        <v>#REF!</v>
      </c>
      <c r="W306" s="17" t="e" cm="1">
        <f t="array" ref="W306">_xlfn.LET(_xlpm.r,_xlfn.XLOOKUP(1,MappingGuide[[#This Row],[API]:[API_3]],'[1]Squirrel SQL Export 1'!$K:$N,[1]!Table1[[#This Row],[Exists In Syndigo?]]),IF(_xlpm.r=0,"",_xlpm.r))</f>
        <v>#REF!</v>
      </c>
      <c r="X306" s="17" t="e" cm="1">
        <f t="array" ref="X306">_xlfn.LET(_xlpm.r,_xlfn.XLOOKUP(1,MappingGuide[[#This Row],[API]:[API_3]],'[1]Squirrel SQL Export 1'!$K:$N,[1]!Table1[[#This Row],[Syndigo Name]]),IF(_xlpm.r=0,"",_xlpm.r))</f>
        <v>#REF!</v>
      </c>
      <c r="Y306" s="17"/>
      <c r="Z306" s="17" t="s">
        <v>1219</v>
      </c>
      <c r="AA306" s="17"/>
      <c r="AB306" s="17"/>
      <c r="AC306" s="17" t="e" cm="1">
        <f t="array" ref="AC306">_xlfn.XLOOKUP(1,MappingGuide[[#This Row],[API]:[API_3]],'[1]Squirrel SQL Export 1'!$K:$N,[1]!Table1[[#This Row],[Doppio Notes2]])</f>
        <v>#REF!</v>
      </c>
      <c r="AD306" s="17"/>
      <c r="AE306" s="17" t="e" cm="1">
        <f t="array" ref="AE306">_xlfn.XLOOKUP(1,MappingGuide[[#This Row],[API]:[API_3]],'[1]Squirrel SQL Export 1'!$K:$N,[1]!Table1[[#This Row],[DG_required]])</f>
        <v>#REF!</v>
      </c>
      <c r="AF306" s="17"/>
      <c r="AG306" s="17"/>
      <c r="AH306" s="17" t="e" cm="1">
        <f t="array" ref="AH306">_xlfn.LET(_xlpm.r,_xlfn.XLOOKUP(1,MappingGuide[[#This Row],[API]:[API_3]],'[1]Squirrel SQL Export 1'!$K:$N,[1]!Table1[[#This Row],[Pending Items]]),IF(_xlpm.r=0,"",_xlpm.r))</f>
        <v>#REF!</v>
      </c>
      <c r="AI306" s="17" t="e" cm="1">
        <f t="array" ref="AI306">_xlfn.LET(_xlpm.r,_xlfn.XLOOKUP(1,MappingGuide[[#This Row],[API]:[API_3]],'[1]Squirrel SQL Export 1'!$K:$N,[1]!Table1[[#This Row],[Syndigo Name]]),IF(_xlpm.r=0,"",_xlpm.r))</f>
        <v>#REF!</v>
      </c>
      <c r="AJ306" s="17"/>
    </row>
    <row r="307" spans="1:36" ht="17">
      <c r="A307" s="17">
        <v>305</v>
      </c>
      <c r="B307" s="17" t="s">
        <v>1167</v>
      </c>
      <c r="C307" s="17" t="s">
        <v>1220</v>
      </c>
      <c r="D307" s="17" t="s">
        <v>1221</v>
      </c>
      <c r="E307" s="17" t="s">
        <v>33</v>
      </c>
      <c r="F307" s="17" t="s">
        <v>118</v>
      </c>
      <c r="G307" s="17"/>
      <c r="H307" s="17"/>
      <c r="I307" s="17" t="s">
        <v>1172</v>
      </c>
      <c r="J307" s="17" t="s">
        <v>58</v>
      </c>
      <c r="K307" s="17"/>
      <c r="L307" s="17"/>
      <c r="M307" s="17"/>
      <c r="N307" s="17" t="s">
        <v>1222</v>
      </c>
      <c r="O307" s="17"/>
      <c r="P307" s="17"/>
      <c r="Q307" s="17"/>
      <c r="R307" s="17"/>
      <c r="S307" s="17" t="e" cm="1">
        <f t="array" ref="S307">_xlfn.LET(_xlpm.r,_xlfn.XLOOKUP(1,MappingGuide[[#This Row],[API]:[API_3]],'[1]Squirrel SQL Export 1'!$K:$N,[1]!Table1[[#This Row],[Responsible from HJ]]),IF(_xlpm.r=0,"",_xlpm.r))</f>
        <v>#REF!</v>
      </c>
      <c r="T307" s="17"/>
      <c r="U307" s="17"/>
      <c r="V307" s="17" t="e" cm="1">
        <f t="array" ref="V307">_xlfn.LET(_xlpm.r,_xlfn.XLOOKUP(1,MappingGuide[[#This Row],[API]:[API_3]],'[1]Squirrel SQL Export 1'!$K:$N,[1]!Table1[[#This Row],[MDM Comments]]),IF(_xlpm.r=0,"",_xlpm.r))</f>
        <v>#REF!</v>
      </c>
      <c r="W307" s="17" t="e" cm="1">
        <f t="array" ref="W307">_xlfn.LET(_xlpm.r,_xlfn.XLOOKUP(1,MappingGuide[[#This Row],[API]:[API_3]],'[1]Squirrel SQL Export 1'!$K:$N,[1]!Table1[[#This Row],[Exists In Syndigo?]]),IF(_xlpm.r=0,"",_xlpm.r))</f>
        <v>#REF!</v>
      </c>
      <c r="X307" s="17" t="e" cm="1">
        <f t="array" ref="X307">_xlfn.LET(_xlpm.r,_xlfn.XLOOKUP(1,MappingGuide[[#This Row],[API]:[API_3]],'[1]Squirrel SQL Export 1'!$K:$N,[1]!Table1[[#This Row],[Syndigo Name]]),IF(_xlpm.r=0,"",_xlpm.r))</f>
        <v>#REF!</v>
      </c>
      <c r="Y307" s="17"/>
      <c r="Z307" s="17" t="s">
        <v>1223</v>
      </c>
      <c r="AA307" s="17"/>
      <c r="AB307" s="17"/>
      <c r="AC307" s="17" t="e" cm="1">
        <f t="array" ref="AC307">_xlfn.XLOOKUP(1,MappingGuide[[#This Row],[API]:[API_3]],'[1]Squirrel SQL Export 1'!$K:$N,[1]!Table1[[#This Row],[Doppio Notes2]])</f>
        <v>#REF!</v>
      </c>
      <c r="AD307" s="17"/>
      <c r="AE307" s="17" t="e" cm="1">
        <f t="array" ref="AE307">_xlfn.XLOOKUP(1,MappingGuide[[#This Row],[API]:[API_3]],'[1]Squirrel SQL Export 1'!$K:$N,[1]!Table1[[#This Row],[DG_required]])</f>
        <v>#REF!</v>
      </c>
      <c r="AF307" s="17"/>
      <c r="AG307" s="17"/>
      <c r="AH307" s="17" t="e" cm="1">
        <f t="array" ref="AH307">_xlfn.LET(_xlpm.r,_xlfn.XLOOKUP(1,MappingGuide[[#This Row],[API]:[API_3]],'[1]Squirrel SQL Export 1'!$K:$N,[1]!Table1[[#This Row],[Pending Items]]),IF(_xlpm.r=0,"",_xlpm.r))</f>
        <v>#REF!</v>
      </c>
      <c r="AI307" s="17" t="e" cm="1">
        <f t="array" ref="AI307">_xlfn.LET(_xlpm.r,_xlfn.XLOOKUP(1,MappingGuide[[#This Row],[API]:[API_3]],'[1]Squirrel SQL Export 1'!$K:$N,[1]!Table1[[#This Row],[Syndigo Name]]),IF(_xlpm.r=0,"",_xlpm.r))</f>
        <v>#REF!</v>
      </c>
      <c r="AJ307" s="17"/>
    </row>
    <row r="308" spans="1:36" ht="17">
      <c r="A308" s="17">
        <v>306</v>
      </c>
      <c r="B308" s="17" t="s">
        <v>1167</v>
      </c>
      <c r="C308" s="17" t="s">
        <v>1224</v>
      </c>
      <c r="D308" s="17" t="s">
        <v>1225</v>
      </c>
      <c r="E308" s="17" t="s">
        <v>33</v>
      </c>
      <c r="F308" s="17" t="s">
        <v>56</v>
      </c>
      <c r="G308" s="17"/>
      <c r="H308" s="17"/>
      <c r="I308" s="17"/>
      <c r="J308" s="17"/>
      <c r="K308" s="17"/>
      <c r="L308" s="17"/>
      <c r="M308" s="17"/>
      <c r="N308" s="17" t="s">
        <v>1226</v>
      </c>
      <c r="O308" s="17"/>
      <c r="P308" s="17"/>
      <c r="Q308" s="17"/>
      <c r="R308" s="17"/>
      <c r="S308" s="17" t="e" cm="1">
        <f t="array" ref="S308">_xlfn.LET(_xlpm.r,_xlfn.XLOOKUP(1,MappingGuide[[#This Row],[API]:[API_3]],'[1]Squirrel SQL Export 1'!$K:$N,[1]!Table1[[#This Row],[Responsible from HJ]]),IF(_xlpm.r=0,"",_xlpm.r))</f>
        <v>#REF!</v>
      </c>
      <c r="T308" s="17"/>
      <c r="U308" s="17"/>
      <c r="V308" s="17" t="e" cm="1">
        <f t="array" ref="V308">_xlfn.LET(_xlpm.r,_xlfn.XLOOKUP(1,MappingGuide[[#This Row],[API]:[API_3]],'[1]Squirrel SQL Export 1'!$K:$N,[1]!Table1[[#This Row],[MDM Comments]]),IF(_xlpm.r=0,"",_xlpm.r))</f>
        <v>#REF!</v>
      </c>
      <c r="W308" s="17" t="e" cm="1">
        <f t="array" ref="W308">_xlfn.LET(_xlpm.r,_xlfn.XLOOKUP(1,MappingGuide[[#This Row],[API]:[API_3]],'[1]Squirrel SQL Export 1'!$K:$N,[1]!Table1[[#This Row],[Exists In Syndigo?]]),IF(_xlpm.r=0,"",_xlpm.r))</f>
        <v>#REF!</v>
      </c>
      <c r="X308" s="17" t="e" cm="1">
        <f t="array" ref="X308">_xlfn.LET(_xlpm.r,_xlfn.XLOOKUP(1,MappingGuide[[#This Row],[API]:[API_3]],'[1]Squirrel SQL Export 1'!$K:$N,[1]!Table1[[#This Row],[Syndigo Name]]),IF(_xlpm.r=0,"",_xlpm.r))</f>
        <v>#REF!</v>
      </c>
      <c r="Y308" s="17"/>
      <c r="Z308" s="17"/>
      <c r="AA308" s="17"/>
      <c r="AB308" s="17"/>
      <c r="AC308" s="17" t="e" cm="1">
        <f t="array" ref="AC308">_xlfn.XLOOKUP(1,MappingGuide[[#This Row],[API]:[API_3]],'[1]Squirrel SQL Export 1'!$K:$N,[1]!Table1[[#This Row],[Doppio Notes2]])</f>
        <v>#REF!</v>
      </c>
      <c r="AD308" s="17"/>
      <c r="AE308" s="17" t="e" cm="1">
        <f t="array" ref="AE308">_xlfn.XLOOKUP(1,MappingGuide[[#This Row],[API]:[API_3]],'[1]Squirrel SQL Export 1'!$K:$N,[1]!Table1[[#This Row],[DG_required]])</f>
        <v>#REF!</v>
      </c>
      <c r="AF308" s="17"/>
      <c r="AG308" s="17"/>
      <c r="AH308" s="17" t="e" cm="1">
        <f t="array" ref="AH308">_xlfn.LET(_xlpm.r,_xlfn.XLOOKUP(1,MappingGuide[[#This Row],[API]:[API_3]],'[1]Squirrel SQL Export 1'!$K:$N,[1]!Table1[[#This Row],[Pending Items]]),IF(_xlpm.r=0,"",_xlpm.r))</f>
        <v>#REF!</v>
      </c>
      <c r="AI308" s="17" t="e" cm="1">
        <f t="array" ref="AI308">_xlfn.LET(_xlpm.r,_xlfn.XLOOKUP(1,MappingGuide[[#This Row],[API]:[API_3]],'[1]Squirrel SQL Export 1'!$K:$N,[1]!Table1[[#This Row],[Syndigo Name]]),IF(_xlpm.r=0,"",_xlpm.r))</f>
        <v>#REF!</v>
      </c>
      <c r="AJ308" s="17"/>
    </row>
    <row r="309" spans="1:36" ht="17">
      <c r="A309" s="17">
        <v>307</v>
      </c>
      <c r="B309" s="17" t="s">
        <v>1167</v>
      </c>
      <c r="C309" s="17" t="s">
        <v>1227</v>
      </c>
      <c r="D309" s="17" t="s">
        <v>1228</v>
      </c>
      <c r="E309" s="17" t="s">
        <v>33</v>
      </c>
      <c r="F309" s="17" t="s">
        <v>56</v>
      </c>
      <c r="G309" s="17"/>
      <c r="H309" s="17"/>
      <c r="I309" s="17"/>
      <c r="J309" s="17"/>
      <c r="K309" s="17"/>
      <c r="L309" s="17"/>
      <c r="M309" s="17"/>
      <c r="N309" s="17" t="s">
        <v>1229</v>
      </c>
      <c r="O309" s="17"/>
      <c r="P309" s="17"/>
      <c r="Q309" s="17"/>
      <c r="R309" s="17"/>
      <c r="S309" s="17" t="e" cm="1">
        <f t="array" ref="S309">_xlfn.LET(_xlpm.r,_xlfn.XLOOKUP(1,MappingGuide[[#This Row],[API]:[API_3]],'[1]Squirrel SQL Export 1'!$K:$N,[1]!Table1[[#This Row],[Responsible from HJ]]),IF(_xlpm.r=0,"",_xlpm.r))</f>
        <v>#REF!</v>
      </c>
      <c r="T309" s="17"/>
      <c r="U309" s="17"/>
      <c r="V309" s="17" t="e" cm="1">
        <f t="array" ref="V309">_xlfn.LET(_xlpm.r,_xlfn.XLOOKUP(1,MappingGuide[[#This Row],[API]:[API_3]],'[1]Squirrel SQL Export 1'!$K:$N,[1]!Table1[[#This Row],[MDM Comments]]),IF(_xlpm.r=0,"",_xlpm.r))</f>
        <v>#REF!</v>
      </c>
      <c r="W309" s="17" t="e" cm="1">
        <f t="array" ref="W309">_xlfn.LET(_xlpm.r,_xlfn.XLOOKUP(1,MappingGuide[[#This Row],[API]:[API_3]],'[1]Squirrel SQL Export 1'!$K:$N,[1]!Table1[[#This Row],[Exists In Syndigo?]]),IF(_xlpm.r=0,"",_xlpm.r))</f>
        <v>#REF!</v>
      </c>
      <c r="X309" s="17" t="e" cm="1">
        <f t="array" ref="X309">_xlfn.LET(_xlpm.r,_xlfn.XLOOKUP(1,MappingGuide[[#This Row],[API]:[API_3]],'[1]Squirrel SQL Export 1'!$K:$N,[1]!Table1[[#This Row],[Syndigo Name]]),IF(_xlpm.r=0,"",_xlpm.r))</f>
        <v>#REF!</v>
      </c>
      <c r="Y309" s="17"/>
      <c r="Z309" s="17"/>
      <c r="AA309" s="17"/>
      <c r="AB309" s="17"/>
      <c r="AC309" s="17" t="e" cm="1">
        <f t="array" ref="AC309">_xlfn.XLOOKUP(1,MappingGuide[[#This Row],[API]:[API_3]],'[1]Squirrel SQL Export 1'!$K:$N,[1]!Table1[[#This Row],[Doppio Notes2]])</f>
        <v>#REF!</v>
      </c>
      <c r="AD309" s="17"/>
      <c r="AE309" s="17" t="e" cm="1">
        <f t="array" ref="AE309">_xlfn.XLOOKUP(1,MappingGuide[[#This Row],[API]:[API_3]],'[1]Squirrel SQL Export 1'!$K:$N,[1]!Table1[[#This Row],[DG_required]])</f>
        <v>#REF!</v>
      </c>
      <c r="AF309" s="17"/>
      <c r="AG309" s="17"/>
      <c r="AH309" s="17" t="e" cm="1">
        <f t="array" ref="AH309">_xlfn.LET(_xlpm.r,_xlfn.XLOOKUP(1,MappingGuide[[#This Row],[API]:[API_3]],'[1]Squirrel SQL Export 1'!$K:$N,[1]!Table1[[#This Row],[Pending Items]]),IF(_xlpm.r=0,"",_xlpm.r))</f>
        <v>#REF!</v>
      </c>
      <c r="AI309" s="17" t="e" cm="1">
        <f t="array" ref="AI309">_xlfn.LET(_xlpm.r,_xlfn.XLOOKUP(1,MappingGuide[[#This Row],[API]:[API_3]],'[1]Squirrel SQL Export 1'!$K:$N,[1]!Table1[[#This Row],[Syndigo Name]]),IF(_xlpm.r=0,"",_xlpm.r))</f>
        <v>#REF!</v>
      </c>
      <c r="AJ309" s="17"/>
    </row>
    <row r="310" spans="1:36" ht="17">
      <c r="A310" s="17">
        <v>308</v>
      </c>
      <c r="B310" s="17" t="s">
        <v>1167</v>
      </c>
      <c r="C310" s="17" t="s">
        <v>1230</v>
      </c>
      <c r="D310" s="17" t="s">
        <v>1231</v>
      </c>
      <c r="E310" s="17" t="s">
        <v>43</v>
      </c>
      <c r="F310" s="17" t="s">
        <v>373</v>
      </c>
      <c r="G310" s="17"/>
      <c r="H310" s="17"/>
      <c r="I310" s="17" t="s">
        <v>1172</v>
      </c>
      <c r="J310" s="17" t="s">
        <v>58</v>
      </c>
      <c r="K310" s="17"/>
      <c r="L310" s="17" t="s">
        <v>35</v>
      </c>
      <c r="M310" s="17" t="s">
        <v>1169</v>
      </c>
      <c r="N310" s="17" t="s">
        <v>1232</v>
      </c>
      <c r="O310" s="17"/>
      <c r="P310" s="17"/>
      <c r="Q310" s="17"/>
      <c r="R310" s="17"/>
      <c r="S310" s="17" t="e" cm="1">
        <f t="array" ref="S310">_xlfn.LET(_xlpm.r,_xlfn.XLOOKUP(1,MappingGuide[[#This Row],[API]:[API_3]],'[1]Squirrel SQL Export 1'!$K:$N,[1]!Table1[[#This Row],[Responsible from HJ]]),IF(_xlpm.r=0,"",_xlpm.r))</f>
        <v>#REF!</v>
      </c>
      <c r="T310" s="17"/>
      <c r="U310" s="17"/>
      <c r="V310" s="17" t="e" cm="1">
        <f t="array" ref="V310">_xlfn.LET(_xlpm.r,_xlfn.XLOOKUP(1,MappingGuide[[#This Row],[API]:[API_3]],'[1]Squirrel SQL Export 1'!$K:$N,[1]!Table1[[#This Row],[MDM Comments]]),IF(_xlpm.r=0,"",_xlpm.r))</f>
        <v>#REF!</v>
      </c>
      <c r="W310" s="17" t="e" cm="1">
        <f t="array" ref="W310">_xlfn.LET(_xlpm.r,_xlfn.XLOOKUP(1,MappingGuide[[#This Row],[API]:[API_3]],'[1]Squirrel SQL Export 1'!$K:$N,[1]!Table1[[#This Row],[Exists In Syndigo?]]),IF(_xlpm.r=0,"",_xlpm.r))</f>
        <v>#REF!</v>
      </c>
      <c r="X310" s="17" t="e" cm="1">
        <f t="array" ref="X310">_xlfn.LET(_xlpm.r,_xlfn.XLOOKUP(1,MappingGuide[[#This Row],[API]:[API_3]],'[1]Squirrel SQL Export 1'!$K:$N,[1]!Table1[[#This Row],[Syndigo Name]]),IF(_xlpm.r=0,"",_xlpm.r))</f>
        <v>#REF!</v>
      </c>
      <c r="Y310" s="17"/>
      <c r="Z310" s="17" t="s">
        <v>1233</v>
      </c>
      <c r="AA310" s="17"/>
      <c r="AB310" s="17"/>
      <c r="AC310" s="17" t="e" cm="1">
        <f t="array" ref="AC310">_xlfn.XLOOKUP(1,MappingGuide[[#This Row],[API]:[API_3]],'[1]Squirrel SQL Export 1'!$K:$N,[1]!Table1[[#This Row],[Doppio Notes2]])</f>
        <v>#REF!</v>
      </c>
      <c r="AD310" s="17"/>
      <c r="AE310" s="17" t="e" cm="1">
        <f t="array" ref="AE310">_xlfn.XLOOKUP(1,MappingGuide[[#This Row],[API]:[API_3]],'[1]Squirrel SQL Export 1'!$K:$N,[1]!Table1[[#This Row],[DG_required]])</f>
        <v>#REF!</v>
      </c>
      <c r="AF310" s="17"/>
      <c r="AG310" s="17"/>
      <c r="AH310" s="17" t="e" cm="1">
        <f t="array" ref="AH310">_xlfn.LET(_xlpm.r,_xlfn.XLOOKUP(1,MappingGuide[[#This Row],[API]:[API_3]],'[1]Squirrel SQL Export 1'!$K:$N,[1]!Table1[[#This Row],[Pending Items]]),IF(_xlpm.r=0,"",_xlpm.r))</f>
        <v>#REF!</v>
      </c>
      <c r="AI310" s="17" t="e" cm="1">
        <f t="array" ref="AI310">_xlfn.LET(_xlpm.r,_xlfn.XLOOKUP(1,MappingGuide[[#This Row],[API]:[API_3]],'[1]Squirrel SQL Export 1'!$K:$N,[1]!Table1[[#This Row],[Syndigo Name]]),IF(_xlpm.r=0,"",_xlpm.r))</f>
        <v>#REF!</v>
      </c>
      <c r="AJ310" s="17"/>
    </row>
    <row r="311" spans="1:36" ht="17">
      <c r="A311" s="17">
        <v>309</v>
      </c>
      <c r="B311" s="17" t="s">
        <v>1167</v>
      </c>
      <c r="C311" s="17" t="s">
        <v>1234</v>
      </c>
      <c r="D311" s="17" t="s">
        <v>1235</v>
      </c>
      <c r="E311" s="17" t="s">
        <v>43</v>
      </c>
      <c r="F311" s="17" t="s">
        <v>373</v>
      </c>
      <c r="G311" s="17"/>
      <c r="H311" s="17"/>
      <c r="I311" s="17" t="s">
        <v>1172</v>
      </c>
      <c r="J311" s="17" t="s">
        <v>58</v>
      </c>
      <c r="K311" s="17"/>
      <c r="L311" s="17" t="s">
        <v>35</v>
      </c>
      <c r="M311" s="17" t="s">
        <v>1169</v>
      </c>
      <c r="N311" s="17" t="s">
        <v>1236</v>
      </c>
      <c r="O311" s="17"/>
      <c r="P311" s="17"/>
      <c r="Q311" s="17"/>
      <c r="R311" s="17"/>
      <c r="S311" s="17" t="e" cm="1">
        <f t="array" ref="S311">_xlfn.LET(_xlpm.r,_xlfn.XLOOKUP(1,MappingGuide[[#This Row],[API]:[API_3]],'[1]Squirrel SQL Export 1'!$K:$N,[1]!Table1[[#This Row],[Responsible from HJ]]),IF(_xlpm.r=0,"",_xlpm.r))</f>
        <v>#REF!</v>
      </c>
      <c r="T311" s="17"/>
      <c r="U311" s="17"/>
      <c r="V311" s="17" t="e" cm="1">
        <f t="array" ref="V311">_xlfn.LET(_xlpm.r,_xlfn.XLOOKUP(1,MappingGuide[[#This Row],[API]:[API_3]],'[1]Squirrel SQL Export 1'!$K:$N,[1]!Table1[[#This Row],[MDM Comments]]),IF(_xlpm.r=0,"",_xlpm.r))</f>
        <v>#REF!</v>
      </c>
      <c r="W311" s="17" t="e" cm="1">
        <f t="array" ref="W311">_xlfn.LET(_xlpm.r,_xlfn.XLOOKUP(1,MappingGuide[[#This Row],[API]:[API_3]],'[1]Squirrel SQL Export 1'!$K:$N,[1]!Table1[[#This Row],[Exists In Syndigo?]]),IF(_xlpm.r=0,"",_xlpm.r))</f>
        <v>#REF!</v>
      </c>
      <c r="X311" s="17" t="e" cm="1">
        <f t="array" ref="X311">_xlfn.LET(_xlpm.r,_xlfn.XLOOKUP(1,MappingGuide[[#This Row],[API]:[API_3]],'[1]Squirrel SQL Export 1'!$K:$N,[1]!Table1[[#This Row],[Syndigo Name]]),IF(_xlpm.r=0,"",_xlpm.r))</f>
        <v>#REF!</v>
      </c>
      <c r="Y311" s="17"/>
      <c r="Z311" s="17" t="s">
        <v>1237</v>
      </c>
      <c r="AA311" s="17"/>
      <c r="AB311" s="17"/>
      <c r="AC311" s="17" t="e" cm="1">
        <f t="array" ref="AC311">_xlfn.XLOOKUP(1,MappingGuide[[#This Row],[API]:[API_3]],'[1]Squirrel SQL Export 1'!$K:$N,[1]!Table1[[#This Row],[Doppio Notes2]])</f>
        <v>#REF!</v>
      </c>
      <c r="AD311" s="17"/>
      <c r="AE311" s="17" t="e" cm="1">
        <f t="array" ref="AE311">_xlfn.XLOOKUP(1,MappingGuide[[#This Row],[API]:[API_3]],'[1]Squirrel SQL Export 1'!$K:$N,[1]!Table1[[#This Row],[DG_required]])</f>
        <v>#REF!</v>
      </c>
      <c r="AF311" s="17"/>
      <c r="AG311" s="17"/>
      <c r="AH311" s="17" t="e" cm="1">
        <f t="array" ref="AH311">_xlfn.LET(_xlpm.r,_xlfn.XLOOKUP(1,MappingGuide[[#This Row],[API]:[API_3]],'[1]Squirrel SQL Export 1'!$K:$N,[1]!Table1[[#This Row],[Pending Items]]),IF(_xlpm.r=0,"",_xlpm.r))</f>
        <v>#REF!</v>
      </c>
      <c r="AI311" s="17" t="e" cm="1">
        <f t="array" ref="AI311">_xlfn.LET(_xlpm.r,_xlfn.XLOOKUP(1,MappingGuide[[#This Row],[API]:[API_3]],'[1]Squirrel SQL Export 1'!$K:$N,[1]!Table1[[#This Row],[Syndigo Name]]),IF(_xlpm.r=0,"",_xlpm.r))</f>
        <v>#REF!</v>
      </c>
      <c r="AJ311" s="17"/>
    </row>
    <row r="312" spans="1:36" ht="17">
      <c r="A312" s="17">
        <v>310</v>
      </c>
      <c r="B312" s="17" t="s">
        <v>1167</v>
      </c>
      <c r="C312" s="17" t="s">
        <v>1238</v>
      </c>
      <c r="D312" s="17" t="s">
        <v>926</v>
      </c>
      <c r="E312" s="17" t="s">
        <v>43</v>
      </c>
      <c r="F312" s="17" t="s">
        <v>668</v>
      </c>
      <c r="G312" s="17"/>
      <c r="H312" s="17"/>
      <c r="I312" s="17"/>
      <c r="J312" s="17"/>
      <c r="K312" s="17"/>
      <c r="L312" s="17"/>
      <c r="M312" s="17"/>
      <c r="N312" s="17" t="s">
        <v>927</v>
      </c>
      <c r="O312" s="17"/>
      <c r="P312" s="17"/>
      <c r="Q312" s="17"/>
      <c r="R312" s="17"/>
      <c r="S312" s="17" t="e" cm="1">
        <f t="array" ref="S312">_xlfn.LET(_xlpm.r,_xlfn.XLOOKUP(1,MappingGuide[[#This Row],[API]:[API_3]],'[1]Squirrel SQL Export 1'!$K:$N,[1]!Table1[[#This Row],[Responsible from HJ]]),IF(_xlpm.r=0,"",_xlpm.r))</f>
        <v>#REF!</v>
      </c>
      <c r="T312" s="17"/>
      <c r="U312" s="17"/>
      <c r="V312" s="17" t="e" cm="1">
        <f t="array" ref="V312">_xlfn.LET(_xlpm.r,_xlfn.XLOOKUP(1,MappingGuide[[#This Row],[API]:[API_3]],'[1]Squirrel SQL Export 1'!$K:$N,[1]!Table1[[#This Row],[MDM Comments]]),IF(_xlpm.r=0,"",_xlpm.r))</f>
        <v>#REF!</v>
      </c>
      <c r="W312" s="17" t="e" cm="1">
        <f t="array" ref="W312">_xlfn.LET(_xlpm.r,_xlfn.XLOOKUP(1,MappingGuide[[#This Row],[API]:[API_3]],'[1]Squirrel SQL Export 1'!$K:$N,[1]!Table1[[#This Row],[Exists In Syndigo?]]),IF(_xlpm.r=0,"",_xlpm.r))</f>
        <v>#REF!</v>
      </c>
      <c r="X312" s="17" t="e" cm="1">
        <f t="array" ref="X312">_xlfn.LET(_xlpm.r,_xlfn.XLOOKUP(1,MappingGuide[[#This Row],[API]:[API_3]],'[1]Squirrel SQL Export 1'!$K:$N,[1]!Table1[[#This Row],[Syndigo Name]]),IF(_xlpm.r=0,"",_xlpm.r))</f>
        <v>#REF!</v>
      </c>
      <c r="Y312" s="17"/>
      <c r="Z312" s="17" t="s">
        <v>928</v>
      </c>
      <c r="AA312" s="17"/>
      <c r="AB312" s="17"/>
      <c r="AC312" s="17" t="e" cm="1">
        <f t="array" ref="AC312">_xlfn.XLOOKUP(1,MappingGuide[[#This Row],[API]:[API_3]],'[1]Squirrel SQL Export 1'!$K:$N,[1]!Table1[[#This Row],[Doppio Notes2]])</f>
        <v>#REF!</v>
      </c>
      <c r="AD312" s="17"/>
      <c r="AE312" s="17" t="e" cm="1">
        <f t="array" ref="AE312">_xlfn.XLOOKUP(1,MappingGuide[[#This Row],[API]:[API_3]],'[1]Squirrel SQL Export 1'!$K:$N,[1]!Table1[[#This Row],[DG_required]])</f>
        <v>#REF!</v>
      </c>
      <c r="AF312" s="17"/>
      <c r="AG312" s="17"/>
      <c r="AH312" s="17" t="e" cm="1">
        <f t="array" ref="AH312">_xlfn.LET(_xlpm.r,_xlfn.XLOOKUP(1,MappingGuide[[#This Row],[API]:[API_3]],'[1]Squirrel SQL Export 1'!$K:$N,[1]!Table1[[#This Row],[Pending Items]]),IF(_xlpm.r=0,"",_xlpm.r))</f>
        <v>#REF!</v>
      </c>
      <c r="AI312" s="17" t="e" cm="1">
        <f t="array" ref="AI312">_xlfn.LET(_xlpm.r,_xlfn.XLOOKUP(1,MappingGuide[[#This Row],[API]:[API_3]],'[1]Squirrel SQL Export 1'!$K:$N,[1]!Table1[[#This Row],[Syndigo Name]]),IF(_xlpm.r=0,"",_xlpm.r))</f>
        <v>#REF!</v>
      </c>
      <c r="AJ312" s="17"/>
    </row>
    <row r="313" spans="1:36" ht="17">
      <c r="A313" s="17">
        <v>311</v>
      </c>
      <c r="B313" s="17" t="s">
        <v>1167</v>
      </c>
      <c r="C313" s="17" t="s">
        <v>1239</v>
      </c>
      <c r="D313" s="17" t="s">
        <v>943</v>
      </c>
      <c r="E313" s="17" t="s">
        <v>33</v>
      </c>
      <c r="F313" s="17" t="s">
        <v>373</v>
      </c>
      <c r="G313" s="17"/>
      <c r="H313" s="17"/>
      <c r="I313" s="17" t="s">
        <v>1172</v>
      </c>
      <c r="J313" s="17" t="s">
        <v>58</v>
      </c>
      <c r="K313" s="17"/>
      <c r="L313" s="17" t="s">
        <v>35</v>
      </c>
      <c r="M313" s="17" t="s">
        <v>1169</v>
      </c>
      <c r="N313" s="17" t="s">
        <v>944</v>
      </c>
      <c r="O313" s="17"/>
      <c r="P313" s="17"/>
      <c r="Q313" s="17"/>
      <c r="R313" s="17"/>
      <c r="S313" s="17" t="e" cm="1">
        <f t="array" ref="S313">_xlfn.LET(_xlpm.r,_xlfn.XLOOKUP(1,MappingGuide[[#This Row],[API]:[API_3]],'[1]Squirrel SQL Export 1'!$K:$N,[1]!Table1[[#This Row],[Responsible from HJ]]),IF(_xlpm.r=0,"",_xlpm.r))</f>
        <v>#REF!</v>
      </c>
      <c r="T313" s="17"/>
      <c r="U313" s="17"/>
      <c r="V313" s="17" t="e" cm="1">
        <f t="array" ref="V313">_xlfn.LET(_xlpm.r,_xlfn.XLOOKUP(1,MappingGuide[[#This Row],[API]:[API_3]],'[1]Squirrel SQL Export 1'!$K:$N,[1]!Table1[[#This Row],[MDM Comments]]),IF(_xlpm.r=0,"",_xlpm.r))</f>
        <v>#REF!</v>
      </c>
      <c r="W313" s="17" t="e" cm="1">
        <f t="array" ref="W313">_xlfn.LET(_xlpm.r,_xlfn.XLOOKUP(1,MappingGuide[[#This Row],[API]:[API_3]],'[1]Squirrel SQL Export 1'!$K:$N,[1]!Table1[[#This Row],[Exists In Syndigo?]]),IF(_xlpm.r=0,"",_xlpm.r))</f>
        <v>#REF!</v>
      </c>
      <c r="X313" s="17" t="e" cm="1">
        <f t="array" ref="X313">_xlfn.LET(_xlpm.r,_xlfn.XLOOKUP(1,MappingGuide[[#This Row],[API]:[API_3]],'[1]Squirrel SQL Export 1'!$K:$N,[1]!Table1[[#This Row],[Syndigo Name]]),IF(_xlpm.r=0,"",_xlpm.r))</f>
        <v>#REF!</v>
      </c>
      <c r="Y313" s="17"/>
      <c r="Z313" s="17" t="s">
        <v>945</v>
      </c>
      <c r="AA313" s="17"/>
      <c r="AB313" s="17"/>
      <c r="AC313" s="17" t="e" cm="1">
        <f t="array" ref="AC313">_xlfn.XLOOKUP(1,MappingGuide[[#This Row],[API]:[API_3]],'[1]Squirrel SQL Export 1'!$K:$N,[1]!Table1[[#This Row],[Doppio Notes2]])</f>
        <v>#REF!</v>
      </c>
      <c r="AD313" s="17"/>
      <c r="AE313" s="17" t="e" cm="1">
        <f t="array" ref="AE313">_xlfn.XLOOKUP(1,MappingGuide[[#This Row],[API]:[API_3]],'[1]Squirrel SQL Export 1'!$K:$N,[1]!Table1[[#This Row],[DG_required]])</f>
        <v>#REF!</v>
      </c>
      <c r="AF313" s="17"/>
      <c r="AG313" s="17"/>
      <c r="AH313" s="17" t="e" cm="1">
        <f t="array" ref="AH313">_xlfn.LET(_xlpm.r,_xlfn.XLOOKUP(1,MappingGuide[[#This Row],[API]:[API_3]],'[1]Squirrel SQL Export 1'!$K:$N,[1]!Table1[[#This Row],[Pending Items]]),IF(_xlpm.r=0,"",_xlpm.r))</f>
        <v>#REF!</v>
      </c>
      <c r="AI313" s="17" t="e" cm="1">
        <f t="array" ref="AI313">_xlfn.LET(_xlpm.r,_xlfn.XLOOKUP(1,MappingGuide[[#This Row],[API]:[API_3]],'[1]Squirrel SQL Export 1'!$K:$N,[1]!Table1[[#This Row],[Syndigo Name]]),IF(_xlpm.r=0,"",_xlpm.r))</f>
        <v>#REF!</v>
      </c>
      <c r="AJ313" s="17"/>
    </row>
    <row r="314" spans="1:36" ht="17">
      <c r="A314" s="17">
        <v>312</v>
      </c>
      <c r="B314" s="17" t="s">
        <v>1167</v>
      </c>
      <c r="C314" s="17" t="s">
        <v>1240</v>
      </c>
      <c r="D314" s="17" t="s">
        <v>968</v>
      </c>
      <c r="E314" s="17" t="s">
        <v>43</v>
      </c>
      <c r="F314" s="17" t="s">
        <v>80</v>
      </c>
      <c r="G314" s="17"/>
      <c r="H314" s="17"/>
      <c r="I314" s="17" t="s">
        <v>1172</v>
      </c>
      <c r="J314" s="17" t="s">
        <v>58</v>
      </c>
      <c r="K314" s="17"/>
      <c r="L314" s="17" t="s">
        <v>35</v>
      </c>
      <c r="M314" s="17" t="s">
        <v>73</v>
      </c>
      <c r="N314" s="17" t="s">
        <v>969</v>
      </c>
      <c r="O314" s="17"/>
      <c r="P314" s="17"/>
      <c r="Q314" s="17"/>
      <c r="R314" s="17"/>
      <c r="S314" s="17" t="e" cm="1">
        <f t="array" ref="S314">_xlfn.LET(_xlpm.r,_xlfn.XLOOKUP(1,MappingGuide[[#This Row],[API]:[API_3]],'[1]Squirrel SQL Export 1'!$K:$N,[1]!Table1[[#This Row],[Responsible from HJ]]),IF(_xlpm.r=0,"",_xlpm.r))</f>
        <v>#REF!</v>
      </c>
      <c r="T314" s="17"/>
      <c r="U314" s="17"/>
      <c r="V314" s="17" t="e" cm="1">
        <f t="array" ref="V314">_xlfn.LET(_xlpm.r,_xlfn.XLOOKUP(1,MappingGuide[[#This Row],[API]:[API_3]],'[1]Squirrel SQL Export 1'!$K:$N,[1]!Table1[[#This Row],[MDM Comments]]),IF(_xlpm.r=0,"",_xlpm.r))</f>
        <v>#REF!</v>
      </c>
      <c r="W314" s="17" t="e" cm="1">
        <f t="array" ref="W314">_xlfn.LET(_xlpm.r,_xlfn.XLOOKUP(1,MappingGuide[[#This Row],[API]:[API_3]],'[1]Squirrel SQL Export 1'!$K:$N,[1]!Table1[[#This Row],[Exists In Syndigo?]]),IF(_xlpm.r=0,"",_xlpm.r))</f>
        <v>#REF!</v>
      </c>
      <c r="X314" s="17" t="e" cm="1">
        <f t="array" ref="X314">_xlfn.LET(_xlpm.r,_xlfn.XLOOKUP(1,MappingGuide[[#This Row],[API]:[API_3]],'[1]Squirrel SQL Export 1'!$K:$N,[1]!Table1[[#This Row],[Syndigo Name]]),IF(_xlpm.r=0,"",_xlpm.r))</f>
        <v>#REF!</v>
      </c>
      <c r="Y314" s="17"/>
      <c r="Z314" s="17" t="s">
        <v>970</v>
      </c>
      <c r="AA314" s="17"/>
      <c r="AB314" s="17"/>
      <c r="AC314" s="17" t="e" cm="1">
        <f t="array" ref="AC314">_xlfn.XLOOKUP(1,MappingGuide[[#This Row],[API]:[API_3]],'[1]Squirrel SQL Export 1'!$K:$N,[1]!Table1[[#This Row],[Doppio Notes2]])</f>
        <v>#REF!</v>
      </c>
      <c r="AD314" s="17"/>
      <c r="AE314" s="17" t="e" cm="1">
        <f t="array" ref="AE314">_xlfn.XLOOKUP(1,MappingGuide[[#This Row],[API]:[API_3]],'[1]Squirrel SQL Export 1'!$K:$N,[1]!Table1[[#This Row],[DG_required]])</f>
        <v>#REF!</v>
      </c>
      <c r="AF314" s="17"/>
      <c r="AG314" s="17"/>
      <c r="AH314" s="17" t="e" cm="1">
        <f t="array" ref="AH314">_xlfn.LET(_xlpm.r,_xlfn.XLOOKUP(1,MappingGuide[[#This Row],[API]:[API_3]],'[1]Squirrel SQL Export 1'!$K:$N,[1]!Table1[[#This Row],[Pending Items]]),IF(_xlpm.r=0,"",_xlpm.r))</f>
        <v>#REF!</v>
      </c>
      <c r="AI314" s="17" t="e" cm="1">
        <f t="array" ref="AI314">_xlfn.LET(_xlpm.r,_xlfn.XLOOKUP(1,MappingGuide[[#This Row],[API]:[API_3]],'[1]Squirrel SQL Export 1'!$K:$N,[1]!Table1[[#This Row],[Syndigo Name]]),IF(_xlpm.r=0,"",_xlpm.r))</f>
        <v>#REF!</v>
      </c>
      <c r="AJ314" s="17"/>
    </row>
    <row r="315" spans="1:36" ht="17">
      <c r="A315" s="17">
        <v>313</v>
      </c>
      <c r="B315" s="17" t="s">
        <v>1167</v>
      </c>
      <c r="C315" s="17" t="s">
        <v>1241</v>
      </c>
      <c r="D315" s="17" t="s">
        <v>972</v>
      </c>
      <c r="E315" s="17" t="s">
        <v>43</v>
      </c>
      <c r="F315" s="17" t="s">
        <v>80</v>
      </c>
      <c r="G315" s="17"/>
      <c r="H315" s="17"/>
      <c r="I315" s="17" t="s">
        <v>1172</v>
      </c>
      <c r="J315" s="17" t="s">
        <v>58</v>
      </c>
      <c r="K315" s="17"/>
      <c r="L315" s="17" t="s">
        <v>35</v>
      </c>
      <c r="M315" s="17" t="s">
        <v>73</v>
      </c>
      <c r="N315" s="17" t="s">
        <v>973</v>
      </c>
      <c r="O315" s="17"/>
      <c r="P315" s="17"/>
      <c r="Q315" s="17"/>
      <c r="R315" s="17"/>
      <c r="S315" s="17" t="e" cm="1">
        <f t="array" ref="S315">_xlfn.LET(_xlpm.r,_xlfn.XLOOKUP(1,MappingGuide[[#This Row],[API]:[API_3]],'[1]Squirrel SQL Export 1'!$K:$N,[1]!Table1[[#This Row],[Responsible from HJ]]),IF(_xlpm.r=0,"",_xlpm.r))</f>
        <v>#REF!</v>
      </c>
      <c r="T315" s="17"/>
      <c r="U315" s="17"/>
      <c r="V315" s="17" t="e" cm="1">
        <f t="array" ref="V315">_xlfn.LET(_xlpm.r,_xlfn.XLOOKUP(1,MappingGuide[[#This Row],[API]:[API_3]],'[1]Squirrel SQL Export 1'!$K:$N,[1]!Table1[[#This Row],[MDM Comments]]),IF(_xlpm.r=0,"",_xlpm.r))</f>
        <v>#REF!</v>
      </c>
      <c r="W315" s="17" t="e" cm="1">
        <f t="array" ref="W315">_xlfn.LET(_xlpm.r,_xlfn.XLOOKUP(1,MappingGuide[[#This Row],[API]:[API_3]],'[1]Squirrel SQL Export 1'!$K:$N,[1]!Table1[[#This Row],[Exists In Syndigo?]]),IF(_xlpm.r=0,"",_xlpm.r))</f>
        <v>#REF!</v>
      </c>
      <c r="X315" s="17" t="e" cm="1">
        <f t="array" ref="X315">_xlfn.LET(_xlpm.r,_xlfn.XLOOKUP(1,MappingGuide[[#This Row],[API]:[API_3]],'[1]Squirrel SQL Export 1'!$K:$N,[1]!Table1[[#This Row],[Syndigo Name]]),IF(_xlpm.r=0,"",_xlpm.r))</f>
        <v>#REF!</v>
      </c>
      <c r="Y315" s="17"/>
      <c r="Z315" s="17" t="s">
        <v>974</v>
      </c>
      <c r="AA315" s="17"/>
      <c r="AB315" s="17"/>
      <c r="AC315" s="17" t="e" cm="1">
        <f t="array" ref="AC315">_xlfn.XLOOKUP(1,MappingGuide[[#This Row],[API]:[API_3]],'[1]Squirrel SQL Export 1'!$K:$N,[1]!Table1[[#This Row],[Doppio Notes2]])</f>
        <v>#REF!</v>
      </c>
      <c r="AD315" s="17"/>
      <c r="AE315" s="17" t="e" cm="1">
        <f t="array" ref="AE315">_xlfn.XLOOKUP(1,MappingGuide[[#This Row],[API]:[API_3]],'[1]Squirrel SQL Export 1'!$K:$N,[1]!Table1[[#This Row],[DG_required]])</f>
        <v>#REF!</v>
      </c>
      <c r="AF315" s="17"/>
      <c r="AG315" s="17"/>
      <c r="AH315" s="17" t="e" cm="1">
        <f t="array" ref="AH315">_xlfn.LET(_xlpm.r,_xlfn.XLOOKUP(1,MappingGuide[[#This Row],[API]:[API_3]],'[1]Squirrel SQL Export 1'!$K:$N,[1]!Table1[[#This Row],[Pending Items]]),IF(_xlpm.r=0,"",_xlpm.r))</f>
        <v>#REF!</v>
      </c>
      <c r="AI315" s="17" t="e" cm="1">
        <f t="array" ref="AI315">_xlfn.LET(_xlpm.r,_xlfn.XLOOKUP(1,MappingGuide[[#This Row],[API]:[API_3]],'[1]Squirrel SQL Export 1'!$K:$N,[1]!Table1[[#This Row],[Syndigo Name]]),IF(_xlpm.r=0,"",_xlpm.r))</f>
        <v>#REF!</v>
      </c>
      <c r="AJ315" s="17"/>
    </row>
    <row r="316" spans="1:36" ht="17">
      <c r="A316" s="17">
        <v>314</v>
      </c>
      <c r="B316" s="17" t="s">
        <v>1167</v>
      </c>
      <c r="C316" s="17" t="s">
        <v>1242</v>
      </c>
      <c r="D316" s="17" t="s">
        <v>976</v>
      </c>
      <c r="E316" s="17" t="s">
        <v>33</v>
      </c>
      <c r="F316" s="17" t="s">
        <v>63</v>
      </c>
      <c r="G316" s="17"/>
      <c r="H316" s="17"/>
      <c r="I316" s="17" t="s">
        <v>1172</v>
      </c>
      <c r="J316" s="17" t="s">
        <v>58</v>
      </c>
      <c r="K316" s="17"/>
      <c r="L316" s="17" t="s">
        <v>35</v>
      </c>
      <c r="M316" s="17" t="s">
        <v>1169</v>
      </c>
      <c r="N316" s="17" t="s">
        <v>977</v>
      </c>
      <c r="O316" s="17"/>
      <c r="P316" s="17"/>
      <c r="Q316" s="17"/>
      <c r="R316" s="17"/>
      <c r="S316" s="17" t="e" cm="1">
        <f t="array" ref="S316">_xlfn.LET(_xlpm.r,_xlfn.XLOOKUP(1,MappingGuide[[#This Row],[API]:[API_3]],'[1]Squirrel SQL Export 1'!$K:$N,[1]!Table1[[#This Row],[Responsible from HJ]]),IF(_xlpm.r=0,"",_xlpm.r))</f>
        <v>#REF!</v>
      </c>
      <c r="T316" s="17"/>
      <c r="U316" s="17"/>
      <c r="V316" s="17" t="e" cm="1">
        <f t="array" ref="V316">_xlfn.LET(_xlpm.r,_xlfn.XLOOKUP(1,MappingGuide[[#This Row],[API]:[API_3]],'[1]Squirrel SQL Export 1'!$K:$N,[1]!Table1[[#This Row],[MDM Comments]]),IF(_xlpm.r=0,"",_xlpm.r))</f>
        <v>#REF!</v>
      </c>
      <c r="W316" s="17" t="e" cm="1">
        <f t="array" ref="W316">_xlfn.LET(_xlpm.r,_xlfn.XLOOKUP(1,MappingGuide[[#This Row],[API]:[API_3]],'[1]Squirrel SQL Export 1'!$K:$N,[1]!Table1[[#This Row],[Exists In Syndigo?]]),IF(_xlpm.r=0,"",_xlpm.r))</f>
        <v>#REF!</v>
      </c>
      <c r="X316" s="17" t="e" cm="1">
        <f t="array" ref="X316">_xlfn.LET(_xlpm.r,_xlfn.XLOOKUP(1,MappingGuide[[#This Row],[API]:[API_3]],'[1]Squirrel SQL Export 1'!$K:$N,[1]!Table1[[#This Row],[Syndigo Name]]),IF(_xlpm.r=0,"",_xlpm.r))</f>
        <v>#REF!</v>
      </c>
      <c r="Y316" s="17"/>
      <c r="Z316" s="17" t="s">
        <v>980</v>
      </c>
      <c r="AA316" s="17"/>
      <c r="AB316" s="17"/>
      <c r="AC316" s="17" t="e" cm="1">
        <f t="array" ref="AC316">_xlfn.XLOOKUP(1,MappingGuide[[#This Row],[API]:[API_3]],'[1]Squirrel SQL Export 1'!$K:$N,[1]!Table1[[#This Row],[Doppio Notes2]])</f>
        <v>#REF!</v>
      </c>
      <c r="AD316" s="17"/>
      <c r="AE316" s="17" t="e" cm="1">
        <f t="array" ref="AE316">_xlfn.XLOOKUP(1,MappingGuide[[#This Row],[API]:[API_3]],'[1]Squirrel SQL Export 1'!$K:$N,[1]!Table1[[#This Row],[DG_required]])</f>
        <v>#REF!</v>
      </c>
      <c r="AF316" s="17"/>
      <c r="AG316" s="17"/>
      <c r="AH316" s="17" t="e" cm="1">
        <f t="array" ref="AH316">_xlfn.LET(_xlpm.r,_xlfn.XLOOKUP(1,MappingGuide[[#This Row],[API]:[API_3]],'[1]Squirrel SQL Export 1'!$K:$N,[1]!Table1[[#This Row],[Pending Items]]),IF(_xlpm.r=0,"",_xlpm.r))</f>
        <v>#REF!</v>
      </c>
      <c r="AI316" s="17" t="e" cm="1">
        <f t="array" ref="AI316">_xlfn.LET(_xlpm.r,_xlfn.XLOOKUP(1,MappingGuide[[#This Row],[API]:[API_3]],'[1]Squirrel SQL Export 1'!$K:$N,[1]!Table1[[#This Row],[Syndigo Name]]),IF(_xlpm.r=0,"",_xlpm.r))</f>
        <v>#REF!</v>
      </c>
      <c r="AJ316" s="17"/>
    </row>
    <row r="317" spans="1:36" ht="18">
      <c r="A317" s="17">
        <v>315</v>
      </c>
      <c r="B317" s="17" t="s">
        <v>1167</v>
      </c>
      <c r="C317" s="17" t="s">
        <v>1243</v>
      </c>
      <c r="D317" s="17" t="s">
        <v>1244</v>
      </c>
      <c r="E317" s="17" t="s">
        <v>33</v>
      </c>
      <c r="F317" s="17" t="s">
        <v>341</v>
      </c>
      <c r="G317" s="17"/>
      <c r="H317" s="17"/>
      <c r="I317" s="17" t="s">
        <v>1172</v>
      </c>
      <c r="J317" s="17" t="s">
        <v>58</v>
      </c>
      <c r="K317" s="17"/>
      <c r="L317" s="17"/>
      <c r="M317" s="17"/>
      <c r="N317" s="17" t="s">
        <v>1245</v>
      </c>
      <c r="O317" s="17"/>
      <c r="P317" s="17"/>
      <c r="Q317" s="17"/>
      <c r="R317" s="17"/>
      <c r="S317" s="17" t="e" cm="1">
        <f t="array" ref="S317">_xlfn.LET(_xlpm.r,_xlfn.XLOOKUP(1,MappingGuide[[#This Row],[API]:[API_3]],'[1]Squirrel SQL Export 1'!$K:$N,[1]!Table1[[#This Row],[Responsible from HJ]]),IF(_xlpm.r=0,"",_xlpm.r))</f>
        <v>#REF!</v>
      </c>
      <c r="T317" s="17"/>
      <c r="U317" s="17"/>
      <c r="V317" s="17" t="e" cm="1">
        <f t="array" ref="V317">_xlfn.LET(_xlpm.r,_xlfn.XLOOKUP(1,MappingGuide[[#This Row],[API]:[API_3]],'[1]Squirrel SQL Export 1'!$K:$N,[1]!Table1[[#This Row],[MDM Comments]]),IF(_xlpm.r=0,"",_xlpm.r))</f>
        <v>#REF!</v>
      </c>
      <c r="W317" s="17" t="e" cm="1">
        <f t="array" ref="W317">_xlfn.LET(_xlpm.r,_xlfn.XLOOKUP(1,MappingGuide[[#This Row],[API]:[API_3]],'[1]Squirrel SQL Export 1'!$K:$N,[1]!Table1[[#This Row],[Exists In Syndigo?]]),IF(_xlpm.r=0,"",_xlpm.r))</f>
        <v>#REF!</v>
      </c>
      <c r="X317" s="17" t="e" cm="1">
        <f t="array" ref="X317">_xlfn.LET(_xlpm.r,_xlfn.XLOOKUP(1,MappingGuide[[#This Row],[API]:[API_3]],'[1]Squirrel SQL Export 1'!$K:$N,[1]!Table1[[#This Row],[Syndigo Name]]),IF(_xlpm.r=0,"",_xlpm.r))</f>
        <v>#REF!</v>
      </c>
      <c r="Y317" s="17"/>
      <c r="Z317" s="17" t="s">
        <v>1246</v>
      </c>
      <c r="AA317" s="17"/>
      <c r="AB317" s="17"/>
      <c r="AC317" s="17" t="e" cm="1">
        <f t="array" ref="AC317">_xlfn.XLOOKUP(1,MappingGuide[[#This Row],[API]:[API_3]],'[1]Squirrel SQL Export 1'!$K:$N,[1]!Table1[[#This Row],[Doppio Notes2]])</f>
        <v>#REF!</v>
      </c>
      <c r="AD317" s="17"/>
      <c r="AE317" s="17" t="e" cm="1">
        <f t="array" ref="AE317">_xlfn.XLOOKUP(1,MappingGuide[[#This Row],[API]:[API_3]],'[1]Squirrel SQL Export 1'!$K:$N,[1]!Table1[[#This Row],[DG_required]])</f>
        <v>#REF!</v>
      </c>
      <c r="AF317" s="17"/>
      <c r="AG317" s="17"/>
      <c r="AH317" s="18" t="e" cm="1">
        <f t="array" ref="AH317">_xlfn.LET(_xlpm.r,_xlfn.XLOOKUP(1,MappingGuide[[#This Row],[API]:[API_3]],'[1]Squirrel SQL Export 1'!$K:$N,[1]!Table1[[#This Row],[Pending Items]]),IF(_xlpm.r=0,"",_xlpm.r))</f>
        <v>#REF!</v>
      </c>
      <c r="AI317" s="17" t="e" cm="1">
        <f t="array" ref="AI317">_xlfn.LET(_xlpm.r,_xlfn.XLOOKUP(1,MappingGuide[[#This Row],[API]:[API_3]],'[1]Squirrel SQL Export 1'!$K:$N,[1]!Table1[[#This Row],[Syndigo Name]]),IF(_xlpm.r=0,"",_xlpm.r))</f>
        <v>#REF!</v>
      </c>
      <c r="AJ317" s="17"/>
    </row>
    <row r="318" spans="1:36" ht="17">
      <c r="A318" s="17">
        <v>316</v>
      </c>
      <c r="B318" s="17" t="s">
        <v>1167</v>
      </c>
      <c r="C318" s="17" t="s">
        <v>1247</v>
      </c>
      <c r="D318" s="17" t="s">
        <v>982</v>
      </c>
      <c r="E318" s="17" t="s">
        <v>33</v>
      </c>
      <c r="F318" s="17" t="s">
        <v>118</v>
      </c>
      <c r="G318" s="17"/>
      <c r="H318" s="17"/>
      <c r="I318" s="17" t="s">
        <v>1172</v>
      </c>
      <c r="J318" s="17" t="s">
        <v>58</v>
      </c>
      <c r="K318" s="17"/>
      <c r="L318" s="17" t="s">
        <v>35</v>
      </c>
      <c r="M318" s="17" t="s">
        <v>1169</v>
      </c>
      <c r="N318" s="17" t="s">
        <v>983</v>
      </c>
      <c r="O318" s="17"/>
      <c r="P318" s="17"/>
      <c r="Q318" s="17"/>
      <c r="R318" s="17"/>
      <c r="S318" s="17" t="e" cm="1">
        <f t="array" ref="S318">_xlfn.LET(_xlpm.r,_xlfn.XLOOKUP(1,MappingGuide[[#This Row],[API]:[API_3]],'[1]Squirrel SQL Export 1'!$K:$N,[1]!Table1[[#This Row],[Responsible from HJ]]),IF(_xlpm.r=0,"",_xlpm.r))</f>
        <v>#REF!</v>
      </c>
      <c r="T318" s="17"/>
      <c r="U318" s="17"/>
      <c r="V318" s="17" t="e" cm="1">
        <f t="array" ref="V318">_xlfn.LET(_xlpm.r,_xlfn.XLOOKUP(1,MappingGuide[[#This Row],[API]:[API_3]],'[1]Squirrel SQL Export 1'!$K:$N,[1]!Table1[[#This Row],[MDM Comments]]),IF(_xlpm.r=0,"",_xlpm.r))</f>
        <v>#REF!</v>
      </c>
      <c r="W318" s="17" t="e" cm="1">
        <f t="array" ref="W318">_xlfn.LET(_xlpm.r,_xlfn.XLOOKUP(1,MappingGuide[[#This Row],[API]:[API_3]],'[1]Squirrel SQL Export 1'!$K:$N,[1]!Table1[[#This Row],[Exists In Syndigo?]]),IF(_xlpm.r=0,"",_xlpm.r))</f>
        <v>#REF!</v>
      </c>
      <c r="X318" s="17" t="e" cm="1">
        <f t="array" ref="X318">_xlfn.LET(_xlpm.r,_xlfn.XLOOKUP(1,MappingGuide[[#This Row],[API]:[API_3]],'[1]Squirrel SQL Export 1'!$K:$N,[1]!Table1[[#This Row],[Syndigo Name]]),IF(_xlpm.r=0,"",_xlpm.r))</f>
        <v>#REF!</v>
      </c>
      <c r="Y318" s="17"/>
      <c r="Z318" s="17" t="s">
        <v>984</v>
      </c>
      <c r="AA318" s="17"/>
      <c r="AB318" s="17"/>
      <c r="AC318" s="17" t="e" cm="1">
        <f t="array" ref="AC318">_xlfn.XLOOKUP(1,MappingGuide[[#This Row],[API]:[API_3]],'[1]Squirrel SQL Export 1'!$K:$N,[1]!Table1[[#This Row],[Doppio Notes2]])</f>
        <v>#REF!</v>
      </c>
      <c r="AD318" s="17"/>
      <c r="AE318" s="17" t="e" cm="1">
        <f t="array" ref="AE318">_xlfn.XLOOKUP(1,MappingGuide[[#This Row],[API]:[API_3]],'[1]Squirrel SQL Export 1'!$K:$N,[1]!Table1[[#This Row],[DG_required]])</f>
        <v>#REF!</v>
      </c>
      <c r="AF318" s="17"/>
      <c r="AG318" s="17"/>
      <c r="AH318" s="17" t="e" cm="1">
        <f t="array" ref="AH318">_xlfn.LET(_xlpm.r,_xlfn.XLOOKUP(1,MappingGuide[[#This Row],[API]:[API_3]],'[1]Squirrel SQL Export 1'!$K:$N,[1]!Table1[[#This Row],[Pending Items]]),IF(_xlpm.r=0,"",_xlpm.r))</f>
        <v>#REF!</v>
      </c>
      <c r="AI318" s="17" t="e" cm="1">
        <f t="array" ref="AI318">_xlfn.LET(_xlpm.r,_xlfn.XLOOKUP(1,MappingGuide[[#This Row],[API]:[API_3]],'[1]Squirrel SQL Export 1'!$K:$N,[1]!Table1[[#This Row],[Syndigo Name]]),IF(_xlpm.r=0,"",_xlpm.r))</f>
        <v>#REF!</v>
      </c>
      <c r="AJ318" s="17"/>
    </row>
    <row r="319" spans="1:36" ht="17">
      <c r="A319" s="17">
        <v>317</v>
      </c>
      <c r="B319" s="17" t="s">
        <v>1167</v>
      </c>
      <c r="C319" s="17" t="s">
        <v>1248</v>
      </c>
      <c r="D319" s="17" t="s">
        <v>667</v>
      </c>
      <c r="E319" s="17" t="s">
        <v>43</v>
      </c>
      <c r="F319" s="17" t="s">
        <v>668</v>
      </c>
      <c r="G319" s="17"/>
      <c r="H319" s="17"/>
      <c r="I319" s="17"/>
      <c r="J319" s="17"/>
      <c r="K319" s="17"/>
      <c r="L319" s="17"/>
      <c r="M319" s="17"/>
      <c r="N319" s="17" t="s">
        <v>669</v>
      </c>
      <c r="O319" s="17"/>
      <c r="P319" s="17"/>
      <c r="Q319" s="17"/>
      <c r="R319" s="17"/>
      <c r="S319" s="17" t="e" cm="1">
        <f t="array" ref="S319">_xlfn.LET(_xlpm.r,_xlfn.XLOOKUP(1,MappingGuide[[#This Row],[API]:[API_3]],'[1]Squirrel SQL Export 1'!$K:$N,[1]!Table1[[#This Row],[Responsible from HJ]]),IF(_xlpm.r=0,"",_xlpm.r))</f>
        <v>#REF!</v>
      </c>
      <c r="T319" s="17"/>
      <c r="U319" s="17"/>
      <c r="V319" s="17" t="e" cm="1">
        <f t="array" ref="V319">_xlfn.LET(_xlpm.r,_xlfn.XLOOKUP(1,MappingGuide[[#This Row],[API]:[API_3]],'[1]Squirrel SQL Export 1'!$K:$N,[1]!Table1[[#This Row],[MDM Comments]]),IF(_xlpm.r=0,"",_xlpm.r))</f>
        <v>#REF!</v>
      </c>
      <c r="W319" s="17" t="e" cm="1">
        <f t="array" ref="W319">_xlfn.LET(_xlpm.r,_xlfn.XLOOKUP(1,MappingGuide[[#This Row],[API]:[API_3]],'[1]Squirrel SQL Export 1'!$K:$N,[1]!Table1[[#This Row],[Exists In Syndigo?]]),IF(_xlpm.r=0,"",_xlpm.r))</f>
        <v>#REF!</v>
      </c>
      <c r="X319" s="17" t="e" cm="1">
        <f t="array" ref="X319">_xlfn.LET(_xlpm.r,_xlfn.XLOOKUP(1,MappingGuide[[#This Row],[API]:[API_3]],'[1]Squirrel SQL Export 1'!$K:$N,[1]!Table1[[#This Row],[Syndigo Name]]),IF(_xlpm.r=0,"",_xlpm.r))</f>
        <v>#REF!</v>
      </c>
      <c r="Y319" s="17"/>
      <c r="Z319" s="17" t="s">
        <v>670</v>
      </c>
      <c r="AA319" s="17"/>
      <c r="AB319" s="17"/>
      <c r="AC319" s="17" t="e" cm="1">
        <f t="array" ref="AC319">_xlfn.XLOOKUP(1,MappingGuide[[#This Row],[API]:[API_3]],'[1]Squirrel SQL Export 1'!$K:$N,[1]!Table1[[#This Row],[Doppio Notes2]])</f>
        <v>#REF!</v>
      </c>
      <c r="AD319" s="17"/>
      <c r="AE319" s="17" t="e" cm="1">
        <f t="array" ref="AE319">_xlfn.XLOOKUP(1,MappingGuide[[#This Row],[API]:[API_3]],'[1]Squirrel SQL Export 1'!$K:$N,[1]!Table1[[#This Row],[DG_required]])</f>
        <v>#REF!</v>
      </c>
      <c r="AF319" s="17"/>
      <c r="AG319" s="17"/>
      <c r="AH319" s="17" t="e" cm="1">
        <f t="array" ref="AH319">_xlfn.LET(_xlpm.r,_xlfn.XLOOKUP(1,MappingGuide[[#This Row],[API]:[API_3]],'[1]Squirrel SQL Export 1'!$K:$N,[1]!Table1[[#This Row],[Pending Items]]),IF(_xlpm.r=0,"",_xlpm.r))</f>
        <v>#REF!</v>
      </c>
      <c r="AI319" s="17" t="e" cm="1">
        <f t="array" ref="AI319">_xlfn.LET(_xlpm.r,_xlfn.XLOOKUP(1,MappingGuide[[#This Row],[API]:[API_3]],'[1]Squirrel SQL Export 1'!$K:$N,[1]!Table1[[#This Row],[Syndigo Name]]),IF(_xlpm.r=0,"",_xlpm.r))</f>
        <v>#REF!</v>
      </c>
      <c r="AJ319" s="17"/>
    </row>
    <row r="320" spans="1:36" ht="17">
      <c r="A320" s="17">
        <v>318</v>
      </c>
      <c r="B320" s="17" t="s">
        <v>1167</v>
      </c>
      <c r="C320" s="17" t="s">
        <v>1249</v>
      </c>
      <c r="D320" s="17" t="s">
        <v>989</v>
      </c>
      <c r="E320" s="17" t="s">
        <v>43</v>
      </c>
      <c r="F320" s="17" t="s">
        <v>373</v>
      </c>
      <c r="G320" s="17"/>
      <c r="H320" s="17"/>
      <c r="I320" s="17"/>
      <c r="J320" s="17"/>
      <c r="K320" s="17"/>
      <c r="L320" s="17"/>
      <c r="M320" s="17"/>
      <c r="N320" s="17" t="s">
        <v>990</v>
      </c>
      <c r="O320" s="17"/>
      <c r="P320" s="17"/>
      <c r="Q320" s="17"/>
      <c r="R320" s="17"/>
      <c r="S320" s="17" t="e" cm="1">
        <f t="array" ref="S320">_xlfn.LET(_xlpm.r,_xlfn.XLOOKUP(1,MappingGuide[[#This Row],[API]:[API_3]],'[1]Squirrel SQL Export 1'!$K:$N,[1]!Table1[[#This Row],[Responsible from HJ]]),IF(_xlpm.r=0,"",_xlpm.r))</f>
        <v>#REF!</v>
      </c>
      <c r="T320" s="17"/>
      <c r="U320" s="17"/>
      <c r="V320" s="17" t="e" cm="1">
        <f t="array" ref="V320">_xlfn.LET(_xlpm.r,_xlfn.XLOOKUP(1,MappingGuide[[#This Row],[API]:[API_3]],'[1]Squirrel SQL Export 1'!$K:$N,[1]!Table1[[#This Row],[MDM Comments]]),IF(_xlpm.r=0,"",_xlpm.r))</f>
        <v>#REF!</v>
      </c>
      <c r="W320" s="17" t="e" cm="1">
        <f t="array" ref="W320">_xlfn.LET(_xlpm.r,_xlfn.XLOOKUP(1,MappingGuide[[#This Row],[API]:[API_3]],'[1]Squirrel SQL Export 1'!$K:$N,[1]!Table1[[#This Row],[Exists In Syndigo?]]),IF(_xlpm.r=0,"",_xlpm.r))</f>
        <v>#REF!</v>
      </c>
      <c r="X320" s="17" t="e" cm="1">
        <f t="array" ref="X320">_xlfn.LET(_xlpm.r,_xlfn.XLOOKUP(1,MappingGuide[[#This Row],[API]:[API_3]],'[1]Squirrel SQL Export 1'!$K:$N,[1]!Table1[[#This Row],[Syndigo Name]]),IF(_xlpm.r=0,"",_xlpm.r))</f>
        <v>#REF!</v>
      </c>
      <c r="Y320" s="17"/>
      <c r="Z320" s="17" t="s">
        <v>991</v>
      </c>
      <c r="AA320" s="17"/>
      <c r="AB320" s="17"/>
      <c r="AC320" s="17" t="e" cm="1">
        <f t="array" ref="AC320">_xlfn.XLOOKUP(1,MappingGuide[[#This Row],[API]:[API_3]],'[1]Squirrel SQL Export 1'!$K:$N,[1]!Table1[[#This Row],[Doppio Notes2]])</f>
        <v>#REF!</v>
      </c>
      <c r="AD320" s="17"/>
      <c r="AE320" s="17" t="e" cm="1">
        <f t="array" ref="AE320">_xlfn.XLOOKUP(1,MappingGuide[[#This Row],[API]:[API_3]],'[1]Squirrel SQL Export 1'!$K:$N,[1]!Table1[[#This Row],[DG_required]])</f>
        <v>#REF!</v>
      </c>
      <c r="AF320" s="17"/>
      <c r="AG320" s="17"/>
      <c r="AH320" s="17" t="e" cm="1">
        <f t="array" ref="AH320">_xlfn.LET(_xlpm.r,_xlfn.XLOOKUP(1,MappingGuide[[#This Row],[API]:[API_3]],'[1]Squirrel SQL Export 1'!$K:$N,[1]!Table1[[#This Row],[Pending Items]]),IF(_xlpm.r=0,"",_xlpm.r))</f>
        <v>#REF!</v>
      </c>
      <c r="AI320" s="17" t="e" cm="1">
        <f t="array" ref="AI320">_xlfn.LET(_xlpm.r,_xlfn.XLOOKUP(1,MappingGuide[[#This Row],[API]:[API_3]],'[1]Squirrel SQL Export 1'!$K:$N,[1]!Table1[[#This Row],[Syndigo Name]]),IF(_xlpm.r=0,"",_xlpm.r))</f>
        <v>#REF!</v>
      </c>
      <c r="AJ320" s="17"/>
    </row>
    <row r="321" spans="1:36" ht="17">
      <c r="A321" s="17">
        <v>319</v>
      </c>
      <c r="B321" s="17" t="s">
        <v>1167</v>
      </c>
      <c r="C321" s="17" t="s">
        <v>1250</v>
      </c>
      <c r="D321" s="17" t="s">
        <v>993</v>
      </c>
      <c r="E321" s="17" t="s">
        <v>43</v>
      </c>
      <c r="F321" s="17" t="s">
        <v>118</v>
      </c>
      <c r="G321" s="17"/>
      <c r="H321" s="17"/>
      <c r="I321" s="17"/>
      <c r="J321" s="17"/>
      <c r="K321" s="17"/>
      <c r="L321" s="17"/>
      <c r="M321" s="17"/>
      <c r="N321" s="17" t="s">
        <v>994</v>
      </c>
      <c r="O321" s="17"/>
      <c r="P321" s="17"/>
      <c r="Q321" s="17"/>
      <c r="R321" s="17"/>
      <c r="S321" s="17" t="e" cm="1">
        <f t="array" ref="S321">_xlfn.LET(_xlpm.r,_xlfn.XLOOKUP(1,MappingGuide[[#This Row],[API]:[API_3]],'[1]Squirrel SQL Export 1'!$K:$N,[1]!Table1[[#This Row],[Responsible from HJ]]),IF(_xlpm.r=0,"",_xlpm.r))</f>
        <v>#REF!</v>
      </c>
      <c r="T321" s="17"/>
      <c r="U321" s="17"/>
      <c r="V321" s="17" t="e" cm="1">
        <f t="array" ref="V321">_xlfn.LET(_xlpm.r,_xlfn.XLOOKUP(1,MappingGuide[[#This Row],[API]:[API_3]],'[1]Squirrel SQL Export 1'!$K:$N,[1]!Table1[[#This Row],[MDM Comments]]),IF(_xlpm.r=0,"",_xlpm.r))</f>
        <v>#REF!</v>
      </c>
      <c r="W321" s="17" t="e" cm="1">
        <f t="array" ref="W321">_xlfn.LET(_xlpm.r,_xlfn.XLOOKUP(1,MappingGuide[[#This Row],[API]:[API_3]],'[1]Squirrel SQL Export 1'!$K:$N,[1]!Table1[[#This Row],[Exists In Syndigo?]]),IF(_xlpm.r=0,"",_xlpm.r))</f>
        <v>#REF!</v>
      </c>
      <c r="X321" s="17" t="e" cm="1">
        <f t="array" ref="X321">_xlfn.LET(_xlpm.r,_xlfn.XLOOKUP(1,MappingGuide[[#This Row],[API]:[API_3]],'[1]Squirrel SQL Export 1'!$K:$N,[1]!Table1[[#This Row],[Syndigo Name]]),IF(_xlpm.r=0,"",_xlpm.r))</f>
        <v>#REF!</v>
      </c>
      <c r="Y321" s="17"/>
      <c r="Z321" s="17" t="s">
        <v>995</v>
      </c>
      <c r="AA321" s="17"/>
      <c r="AB321" s="17"/>
      <c r="AC321" s="17" t="e" cm="1">
        <f t="array" ref="AC321">_xlfn.XLOOKUP(1,MappingGuide[[#This Row],[API]:[API_3]],'[1]Squirrel SQL Export 1'!$K:$N,[1]!Table1[[#This Row],[Doppio Notes2]])</f>
        <v>#REF!</v>
      </c>
      <c r="AD321" s="17"/>
      <c r="AE321" s="17" t="e" cm="1">
        <f t="array" ref="AE321">_xlfn.XLOOKUP(1,MappingGuide[[#This Row],[API]:[API_3]],'[1]Squirrel SQL Export 1'!$K:$N,[1]!Table1[[#This Row],[DG_required]])</f>
        <v>#REF!</v>
      </c>
      <c r="AF321" s="17"/>
      <c r="AG321" s="17"/>
      <c r="AH321" s="17" t="e" cm="1">
        <f t="array" ref="AH321">_xlfn.LET(_xlpm.r,_xlfn.XLOOKUP(1,MappingGuide[[#This Row],[API]:[API_3]],'[1]Squirrel SQL Export 1'!$K:$N,[1]!Table1[[#This Row],[Pending Items]]),IF(_xlpm.r=0,"",_xlpm.r))</f>
        <v>#REF!</v>
      </c>
      <c r="AI321" s="17" t="e" cm="1">
        <f t="array" ref="AI321">_xlfn.LET(_xlpm.r,_xlfn.XLOOKUP(1,MappingGuide[[#This Row],[API]:[API_3]],'[1]Squirrel SQL Export 1'!$K:$N,[1]!Table1[[#This Row],[Syndigo Name]]),IF(_xlpm.r=0,"",_xlpm.r))</f>
        <v>#REF!</v>
      </c>
      <c r="AJ321" s="17"/>
    </row>
    <row r="322" spans="1:36" ht="17">
      <c r="A322" s="17">
        <v>320</v>
      </c>
      <c r="B322" s="17" t="s">
        <v>1167</v>
      </c>
      <c r="C322" s="17" t="s">
        <v>1251</v>
      </c>
      <c r="D322" s="17" t="s">
        <v>997</v>
      </c>
      <c r="E322" s="17" t="s">
        <v>43</v>
      </c>
      <c r="F322" s="17" t="s">
        <v>373</v>
      </c>
      <c r="G322" s="17"/>
      <c r="H322" s="17"/>
      <c r="I322" s="17"/>
      <c r="J322" s="17"/>
      <c r="K322" s="17"/>
      <c r="L322" s="17"/>
      <c r="M322" s="17"/>
      <c r="N322" s="17" t="s">
        <v>998</v>
      </c>
      <c r="O322" s="17"/>
      <c r="P322" s="17"/>
      <c r="Q322" s="17"/>
      <c r="R322" s="17"/>
      <c r="S322" s="17" t="e" cm="1">
        <f t="array" ref="S322">_xlfn.LET(_xlpm.r,_xlfn.XLOOKUP(1,MappingGuide[[#This Row],[API]:[API_3]],'[1]Squirrel SQL Export 1'!$K:$N,[1]!Table1[[#This Row],[Responsible from HJ]]),IF(_xlpm.r=0,"",_xlpm.r))</f>
        <v>#REF!</v>
      </c>
      <c r="T322" s="17"/>
      <c r="U322" s="17"/>
      <c r="V322" s="17" t="e" cm="1">
        <f t="array" ref="V322">_xlfn.LET(_xlpm.r,_xlfn.XLOOKUP(1,MappingGuide[[#This Row],[API]:[API_3]],'[1]Squirrel SQL Export 1'!$K:$N,[1]!Table1[[#This Row],[MDM Comments]]),IF(_xlpm.r=0,"",_xlpm.r))</f>
        <v>#REF!</v>
      </c>
      <c r="W322" s="17" t="e" cm="1">
        <f t="array" ref="W322">_xlfn.LET(_xlpm.r,_xlfn.XLOOKUP(1,MappingGuide[[#This Row],[API]:[API_3]],'[1]Squirrel SQL Export 1'!$K:$N,[1]!Table1[[#This Row],[Exists In Syndigo?]]),IF(_xlpm.r=0,"",_xlpm.r))</f>
        <v>#REF!</v>
      </c>
      <c r="X322" s="17" t="e" cm="1">
        <f t="array" ref="X322">_xlfn.LET(_xlpm.r,_xlfn.XLOOKUP(1,MappingGuide[[#This Row],[API]:[API_3]],'[1]Squirrel SQL Export 1'!$K:$N,[1]!Table1[[#This Row],[Syndigo Name]]),IF(_xlpm.r=0,"",_xlpm.r))</f>
        <v>#REF!</v>
      </c>
      <c r="Y322" s="17"/>
      <c r="Z322" s="17" t="s">
        <v>999</v>
      </c>
      <c r="AA322" s="17"/>
      <c r="AB322" s="17"/>
      <c r="AC322" s="17" t="e" cm="1">
        <f t="array" ref="AC322">_xlfn.XLOOKUP(1,MappingGuide[[#This Row],[API]:[API_3]],'[1]Squirrel SQL Export 1'!$K:$N,[1]!Table1[[#This Row],[Doppio Notes2]])</f>
        <v>#REF!</v>
      </c>
      <c r="AD322" s="17"/>
      <c r="AE322" s="17" t="e" cm="1">
        <f t="array" ref="AE322">_xlfn.XLOOKUP(1,MappingGuide[[#This Row],[API]:[API_3]],'[1]Squirrel SQL Export 1'!$K:$N,[1]!Table1[[#This Row],[DG_required]])</f>
        <v>#REF!</v>
      </c>
      <c r="AF322" s="17"/>
      <c r="AG322" s="17"/>
      <c r="AH322" s="17" t="e" cm="1">
        <f t="array" ref="AH322">_xlfn.LET(_xlpm.r,_xlfn.XLOOKUP(1,MappingGuide[[#This Row],[API]:[API_3]],'[1]Squirrel SQL Export 1'!$K:$N,[1]!Table1[[#This Row],[Pending Items]]),IF(_xlpm.r=0,"",_xlpm.r))</f>
        <v>#REF!</v>
      </c>
      <c r="AI322" s="17" t="e" cm="1">
        <f t="array" ref="AI322">_xlfn.LET(_xlpm.r,_xlfn.XLOOKUP(1,MappingGuide[[#This Row],[API]:[API_3]],'[1]Squirrel SQL Export 1'!$K:$N,[1]!Table1[[#This Row],[Syndigo Name]]),IF(_xlpm.r=0,"",_xlpm.r))</f>
        <v>#REF!</v>
      </c>
      <c r="AJ322" s="17"/>
    </row>
    <row r="323" spans="1:36" ht="17">
      <c r="A323" s="17">
        <v>321</v>
      </c>
      <c r="B323" s="17" t="s">
        <v>1167</v>
      </c>
      <c r="C323" s="17" t="s">
        <v>1252</v>
      </c>
      <c r="D323" s="17" t="s">
        <v>1001</v>
      </c>
      <c r="E323" s="17" t="s">
        <v>43</v>
      </c>
      <c r="F323" s="17" t="s">
        <v>44</v>
      </c>
      <c r="G323" s="17"/>
      <c r="H323" s="17"/>
      <c r="I323" s="17"/>
      <c r="J323" s="17"/>
      <c r="K323" s="17"/>
      <c r="L323" s="17"/>
      <c r="M323" s="17"/>
      <c r="N323" s="17" t="s">
        <v>1002</v>
      </c>
      <c r="O323" s="17"/>
      <c r="P323" s="17"/>
      <c r="Q323" s="17"/>
      <c r="R323" s="17"/>
      <c r="S323" s="17" t="e" cm="1">
        <f t="array" ref="S323">_xlfn.LET(_xlpm.r,_xlfn.XLOOKUP(1,MappingGuide[[#This Row],[API]:[API_3]],'[1]Squirrel SQL Export 1'!$K:$N,[1]!Table1[[#This Row],[Responsible from HJ]]),IF(_xlpm.r=0,"",_xlpm.r))</f>
        <v>#REF!</v>
      </c>
      <c r="T323" s="17"/>
      <c r="U323" s="17"/>
      <c r="V323" s="17" t="e" cm="1">
        <f t="array" ref="V323">_xlfn.LET(_xlpm.r,_xlfn.XLOOKUP(1,MappingGuide[[#This Row],[API]:[API_3]],'[1]Squirrel SQL Export 1'!$K:$N,[1]!Table1[[#This Row],[MDM Comments]]),IF(_xlpm.r=0,"",_xlpm.r))</f>
        <v>#REF!</v>
      </c>
      <c r="W323" s="17" t="e" cm="1">
        <f t="array" ref="W323">_xlfn.LET(_xlpm.r,_xlfn.XLOOKUP(1,MappingGuide[[#This Row],[API]:[API_3]],'[1]Squirrel SQL Export 1'!$K:$N,[1]!Table1[[#This Row],[Exists In Syndigo?]]),IF(_xlpm.r=0,"",_xlpm.r))</f>
        <v>#REF!</v>
      </c>
      <c r="X323" s="17" t="e" cm="1">
        <f t="array" ref="X323">_xlfn.LET(_xlpm.r,_xlfn.XLOOKUP(1,MappingGuide[[#This Row],[API]:[API_3]],'[1]Squirrel SQL Export 1'!$K:$N,[1]!Table1[[#This Row],[Syndigo Name]]),IF(_xlpm.r=0,"",_xlpm.r))</f>
        <v>#REF!</v>
      </c>
      <c r="Y323" s="17"/>
      <c r="Z323" s="17" t="s">
        <v>1003</v>
      </c>
      <c r="AA323" s="17"/>
      <c r="AB323" s="17"/>
      <c r="AC323" s="17" t="e" cm="1">
        <f t="array" ref="AC323">_xlfn.XLOOKUP(1,MappingGuide[[#This Row],[API]:[API_3]],'[1]Squirrel SQL Export 1'!$K:$N,[1]!Table1[[#This Row],[Doppio Notes2]])</f>
        <v>#REF!</v>
      </c>
      <c r="AD323" s="17"/>
      <c r="AE323" s="17" t="e" cm="1">
        <f t="array" ref="AE323">_xlfn.XLOOKUP(1,MappingGuide[[#This Row],[API]:[API_3]],'[1]Squirrel SQL Export 1'!$K:$N,[1]!Table1[[#This Row],[DG_required]])</f>
        <v>#REF!</v>
      </c>
      <c r="AF323" s="17"/>
      <c r="AG323" s="17"/>
      <c r="AH323" s="17" t="e" cm="1">
        <f t="array" ref="AH323">_xlfn.LET(_xlpm.r,_xlfn.XLOOKUP(1,MappingGuide[[#This Row],[API]:[API_3]],'[1]Squirrel SQL Export 1'!$K:$N,[1]!Table1[[#This Row],[Pending Items]]),IF(_xlpm.r=0,"",_xlpm.r))</f>
        <v>#REF!</v>
      </c>
      <c r="AI323" s="17" t="e" cm="1">
        <f t="array" ref="AI323">_xlfn.LET(_xlpm.r,_xlfn.XLOOKUP(1,MappingGuide[[#This Row],[API]:[API_3]],'[1]Squirrel SQL Export 1'!$K:$N,[1]!Table1[[#This Row],[Syndigo Name]]),IF(_xlpm.r=0,"",_xlpm.r))</f>
        <v>#REF!</v>
      </c>
      <c r="AJ323" s="17"/>
    </row>
    <row r="324" spans="1:36" ht="17">
      <c r="A324" s="17">
        <v>322</v>
      </c>
      <c r="B324" s="17" t="s">
        <v>1167</v>
      </c>
      <c r="C324" s="17" t="s">
        <v>1253</v>
      </c>
      <c r="D324" s="17" t="s">
        <v>602</v>
      </c>
      <c r="E324" s="17" t="s">
        <v>33</v>
      </c>
      <c r="F324" s="17" t="s">
        <v>34</v>
      </c>
      <c r="G324" s="17"/>
      <c r="H324" s="17"/>
      <c r="I324" s="17"/>
      <c r="J324" s="17"/>
      <c r="K324" s="17"/>
      <c r="L324" s="17"/>
      <c r="M324" s="17"/>
      <c r="N324" s="17" t="s">
        <v>1005</v>
      </c>
      <c r="O324" s="17"/>
      <c r="P324" s="17"/>
      <c r="Q324" s="17"/>
      <c r="R324" s="17"/>
      <c r="S324" s="17" t="e" cm="1">
        <f t="array" ref="S324">_xlfn.LET(_xlpm.r,_xlfn.XLOOKUP(1,MappingGuide[[#This Row],[API]:[API_3]],'[1]Squirrel SQL Export 1'!$K:$N,[1]!Table1[[#This Row],[Responsible from HJ]]),IF(_xlpm.r=0,"",_xlpm.r))</f>
        <v>#REF!</v>
      </c>
      <c r="T324" s="17"/>
      <c r="U324" s="17"/>
      <c r="V324" s="17" t="e" cm="1">
        <f t="array" ref="V324">_xlfn.LET(_xlpm.r,_xlfn.XLOOKUP(1,MappingGuide[[#This Row],[API]:[API_3]],'[1]Squirrel SQL Export 1'!$K:$N,[1]!Table1[[#This Row],[MDM Comments]]),IF(_xlpm.r=0,"",_xlpm.r))</f>
        <v>#REF!</v>
      </c>
      <c r="W324" s="17" t="e" cm="1">
        <f t="array" ref="W324">_xlfn.LET(_xlpm.r,_xlfn.XLOOKUP(1,MappingGuide[[#This Row],[API]:[API_3]],'[1]Squirrel SQL Export 1'!$K:$N,[1]!Table1[[#This Row],[Exists In Syndigo?]]),IF(_xlpm.r=0,"",_xlpm.r))</f>
        <v>#REF!</v>
      </c>
      <c r="X324" s="17" t="e" cm="1">
        <f t="array" ref="X324">_xlfn.LET(_xlpm.r,_xlfn.XLOOKUP(1,MappingGuide[[#This Row],[API]:[API_3]],'[1]Squirrel SQL Export 1'!$K:$N,[1]!Table1[[#This Row],[Syndigo Name]]),IF(_xlpm.r=0,"",_xlpm.r))</f>
        <v>#REF!</v>
      </c>
      <c r="Y324" s="17"/>
      <c r="Z324" s="17" t="s">
        <v>1006</v>
      </c>
      <c r="AA324" s="17"/>
      <c r="AB324" s="17"/>
      <c r="AC324" s="17" t="e" cm="1">
        <f t="array" ref="AC324">_xlfn.XLOOKUP(1,MappingGuide[[#This Row],[API]:[API_3]],'[1]Squirrel SQL Export 1'!$K:$N,[1]!Table1[[#This Row],[Doppio Notes2]])</f>
        <v>#REF!</v>
      </c>
      <c r="AD324" s="17"/>
      <c r="AE324" s="17" t="e" cm="1">
        <f t="array" ref="AE324">_xlfn.XLOOKUP(1,MappingGuide[[#This Row],[API]:[API_3]],'[1]Squirrel SQL Export 1'!$K:$N,[1]!Table1[[#This Row],[DG_required]])</f>
        <v>#REF!</v>
      </c>
      <c r="AF324" s="17"/>
      <c r="AG324" s="17"/>
      <c r="AH324" s="17" t="e" cm="1">
        <f t="array" ref="AH324">_xlfn.LET(_xlpm.r,_xlfn.XLOOKUP(1,MappingGuide[[#This Row],[API]:[API_3]],'[1]Squirrel SQL Export 1'!$K:$N,[1]!Table1[[#This Row],[Pending Items]]),IF(_xlpm.r=0,"",_xlpm.r))</f>
        <v>#REF!</v>
      </c>
      <c r="AI324" s="17" t="e" cm="1">
        <f t="array" ref="AI324">_xlfn.LET(_xlpm.r,_xlfn.XLOOKUP(1,MappingGuide[[#This Row],[API]:[API_3]],'[1]Squirrel SQL Export 1'!$K:$N,[1]!Table1[[#This Row],[Syndigo Name]]),IF(_xlpm.r=0,"",_xlpm.r))</f>
        <v>#REF!</v>
      </c>
      <c r="AJ324" s="17"/>
    </row>
    <row r="325" spans="1:36" ht="17">
      <c r="A325" s="17">
        <v>323</v>
      </c>
      <c r="B325" s="17" t="s">
        <v>1167</v>
      </c>
      <c r="C325" s="17" t="s">
        <v>1254</v>
      </c>
      <c r="D325" s="17" t="s">
        <v>1008</v>
      </c>
      <c r="E325" s="17" t="s">
        <v>43</v>
      </c>
      <c r="F325" s="17" t="s">
        <v>811</v>
      </c>
      <c r="G325" s="17"/>
      <c r="H325" s="17"/>
      <c r="I325" s="17"/>
      <c r="J325" s="17"/>
      <c r="K325" s="17"/>
      <c r="L325" s="17"/>
      <c r="M325" s="17"/>
      <c r="N325" s="17" t="s">
        <v>1009</v>
      </c>
      <c r="O325" s="17"/>
      <c r="P325" s="17"/>
      <c r="Q325" s="17"/>
      <c r="R325" s="17"/>
      <c r="S325" s="17" t="e" cm="1">
        <f t="array" ref="S325">_xlfn.LET(_xlpm.r,_xlfn.XLOOKUP(1,MappingGuide[[#This Row],[API]:[API_3]],'[1]Squirrel SQL Export 1'!$K:$N,[1]!Table1[[#This Row],[Responsible from HJ]]),IF(_xlpm.r=0,"",_xlpm.r))</f>
        <v>#REF!</v>
      </c>
      <c r="T325" s="17"/>
      <c r="U325" s="17"/>
      <c r="V325" s="17" t="e" cm="1">
        <f t="array" ref="V325">_xlfn.LET(_xlpm.r,_xlfn.XLOOKUP(1,MappingGuide[[#This Row],[API]:[API_3]],'[1]Squirrel SQL Export 1'!$K:$N,[1]!Table1[[#This Row],[MDM Comments]]),IF(_xlpm.r=0,"",_xlpm.r))</f>
        <v>#REF!</v>
      </c>
      <c r="W325" s="17" t="e" cm="1">
        <f t="array" ref="W325">_xlfn.LET(_xlpm.r,_xlfn.XLOOKUP(1,MappingGuide[[#This Row],[API]:[API_3]],'[1]Squirrel SQL Export 1'!$K:$N,[1]!Table1[[#This Row],[Exists In Syndigo?]]),IF(_xlpm.r=0,"",_xlpm.r))</f>
        <v>#REF!</v>
      </c>
      <c r="X325" s="17" t="e" cm="1">
        <f t="array" ref="X325">_xlfn.LET(_xlpm.r,_xlfn.XLOOKUP(1,MappingGuide[[#This Row],[API]:[API_3]],'[1]Squirrel SQL Export 1'!$K:$N,[1]!Table1[[#This Row],[Syndigo Name]]),IF(_xlpm.r=0,"",_xlpm.r))</f>
        <v>#REF!</v>
      </c>
      <c r="Y325" s="17"/>
      <c r="Z325" s="17"/>
      <c r="AA325" s="17"/>
      <c r="AB325" s="17"/>
      <c r="AC325" s="17" t="e" cm="1">
        <f t="array" ref="AC325">_xlfn.XLOOKUP(1,MappingGuide[[#This Row],[API]:[API_3]],'[1]Squirrel SQL Export 1'!$K:$N,[1]!Table1[[#This Row],[Doppio Notes2]])</f>
        <v>#REF!</v>
      </c>
      <c r="AD325" s="17"/>
      <c r="AE325" s="17" t="e" cm="1">
        <f t="array" ref="AE325">_xlfn.XLOOKUP(1,MappingGuide[[#This Row],[API]:[API_3]],'[1]Squirrel SQL Export 1'!$K:$N,[1]!Table1[[#This Row],[DG_required]])</f>
        <v>#REF!</v>
      </c>
      <c r="AF325" s="17"/>
      <c r="AG325" s="17"/>
      <c r="AH325" s="17" t="e" cm="1">
        <f t="array" ref="AH325">_xlfn.LET(_xlpm.r,_xlfn.XLOOKUP(1,MappingGuide[[#This Row],[API]:[API_3]],'[1]Squirrel SQL Export 1'!$K:$N,[1]!Table1[[#This Row],[Pending Items]]),IF(_xlpm.r=0,"",_xlpm.r))</f>
        <v>#REF!</v>
      </c>
      <c r="AI325" s="17" t="e" cm="1">
        <f t="array" ref="AI325">_xlfn.LET(_xlpm.r,_xlfn.XLOOKUP(1,MappingGuide[[#This Row],[API]:[API_3]],'[1]Squirrel SQL Export 1'!$K:$N,[1]!Table1[[#This Row],[Syndigo Name]]),IF(_xlpm.r=0,"",_xlpm.r))</f>
        <v>#REF!</v>
      </c>
      <c r="AJ325" s="17"/>
    </row>
    <row r="326" spans="1:36" ht="17">
      <c r="A326" s="17">
        <v>324</v>
      </c>
      <c r="B326" s="17" t="s">
        <v>1167</v>
      </c>
      <c r="C326" s="17" t="s">
        <v>1255</v>
      </c>
      <c r="D326" s="17" t="s">
        <v>1256</v>
      </c>
      <c r="E326" s="17" t="s">
        <v>43</v>
      </c>
      <c r="F326" s="17" t="s">
        <v>341</v>
      </c>
      <c r="G326" s="17" t="s">
        <v>118</v>
      </c>
      <c r="H326" s="17"/>
      <c r="I326" s="17" t="s">
        <v>1172</v>
      </c>
      <c r="J326" s="17" t="s">
        <v>72</v>
      </c>
      <c r="K326" s="17"/>
      <c r="L326" s="17" t="s">
        <v>35</v>
      </c>
      <c r="M326" s="17" t="s">
        <v>1169</v>
      </c>
      <c r="N326" s="17" t="s">
        <v>1257</v>
      </c>
      <c r="O326" s="17"/>
      <c r="P326" s="17"/>
      <c r="Q326" s="17"/>
      <c r="R326" s="17"/>
      <c r="S326" s="17" t="e" cm="1">
        <f t="array" ref="S326">_xlfn.LET(_xlpm.r,_xlfn.XLOOKUP(1,MappingGuide[[#This Row],[API]:[API_3]],'[1]Squirrel SQL Export 1'!$K:$N,[1]!Table1[[#This Row],[Responsible from HJ]]),IF(_xlpm.r=0,"",_xlpm.r))</f>
        <v>#REF!</v>
      </c>
      <c r="T326" s="17"/>
      <c r="U326" s="17"/>
      <c r="V326" s="17" t="e" cm="1">
        <f t="array" ref="V326">_xlfn.LET(_xlpm.r,_xlfn.XLOOKUP(1,MappingGuide[[#This Row],[API]:[API_3]],'[1]Squirrel SQL Export 1'!$K:$N,[1]!Table1[[#This Row],[MDM Comments]]),IF(_xlpm.r=0,"",_xlpm.r))</f>
        <v>#REF!</v>
      </c>
      <c r="W326" s="17" t="e" cm="1">
        <f t="array" ref="W326">_xlfn.LET(_xlpm.r,_xlfn.XLOOKUP(1,MappingGuide[[#This Row],[API]:[API_3]],'[1]Squirrel SQL Export 1'!$K:$N,[1]!Table1[[#This Row],[Exists In Syndigo?]]),IF(_xlpm.r=0,"",_xlpm.r))</f>
        <v>#REF!</v>
      </c>
      <c r="X326" s="17" t="e" cm="1">
        <f t="array" ref="X326">_xlfn.LET(_xlpm.r,_xlfn.XLOOKUP(1,MappingGuide[[#This Row],[API]:[API_3]],'[1]Squirrel SQL Export 1'!$K:$N,[1]!Table1[[#This Row],[Syndigo Name]]),IF(_xlpm.r=0,"",_xlpm.r))</f>
        <v>#REF!</v>
      </c>
      <c r="Y326" s="17"/>
      <c r="Z326" s="17" t="s">
        <v>1258</v>
      </c>
      <c r="AA326" s="17"/>
      <c r="AB326" s="17"/>
      <c r="AC326" s="17" t="e" cm="1">
        <f t="array" ref="AC326">_xlfn.XLOOKUP(1,MappingGuide[[#This Row],[API]:[API_3]],'[1]Squirrel SQL Export 1'!$K:$N,[1]!Table1[[#This Row],[Doppio Notes2]])</f>
        <v>#REF!</v>
      </c>
      <c r="AD326" s="17"/>
      <c r="AE326" s="17" t="e" cm="1">
        <f t="array" ref="AE326">_xlfn.XLOOKUP(1,MappingGuide[[#This Row],[API]:[API_3]],'[1]Squirrel SQL Export 1'!$K:$N,[1]!Table1[[#This Row],[DG_required]])</f>
        <v>#REF!</v>
      </c>
      <c r="AF326" s="17"/>
      <c r="AG326" s="17"/>
      <c r="AH326" s="17" t="e" cm="1">
        <f t="array" ref="AH326">_xlfn.LET(_xlpm.r,_xlfn.XLOOKUP(1,MappingGuide[[#This Row],[API]:[API_3]],'[1]Squirrel SQL Export 1'!$K:$N,[1]!Table1[[#This Row],[Pending Items]]),IF(_xlpm.r=0,"",_xlpm.r))</f>
        <v>#REF!</v>
      </c>
      <c r="AI326" s="17" t="e" cm="1">
        <f t="array" ref="AI326">_xlfn.LET(_xlpm.r,_xlfn.XLOOKUP(1,MappingGuide[[#This Row],[API]:[API_3]],'[1]Squirrel SQL Export 1'!$K:$N,[1]!Table1[[#This Row],[Syndigo Name]]),IF(_xlpm.r=0,"",_xlpm.r))</f>
        <v>#REF!</v>
      </c>
      <c r="AJ326" s="17"/>
    </row>
    <row r="327" spans="1:36" ht="17">
      <c r="A327" s="17">
        <v>325</v>
      </c>
      <c r="B327" s="17" t="s">
        <v>1167</v>
      </c>
      <c r="C327" s="17" t="s">
        <v>1259</v>
      </c>
      <c r="D327" s="17" t="s">
        <v>1260</v>
      </c>
      <c r="E327" s="17" t="s">
        <v>43</v>
      </c>
      <c r="F327" s="17" t="s">
        <v>341</v>
      </c>
      <c r="G327" s="17" t="s">
        <v>118</v>
      </c>
      <c r="H327" s="17"/>
      <c r="I327" s="17" t="s">
        <v>1172</v>
      </c>
      <c r="J327" s="17" t="s">
        <v>72</v>
      </c>
      <c r="K327" s="17"/>
      <c r="L327" s="17" t="s">
        <v>35</v>
      </c>
      <c r="M327" s="17" t="s">
        <v>1169</v>
      </c>
      <c r="N327" s="17" t="s">
        <v>1261</v>
      </c>
      <c r="O327" s="17"/>
      <c r="P327" s="17"/>
      <c r="Q327" s="17"/>
      <c r="R327" s="17"/>
      <c r="S327" s="17" t="e" cm="1">
        <f t="array" ref="S327">_xlfn.LET(_xlpm.r,_xlfn.XLOOKUP(1,MappingGuide[[#This Row],[API]:[API_3]],'[1]Squirrel SQL Export 1'!$K:$N,[1]!Table1[[#This Row],[Responsible from HJ]]),IF(_xlpm.r=0,"",_xlpm.r))</f>
        <v>#REF!</v>
      </c>
      <c r="T327" s="17"/>
      <c r="U327" s="17"/>
      <c r="V327" s="17" t="e" cm="1">
        <f t="array" ref="V327">_xlfn.LET(_xlpm.r,_xlfn.XLOOKUP(1,MappingGuide[[#This Row],[API]:[API_3]],'[1]Squirrel SQL Export 1'!$K:$N,[1]!Table1[[#This Row],[MDM Comments]]),IF(_xlpm.r=0,"",_xlpm.r))</f>
        <v>#REF!</v>
      </c>
      <c r="W327" s="17" t="e" cm="1">
        <f t="array" ref="W327">_xlfn.LET(_xlpm.r,_xlfn.XLOOKUP(1,MappingGuide[[#This Row],[API]:[API_3]],'[1]Squirrel SQL Export 1'!$K:$N,[1]!Table1[[#This Row],[Exists In Syndigo?]]),IF(_xlpm.r=0,"",_xlpm.r))</f>
        <v>#REF!</v>
      </c>
      <c r="X327" s="17" t="e" cm="1">
        <f t="array" ref="X327">_xlfn.LET(_xlpm.r,_xlfn.XLOOKUP(1,MappingGuide[[#This Row],[API]:[API_3]],'[1]Squirrel SQL Export 1'!$K:$N,[1]!Table1[[#This Row],[Syndigo Name]]),IF(_xlpm.r=0,"",_xlpm.r))</f>
        <v>#REF!</v>
      </c>
      <c r="Y327" s="17"/>
      <c r="Z327" s="17" t="s">
        <v>1262</v>
      </c>
      <c r="AA327" s="17"/>
      <c r="AB327" s="17"/>
      <c r="AC327" s="17" t="e" cm="1">
        <f t="array" ref="AC327">_xlfn.XLOOKUP(1,MappingGuide[[#This Row],[API]:[API_3]],'[1]Squirrel SQL Export 1'!$K:$N,[1]!Table1[[#This Row],[Doppio Notes2]])</f>
        <v>#REF!</v>
      </c>
      <c r="AD327" s="17"/>
      <c r="AE327" s="17" t="e" cm="1">
        <f t="array" ref="AE327">_xlfn.XLOOKUP(1,MappingGuide[[#This Row],[API]:[API_3]],'[1]Squirrel SQL Export 1'!$K:$N,[1]!Table1[[#This Row],[DG_required]])</f>
        <v>#REF!</v>
      </c>
      <c r="AF327" s="17"/>
      <c r="AG327" s="17"/>
      <c r="AH327" s="17" t="e" cm="1">
        <f t="array" ref="AH327">_xlfn.LET(_xlpm.r,_xlfn.XLOOKUP(1,MappingGuide[[#This Row],[API]:[API_3]],'[1]Squirrel SQL Export 1'!$K:$N,[1]!Table1[[#This Row],[Pending Items]]),IF(_xlpm.r=0,"",_xlpm.r))</f>
        <v>#REF!</v>
      </c>
      <c r="AI327" s="17" t="e" cm="1">
        <f t="array" ref="AI327">_xlfn.LET(_xlpm.r,_xlfn.XLOOKUP(1,MappingGuide[[#This Row],[API]:[API_3]],'[1]Squirrel SQL Export 1'!$K:$N,[1]!Table1[[#This Row],[Syndigo Name]]),IF(_xlpm.r=0,"",_xlpm.r))</f>
        <v>#REF!</v>
      </c>
      <c r="AJ327" s="17"/>
    </row>
    <row r="328" spans="1:36" ht="17">
      <c r="A328" s="17">
        <v>326</v>
      </c>
      <c r="B328" s="17" t="s">
        <v>1167</v>
      </c>
      <c r="C328" s="17" t="s">
        <v>1263</v>
      </c>
      <c r="D328" s="17" t="s">
        <v>1264</v>
      </c>
      <c r="E328" s="17" t="s">
        <v>43</v>
      </c>
      <c r="F328" s="17" t="s">
        <v>341</v>
      </c>
      <c r="G328" s="17" t="s">
        <v>118</v>
      </c>
      <c r="H328" s="17"/>
      <c r="I328" s="17" t="s">
        <v>1172</v>
      </c>
      <c r="J328" s="17" t="s">
        <v>72</v>
      </c>
      <c r="K328" s="17"/>
      <c r="L328" s="17" t="s">
        <v>35</v>
      </c>
      <c r="M328" s="17" t="s">
        <v>1169</v>
      </c>
      <c r="N328" s="17" t="s">
        <v>1265</v>
      </c>
      <c r="O328" s="17"/>
      <c r="P328" s="17"/>
      <c r="Q328" s="17"/>
      <c r="R328" s="17"/>
      <c r="S328" s="17" t="e" cm="1">
        <f t="array" ref="S328">_xlfn.LET(_xlpm.r,_xlfn.XLOOKUP(1,MappingGuide[[#This Row],[API]:[API_3]],'[1]Squirrel SQL Export 1'!$K:$N,[1]!Table1[[#This Row],[Responsible from HJ]]),IF(_xlpm.r=0,"",_xlpm.r))</f>
        <v>#REF!</v>
      </c>
      <c r="T328" s="17"/>
      <c r="U328" s="17"/>
      <c r="V328" s="17" t="e" cm="1">
        <f t="array" ref="V328">_xlfn.LET(_xlpm.r,_xlfn.XLOOKUP(1,MappingGuide[[#This Row],[API]:[API_3]],'[1]Squirrel SQL Export 1'!$K:$N,[1]!Table1[[#This Row],[MDM Comments]]),IF(_xlpm.r=0,"",_xlpm.r))</f>
        <v>#REF!</v>
      </c>
      <c r="W328" s="17" t="e" cm="1">
        <f t="array" ref="W328">_xlfn.LET(_xlpm.r,_xlfn.XLOOKUP(1,MappingGuide[[#This Row],[API]:[API_3]],'[1]Squirrel SQL Export 1'!$K:$N,[1]!Table1[[#This Row],[Exists In Syndigo?]]),IF(_xlpm.r=0,"",_xlpm.r))</f>
        <v>#REF!</v>
      </c>
      <c r="X328" s="17" t="e" cm="1">
        <f t="array" ref="X328">_xlfn.LET(_xlpm.r,_xlfn.XLOOKUP(1,MappingGuide[[#This Row],[API]:[API_3]],'[1]Squirrel SQL Export 1'!$K:$N,[1]!Table1[[#This Row],[Syndigo Name]]),IF(_xlpm.r=0,"",_xlpm.r))</f>
        <v>#REF!</v>
      </c>
      <c r="Y328" s="17"/>
      <c r="Z328" s="17"/>
      <c r="AA328" s="17"/>
      <c r="AB328" s="17"/>
      <c r="AC328" s="17" t="e" cm="1">
        <f t="array" ref="AC328">_xlfn.XLOOKUP(1,MappingGuide[[#This Row],[API]:[API_3]],'[1]Squirrel SQL Export 1'!$K:$N,[1]!Table1[[#This Row],[Doppio Notes2]])</f>
        <v>#REF!</v>
      </c>
      <c r="AD328" s="17"/>
      <c r="AE328" s="17" t="e" cm="1">
        <f t="array" ref="AE328">_xlfn.XLOOKUP(1,MappingGuide[[#This Row],[API]:[API_3]],'[1]Squirrel SQL Export 1'!$K:$N,[1]!Table1[[#This Row],[DG_required]])</f>
        <v>#REF!</v>
      </c>
      <c r="AF328" s="17"/>
      <c r="AG328" s="17"/>
      <c r="AH328" s="17" t="e" cm="1">
        <f t="array" ref="AH328">_xlfn.LET(_xlpm.r,_xlfn.XLOOKUP(1,MappingGuide[[#This Row],[API]:[API_3]],'[1]Squirrel SQL Export 1'!$K:$N,[1]!Table1[[#This Row],[Pending Items]]),IF(_xlpm.r=0,"",_xlpm.r))</f>
        <v>#REF!</v>
      </c>
      <c r="AI328" s="17" t="e" cm="1">
        <f t="array" ref="AI328">_xlfn.LET(_xlpm.r,_xlfn.XLOOKUP(1,MappingGuide[[#This Row],[API]:[API_3]],'[1]Squirrel SQL Export 1'!$K:$N,[1]!Table1[[#This Row],[Syndigo Name]]),IF(_xlpm.r=0,"",_xlpm.r))</f>
        <v>#REF!</v>
      </c>
      <c r="AJ328" s="17"/>
    </row>
    <row r="329" spans="1:36" ht="17">
      <c r="A329" s="17">
        <v>327</v>
      </c>
      <c r="B329" s="17" t="s">
        <v>1167</v>
      </c>
      <c r="C329" s="17" t="s">
        <v>1266</v>
      </c>
      <c r="D329" s="17" t="s">
        <v>1020</v>
      </c>
      <c r="E329" s="17" t="s">
        <v>43</v>
      </c>
      <c r="F329" s="17" t="s">
        <v>80</v>
      </c>
      <c r="G329" s="17"/>
      <c r="H329" s="17"/>
      <c r="I329" s="17"/>
      <c r="J329" s="17"/>
      <c r="K329" s="17"/>
      <c r="L329" s="17" t="s">
        <v>35</v>
      </c>
      <c r="M329" s="17" t="s">
        <v>73</v>
      </c>
      <c r="N329" s="17" t="s">
        <v>1021</v>
      </c>
      <c r="O329" s="17"/>
      <c r="P329" s="17"/>
      <c r="Q329" s="17"/>
      <c r="R329" s="17"/>
      <c r="S329" s="17" t="e" cm="1">
        <f t="array" ref="S329">_xlfn.LET(_xlpm.r,_xlfn.XLOOKUP(1,MappingGuide[[#This Row],[API]:[API_3]],'[1]Squirrel SQL Export 1'!$K:$N,[1]!Table1[[#This Row],[Responsible from HJ]]),IF(_xlpm.r=0,"",_xlpm.r))</f>
        <v>#REF!</v>
      </c>
      <c r="T329" s="17"/>
      <c r="U329" s="17"/>
      <c r="V329" s="17" t="e" cm="1">
        <f t="array" ref="V329">_xlfn.LET(_xlpm.r,_xlfn.XLOOKUP(1,MappingGuide[[#This Row],[API]:[API_3]],'[1]Squirrel SQL Export 1'!$K:$N,[1]!Table1[[#This Row],[MDM Comments]]),IF(_xlpm.r=0,"",_xlpm.r))</f>
        <v>#REF!</v>
      </c>
      <c r="W329" s="17" t="e" cm="1">
        <f t="array" ref="W329">_xlfn.LET(_xlpm.r,_xlfn.XLOOKUP(1,MappingGuide[[#This Row],[API]:[API_3]],'[1]Squirrel SQL Export 1'!$K:$N,[1]!Table1[[#This Row],[Exists In Syndigo?]]),IF(_xlpm.r=0,"",_xlpm.r))</f>
        <v>#REF!</v>
      </c>
      <c r="X329" s="17" t="e" cm="1">
        <f t="array" ref="X329">_xlfn.LET(_xlpm.r,_xlfn.XLOOKUP(1,MappingGuide[[#This Row],[API]:[API_3]],'[1]Squirrel SQL Export 1'!$K:$N,[1]!Table1[[#This Row],[Syndigo Name]]),IF(_xlpm.r=0,"",_xlpm.r))</f>
        <v>#REF!</v>
      </c>
      <c r="Y329" s="17"/>
      <c r="Z329" s="17" t="s">
        <v>1022</v>
      </c>
      <c r="AA329" s="17" t="s">
        <v>1023</v>
      </c>
      <c r="AB329" s="17"/>
      <c r="AC329" s="17" t="e" cm="1">
        <f t="array" ref="AC329">_xlfn.XLOOKUP(1,MappingGuide[[#This Row],[API]:[API_3]],'[1]Squirrel SQL Export 1'!$K:$N,[1]!Table1[[#This Row],[Doppio Notes2]])</f>
        <v>#REF!</v>
      </c>
      <c r="AD329" s="17"/>
      <c r="AE329" s="17" t="e" cm="1">
        <f t="array" ref="AE329">_xlfn.XLOOKUP(1,MappingGuide[[#This Row],[API]:[API_3]],'[1]Squirrel SQL Export 1'!$K:$N,[1]!Table1[[#This Row],[DG_required]])</f>
        <v>#REF!</v>
      </c>
      <c r="AF329" s="17"/>
      <c r="AG329" s="17"/>
      <c r="AH329" s="17" t="e" cm="1">
        <f t="array" ref="AH329">_xlfn.LET(_xlpm.r,_xlfn.XLOOKUP(1,MappingGuide[[#This Row],[API]:[API_3]],'[1]Squirrel SQL Export 1'!$K:$N,[1]!Table1[[#This Row],[Pending Items]]),IF(_xlpm.r=0,"",_xlpm.r))</f>
        <v>#REF!</v>
      </c>
      <c r="AI329" s="17" t="e" cm="1">
        <f t="array" ref="AI329">_xlfn.LET(_xlpm.r,_xlfn.XLOOKUP(1,MappingGuide[[#This Row],[API]:[API_3]],'[1]Squirrel SQL Export 1'!$K:$N,[1]!Table1[[#This Row],[Syndigo Name]]),IF(_xlpm.r=0,"",_xlpm.r))</f>
        <v>#REF!</v>
      </c>
      <c r="AJ329" s="17"/>
    </row>
    <row r="330" spans="1:36" ht="17">
      <c r="A330" s="17">
        <v>328</v>
      </c>
      <c r="B330" s="17" t="s">
        <v>1167</v>
      </c>
      <c r="C330" s="17" t="s">
        <v>1267</v>
      </c>
      <c r="D330" s="17" t="s">
        <v>1268</v>
      </c>
      <c r="E330" s="17" t="s">
        <v>43</v>
      </c>
      <c r="F330" s="17" t="s">
        <v>80</v>
      </c>
      <c r="G330" s="17"/>
      <c r="H330" s="17"/>
      <c r="I330" s="17"/>
      <c r="J330" s="17"/>
      <c r="K330" s="17"/>
      <c r="L330" s="17"/>
      <c r="M330" s="17"/>
      <c r="N330" s="17" t="s">
        <v>1269</v>
      </c>
      <c r="O330" s="17"/>
      <c r="P330" s="17"/>
      <c r="Q330" s="17"/>
      <c r="R330" s="17"/>
      <c r="S330" s="17" t="e" cm="1">
        <f t="array" ref="S330">_xlfn.LET(_xlpm.r,_xlfn.XLOOKUP(1,MappingGuide[[#This Row],[API]:[API_3]],'[1]Squirrel SQL Export 1'!$K:$N,[1]!Table1[[#This Row],[Responsible from HJ]]),IF(_xlpm.r=0,"",_xlpm.r))</f>
        <v>#REF!</v>
      </c>
      <c r="T330" s="17"/>
      <c r="U330" s="17"/>
      <c r="V330" s="17" t="e" cm="1">
        <f t="array" ref="V330">_xlfn.LET(_xlpm.r,_xlfn.XLOOKUP(1,MappingGuide[[#This Row],[API]:[API_3]],'[1]Squirrel SQL Export 1'!$K:$N,[1]!Table1[[#This Row],[MDM Comments]]),IF(_xlpm.r=0,"",_xlpm.r))</f>
        <v>#REF!</v>
      </c>
      <c r="W330" s="17" t="e" cm="1">
        <f t="array" ref="W330">_xlfn.LET(_xlpm.r,_xlfn.XLOOKUP(1,MappingGuide[[#This Row],[API]:[API_3]],'[1]Squirrel SQL Export 1'!$K:$N,[1]!Table1[[#This Row],[Exists In Syndigo?]]),IF(_xlpm.r=0,"",_xlpm.r))</f>
        <v>#REF!</v>
      </c>
      <c r="X330" s="17" t="e" cm="1">
        <f t="array" ref="X330">_xlfn.LET(_xlpm.r,_xlfn.XLOOKUP(1,MappingGuide[[#This Row],[API]:[API_3]],'[1]Squirrel SQL Export 1'!$K:$N,[1]!Table1[[#This Row],[Syndigo Name]]),IF(_xlpm.r=0,"",_xlpm.r))</f>
        <v>#REF!</v>
      </c>
      <c r="Y330" s="17"/>
      <c r="Z330" s="17"/>
      <c r="AA330" s="17"/>
      <c r="AB330" s="17"/>
      <c r="AC330" s="17" t="e" cm="1">
        <f t="array" ref="AC330">_xlfn.XLOOKUP(1,MappingGuide[[#This Row],[API]:[API_3]],'[1]Squirrel SQL Export 1'!$K:$N,[1]!Table1[[#This Row],[Doppio Notes2]])</f>
        <v>#REF!</v>
      </c>
      <c r="AD330" s="17"/>
      <c r="AE330" s="17" t="e" cm="1">
        <f t="array" ref="AE330">_xlfn.XLOOKUP(1,MappingGuide[[#This Row],[API]:[API_3]],'[1]Squirrel SQL Export 1'!$K:$N,[1]!Table1[[#This Row],[DG_required]])</f>
        <v>#REF!</v>
      </c>
      <c r="AF330" s="17"/>
      <c r="AG330" s="17"/>
      <c r="AH330" s="17" t="e" cm="1">
        <f t="array" ref="AH330">_xlfn.LET(_xlpm.r,_xlfn.XLOOKUP(1,MappingGuide[[#This Row],[API]:[API_3]],'[1]Squirrel SQL Export 1'!$K:$N,[1]!Table1[[#This Row],[Pending Items]]),IF(_xlpm.r=0,"",_xlpm.r))</f>
        <v>#REF!</v>
      </c>
      <c r="AI330" s="17" t="e" cm="1">
        <f t="array" ref="AI330">_xlfn.LET(_xlpm.r,_xlfn.XLOOKUP(1,MappingGuide[[#This Row],[API]:[API_3]],'[1]Squirrel SQL Export 1'!$K:$N,[1]!Table1[[#This Row],[Syndigo Name]]),IF(_xlpm.r=0,"",_xlpm.r))</f>
        <v>#REF!</v>
      </c>
      <c r="AJ330" s="17"/>
    </row>
    <row r="331" spans="1:36" ht="17">
      <c r="A331" s="17">
        <v>329</v>
      </c>
      <c r="B331" s="17" t="s">
        <v>1167</v>
      </c>
      <c r="C331" s="17" t="s">
        <v>1270</v>
      </c>
      <c r="D331" s="17" t="s">
        <v>359</v>
      </c>
      <c r="E331" s="17" t="s">
        <v>43</v>
      </c>
      <c r="F331" s="17" t="s">
        <v>80</v>
      </c>
      <c r="G331" s="17"/>
      <c r="H331" s="17"/>
      <c r="I331" s="17"/>
      <c r="J331" s="17"/>
      <c r="K331" s="17"/>
      <c r="L331" s="17" t="s">
        <v>35</v>
      </c>
      <c r="M331" s="17" t="s">
        <v>1169</v>
      </c>
      <c r="N331" s="17" t="s">
        <v>360</v>
      </c>
      <c r="O331" s="17"/>
      <c r="P331" s="17"/>
      <c r="Q331" s="17"/>
      <c r="R331" s="17"/>
      <c r="S331" s="17" t="e" cm="1">
        <f t="array" ref="S331">_xlfn.LET(_xlpm.r,_xlfn.XLOOKUP(1,MappingGuide[[#This Row],[API]:[API_3]],'[1]Squirrel SQL Export 1'!$K:$N,[1]!Table1[[#This Row],[Responsible from HJ]]),IF(_xlpm.r=0,"",_xlpm.r))</f>
        <v>#REF!</v>
      </c>
      <c r="T331" s="17"/>
      <c r="U331" s="17"/>
      <c r="V331" s="17" t="e" cm="1">
        <f t="array" ref="V331">_xlfn.LET(_xlpm.r,_xlfn.XLOOKUP(1,MappingGuide[[#This Row],[API]:[API_3]],'[1]Squirrel SQL Export 1'!$K:$N,[1]!Table1[[#This Row],[MDM Comments]]),IF(_xlpm.r=0,"",_xlpm.r))</f>
        <v>#REF!</v>
      </c>
      <c r="W331" s="17" t="e" cm="1">
        <f t="array" ref="W331">_xlfn.LET(_xlpm.r,_xlfn.XLOOKUP(1,MappingGuide[[#This Row],[API]:[API_3]],'[1]Squirrel SQL Export 1'!$K:$N,[1]!Table1[[#This Row],[Exists In Syndigo?]]),IF(_xlpm.r=0,"",_xlpm.r))</f>
        <v>#REF!</v>
      </c>
      <c r="X331" s="17" t="e" cm="1">
        <f t="array" ref="X331">_xlfn.LET(_xlpm.r,_xlfn.XLOOKUP(1,MappingGuide[[#This Row],[API]:[API_3]],'[1]Squirrel SQL Export 1'!$K:$N,[1]!Table1[[#This Row],[Syndigo Name]]),IF(_xlpm.r=0,"",_xlpm.r))</f>
        <v>#REF!</v>
      </c>
      <c r="Y331" s="17"/>
      <c r="Z331" s="17" t="s">
        <v>1271</v>
      </c>
      <c r="AA331" s="17"/>
      <c r="AB331" s="17"/>
      <c r="AC331" s="17" t="e" cm="1">
        <f t="array" ref="AC331">_xlfn.XLOOKUP(1,MappingGuide[[#This Row],[API]:[API_3]],'[1]Squirrel SQL Export 1'!$K:$N,[1]!Table1[[#This Row],[Doppio Notes2]])</f>
        <v>#REF!</v>
      </c>
      <c r="AD331" s="17"/>
      <c r="AE331" s="17" t="e" cm="1">
        <f t="array" ref="AE331">_xlfn.XLOOKUP(1,MappingGuide[[#This Row],[API]:[API_3]],'[1]Squirrel SQL Export 1'!$K:$N,[1]!Table1[[#This Row],[DG_required]])</f>
        <v>#REF!</v>
      </c>
      <c r="AF331" s="17"/>
      <c r="AG331" s="17"/>
      <c r="AH331" s="17" t="e" cm="1">
        <f t="array" ref="AH331">_xlfn.LET(_xlpm.r,_xlfn.XLOOKUP(1,MappingGuide[[#This Row],[API]:[API_3]],'[1]Squirrel SQL Export 1'!$K:$N,[1]!Table1[[#This Row],[Pending Items]]),IF(_xlpm.r=0,"",_xlpm.r))</f>
        <v>#REF!</v>
      </c>
      <c r="AI331" s="17" t="e" cm="1">
        <f t="array" ref="AI331">_xlfn.LET(_xlpm.r,_xlfn.XLOOKUP(1,MappingGuide[[#This Row],[API]:[API_3]],'[1]Squirrel SQL Export 1'!$K:$N,[1]!Table1[[#This Row],[Syndigo Name]]),IF(_xlpm.r=0,"",_xlpm.r))</f>
        <v>#REF!</v>
      </c>
      <c r="AJ331" s="17"/>
    </row>
    <row r="332" spans="1:36" ht="17">
      <c r="A332" s="17">
        <v>330</v>
      </c>
      <c r="B332" s="17" t="s">
        <v>1167</v>
      </c>
      <c r="C332" s="17" t="s">
        <v>1272</v>
      </c>
      <c r="D332" s="17" t="s">
        <v>1054</v>
      </c>
      <c r="E332" s="17" t="s">
        <v>33</v>
      </c>
      <c r="F332" s="17" t="s">
        <v>686</v>
      </c>
      <c r="G332" s="17"/>
      <c r="H332" s="17"/>
      <c r="I332" s="17"/>
      <c r="J332" s="17"/>
      <c r="K332" s="17"/>
      <c r="L332" s="17" t="s">
        <v>35</v>
      </c>
      <c r="M332" s="17" t="s">
        <v>1169</v>
      </c>
      <c r="N332" s="17" t="s">
        <v>1055</v>
      </c>
      <c r="O332" s="17"/>
      <c r="P332" s="17"/>
      <c r="Q332" s="17"/>
      <c r="R332" s="17"/>
      <c r="S332" s="17" t="e" cm="1">
        <f t="array" ref="S332">_xlfn.LET(_xlpm.r,_xlfn.XLOOKUP(1,MappingGuide[[#This Row],[API]:[API_3]],'[1]Squirrel SQL Export 1'!$K:$N,[1]!Table1[[#This Row],[Responsible from HJ]]),IF(_xlpm.r=0,"",_xlpm.r))</f>
        <v>#REF!</v>
      </c>
      <c r="T332" s="17"/>
      <c r="U332" s="17"/>
      <c r="V332" s="17" t="e" cm="1">
        <f t="array" ref="V332">_xlfn.LET(_xlpm.r,_xlfn.XLOOKUP(1,MappingGuide[[#This Row],[API]:[API_3]],'[1]Squirrel SQL Export 1'!$K:$N,[1]!Table1[[#This Row],[MDM Comments]]),IF(_xlpm.r=0,"",_xlpm.r))</f>
        <v>#REF!</v>
      </c>
      <c r="W332" s="17" t="e" cm="1">
        <f t="array" ref="W332">_xlfn.LET(_xlpm.r,_xlfn.XLOOKUP(1,MappingGuide[[#This Row],[API]:[API_3]],'[1]Squirrel SQL Export 1'!$K:$N,[1]!Table1[[#This Row],[Exists In Syndigo?]]),IF(_xlpm.r=0,"",_xlpm.r))</f>
        <v>#REF!</v>
      </c>
      <c r="X332" s="17" t="e" cm="1">
        <f t="array" ref="X332">_xlfn.LET(_xlpm.r,_xlfn.XLOOKUP(1,MappingGuide[[#This Row],[API]:[API_3]],'[1]Squirrel SQL Export 1'!$K:$N,[1]!Table1[[#This Row],[Syndigo Name]]),IF(_xlpm.r=0,"",_xlpm.r))</f>
        <v>#REF!</v>
      </c>
      <c r="Y332" s="17"/>
      <c r="Z332" s="17" t="s">
        <v>1056</v>
      </c>
      <c r="AA332" s="17"/>
      <c r="AB332" s="17"/>
      <c r="AC332" s="17" t="e" cm="1">
        <f t="array" ref="AC332">_xlfn.XLOOKUP(1,MappingGuide[[#This Row],[API]:[API_3]],'[1]Squirrel SQL Export 1'!$K:$N,[1]!Table1[[#This Row],[Doppio Notes2]])</f>
        <v>#REF!</v>
      </c>
      <c r="AD332" s="17"/>
      <c r="AE332" s="17" t="e" cm="1">
        <f t="array" ref="AE332">_xlfn.XLOOKUP(1,MappingGuide[[#This Row],[API]:[API_3]],'[1]Squirrel SQL Export 1'!$K:$N,[1]!Table1[[#This Row],[DG_required]])</f>
        <v>#REF!</v>
      </c>
      <c r="AF332" s="17"/>
      <c r="AG332" s="17"/>
      <c r="AH332" s="17" t="e" cm="1">
        <f t="array" ref="AH332">_xlfn.LET(_xlpm.r,_xlfn.XLOOKUP(1,MappingGuide[[#This Row],[API]:[API_3]],'[1]Squirrel SQL Export 1'!$K:$N,[1]!Table1[[#This Row],[Pending Items]]),IF(_xlpm.r=0,"",_xlpm.r))</f>
        <v>#REF!</v>
      </c>
      <c r="AI332" s="17" t="e" cm="1">
        <f t="array" ref="AI332">_xlfn.LET(_xlpm.r,_xlfn.XLOOKUP(1,MappingGuide[[#This Row],[API]:[API_3]],'[1]Squirrel SQL Export 1'!$K:$N,[1]!Table1[[#This Row],[Syndigo Name]]),IF(_xlpm.r=0,"",_xlpm.r))</f>
        <v>#REF!</v>
      </c>
      <c r="AJ332" s="17"/>
    </row>
    <row r="333" spans="1:36" ht="17">
      <c r="A333" s="17">
        <v>331</v>
      </c>
      <c r="B333" s="17" t="s">
        <v>1167</v>
      </c>
      <c r="C333" s="17" t="s">
        <v>1273</v>
      </c>
      <c r="D333" s="17" t="s">
        <v>1058</v>
      </c>
      <c r="E333" s="17" t="s">
        <v>33</v>
      </c>
      <c r="F333" s="17" t="s">
        <v>34</v>
      </c>
      <c r="G333" s="17"/>
      <c r="H333" s="17"/>
      <c r="I333" s="17"/>
      <c r="J333" s="17"/>
      <c r="K333" s="17"/>
      <c r="L333" s="17" t="s">
        <v>35</v>
      </c>
      <c r="M333" s="17" t="s">
        <v>1169</v>
      </c>
      <c r="N333" s="17" t="s">
        <v>1059</v>
      </c>
      <c r="O333" s="17"/>
      <c r="P333" s="17"/>
      <c r="Q333" s="17"/>
      <c r="R333" s="17"/>
      <c r="S333" s="17" t="e" cm="1">
        <f t="array" ref="S333">_xlfn.LET(_xlpm.r,_xlfn.XLOOKUP(1,MappingGuide[[#This Row],[API]:[API_3]],'[1]Squirrel SQL Export 1'!$K:$N,[1]!Table1[[#This Row],[Responsible from HJ]]),IF(_xlpm.r=0,"",_xlpm.r))</f>
        <v>#REF!</v>
      </c>
      <c r="T333" s="17"/>
      <c r="U333" s="17"/>
      <c r="V333" s="17" t="e" cm="1">
        <f t="array" ref="V333">_xlfn.LET(_xlpm.r,_xlfn.XLOOKUP(1,MappingGuide[[#This Row],[API]:[API_3]],'[1]Squirrel SQL Export 1'!$K:$N,[1]!Table1[[#This Row],[MDM Comments]]),IF(_xlpm.r=0,"",_xlpm.r))</f>
        <v>#REF!</v>
      </c>
      <c r="W333" s="17" t="e" cm="1">
        <f t="array" ref="W333">_xlfn.LET(_xlpm.r,_xlfn.XLOOKUP(1,MappingGuide[[#This Row],[API]:[API_3]],'[1]Squirrel SQL Export 1'!$K:$N,[1]!Table1[[#This Row],[Exists In Syndigo?]]),IF(_xlpm.r=0,"",_xlpm.r))</f>
        <v>#REF!</v>
      </c>
      <c r="X333" s="17" t="e" cm="1">
        <f t="array" ref="X333">_xlfn.LET(_xlpm.r,_xlfn.XLOOKUP(1,MappingGuide[[#This Row],[API]:[API_3]],'[1]Squirrel SQL Export 1'!$K:$N,[1]!Table1[[#This Row],[Syndigo Name]]),IF(_xlpm.r=0,"",_xlpm.r))</f>
        <v>#REF!</v>
      </c>
      <c r="Y333" s="17"/>
      <c r="Z333" s="17" t="s">
        <v>1060</v>
      </c>
      <c r="AA333" s="17"/>
      <c r="AB333" s="17"/>
      <c r="AC333" s="17" t="e" cm="1">
        <f t="array" ref="AC333">_xlfn.XLOOKUP(1,MappingGuide[[#This Row],[API]:[API_3]],'[1]Squirrel SQL Export 1'!$K:$N,[1]!Table1[[#This Row],[Doppio Notes2]])</f>
        <v>#REF!</v>
      </c>
      <c r="AD333" s="17"/>
      <c r="AE333" s="17" t="e" cm="1">
        <f t="array" ref="AE333">_xlfn.XLOOKUP(1,MappingGuide[[#This Row],[API]:[API_3]],'[1]Squirrel SQL Export 1'!$K:$N,[1]!Table1[[#This Row],[DG_required]])</f>
        <v>#REF!</v>
      </c>
      <c r="AF333" s="17"/>
      <c r="AG333" s="17"/>
      <c r="AH333" s="17" t="e" cm="1">
        <f t="array" ref="AH333">_xlfn.LET(_xlpm.r,_xlfn.XLOOKUP(1,MappingGuide[[#This Row],[API]:[API_3]],'[1]Squirrel SQL Export 1'!$K:$N,[1]!Table1[[#This Row],[Pending Items]]),IF(_xlpm.r=0,"",_xlpm.r))</f>
        <v>#REF!</v>
      </c>
      <c r="AI333" s="17" t="e" cm="1">
        <f t="array" ref="AI333">_xlfn.LET(_xlpm.r,_xlfn.XLOOKUP(1,MappingGuide[[#This Row],[API]:[API_3]],'[1]Squirrel SQL Export 1'!$K:$N,[1]!Table1[[#This Row],[Syndigo Name]]),IF(_xlpm.r=0,"",_xlpm.r))</f>
        <v>#REF!</v>
      </c>
      <c r="AJ333" s="17"/>
    </row>
    <row r="334" spans="1:36" ht="17">
      <c r="A334" s="17">
        <v>332</v>
      </c>
      <c r="B334" s="17" t="s">
        <v>1167</v>
      </c>
      <c r="C334" s="17" t="s">
        <v>1274</v>
      </c>
      <c r="D334" s="17" t="s">
        <v>1062</v>
      </c>
      <c r="E334" s="17" t="s">
        <v>33</v>
      </c>
      <c r="F334" s="17" t="s">
        <v>34</v>
      </c>
      <c r="G334" s="17"/>
      <c r="H334" s="17"/>
      <c r="I334" s="17"/>
      <c r="J334" s="17"/>
      <c r="K334" s="17"/>
      <c r="L334" s="17" t="s">
        <v>35</v>
      </c>
      <c r="M334" s="17" t="s">
        <v>1169</v>
      </c>
      <c r="N334" s="17" t="s">
        <v>1063</v>
      </c>
      <c r="O334" s="17"/>
      <c r="P334" s="17"/>
      <c r="Q334" s="17"/>
      <c r="R334" s="17"/>
      <c r="S334" s="17" t="e" cm="1">
        <f t="array" ref="S334">_xlfn.LET(_xlpm.r,_xlfn.XLOOKUP(1,MappingGuide[[#This Row],[API]:[API_3]],'[1]Squirrel SQL Export 1'!$K:$N,[1]!Table1[[#This Row],[Responsible from HJ]]),IF(_xlpm.r=0,"",_xlpm.r))</f>
        <v>#REF!</v>
      </c>
      <c r="T334" s="17"/>
      <c r="U334" s="17"/>
      <c r="V334" s="17" t="e" cm="1">
        <f t="array" ref="V334">_xlfn.LET(_xlpm.r,_xlfn.XLOOKUP(1,MappingGuide[[#This Row],[API]:[API_3]],'[1]Squirrel SQL Export 1'!$K:$N,[1]!Table1[[#This Row],[MDM Comments]]),IF(_xlpm.r=0,"",_xlpm.r))</f>
        <v>#REF!</v>
      </c>
      <c r="W334" s="17" t="e" cm="1">
        <f t="array" ref="W334">_xlfn.LET(_xlpm.r,_xlfn.XLOOKUP(1,MappingGuide[[#This Row],[API]:[API_3]],'[1]Squirrel SQL Export 1'!$K:$N,[1]!Table1[[#This Row],[Exists In Syndigo?]]),IF(_xlpm.r=0,"",_xlpm.r))</f>
        <v>#REF!</v>
      </c>
      <c r="X334" s="17" t="e" cm="1">
        <f t="array" ref="X334">_xlfn.LET(_xlpm.r,_xlfn.XLOOKUP(1,MappingGuide[[#This Row],[API]:[API_3]],'[1]Squirrel SQL Export 1'!$K:$N,[1]!Table1[[#This Row],[Syndigo Name]]),IF(_xlpm.r=0,"",_xlpm.r))</f>
        <v>#REF!</v>
      </c>
      <c r="Y334" s="17"/>
      <c r="Z334" s="17" t="s">
        <v>1064</v>
      </c>
      <c r="AA334" s="17"/>
      <c r="AB334" s="17"/>
      <c r="AC334" s="17" t="e" cm="1">
        <f t="array" ref="AC334">_xlfn.XLOOKUP(1,MappingGuide[[#This Row],[API]:[API_3]],'[1]Squirrel SQL Export 1'!$K:$N,[1]!Table1[[#This Row],[Doppio Notes2]])</f>
        <v>#REF!</v>
      </c>
      <c r="AD334" s="17"/>
      <c r="AE334" s="17" t="e" cm="1">
        <f t="array" ref="AE334">_xlfn.XLOOKUP(1,MappingGuide[[#This Row],[API]:[API_3]],'[1]Squirrel SQL Export 1'!$K:$N,[1]!Table1[[#This Row],[DG_required]])</f>
        <v>#REF!</v>
      </c>
      <c r="AF334" s="17"/>
      <c r="AG334" s="17"/>
      <c r="AH334" s="17" t="e" cm="1">
        <f t="array" ref="AH334">_xlfn.LET(_xlpm.r,_xlfn.XLOOKUP(1,MappingGuide[[#This Row],[API]:[API_3]],'[1]Squirrel SQL Export 1'!$K:$N,[1]!Table1[[#This Row],[Pending Items]]),IF(_xlpm.r=0,"",_xlpm.r))</f>
        <v>#REF!</v>
      </c>
      <c r="AI334" s="17" t="e" cm="1">
        <f t="array" ref="AI334">_xlfn.LET(_xlpm.r,_xlfn.XLOOKUP(1,MappingGuide[[#This Row],[API]:[API_3]],'[1]Squirrel SQL Export 1'!$K:$N,[1]!Table1[[#This Row],[Syndigo Name]]),IF(_xlpm.r=0,"",_xlpm.r))</f>
        <v>#REF!</v>
      </c>
      <c r="AJ334" s="17"/>
    </row>
    <row r="335" spans="1:36" ht="17">
      <c r="A335" s="17">
        <v>333</v>
      </c>
      <c r="B335" s="17" t="s">
        <v>1167</v>
      </c>
      <c r="C335" s="17" t="s">
        <v>1275</v>
      </c>
      <c r="D335" s="17" t="s">
        <v>1276</v>
      </c>
      <c r="E335" s="17" t="s">
        <v>33</v>
      </c>
      <c r="F335" s="17" t="s">
        <v>341</v>
      </c>
      <c r="G335" s="17"/>
      <c r="H335" s="17"/>
      <c r="I335" s="17"/>
      <c r="J335" s="17"/>
      <c r="K335" s="17"/>
      <c r="L335" s="17" t="s">
        <v>35</v>
      </c>
      <c r="M335" s="17" t="s">
        <v>1169</v>
      </c>
      <c r="N335" s="17" t="s">
        <v>1277</v>
      </c>
      <c r="O335" s="17"/>
      <c r="P335" s="17"/>
      <c r="Q335" s="17"/>
      <c r="R335" s="17"/>
      <c r="S335" s="17" t="e" cm="1">
        <f t="array" ref="S335">_xlfn.LET(_xlpm.r,_xlfn.XLOOKUP(1,MappingGuide[[#This Row],[API]:[API_3]],'[1]Squirrel SQL Export 1'!$K:$N,[1]!Table1[[#This Row],[Responsible from HJ]]),IF(_xlpm.r=0,"",_xlpm.r))</f>
        <v>#REF!</v>
      </c>
      <c r="T335" s="17"/>
      <c r="U335" s="17"/>
      <c r="V335" s="17" t="e" cm="1">
        <f t="array" ref="V335">_xlfn.LET(_xlpm.r,_xlfn.XLOOKUP(1,MappingGuide[[#This Row],[API]:[API_3]],'[1]Squirrel SQL Export 1'!$K:$N,[1]!Table1[[#This Row],[MDM Comments]]),IF(_xlpm.r=0,"",_xlpm.r))</f>
        <v>#REF!</v>
      </c>
      <c r="W335" s="17" t="e" cm="1">
        <f t="array" ref="W335">_xlfn.LET(_xlpm.r,_xlfn.XLOOKUP(1,MappingGuide[[#This Row],[API]:[API_3]],'[1]Squirrel SQL Export 1'!$K:$N,[1]!Table1[[#This Row],[Exists In Syndigo?]]),IF(_xlpm.r=0,"",_xlpm.r))</f>
        <v>#REF!</v>
      </c>
      <c r="X335" s="17" t="e" cm="1">
        <f t="array" ref="X335">_xlfn.LET(_xlpm.r,_xlfn.XLOOKUP(1,MappingGuide[[#This Row],[API]:[API_3]],'[1]Squirrel SQL Export 1'!$K:$N,[1]!Table1[[#This Row],[Syndigo Name]]),IF(_xlpm.r=0,"",_xlpm.r))</f>
        <v>#REF!</v>
      </c>
      <c r="Y335" s="17"/>
      <c r="Z335" s="17" t="s">
        <v>1278</v>
      </c>
      <c r="AA335" s="17"/>
      <c r="AB335" s="17"/>
      <c r="AC335" s="17" t="e" cm="1">
        <f t="array" ref="AC335">_xlfn.XLOOKUP(1,MappingGuide[[#This Row],[API]:[API_3]],'[1]Squirrel SQL Export 1'!$K:$N,[1]!Table1[[#This Row],[Doppio Notes2]])</f>
        <v>#REF!</v>
      </c>
      <c r="AD335" s="17"/>
      <c r="AE335" s="17" t="e" cm="1">
        <f t="array" ref="AE335">_xlfn.XLOOKUP(1,MappingGuide[[#This Row],[API]:[API_3]],'[1]Squirrel SQL Export 1'!$K:$N,[1]!Table1[[#This Row],[DG_required]])</f>
        <v>#REF!</v>
      </c>
      <c r="AF335" s="17"/>
      <c r="AG335" s="17"/>
      <c r="AH335" s="17" t="e" cm="1">
        <f t="array" ref="AH335">_xlfn.LET(_xlpm.r,_xlfn.XLOOKUP(1,MappingGuide[[#This Row],[API]:[API_3]],'[1]Squirrel SQL Export 1'!$K:$N,[1]!Table1[[#This Row],[Pending Items]]),IF(_xlpm.r=0,"",_xlpm.r))</f>
        <v>#REF!</v>
      </c>
      <c r="AI335" s="17" t="e" cm="1">
        <f t="array" ref="AI335">_xlfn.LET(_xlpm.r,_xlfn.XLOOKUP(1,MappingGuide[[#This Row],[API]:[API_3]],'[1]Squirrel SQL Export 1'!$K:$N,[1]!Table1[[#This Row],[Syndigo Name]]),IF(_xlpm.r=0,"",_xlpm.r))</f>
        <v>#REF!</v>
      </c>
      <c r="AJ335" s="17"/>
    </row>
  </sheetData>
  <mergeCells count="7">
    <mergeCell ref="A1:H1"/>
    <mergeCell ref="L1:O1"/>
    <mergeCell ref="R1:Y1"/>
    <mergeCell ref="Z1:AB1"/>
    <mergeCell ref="AC1:AJ1"/>
    <mergeCell ref="I1:K1"/>
    <mergeCell ref="P1:Q1"/>
  </mergeCells>
  <pageMargins left="0.75" right="0.75" top="1" bottom="1" header="0.5" footer="0.5"/>
  <pageSetup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Mapping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Eric Pronovost</cp:lastModifiedBy>
  <dcterms:created xsi:type="dcterms:W3CDTF">2025-12-16T18:07:59Z</dcterms:created>
  <dcterms:modified xsi:type="dcterms:W3CDTF">2026-02-12T22:52:52Z</dcterms:modified>
</cp:coreProperties>
</file>