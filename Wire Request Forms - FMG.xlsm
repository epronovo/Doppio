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drawings/drawing30.xml" ContentType="application/vnd.openxmlformats-officedocument.drawing+xml"/>
  <Override PartName="/xl/comments30.xml" ContentType="application/vnd.openxmlformats-officedocument.spreadsheetml.comments+xml"/>
  <Override PartName="/xl/drawings/drawing31.xml" ContentType="application/vnd.openxmlformats-officedocument.drawing+xml"/>
  <Override PartName="/xl/comments31.xml" ContentType="application/vnd.openxmlformats-officedocument.spreadsheetml.comments+xml"/>
  <Override PartName="/xl/drawings/drawing32.xml" ContentType="application/vnd.openxmlformats-officedocument.drawing+xml"/>
  <Override PartName="/xl/comments32.xml" ContentType="application/vnd.openxmlformats-officedocument.spreadsheetml.comments+xml"/>
  <Override PartName="/xl/drawings/drawing33.xml" ContentType="application/vnd.openxmlformats-officedocument.drawing+xml"/>
  <Override PartName="/xl/comments33.xml" ContentType="application/vnd.openxmlformats-officedocument.spreadsheetml.comments+xml"/>
  <Override PartName="/xl/drawings/drawing34.xml" ContentType="application/vnd.openxmlformats-officedocument.drawing+xml"/>
  <Override PartName="/xl/comments34.xml" ContentType="application/vnd.openxmlformats-officedocument.spreadsheetml.comments+xml"/>
  <Override PartName="/xl/drawings/drawing35.xml" ContentType="application/vnd.openxmlformats-officedocument.drawing+xml"/>
  <Override PartName="/xl/comments35.xml" ContentType="application/vnd.openxmlformats-officedocument.spreadsheetml.comments+xml"/>
  <Override PartName="/xl/drawings/drawing36.xml" ContentType="application/vnd.openxmlformats-officedocument.drawing+xml"/>
  <Override PartName="/xl/comments36.xml" ContentType="application/vnd.openxmlformats-officedocument.spreadsheetml.comments+xml"/>
  <Override PartName="/xl/drawings/drawing37.xml" ContentType="application/vnd.openxmlformats-officedocument.drawing+xml"/>
  <Override PartName="/xl/comments37.xml" ContentType="application/vnd.openxmlformats-officedocument.spreadsheetml.comments+xml"/>
  <Override PartName="/xl/drawings/drawing38.xml" ContentType="application/vnd.openxmlformats-officedocument.drawing+xml"/>
  <Override PartName="/xl/comments38.xml" ContentType="application/vnd.openxmlformats-officedocument.spreadsheetml.comments+xml"/>
  <Override PartName="/xl/drawings/drawing39.xml" ContentType="application/vnd.openxmlformats-officedocument.drawing+xml"/>
  <Override PartName="/xl/comments39.xml" ContentType="application/vnd.openxmlformats-officedocument.spreadsheetml.comments+xml"/>
  <Override PartName="/xl/drawings/drawing40.xml" ContentType="application/vnd.openxmlformats-officedocument.drawing+xml"/>
  <Override PartName="/xl/comments40.xml" ContentType="application/vnd.openxmlformats-officedocument.spreadsheetml.comments+xml"/>
  <Override PartName="/xl/drawings/drawing41.xml" ContentType="application/vnd.openxmlformats-officedocument.drawing+xml"/>
  <Override PartName="/xl/comments41.xml" ContentType="application/vnd.openxmlformats-officedocument.spreadsheetml.comments+xml"/>
  <Override PartName="/xl/drawings/drawing42.xml" ContentType="application/vnd.openxmlformats-officedocument.drawing+xml"/>
  <Override PartName="/xl/comments42.xml" ContentType="application/vnd.openxmlformats-officedocument.spreadsheetml.comments+xml"/>
  <Override PartName="/xl/drawings/drawing43.xml" ContentType="application/vnd.openxmlformats-officedocument.drawing+xml"/>
  <Override PartName="/xl/comments43.xml" ContentType="application/vnd.openxmlformats-officedocument.spreadsheetml.comments+xml"/>
  <Override PartName="/xl/drawings/drawing44.xml" ContentType="application/vnd.openxmlformats-officedocument.drawing+xml"/>
  <Override PartName="/xl/comments44.xml" ContentType="application/vnd.openxmlformats-officedocument.spreadsheetml.comments+xml"/>
  <Override PartName="/xl/drawings/drawing45.xml" ContentType="application/vnd.openxmlformats-officedocument.drawing+xml"/>
  <Override PartName="/xl/comments45.xml" ContentType="application/vnd.openxmlformats-officedocument.spreadsheetml.comments+xml"/>
  <Override PartName="/xl/drawings/drawing46.xml" ContentType="application/vnd.openxmlformats-officedocument.drawing+xml"/>
  <Override PartName="/xl/comments46.xml" ContentType="application/vnd.openxmlformats-officedocument.spreadsheetml.comments+xml"/>
  <Override PartName="/xl/drawings/drawing47.xml" ContentType="application/vnd.openxmlformats-officedocument.drawing+xml"/>
  <Override PartName="/xl/comments47.xml" ContentType="application/vnd.openxmlformats-officedocument.spreadsheetml.comments+xml"/>
  <Override PartName="/xl/drawings/drawing48.xml" ContentType="application/vnd.openxmlformats-officedocument.drawing+xml"/>
  <Override PartName="/xl/comments48.xml" ContentType="application/vnd.openxmlformats-officedocument.spreadsheetml.comments+xml"/>
  <Override PartName="/xl/drawings/drawing49.xml" ContentType="application/vnd.openxmlformats-officedocument.drawing+xml"/>
  <Override PartName="/xl/comments49.xml" ContentType="application/vnd.openxmlformats-officedocument.spreadsheetml.comments+xml"/>
  <Override PartName="/xl/drawings/drawing50.xml" ContentType="application/vnd.openxmlformats-officedocument.drawing+xml"/>
  <Override PartName="/xl/comments50.xml" ContentType="application/vnd.openxmlformats-officedocument.spreadsheetml.comments+xml"/>
  <Override PartName="/xl/drawings/drawing51.xml" ContentType="application/vnd.openxmlformats-officedocument.drawing+xml"/>
  <Override PartName="/xl/comments51.xml" ContentType="application/vnd.openxmlformats-officedocument.spreadsheetml.comments+xml"/>
  <Override PartName="/xl/drawings/drawing52.xml" ContentType="application/vnd.openxmlformats-officedocument.drawing+xml"/>
  <Override PartName="/xl/comments52.xml" ContentType="application/vnd.openxmlformats-officedocument.spreadsheetml.comments+xml"/>
  <Override PartName="/xl/drawings/drawing53.xml" ContentType="application/vnd.openxmlformats-officedocument.drawing+xml"/>
  <Override PartName="/xl/comments53.xml" ContentType="application/vnd.openxmlformats-officedocument.spreadsheetml.comments+xml"/>
  <Override PartName="/xl/drawings/drawing54.xml" ContentType="application/vnd.openxmlformats-officedocument.drawing+xml"/>
  <Override PartName="/xl/comments54.xml" ContentType="application/vnd.openxmlformats-officedocument.spreadsheetml.comments+xml"/>
  <Override PartName="/xl/drawings/drawing55.xml" ContentType="application/vnd.openxmlformats-officedocument.drawing+xml"/>
  <Override PartName="/xl/comments55.xml" ContentType="application/vnd.openxmlformats-officedocument.spreadsheetml.comments+xml"/>
  <Override PartName="/xl/drawings/drawing56.xml" ContentType="application/vnd.openxmlformats-officedocument.drawing+xml"/>
  <Override PartName="/xl/comments56.xml" ContentType="application/vnd.openxmlformats-officedocument.spreadsheetml.comments+xml"/>
  <Override PartName="/xl/drawings/drawing57.xml" ContentType="application/vnd.openxmlformats-officedocument.drawing+xml"/>
  <Override PartName="/xl/comments57.xml" ContentType="application/vnd.openxmlformats-officedocument.spreadsheetml.comments+xml"/>
  <Override PartName="/xl/drawings/drawing58.xml" ContentType="application/vnd.openxmlformats-officedocument.drawing+xml"/>
  <Override PartName="/xl/comments58.xml" ContentType="application/vnd.openxmlformats-officedocument.spreadsheetml.comments+xml"/>
  <Override PartName="/xl/drawings/drawing59.xml" ContentType="application/vnd.openxmlformats-officedocument.drawing+xml"/>
  <Override PartName="/xl/comments59.xml" ContentType="application/vnd.openxmlformats-officedocument.spreadsheetml.comments+xml"/>
  <Override PartName="/xl/drawings/drawing60.xml" ContentType="application/vnd.openxmlformats-officedocument.drawing+xml"/>
  <Override PartName="/xl/comments60.xml" ContentType="application/vnd.openxmlformats-officedocument.spreadsheetml.comments+xml"/>
  <Override PartName="/xl/drawings/drawing61.xml" ContentType="application/vnd.openxmlformats-officedocument.drawing+xml"/>
  <Override PartName="/xl/comments61.xml" ContentType="application/vnd.openxmlformats-officedocument.spreadsheetml.comments+xml"/>
  <Override PartName="/xl/drawings/drawing62.xml" ContentType="application/vnd.openxmlformats-officedocument.drawing+xml"/>
  <Override PartName="/xl/comments62.xml" ContentType="application/vnd.openxmlformats-officedocument.spreadsheetml.comments+xml"/>
  <Override PartName="/xl/drawings/drawing63.xml" ContentType="application/vnd.openxmlformats-officedocument.drawing+xml"/>
  <Override PartName="/xl/comments63.xml" ContentType="application/vnd.openxmlformats-officedocument.spreadsheetml.comments+xml"/>
  <Override PartName="/xl/drawings/drawing64.xml" ContentType="application/vnd.openxmlformats-officedocument.drawing+xml"/>
  <Override PartName="/xl/comments64.xml" ContentType="application/vnd.openxmlformats-officedocument.spreadsheetml.comments+xml"/>
  <Override PartName="/xl/drawings/drawing65.xml" ContentType="application/vnd.openxmlformats-officedocument.drawing+xml"/>
  <Override PartName="/xl/comments65.xml" ContentType="application/vnd.openxmlformats-officedocument.spreadsheetml.comments+xml"/>
  <Override PartName="/xl/drawings/drawing66.xml" ContentType="application/vnd.openxmlformats-officedocument.drawing+xml"/>
  <Override PartName="/xl/comments66.xml" ContentType="application/vnd.openxmlformats-officedocument.spreadsheetml.comments+xml"/>
  <Override PartName="/xl/drawings/drawing67.xml" ContentType="application/vnd.openxmlformats-officedocument.drawing+xml"/>
  <Override PartName="/xl/comments67.xml" ContentType="application/vnd.openxmlformats-officedocument.spreadsheetml.comments+xml"/>
  <Override PartName="/xl/drawings/drawing68.xml" ContentType="application/vnd.openxmlformats-officedocument.drawing+xml"/>
  <Override PartName="/xl/comments6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ricpronovost/Doppio/"/>
    </mc:Choice>
  </mc:AlternateContent>
  <xr:revisionPtr revIDLastSave="0" documentId="13_ncr:1_{E57AC3EE-4B26-4E45-994B-4579E59D9B2A}" xr6:coauthVersionLast="47" xr6:coauthVersionMax="47" xr10:uidLastSave="{00000000-0000-0000-0000-000000000000}"/>
  <bookViews>
    <workbookView xWindow="-40960" yWindow="-180" windowWidth="40960" windowHeight="22440" tabRatio="840" firstSheet="5" activeTab="12" xr2:uid="{00000000-000D-0000-FFFF-FFFF00000000}"/>
  </bookViews>
  <sheets>
    <sheet name="20001 RAINBOW" sheetId="29" r:id="rId1"/>
    <sheet name="20002  -IGS-USD" sheetId="76" r:id="rId2"/>
    <sheet name="20003 - NINGBO LIPINGE" sheetId="26" r:id="rId3"/>
    <sheet name="20004 - SUMAX" sheetId="66" r:id="rId4"/>
    <sheet name="20006 - DALIAN-COHESION" sheetId="12" r:id="rId5"/>
    <sheet name="20007 - DURABLE SPRING-DALIAN" sheetId="71" r:id="rId6"/>
    <sheet name="20008 - SUNZO 2024" sheetId="85" r:id="rId7"/>
    <sheet name="20009 - IGS-KAPCO" sheetId="73" r:id="rId8"/>
    <sheet name="20010 LDK-DEYUAN" sheetId="25" r:id="rId9"/>
    <sheet name="20012 CHANGZHOU LONGXIANG" sheetId="61" r:id="rId10"/>
    <sheet name="20015 - XIAMEN HARDWARE" sheetId="37" r:id="rId11"/>
    <sheet name="20016 - PENGCHEN" sheetId="28" r:id="rId12"/>
    <sheet name="20020 ASTIANJ" sheetId="63" r:id="rId13"/>
    <sheet name="20021SUZHOU MINICUT" sheetId="44" r:id="rId14"/>
    <sheet name="20025 - NEWLAND" sheetId="45" r:id="rId15"/>
    <sheet name="20039 CREATCOM" sheetId="68" r:id="rId16"/>
    <sheet name="20045 GLOBLGAS" sheetId="84" r:id="rId17"/>
    <sheet name="20046 RAYMEX" sheetId="30" r:id="rId18"/>
    <sheet name="20048 - ASRAYMOND UK" sheetId="92" r:id="rId19"/>
    <sheet name="20060 AMAIN" sheetId="64" r:id="rId20"/>
    <sheet name="20063 HANI50" sheetId="21" r:id="rId21"/>
    <sheet name="20070 Pravi Auto" sheetId="83" r:id="rId22"/>
    <sheet name="20085JING50-JINGXX" sheetId="23" r:id="rId23"/>
    <sheet name="20088 GALA" sheetId="17" r:id="rId24"/>
    <sheet name="20127 - SKYMAK" sheetId="65" r:id="rId25"/>
    <sheet name="20174 CHINARAY" sheetId="11" r:id="rId26"/>
    <sheet name="20276 - STROMS" sheetId="67" r:id="rId27"/>
    <sheet name="20307-ASBRAZIL" sheetId="87" r:id="rId28"/>
    <sheet name="20325 - FANGXING" sheetId="88" r:id="rId29"/>
    <sheet name="20068 DESTEK" sheetId="13" r:id="rId30"/>
    <sheet name=" 20109 ADVANCEH" sheetId="54" r:id="rId31"/>
    <sheet name="ACHILLES" sheetId="14" r:id="rId32"/>
    <sheet name="ANAND BODHE" sheetId="8" r:id="rId33"/>
    <sheet name="ASASIA" sheetId="50" r:id="rId34"/>
    <sheet name="AZOL" sheetId="10" r:id="rId35"/>
    <sheet name="AZOL 012319" sheetId="58" r:id="rId36"/>
    <sheet name="BH TAN" sheetId="43" r:id="rId37"/>
    <sheet name="DESAI" sheetId="70" r:id="rId38"/>
    <sheet name="DINGTH" sheetId="15" r:id="rId39"/>
    <sheet name="DINGTH (revised 043018)" sheetId="53" r:id="rId40"/>
    <sheet name="FILTO" sheetId="16" r:id="rId41"/>
    <sheet name="GAYSAN" sheetId="18" r:id="rId42"/>
    <sheet name="20120 GEEBR50" sheetId="19" r:id="rId43"/>
    <sheet name="20137 IDEAL GAS SPRING" sheetId="90" r:id="rId44"/>
    <sheet name="20017 MEGAHOO" sheetId="55" r:id="rId45"/>
    <sheet name="20389 SUMINISTROS POWER PAINT" sheetId="91" r:id="rId46"/>
    <sheet name="20055 TAICHEER" sheetId="5" r:id="rId47"/>
    <sheet name="20130 YILI" sheetId="39" r:id="rId48"/>
    <sheet name="GEEBR55" sheetId="20" r:id="rId49"/>
    <sheet name="HENGZHU" sheetId="22" r:id="rId50"/>
    <sheet name="KUNSHAN" sheetId="24" r:id="rId51"/>
    <sheet name="OCEAN SPRINGS" sheetId="27" r:id="rId52"/>
    <sheet name="SEEGER" sheetId="32" r:id="rId53"/>
    <sheet name="NINGBO SWIKOU" sheetId="33" r:id="rId54"/>
    <sheet name="SUDEEP" sheetId="69" r:id="rId55"/>
    <sheet name="SUNZO (OLD) " sheetId="48" r:id="rId56"/>
    <sheet name="TAMA" sheetId="40" r:id="rId57"/>
    <sheet name="TAMA (Redzone)" sheetId="41" r:id="rId58"/>
    <sheet name="WESTON BODY HARDWARE" sheetId="35" r:id="rId59"/>
    <sheet name="XIAMEN SHAPEX" sheetId="36" r:id="rId60"/>
    <sheet name="YCH" sheetId="38" r:id="rId61"/>
    <sheet name="YUH HSIN" sheetId="57" r:id="rId62"/>
    <sheet name="One time refund" sheetId="47" r:id="rId63"/>
    <sheet name="RAYFR" sheetId="51" r:id="rId64"/>
    <sheet name="RAYSP" sheetId="52" r:id="rId65"/>
    <sheet name="IGS-TAKA" sheetId="75" r:id="rId66"/>
    <sheet name="ISG-UK Pound Sterling" sheetId="77" r:id="rId67"/>
    <sheet name="Surya Auto" sheetId="80" r:id="rId68"/>
  </sheets>
  <definedNames>
    <definedName name="csDesignMode">1</definedName>
    <definedName name="Currency" localSheetId="30">#REF!</definedName>
    <definedName name="Currency" localSheetId="9">#REF!</definedName>
    <definedName name="Currency" localSheetId="44">#REF!</definedName>
    <definedName name="Currency" localSheetId="12">#REF!</definedName>
    <definedName name="Currency" localSheetId="13">#REF!</definedName>
    <definedName name="Currency" localSheetId="14">#REF!</definedName>
    <definedName name="Currency" localSheetId="19">#REF!</definedName>
    <definedName name="Currency" localSheetId="33">#REF!</definedName>
    <definedName name="Currency" localSheetId="35">#REF!</definedName>
    <definedName name="Currency" localSheetId="36">#REF!</definedName>
    <definedName name="Currency" localSheetId="39">#REF!</definedName>
    <definedName name="Currency" localSheetId="62">#REF!</definedName>
    <definedName name="Currency" localSheetId="63">#REF!</definedName>
    <definedName name="Currency" localSheetId="64">#REF!</definedName>
    <definedName name="Currency" localSheetId="55">#REF!</definedName>
    <definedName name="Currency" localSheetId="56">#REF!</definedName>
    <definedName name="Currency" localSheetId="57">#REF!</definedName>
    <definedName name="Currency" localSheetId="61">#REF!</definedName>
    <definedName name="Currency">#REF!</definedName>
    <definedName name="Entity" localSheetId="30">#REF!</definedName>
    <definedName name="Entity" localSheetId="9">#REF!</definedName>
    <definedName name="Entity" localSheetId="44">#REF!</definedName>
    <definedName name="Entity" localSheetId="12">#REF!</definedName>
    <definedName name="Entity" localSheetId="13">#REF!</definedName>
    <definedName name="Entity" localSheetId="14">#REF!</definedName>
    <definedName name="Entity" localSheetId="19">#REF!</definedName>
    <definedName name="Entity" localSheetId="33">#REF!</definedName>
    <definedName name="Entity" localSheetId="35">#REF!</definedName>
    <definedName name="Entity" localSheetId="36">#REF!</definedName>
    <definedName name="Entity" localSheetId="39">#REF!</definedName>
    <definedName name="Entity" localSheetId="62">#REF!</definedName>
    <definedName name="Entity" localSheetId="63">#REF!</definedName>
    <definedName name="Entity" localSheetId="64">#REF!</definedName>
    <definedName name="Entity" localSheetId="55">#REF!</definedName>
    <definedName name="Entity" localSheetId="56">#REF!</definedName>
    <definedName name="Entity" localSheetId="57">#REF!</definedName>
    <definedName name="Entity" localSheetId="61">#REF!</definedName>
    <definedName name="Entity">#REF!</definedName>
    <definedName name="_xlnm.Print_Area" localSheetId="30">' 20109 ADVANCEH'!$A$1:$J$53</definedName>
    <definedName name="_xlnm.Print_Area" localSheetId="0">'20001 RAINBOW'!$A$1:$J$53</definedName>
    <definedName name="_xlnm.Print_Area" localSheetId="1">'20002  -IGS-USD'!$A$1:$L$53</definedName>
    <definedName name="_xlnm.Print_Area" localSheetId="2">'20003 - NINGBO LIPINGE'!$A$1:$J$53</definedName>
    <definedName name="_xlnm.Print_Area" localSheetId="3">'20004 - SUMAX'!$A$1:$J$53</definedName>
    <definedName name="_xlnm.Print_Area" localSheetId="4">'20006 - DALIAN-COHESION'!$A$1:$J$53</definedName>
    <definedName name="_xlnm.Print_Area" localSheetId="5">'20007 - DURABLE SPRING-DALIAN'!$A$1:$L$53</definedName>
    <definedName name="_xlnm.Print_Area" localSheetId="6">'20008 - SUNZO 2024'!$A$1:$K$53</definedName>
    <definedName name="_xlnm.Print_Area" localSheetId="7">'20009 - IGS-KAPCO'!$A$1:$K$53</definedName>
    <definedName name="_xlnm.Print_Area" localSheetId="8">'20010 LDK-DEYUAN'!$A$1:$J$53</definedName>
    <definedName name="_xlnm.Print_Area" localSheetId="9">'20012 CHANGZHOU LONGXIANG'!$A$1:$J$53</definedName>
    <definedName name="_xlnm.Print_Area" localSheetId="10">'20015 - XIAMEN HARDWARE'!$A$1:$J$53</definedName>
    <definedName name="_xlnm.Print_Area" localSheetId="11">'20016 - PENGCHEN'!$A$1:$J$53</definedName>
    <definedName name="_xlnm.Print_Area" localSheetId="44">'20017 MEGAHOO'!$A$1:$J$88</definedName>
    <definedName name="_xlnm.Print_Area" localSheetId="12">'20020 ASTIANJ'!$A$1:$J$53</definedName>
    <definedName name="_xlnm.Print_Area" localSheetId="13">'20021SUZHOU MINICUT'!$A$1:$J$53</definedName>
    <definedName name="_xlnm.Print_Area" localSheetId="14">'20025 - NEWLAND'!$A$1:$J$53</definedName>
    <definedName name="_xlnm.Print_Area" localSheetId="15">'20039 CREATCOM'!$A$1:$J$53</definedName>
    <definedName name="_xlnm.Print_Area" localSheetId="16">'20045 GLOBLGAS'!$A$1:$K$53</definedName>
    <definedName name="_xlnm.Print_Area" localSheetId="17">'20046 RAYMEX'!$A$1:$J$53</definedName>
    <definedName name="_xlnm.Print_Area" localSheetId="18">'20048 - ASRAYMOND UK'!$A$1:$J$53</definedName>
    <definedName name="_xlnm.Print_Area" localSheetId="46">'20055 TAICHEER'!$A$1:$J$88</definedName>
    <definedName name="_xlnm.Print_Area" localSheetId="19">'20060 AMAIN'!$A$1:$J$53</definedName>
    <definedName name="_xlnm.Print_Area" localSheetId="20">'20063 HANI50'!$A$1:$J$53</definedName>
    <definedName name="_xlnm.Print_Area" localSheetId="29">'20068 DESTEK'!$A$1:$J$53</definedName>
    <definedName name="_xlnm.Print_Area" localSheetId="21">'20070 Pravi Auto'!$A$1:$J$53</definedName>
    <definedName name="_xlnm.Print_Area" localSheetId="22">'20085JING50-JINGXX'!$A$1:$J$53</definedName>
    <definedName name="_xlnm.Print_Area" localSheetId="23">'20088 GALA'!$A$1:$J$53</definedName>
    <definedName name="_xlnm.Print_Area" localSheetId="42">'20120 GEEBR50'!$A$1:$J$88</definedName>
    <definedName name="_xlnm.Print_Area" localSheetId="24">'20127 - SKYMAK'!$A$1:$J$53</definedName>
    <definedName name="_xlnm.Print_Area" localSheetId="47">'20130 YILI'!$A$1:$J$88</definedName>
    <definedName name="_xlnm.Print_Area" localSheetId="43">'20137 IDEAL GAS SPRING'!$A$1:$J$85</definedName>
    <definedName name="_xlnm.Print_Area" localSheetId="25">'20174 CHINARAY'!$A$1:$J$53</definedName>
    <definedName name="_xlnm.Print_Area" localSheetId="26">'20276 - STROMS'!$A$1:$J$53</definedName>
    <definedName name="_xlnm.Print_Area" localSheetId="27">'20307-ASBRAZIL'!$A$1:$J$53</definedName>
    <definedName name="_xlnm.Print_Area" localSheetId="28">'20325 - FANGXING'!$A$1:$J$53</definedName>
    <definedName name="_xlnm.Print_Area" localSheetId="45">'20389 SUMINISTROS POWER PAINT'!$B:$J</definedName>
    <definedName name="_xlnm.Print_Area" localSheetId="31">ACHILLES!$A$1:$J$53</definedName>
    <definedName name="_xlnm.Print_Area" localSheetId="32">'ANAND BODHE'!$A$1:$J$53</definedName>
    <definedName name="_xlnm.Print_Area" localSheetId="33">ASASIA!$A$1:$J$53</definedName>
    <definedName name="_xlnm.Print_Area" localSheetId="34">AZOL!$A$1:$J$53</definedName>
    <definedName name="_xlnm.Print_Area" localSheetId="35">'AZOL 012319'!$A$1:$J$53</definedName>
    <definedName name="_xlnm.Print_Area" localSheetId="36">'BH TAN'!$A$1:$J$53</definedName>
    <definedName name="_xlnm.Print_Area" localSheetId="37">DESAI!$A$1:$J$53</definedName>
    <definedName name="_xlnm.Print_Area" localSheetId="38">DINGTH!$A$1:$J$53</definedName>
    <definedName name="_xlnm.Print_Area" localSheetId="39">'DINGTH (revised 043018)'!$A$1:$J$88</definedName>
    <definedName name="_xlnm.Print_Area" localSheetId="40">FILTO!$A$1:$J$88</definedName>
    <definedName name="_xlnm.Print_Area" localSheetId="41">GAYSAN!$A$1:$J$88</definedName>
    <definedName name="_xlnm.Print_Area" localSheetId="48">GEEBR55!$A$1:$J$88</definedName>
    <definedName name="_xlnm.Print_Area" localSheetId="49">HENGZHU!$A$1:$J$88</definedName>
    <definedName name="_xlnm.Print_Area" localSheetId="65">'IGS-TAKA'!$A$1:$L$89</definedName>
    <definedName name="_xlnm.Print_Area" localSheetId="66">'ISG-UK Pound Sterling'!$A$1:$K$86</definedName>
    <definedName name="_xlnm.Print_Area" localSheetId="50">KUNSHAN!$A$1:$J$88</definedName>
    <definedName name="_xlnm.Print_Area" localSheetId="53">'NINGBO SWIKOU'!$A$1:$J$88</definedName>
    <definedName name="_xlnm.Print_Area" localSheetId="51">'OCEAN SPRINGS'!$A$1:$J$88</definedName>
    <definedName name="_xlnm.Print_Area" localSheetId="62">'One time refund'!$A$1:$J$88</definedName>
    <definedName name="_xlnm.Print_Area" localSheetId="63">RAYFR!$A$1:$J$88</definedName>
    <definedName name="_xlnm.Print_Area" localSheetId="64">RAYSP!$A$1:$J$88</definedName>
    <definedName name="_xlnm.Print_Area" localSheetId="52">SEEGER!$A$1:$J$88</definedName>
    <definedName name="_xlnm.Print_Area" localSheetId="54">SUDEEP!$A$1:$J$88</definedName>
    <definedName name="_xlnm.Print_Area" localSheetId="55">'SUNZO (OLD) '!$A$1:$J$88</definedName>
    <definedName name="_xlnm.Print_Area" localSheetId="67">'Surya Auto'!$A$1:$J$86</definedName>
    <definedName name="_xlnm.Print_Area" localSheetId="56">TAMA!$A$1:$J$88</definedName>
    <definedName name="_xlnm.Print_Area" localSheetId="57">'TAMA (Redzone)'!$A$1:$J$88</definedName>
    <definedName name="_xlnm.Print_Area" localSheetId="58">'WESTON BODY HARDWARE'!$A$1:$J$88</definedName>
    <definedName name="_xlnm.Print_Area" localSheetId="59">'XIAMEN SHAPEX'!$A$1:$J$88</definedName>
    <definedName name="_xlnm.Print_Area" localSheetId="60">YCH!$A$1:$J$88</definedName>
    <definedName name="_xlnm.Print_Area" localSheetId="61">'YUH HSIN'!$A$1:$J$88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5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1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9370BDC1-827C-44BB-AF25-C8D43FACEDDE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1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1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34055A5C-CD48-4D61-9ADB-DED60CECA06C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46A7A0E4-5D13-4458-A162-EAB31609A926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10DA1627-D061-4094-9C81-8421EF0BFF0D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AC76884D-9599-418F-9235-C5F9079F2ECC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E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BB784CCA-7BE5-494A-9FA3-018079D2838B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E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E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39CE4250-A930-435A-9785-BBA938AEE60E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C7F19EDE-127F-48AF-BDE8-9ACBBC52CE13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AA7C92E7-B3D8-486E-AFED-B3F94F7EF8CE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F3C51F8E-17AC-45EB-B912-A85ECA242CA5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B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7C96B687-CCAF-49EE-9163-3C17124613A2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B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53F1FA4E-CA09-4C36-BB31-F11F3E327A34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7B245D-81EA-49C6-BEEE-3E8E79F86455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79918F19-A3D0-4024-9254-3C93F7791F86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22A90CE6-64BA-494F-A289-D81406F1A85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A8C8F824-5ECA-477B-9E8A-8376D585996F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D49B4733-5ABE-4854-A4C8-44252EB558C7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8DF5F6DC-BC62-4C27-BCB2-37624DBAA0B1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6CADC3E6-AF11-4E04-8284-B82D0C71CBBE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B9990285-BEE2-4B53-8898-BD47E753D3F9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6F15E6AC-60DC-4273-A030-664DCACBED7A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4D8B24E2-9645-40E7-A543-0F865F52C004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FD871986-74FC-4E51-9FDA-EB144930D5A9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9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9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9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9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A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A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A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A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CE7E7E25-B2E0-4680-9F10-6F3067D72D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74F06F4D-FC36-402D-AB65-3C3A937812B8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AD73711F-D5E6-4767-A34E-127FC8B4DB03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1D6D8383-F376-4C47-8DF8-1A88A36D8947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0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9C837D70-0608-47C5-B243-115955CA330A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0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0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6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90EE3E8E-4899-4B9C-BED2-D38BB27A3374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6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C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C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C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C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D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D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D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D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60A51879-095E-4838-95CE-8076F9625843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E36FB2C8-8CA7-4675-8F1B-1C45EF0F8515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F4C00424-6810-4068-899C-6884E2BA9871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2B9B831E-9F4F-4C12-A88D-CC60DD673D29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46D96D2C-9ABE-485A-83BE-0888FD2925DB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6D8D68C9-B7A4-46C1-9470-4B2CBC93493E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DA950557-B632-4E9C-B91A-2843D171C217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7514A95A-C7BD-47E3-A9E2-506002161B37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2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2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2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2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63AB422E-9EE3-4104-B259-FE7FFD70739E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878CF10D-4346-4984-81A0-F8977E8A40FA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A894F4E8-FE9A-47D3-AB4F-F19576A1E03A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F850468-1CD1-453D-A5BD-323E8DE1C7FF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4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A972CE45-1212-49C7-AC8D-42E37330DA18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4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5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5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5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5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9BBEF6BB-E63F-4A67-A9B6-827776B9C181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DE8ECC97-BCC5-4C88-9DA4-4D2B8256C3F6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5C17E24-6575-4B07-83B8-9716491D17B1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5221A224-0060-4930-9981-504FEFB46DBC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7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7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1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1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1572D3B6-5B43-43CC-9597-E4D9CC9EB4EF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F055C4FD-929D-4E75-812F-45167F3C2665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474DAC16-BBFF-4317-A2B7-EED038DCE396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84882AF2-19BA-4258-8E73-C1263A838038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A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8F913194-37F1-429A-B634-1C03C38DA359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A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1869998-7DBD-48A4-82FC-C1F7455D7DA6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F4D8CB0-D299-431C-A29B-43E62EC5F801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6087F8E3-6A2D-4D29-A743-90BDFD1BF52A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EB004E95-1244-49B3-B5B1-A20568A497C1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F25AB41F-2283-4023-800A-55031E1C7737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56AA4C1D-B12C-4D05-B6F7-56E32B182822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EDBAB6E6-8467-4E92-9286-202871E1ED15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BD79F9FE-DB7F-4CD5-BBDB-9792EDAE836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9A5BFA69-6D89-42B6-8FA7-BE02EEF2D864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DC7DE295-B4C4-412F-971A-84CD1F5C30FA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234DA69D-2A9A-430F-BDC4-DFDF464FDC83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ECBF2037-DC41-4AD9-A234-A1C7C917ABAD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D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D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1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1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0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0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2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2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5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5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7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7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8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8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9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9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57BBA224-FF6F-4361-A65F-D1451C03C69C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59A7F87B-09A4-44C8-834D-FFDC07C4D8AC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FAF82FC0-DD11-4283-978E-090F4718318E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446A286F-82A7-45E1-AFA7-06DA6B3813F8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E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E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0F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0F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0F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0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0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2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2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2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2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3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3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3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3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D62BABED-CA54-4DA0-B097-617FAA624A61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868ADEBE-63F8-4B74-B733-F31B8CD62CD5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86EEA285-3E40-4E7E-9273-008F199EDB0F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D9BC0F99-35FE-4ADD-9360-4E49D7BF31E7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B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B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B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B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B077F717-75AC-498A-BF13-29C6B0EDEE03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929EAE7B-943F-4D97-8E11-88ABA09A26ED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2ED51FFD-D4F1-4D88-8D07-8A1848094559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67425902-C8CD-44A3-A4E7-6BD2ECF2C92F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7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7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7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7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D6BC3E54-4BDD-463F-9C03-7FE3578C8CC8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81E5DA85-C66E-4BC7-8712-8349F2F69351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6BB091F4-9F71-4C94-84D7-77FD5C74266F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D3415D6D-F0F6-4A31-8717-74B550B4A7C8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4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4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4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4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6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6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6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8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8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8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8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1F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1F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1F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1F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4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6D7AB256-2F9A-4A3E-8F6D-DE912E40595A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4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4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5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5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5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5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AD5B4FD0-C31A-4E73-AE1A-2283A368073D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F9EA52DB-AC66-44FD-8355-878B0F7879DA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C273114D-1147-483C-89CB-BE31C3D4EFFC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8BDD0E33-C05A-45E8-BBB1-BC39DB5FFD0E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6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6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6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6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8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8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8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8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9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9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9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9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A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A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A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A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B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B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E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E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E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E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2F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2F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2F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2F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31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31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31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31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32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32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32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32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00000000-0006-0000-3300-000001000000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00000000-0006-0000-3300-000002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00000000-0006-0000-3300-000003000000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00000000-0006-0000-3300-000004000000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2B5C9BB1-33CD-4BE7-8932-2CB521C96313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808782B5-4958-4608-BA4F-ADCFD3F42986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B985133B-1E94-4430-8BEB-013D69415423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5C3BAD78-33CC-432B-8C5B-FAE0A1F58669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8867E64D-9641-4298-BCB9-5A1D009FF9C3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3804698D-2D14-4721-96DD-5EDCC0FAB39F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78491915-9BED-4C2F-A0B6-5E686D57AC08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927B50EC-5ECD-4C7D-B909-C71AE7A5C4AF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Joel Rafaniello</author>
  </authors>
  <commentList>
    <comment ref="D12" authorId="0" shapeId="0" xr:uid="{BB659ABB-7D70-4459-8E04-0AE02E212B18}">
      <text>
        <r>
          <rPr>
            <i/>
            <sz val="9"/>
            <color indexed="81"/>
            <rFont val="Tahoma"/>
            <family val="2"/>
          </rPr>
          <t>See below for amounts &gt; $50,000 &amp; $250,000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i/>
            <sz val="9"/>
            <color indexed="81"/>
            <rFont val="Tahoma"/>
            <family val="2"/>
          </rPr>
          <t xml:space="preserve"> Do not add a currency symbol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8" authorId="0" shapeId="0" xr:uid="{48FE518F-70C9-4DC4-9FDA-E090DF87BEF9}">
      <text>
        <r>
          <rPr>
            <b/>
            <sz val="9"/>
            <color indexed="81"/>
            <rFont val="Tahoma"/>
            <family val="2"/>
          </rPr>
          <t>I</t>
        </r>
        <r>
          <rPr>
            <i/>
            <sz val="9"/>
            <color indexed="81"/>
            <rFont val="Tahoma"/>
            <family val="2"/>
          </rPr>
          <t>ndividual requesting payment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1" authorId="0" shapeId="0" xr:uid="{32C1C7C4-86E1-4E75-B070-81E00B521DD9}">
      <text>
        <r>
          <rPr>
            <b/>
            <sz val="9"/>
            <color indexed="81"/>
            <rFont val="Tahoma"/>
            <family val="2"/>
          </rPr>
          <t>I</t>
        </r>
        <r>
          <rPr>
            <b/>
            <i/>
            <sz val="9"/>
            <color indexed="81"/>
            <rFont val="Tahoma"/>
            <family val="2"/>
          </rPr>
          <t xml:space="preserve">ndividual approving payment
</t>
        </r>
      </text>
    </comment>
    <comment ref="B64" authorId="0" shapeId="0" xr:uid="{8D63E9DD-9A87-4233-93F3-C265EA42C7AE}">
      <text>
        <r>
          <rPr>
            <sz val="9"/>
            <color indexed="81"/>
            <rFont val="Tahoma"/>
            <family val="2"/>
          </rPr>
          <t>President CEO: Patrick Dempsey, PJDempsey@bginc.com, 860 973-214 Approval &gt;$5,000,000
Senior VP CFO: Chris Stephens, cstephens@bginc.com, 860 973-2109 Approval &gt;$5,000,000
VP Treasurer: Michael Kennedy, mkennedy@bginc.com, 860 973-2126 Approval $5,000,000
VP Corporate Controller: Marian Acker, macker@bginc.com, 860 973-2192 Approval $5,000,000
Assistant Treasurer:  Joachim Hinzen, jhinzen@bginc.com, 860 973-2140 Approval $5,000,000</t>
        </r>
      </text>
    </comment>
  </commentList>
</comments>
</file>

<file path=xl/sharedStrings.xml><?xml version="1.0" encoding="utf-8"?>
<sst xmlns="http://schemas.openxmlformats.org/spreadsheetml/2006/main" count="4691" uniqueCount="543">
  <si>
    <t>Amount:</t>
  </si>
  <si>
    <t>Bank Name</t>
  </si>
  <si>
    <t>Beneficiary Name</t>
  </si>
  <si>
    <t>G/L Account:</t>
  </si>
  <si>
    <t>Beneficiary:</t>
  </si>
  <si>
    <t xml:space="preserve"> </t>
  </si>
  <si>
    <t>Bank Address</t>
  </si>
  <si>
    <t xml:space="preserve">Beneficiary Address </t>
  </si>
  <si>
    <t>Invoice Number:</t>
  </si>
  <si>
    <t xml:space="preserve">     Currency:</t>
  </si>
  <si>
    <t xml:space="preserve">     Due Date:</t>
  </si>
  <si>
    <t>Approver: ______________________</t>
  </si>
  <si>
    <t>Approver's Division/Location:______________________</t>
  </si>
  <si>
    <t xml:space="preserve">     Person Contacted:    ___________________________</t>
  </si>
  <si>
    <t xml:space="preserve">     Date Contacted:          ___________________________</t>
  </si>
  <si>
    <t xml:space="preserve">     Phone:                           ___________________________</t>
  </si>
  <si>
    <t>Validation:</t>
  </si>
  <si>
    <t>Date:</t>
  </si>
  <si>
    <t>__________________________</t>
  </si>
  <si>
    <t>Requestor: _____________________</t>
  </si>
  <si>
    <t>Authorization and Authentication:</t>
  </si>
  <si>
    <t>Authentication</t>
  </si>
  <si>
    <t>Approver's Printed Name/Title: __________________________________________</t>
  </si>
  <si>
    <t>Beneficiary &amp; Bank Information:</t>
  </si>
  <si>
    <t>Bank Routing (Local [ABA, Sort Code] or SWIFT Code)</t>
  </si>
  <si>
    <t>Non-Recurring and/or First Time Disbursement Request above USD 50,000 (see section 3.2. of policy 3A-1)</t>
  </si>
  <si>
    <t>Releaser</t>
  </si>
  <si>
    <t>Bank Account Number (IBAN if available)</t>
  </si>
  <si>
    <t>Date: ______________</t>
  </si>
  <si>
    <t>Beneficiary Account Number</t>
  </si>
  <si>
    <t>Bank Routing or ABA#</t>
  </si>
  <si>
    <t>Initiator/Processor</t>
  </si>
  <si>
    <t>Officer Approval: ______________________</t>
  </si>
  <si>
    <t>(Officer List)</t>
  </si>
  <si>
    <t>Disbursement Request Form</t>
  </si>
  <si>
    <t>SWIFT Code (payment outside U.S.)</t>
  </si>
  <si>
    <t>Entity</t>
  </si>
  <si>
    <t>Need to meet and Include appropriate approvals per CPM 103</t>
  </si>
  <si>
    <t>(As per Corporate Policy Manual 103 Approval Matrix)</t>
  </si>
  <si>
    <t>CPM 103 Approval Level</t>
  </si>
  <si>
    <t>Approver</t>
  </si>
  <si>
    <t>ALL DISBURSMENT REQUESTS MUST BE ACCOMPANIED BY AN INVOICE OR OTHER REQUIRED SUPPORTING DOCUMENTS AND ALL FIELDS MUST BE COMPLETED OR PAYMENT WILL NOT BE PROCESSED</t>
  </si>
  <si>
    <t>Check Box that evidence of Authorized Officers' approval is required</t>
  </si>
  <si>
    <t>(Approver must contact two of the Authorized Officers and secure signed approval)</t>
  </si>
  <si>
    <t>Payment over $250,000.00 requires Authentication by Initiator/Processor (see section 4.1.2 of policy 3A-1)</t>
  </si>
  <si>
    <t>To Be Completed by the Initiator/Processor in Treasury, Shared Services, or local Finance banking team.</t>
  </si>
  <si>
    <t>Requestor/Approver</t>
  </si>
  <si>
    <t>Requestor</t>
  </si>
  <si>
    <t>Tai Cheer Industrial Co</t>
  </si>
  <si>
    <t>Jeffrey Fillback</t>
  </si>
  <si>
    <t>FIRST COMMERCIAL BANK HEAD OFFICE</t>
  </si>
  <si>
    <t>553-40-001316</t>
  </si>
  <si>
    <t>FCBKTWTPXXX</t>
  </si>
  <si>
    <t>Hangzhou Advance Hardware</t>
  </si>
  <si>
    <t>Manufacturing Co</t>
  </si>
  <si>
    <t>Anand Bodhe Group</t>
  </si>
  <si>
    <t>ANAND BODHE GROUP</t>
  </si>
  <si>
    <t>4 SHIVSHANKER PAWARD NGAR GALL NO 1   PUNE 411027 MAHARASHTRA</t>
  </si>
  <si>
    <t>HDFC BANK LTD</t>
  </si>
  <si>
    <t>S NO 56/1 KAWADE NAGAR NEW SANGAVI PUNE 411027 MAHARASHTRA INDIA</t>
  </si>
  <si>
    <t>HDFCINBB</t>
  </si>
  <si>
    <t>Amain Trading Ltd</t>
  </si>
  <si>
    <t>Azol-Gas SL</t>
  </si>
  <si>
    <t>BANCO BILBAO VIZCAYA</t>
  </si>
  <si>
    <t>AZOLGAS</t>
  </si>
  <si>
    <t>01822349310010000744</t>
  </si>
  <si>
    <t>Associated Spring Raymond Shanghai</t>
  </si>
  <si>
    <t>Associated Spring Raymond</t>
  </si>
  <si>
    <t>Shanghai</t>
  </si>
  <si>
    <t>Industrial and Commercial Bank of China</t>
  </si>
  <si>
    <t>CHINARAY</t>
  </si>
  <si>
    <t>ICBKCNBJSHI  /  1001190709016239894</t>
  </si>
  <si>
    <t>Dalian Topway Precise Mould &amp;</t>
  </si>
  <si>
    <t>Die Co., LTD.</t>
  </si>
  <si>
    <t>Dalian Topway Precise Mould &amp; Die Co., LTD.</t>
  </si>
  <si>
    <t>China Construction Bank Dalian Branch</t>
  </si>
  <si>
    <t>No. 143 Jinma Road Development Zone Dalian China</t>
  </si>
  <si>
    <t>21250163005400000064</t>
  </si>
  <si>
    <t>PCBCCNBJDLX</t>
  </si>
  <si>
    <t>Destek Otomotiv Yan Sanayi Ve</t>
  </si>
  <si>
    <t>Ticar</t>
  </si>
  <si>
    <t>Destek Pazarlama ve Dis Ticaret A.S</t>
  </si>
  <si>
    <t>Halk Bankasi, Branch: Nilufer</t>
  </si>
  <si>
    <t>TRHBTR2A</t>
  </si>
  <si>
    <t>Achilles Information Limited</t>
  </si>
  <si>
    <t>Lloyds TSB Bank Pic</t>
  </si>
  <si>
    <t>LOYDGB2LCTY</t>
  </si>
  <si>
    <t>OT-Ningbo Dingth Gas Springs</t>
  </si>
  <si>
    <t>Co LTD</t>
  </si>
  <si>
    <t>Bank of China(Hong Kong) LTD</t>
  </si>
  <si>
    <t>DINGTH</t>
  </si>
  <si>
    <t>BKCHCNBJ45A  /  0120177063845</t>
  </si>
  <si>
    <t>Filtomatic Fasteners</t>
  </si>
  <si>
    <t>Gala Precision Engineering PVT, LTD</t>
  </si>
  <si>
    <t>GALA</t>
  </si>
  <si>
    <t>Gaysan Istanbul</t>
  </si>
  <si>
    <t>Turklye Is Bkasi</t>
  </si>
  <si>
    <t>GAYS50/GAYSXX</t>
  </si>
  <si>
    <t>ISBKTRISXXX  /  432794</t>
  </si>
  <si>
    <t>Gee Bridge International</t>
  </si>
  <si>
    <t>Citi Bank Taiwan Limited</t>
  </si>
  <si>
    <t>GEEBRE50</t>
  </si>
  <si>
    <t>CITITWTX  /  5035019504</t>
  </si>
  <si>
    <t>Huah Ying International Limited</t>
  </si>
  <si>
    <t>GEEBR55</t>
  </si>
  <si>
    <t>Hanil Precision Co., LTD</t>
  </si>
  <si>
    <t>KYONG NAM BANK, KIMHAE BRANCH</t>
  </si>
  <si>
    <t>Jaingxi Hengzhu Electrical Cabinet</t>
  </si>
  <si>
    <t>Bank of China Jiangxi Yichun Branch</t>
  </si>
  <si>
    <t>HENGZHU</t>
  </si>
  <si>
    <t>738770944598093014  /  BKCHCNBJ550</t>
  </si>
  <si>
    <t>Jingmays Industrial Co, LTD</t>
  </si>
  <si>
    <t>JINGMAYS INDUSTRIAL CO, LTD</t>
  </si>
  <si>
    <t xml:space="preserve">TAIPEI FUBON COML BANK CO. LTD. </t>
  </si>
  <si>
    <t>JING50-JINGXX</t>
  </si>
  <si>
    <t>TPBKTWTP600  /  600102117767</t>
  </si>
  <si>
    <t>Kunshan Kersen Technology Co</t>
  </si>
  <si>
    <t>KUNSHAN KERSEN TECHNOLOGY CO</t>
  </si>
  <si>
    <t>BANK OF COMMUNICATIONS KUNSHAN SUB-BRANCH</t>
  </si>
  <si>
    <t>Deyuan Bearing Industrial LTD</t>
  </si>
  <si>
    <t>LDK</t>
  </si>
  <si>
    <t>ICBKCNBJFJN  /  1408010709341006541</t>
  </si>
  <si>
    <t>Ningbo Lipinge Machine</t>
  </si>
  <si>
    <t>Industry Co, LTD</t>
  </si>
  <si>
    <t>NINGBO LIPINGE MACHINE INDUSTRY CO, LTD</t>
  </si>
  <si>
    <t>BANK OF NINGBO</t>
  </si>
  <si>
    <t>NING70</t>
  </si>
  <si>
    <t>BKNBCN2NXXX  /  83060120101010937</t>
  </si>
  <si>
    <t>Ocean springs metal manufacture</t>
  </si>
  <si>
    <t>limited</t>
  </si>
  <si>
    <t>Ocean springs metal manufacture limited</t>
  </si>
  <si>
    <t>Block B, 13/F., Wang Kwong Industrial Bldg, 45 Hung To Road, Kwun Tong, Kowloon, H.K.</t>
  </si>
  <si>
    <t>HSBC of Hong Kong</t>
  </si>
  <si>
    <t>Head No. 1 Queen's Road Central, Hong Kong</t>
  </si>
  <si>
    <t>078-304888-838</t>
  </si>
  <si>
    <t>HSBCHKHHHKH</t>
  </si>
  <si>
    <t>PENGCHEN</t>
  </si>
  <si>
    <t>Ningbo Pengchen Electric Applianceor</t>
  </si>
  <si>
    <t>Bank of China Limited</t>
  </si>
  <si>
    <t>BKCHCNBJ92A  /  810030478108093014</t>
  </si>
  <si>
    <t>Rainbow Metal Spring Co, LTD</t>
  </si>
  <si>
    <t>HSBC HONG KONG</t>
  </si>
  <si>
    <t>Raymond Mexico</t>
  </si>
  <si>
    <t>BANCOMER</t>
  </si>
  <si>
    <t>RAYMEX</t>
  </si>
  <si>
    <t>012580004514924898  /  0451492489 (USD)</t>
  </si>
  <si>
    <t>Seeger Orbis GMBH &amp; Co</t>
  </si>
  <si>
    <t>Commerzbank Frankfurt</t>
  </si>
  <si>
    <t>DRESDEFF  /  DE73500800000097022000</t>
  </si>
  <si>
    <t>NINGBO SWIKUO MACHINERY CO., LTD</t>
  </si>
  <si>
    <t>NO. 700 NINGNAN SOUTH ROAD, NINGBO, P.R CHINA, 315100</t>
  </si>
  <si>
    <t>50022029000006161</t>
  </si>
  <si>
    <t>BKNBCB2N</t>
  </si>
  <si>
    <t>Yangzhou Sunzo Spring</t>
  </si>
  <si>
    <t>Weston Body Hardware</t>
  </si>
  <si>
    <t>Lloyds Bank</t>
  </si>
  <si>
    <t>Xiamen Shapex Enterprise Ltd</t>
  </si>
  <si>
    <t>BANK OF COMMUNICATIONS XIAMEN BRANCH XIAMEN CHINA</t>
  </si>
  <si>
    <t>2 FL BANK OF COMMUNICATIONS BLDG NO 9, HUBIN ZHONG RD XIAMEN FUJIAN CHINA</t>
  </si>
  <si>
    <t>352000665146300003656</t>
  </si>
  <si>
    <t>COMMCNSHIMN</t>
  </si>
  <si>
    <t>Ambitious Zone Trading Co., LTD</t>
  </si>
  <si>
    <t>AMBITIOUS ZONE TRADING CO., LTD</t>
  </si>
  <si>
    <t>HUA NAN COMMERCIAL BANK LTD. OFFSHORE BANKING BRANCH</t>
  </si>
  <si>
    <t>No.38, SEC.1, CHUNG-KING SOUTH ROAD</t>
  </si>
  <si>
    <t>520-99-0003285</t>
  </si>
  <si>
    <t>HNBKTWTP521</t>
  </si>
  <si>
    <t>Ningbo Yili Shock Absorber Co., LTD</t>
  </si>
  <si>
    <t>66 Xunhai Road, Chunxiao, Beilun, Ningbo 315830, China</t>
  </si>
  <si>
    <t>Ningbo Swikuo Machinery Co, LTD</t>
  </si>
  <si>
    <t xml:space="preserve">SHARAD KUNJ DR. MOOSE RD </t>
  </si>
  <si>
    <t>TALAOPALI THANE WEST 400602</t>
  </si>
  <si>
    <t>HDFCINBBXXX</t>
  </si>
  <si>
    <t>Jeff Fillback</t>
  </si>
  <si>
    <t>Tama Spring Co</t>
  </si>
  <si>
    <t>Tama Spring Co., LTD</t>
  </si>
  <si>
    <t>2-2-5, Oyamagaoka, Machida-Shi, Tokyo, Japan 194-0215</t>
  </si>
  <si>
    <t>The Bank of Tokyo Mitsubishi UFJ, LTD. Machida Branch</t>
  </si>
  <si>
    <t>6-11-19, Haramachida, Machida-Shi, Tokyo, Japan 194-8558</t>
  </si>
  <si>
    <t>228-0227023</t>
  </si>
  <si>
    <t>BOTKJPJKTXXX</t>
  </si>
  <si>
    <t>Redzone Co., LTD.</t>
  </si>
  <si>
    <t>Redzone Co., LTD</t>
  </si>
  <si>
    <t>The Bank of Tokyo-Mitsubishi UFJ, Ltd. Kurume Branch</t>
  </si>
  <si>
    <t>23-3, Hiyoshimachi, Kurume-shi, Fukuoka, 830-0017, Japan</t>
  </si>
  <si>
    <t>BOTKJPJT</t>
  </si>
  <si>
    <t>53100220 / TR470001200122900053100220</t>
  </si>
  <si>
    <t>DEYUAN BEARING MANUFACTURING LTD</t>
  </si>
  <si>
    <t>B.H. Tan</t>
  </si>
  <si>
    <t>Tan Boon Hoe</t>
  </si>
  <si>
    <t>United Overseas Bank Limited (UOB)</t>
  </si>
  <si>
    <t>80 Raffles Place, UOB Plaza 1, Singapore 048624</t>
  </si>
  <si>
    <t>135-130-844-9</t>
  </si>
  <si>
    <t>UOVBSGSG</t>
  </si>
  <si>
    <t>OT-Ningbo Dingth Gas Spring Co LTD</t>
  </si>
  <si>
    <t>Suzhou Minicut Precision</t>
  </si>
  <si>
    <t>Engineering Co., Ltd</t>
  </si>
  <si>
    <t>SUZHOU MINICUT PRECISION ENGINEERING CO., LTD</t>
  </si>
  <si>
    <t>NO. 99 XINFENG ROAD, SUZHOU, JIANGSU, CHINA 215164</t>
  </si>
  <si>
    <t>BANK OF CHINA, SUZHOU WUZHONG BRANCH</t>
  </si>
  <si>
    <t>108 DONGWU BEI ROAD, SUZHOU, JIANGSU, CHINA 215128</t>
  </si>
  <si>
    <t>BKCHCNBJ95B</t>
  </si>
  <si>
    <t>506658214892</t>
  </si>
  <si>
    <t>No. 1, Songzhi Road, Xinyi Dist., Taipei, Taiwan, ROC</t>
  </si>
  <si>
    <t>Ningbo New Land Hardware Co. Ltd.</t>
  </si>
  <si>
    <t>Ningbo Fengya Imp. &amp; Exp. Co., Ltd.</t>
  </si>
  <si>
    <t>Room 305, Yuehuyinzuo, No.66, East Road Nanzhan, Ningbo, China</t>
  </si>
  <si>
    <t>OCBC Wing Hang Bank Limited</t>
  </si>
  <si>
    <t>161 Queen's Road Central, Hong Kong</t>
  </si>
  <si>
    <t>WIHBHKHH</t>
  </si>
  <si>
    <t>15B, 15/F Cheuk Nang Plaza 250 Hennessy Road, Hong Kong</t>
  </si>
  <si>
    <t>Yangzhou Sunzo Spring Industry Co Limited</t>
  </si>
  <si>
    <t>ICRAITRR950</t>
  </si>
  <si>
    <t>B.C.C. BRIANZE E LAGHI</t>
  </si>
  <si>
    <t>IT54R0832933250000000000186</t>
  </si>
  <si>
    <t>28 Tuas Avenue 2 Singapore 639459</t>
  </si>
  <si>
    <t>DBS Bank Limited</t>
  </si>
  <si>
    <t xml:space="preserve">12 Marina Boulevard Level 45, DBS Asia Central @ Marina Bay Financial </t>
  </si>
  <si>
    <t>Centre Tower 3, Singapore 018982</t>
  </si>
  <si>
    <t>DBSSSGSG</t>
  </si>
  <si>
    <t>CCFRFRPP</t>
  </si>
  <si>
    <t>FR7630056000260026201883162</t>
  </si>
  <si>
    <t>BKBKESMM</t>
  </si>
  <si>
    <t>ES9401280320730100035822</t>
  </si>
  <si>
    <t>Raymond Spain</t>
  </si>
  <si>
    <t>Euro</t>
  </si>
  <si>
    <t>Raymond France</t>
  </si>
  <si>
    <t>HSBC France</t>
  </si>
  <si>
    <t>Bank of China Yuyao Sub-branch</t>
  </si>
  <si>
    <t>58 South ShunShui Road, Yuyao, Zhejiang Province, P.R. China</t>
  </si>
  <si>
    <t>BKCHCNBJ92A</t>
  </si>
  <si>
    <t>Yuyau Jiujiu Trading Co., Ltd.</t>
  </si>
  <si>
    <t>No. A 5/F.,2 South Shunshui Road, Yuyao, Zhejiang Province, P.R. China</t>
  </si>
  <si>
    <t>BANK OF NINGBO HANGZHOU BRANCH</t>
  </si>
  <si>
    <t>NO. 146 BAOCHU ROAD, HANGZHOU, ZHEJIAN, P.R.CHINA, 331000</t>
  </si>
  <si>
    <t>HANGZHOU ADVANCE HARDWARE MFG CORP</t>
  </si>
  <si>
    <t>SHANGHAI MEGAHOO INTERNATIONAL</t>
  </si>
  <si>
    <t>TRADE CO., LTD</t>
  </si>
  <si>
    <t>SHANGHAI MEGAHOO INTERNATIONAL TRADE CO., LTD</t>
  </si>
  <si>
    <t>NO. 353, 4TH FLOOR, FUTE ROAD (N), WAIGAOQIAO FREE TRADE ZONE, SHANGHAI, CHINA, 200131</t>
  </si>
  <si>
    <t>175578-11008449249027</t>
  </si>
  <si>
    <t>Ping An Bank Company Ltd. Shanghai Luwan Sub-branch</t>
  </si>
  <si>
    <t>1/F, Hua Lun Building, No.560 Xu Jia Hui Road, Shanghai, China</t>
  </si>
  <si>
    <t>SZDBCNBS</t>
  </si>
  <si>
    <t>1/F., NO. 508 TI YUCHANG ROAD, HANGZHOU, CHINA</t>
  </si>
  <si>
    <t>USD</t>
  </si>
  <si>
    <t>1-2F, GANGXING STREET 39-3#, ECONOMIC AND TECHNOLOGICAL DEVELOPMENT ZONE, DALIAN, CHINA</t>
  </si>
  <si>
    <t>Bursa O.S.B.Lacivert Cadde 2.Sokak No:3, 16159 Nilufer, Bursa/Turkey</t>
  </si>
  <si>
    <t>Plot No.302-II, Village Musarne.At Post Met. Musane Road, Bhiwandi-Wada Highway, Palghar-421 312 Maharashtra India</t>
  </si>
  <si>
    <t>5th Floor No. 44, Lane 80, Nangang Rd. Sec. 3 Taipei, Taiwan</t>
  </si>
  <si>
    <t>98-17 SANGDONG-RO SANGDON-MYEON GIMHAE, GYEONGNAM, KOREA</t>
  </si>
  <si>
    <t>606-9, Buwon Dong, Kimhae City, Kyong Nam Province, Korea</t>
  </si>
  <si>
    <t>563350004841</t>
  </si>
  <si>
    <t>KYNAKR22</t>
  </si>
  <si>
    <t>2F, NO.135, SEC. 2, KEELUNG RD., TAIPEI</t>
  </si>
  <si>
    <t>NO 389 KUNJIA ROAD ECONOMIC DEVELOPMENT ZONE KUNSHAN, JIANGSU, CHINA</t>
  </si>
  <si>
    <t>263 WEST QIAN JIN ROAD, KUNSHAN CITY, JIANGSU CHINA</t>
  </si>
  <si>
    <t>391680666146300016862</t>
  </si>
  <si>
    <t>COMMCNSHSUZ</t>
  </si>
  <si>
    <t>DEYUAN BEARING MANUFACTURING CO., LTD.</t>
  </si>
  <si>
    <t>Xipu Industry Park, Luojiang Zone, Quanzhou, Fujian, China</t>
  </si>
  <si>
    <t>NO. 188, Baixian Rd., Dongjiao Industrial Zone, Fenghua District, Ningbo City, China 315500</t>
  </si>
  <si>
    <t>No. 288, Huilan Road, JiShiGang Town, Yinzhou area, Ningbo</t>
  </si>
  <si>
    <t>1 Queen's Road Central Hong Kong</t>
  </si>
  <si>
    <t>033-726613-838</t>
  </si>
  <si>
    <t>PARK CHEH, SHIQI TOWN, YINZHOU DISTRICT, NINGBO 315153, CHINA</t>
  </si>
  <si>
    <t>NO.196-3, HSIN CHUANG LI, TU KU CHEN, YUN LIN HSIEN, TAIWAN</t>
  </si>
  <si>
    <t>Yuh Hsin Industrial Ltd.</t>
  </si>
  <si>
    <t>YUH HSIN INDUSTRIAL LTD.</t>
  </si>
  <si>
    <t>FUBON BANK (Hong Kong) Limited, Hong Kong</t>
  </si>
  <si>
    <t>Fubon Bank Building, 38 Des Voeux Road Central, HK</t>
  </si>
  <si>
    <t>02400867088001</t>
  </si>
  <si>
    <t>IBALHKHH</t>
  </si>
  <si>
    <t>357158349702</t>
  </si>
  <si>
    <t>ROOM 803,8/F, WING KWOK CENTER, 182 WOOSUNG STREET, JORDAN KOWLOON HONG KONG</t>
  </si>
  <si>
    <t>BANCO BILBAO VIZCAYA ARGENTARIA, S.A.</t>
  </si>
  <si>
    <t>ES3301822349362010003033</t>
  </si>
  <si>
    <t>CALLE LANDALUCIA 0007 (POLIGONO DE JUNDIZ)-01015, VITORIA GASTEIZ (ARABA/ALAVA)</t>
  </si>
  <si>
    <t>BBVAESMMXXX</t>
  </si>
  <si>
    <t>CHANGZHOU LONGXIANG GAS SPRING CO.,LTD</t>
  </si>
  <si>
    <t>SPRING CO.,LTD</t>
  </si>
  <si>
    <t>CHANGZHOU LONGXIANG GAS</t>
  </si>
  <si>
    <t>SOUTH OF WUJIN DISTRICT, CHANG ZHOU CITY, JIANG SU PROVINCE, CHINA</t>
  </si>
  <si>
    <t>10600414040017250</t>
  </si>
  <si>
    <t>AGRICULTURAL BANK OF CHINA CHANGZHOU WUJIN SUB BRANCH</t>
  </si>
  <si>
    <t>NO.88 HUAYUAN ST HUTANG WUJIN CHANGZHOU JIANGSU CHINA</t>
  </si>
  <si>
    <t>ABOCCNBJ</t>
  </si>
  <si>
    <t>Associated Spring(Tianjin) Co., Ltd</t>
  </si>
  <si>
    <t>Bank of China Tianjin Branch</t>
  </si>
  <si>
    <t>280460037894</t>
  </si>
  <si>
    <t>BKCHCNBJ200</t>
  </si>
  <si>
    <t>Haujoy (Zhangjiagang) International Co., Ltd.</t>
  </si>
  <si>
    <t>802000065996788</t>
  </si>
  <si>
    <t>RCBZCNSH</t>
  </si>
  <si>
    <t>Rural Commercial Bank of Zhangjiagang</t>
  </si>
  <si>
    <t>SkyMaker AB</t>
  </si>
  <si>
    <t>HANDSESS</t>
  </si>
  <si>
    <t>Svenska Handelsbanken AB</t>
  </si>
  <si>
    <t>Farbror Melins Torg 1, 582 22 Linkoping</t>
  </si>
  <si>
    <t>SE78 6000 0000 0007 8172 1458</t>
  </si>
  <si>
    <t>781 721 458</t>
  </si>
  <si>
    <t>Skymaker AB</t>
  </si>
  <si>
    <t>Sunnorpsgatan 19, 58273 LINKOPING, Sweden</t>
  </si>
  <si>
    <t>Richard Bascom</t>
  </si>
  <si>
    <t>Sumax Enterprises Pvt Ltd</t>
  </si>
  <si>
    <t>Sumax Enterprises Pvt. Ltd.</t>
  </si>
  <si>
    <t>STROMSHOLMEN</t>
  </si>
  <si>
    <t>VERKSTADSGATAN 16, SE-571 23 TRANAS SWEDEN</t>
  </si>
  <si>
    <t>SE39 3000 000 00306 2180 3499</t>
  </si>
  <si>
    <t>NORDEA BANK AB(PUBL)</t>
  </si>
  <si>
    <t>HAMNGATAN 10, STOCKHOLM, SE</t>
  </si>
  <si>
    <t>NDEASESS</t>
  </si>
  <si>
    <t>CREATIVE COMPONENTS PVT LTD</t>
  </si>
  <si>
    <t>Sector-7 PLOT-280 PCNTDA BHOSARI PUNE-411026</t>
  </si>
  <si>
    <t>919020075356933</t>
  </si>
  <si>
    <t>AXIS BANK</t>
  </si>
  <si>
    <t xml:space="preserve">Shabh Complex, Office No 3, Nr Vaishnodevi Mandir Indrayani </t>
  </si>
  <si>
    <t>Nagar Bhosari -411039</t>
  </si>
  <si>
    <t>AXISINBB103</t>
  </si>
  <si>
    <t>SUDEEP POLYMERS PVT LTD</t>
  </si>
  <si>
    <t>599/1A, MAHALUNGE, CHAKAN, TAL KHED, DIST. PUNE. MAHARASTRA 410501</t>
  </si>
  <si>
    <t>920020033101973</t>
  </si>
  <si>
    <t>AXIS BANK LTD</t>
  </si>
  <si>
    <t>PIMPRI-CHINCHWAD BR.PUNE411033</t>
  </si>
  <si>
    <t>DESAI ENGINEERS</t>
  </si>
  <si>
    <t>SR.NO.28/3/1,DAMODHAR NAGAR,OLD-KHARADI PUNE ROAD,PUNE-411014</t>
  </si>
  <si>
    <t>20097900907</t>
  </si>
  <si>
    <t>BANK OF MAHARASHTRA</t>
  </si>
  <si>
    <t>BAJIRAO ROAD,JANAMAGAL,1177 BUDHAWAR PETH,PUNE-411002</t>
  </si>
  <si>
    <t>MAHB0000001</t>
  </si>
  <si>
    <t>JBA V# COHESION</t>
  </si>
  <si>
    <t>JBA V# NEWLAND</t>
  </si>
  <si>
    <t>JBA ref# SUNZO</t>
  </si>
  <si>
    <t>JBA V# XIAMEN</t>
  </si>
  <si>
    <t>JBA ref# YUH</t>
  </si>
  <si>
    <t>See attached pymt run</t>
  </si>
  <si>
    <t>see attached pymt run</t>
  </si>
  <si>
    <t>See pymt backup details</t>
  </si>
  <si>
    <t>See pymt details attached</t>
  </si>
  <si>
    <t>BANK OF CHINA NINGBO BRANCH, NINGHAI SUB BRANCH</t>
  </si>
  <si>
    <t>99 ZHONGSHAN MID ROAD, NINGHAI, NINGBO 315600</t>
  </si>
  <si>
    <t>ZHEHIANG, CHINA</t>
  </si>
  <si>
    <t>364960839959</t>
  </si>
  <si>
    <t>see pymt run details</t>
  </si>
  <si>
    <t>Raymond Distribution Mexico</t>
  </si>
  <si>
    <t>See wire pymts attached</t>
  </si>
  <si>
    <t xml:space="preserve">Tracy Allison, Controller </t>
  </si>
  <si>
    <t>71082025000005517</t>
  </si>
  <si>
    <t>Dalian Durable Spring Co. LTD</t>
  </si>
  <si>
    <t>Dalian Durable Spring Co LTD</t>
  </si>
  <si>
    <t>NO. 10 Shengming 2RD, Economic &amp; Technological Delvelopment Zone, Dalian, China. 116600</t>
  </si>
  <si>
    <t>Shanghai Pudong Development Bank, Dalian Branch</t>
  </si>
  <si>
    <t>SPDBCNSH110</t>
  </si>
  <si>
    <t>75041454500000148</t>
  </si>
  <si>
    <t>JBA V# DURABLE</t>
  </si>
  <si>
    <t>See pymt details</t>
  </si>
  <si>
    <t>V#: LDK</t>
  </si>
  <si>
    <t>Tracy Allison</t>
  </si>
  <si>
    <t>KAPCO CO. INC</t>
  </si>
  <si>
    <t>KAPCO CO., LTD</t>
  </si>
  <si>
    <t>#334 Eosil-ro, Yangsan-City, Gyeongsangnam-do, 50590 Korea</t>
  </si>
  <si>
    <t>080-54-000963-1</t>
  </si>
  <si>
    <t>Pusan Bank, Yangsan Branch</t>
  </si>
  <si>
    <t>PUSBKR2P</t>
  </si>
  <si>
    <t>Taka Hardware (V: TAKA)</t>
  </si>
  <si>
    <t>Taka Amortisor ve Yedek parca san. Tic. Ltd. Sti.</t>
  </si>
  <si>
    <t>IOSB Sefakoy sanayi sitesi 17. Blok No21 Ikitelli Basaksehir Istanbul Turkiye</t>
  </si>
  <si>
    <t>ISBANK FINDIKZADE BRANCH (1068) ISTANBUL</t>
  </si>
  <si>
    <t>ISBKTRIS</t>
  </si>
  <si>
    <t>TR86 0006 4000 0021 0683 4843 03 // USD</t>
  </si>
  <si>
    <t>TGS2022000000002</t>
  </si>
  <si>
    <t>Tracy Allison, Controller</t>
  </si>
  <si>
    <t>US 0088</t>
  </si>
  <si>
    <t>Industrial Gas Springs Ltd.</t>
  </si>
  <si>
    <t xml:space="preserve">Industrial Gas Springs Ltd. </t>
  </si>
  <si>
    <t>NWBKGB2L</t>
  </si>
  <si>
    <t>NATIONAL WESTMINSTER BANK</t>
  </si>
  <si>
    <t>7 North St, Bishops Stortford, Herts, CM23 2TJ</t>
  </si>
  <si>
    <t>22 Wates Way Mitcham Surrey, CR4 4HR</t>
  </si>
  <si>
    <t xml:space="preserve">US 0088 </t>
  </si>
  <si>
    <t>See JBA details</t>
  </si>
  <si>
    <t>UK Sterling</t>
  </si>
  <si>
    <t>GB05NWBK 6002 3667 5844 38</t>
  </si>
  <si>
    <t>Foreign</t>
  </si>
  <si>
    <t xml:space="preserve"> IGS-03232022-STMT</t>
  </si>
  <si>
    <t>BOFAUS3NXXX</t>
  </si>
  <si>
    <t xml:space="preserve">2/21-22-041221 </t>
  </si>
  <si>
    <t xml:space="preserve">Steve Ingels, Controller </t>
  </si>
  <si>
    <t>SURYA AUTO INDUSTRY</t>
  </si>
  <si>
    <t xml:space="preserve">SURYA AUTO INDUSTRY </t>
  </si>
  <si>
    <t xml:space="preserve">No 5 Dagar Industrial Complex, Rajiv Colony, Sector-58, Ballabgarh, Faridabad-hr 121004, India </t>
  </si>
  <si>
    <t>Axis Bank</t>
  </si>
  <si>
    <t>921020004911788</t>
  </si>
  <si>
    <t xml:space="preserve">Shop No 6, Crown Complex, No 2, 1-2, Chowk </t>
  </si>
  <si>
    <t>UTIB0000348</t>
  </si>
  <si>
    <t xml:space="preserve"> 2022-23/0146</t>
  </si>
  <si>
    <t>US 088</t>
  </si>
  <si>
    <t>Richard Bascom, Shared Services</t>
  </si>
  <si>
    <t xml:space="preserve">PENGCHEN ELECTRIC </t>
  </si>
  <si>
    <t>PRAVI AUTO SWING PVT. LTD.</t>
  </si>
  <si>
    <t>Indraprastha Chambers, 755/1 Mayur Colony, Kothrun, Pune 411038 Maharashtra, India</t>
  </si>
  <si>
    <t xml:space="preserve">Bank of Maharashtra </t>
  </si>
  <si>
    <t>Overseas Branch, Shivajinagar, Pune-411005 (Maha-India)</t>
  </si>
  <si>
    <t>MAHBINBBOCP</t>
  </si>
  <si>
    <t>Global Gas Springs LTD (GLOBLGAS)</t>
  </si>
  <si>
    <t>Global Gas Springs (Turkey)</t>
  </si>
  <si>
    <t>Global Gazli Amortisor, Pazarlama Ve Dis Ticaret, Limited Sirketi</t>
  </si>
  <si>
    <t>2210-01510310-352</t>
  </si>
  <si>
    <t>TR25 0013 4000 0015 1031 0000 03</t>
  </si>
  <si>
    <t>DENITRIS</t>
  </si>
  <si>
    <t>Denizbank, Ikitelli</t>
  </si>
  <si>
    <t xml:space="preserve">Include Stela Shi in all requests </t>
  </si>
  <si>
    <t xml:space="preserve">See pymt details </t>
  </si>
  <si>
    <t>Multi, see pymt details</t>
  </si>
  <si>
    <t>PPY, see pymt details</t>
  </si>
  <si>
    <t>US_0088</t>
  </si>
  <si>
    <t xml:space="preserve">Daniel Tuller, Controller </t>
  </si>
  <si>
    <t>Daniel Tuller, Controller</t>
  </si>
  <si>
    <t>Dan Tuller, Controller</t>
  </si>
  <si>
    <t xml:space="preserve">Dan Tuller, Controller </t>
  </si>
  <si>
    <t>147506000028</t>
  </si>
  <si>
    <t>ICICINBBCTS</t>
  </si>
  <si>
    <t>ICICI Bank LTD</t>
  </si>
  <si>
    <t>Tain Square, Near Reliance Mart, Fatima Nagar</t>
  </si>
  <si>
    <t>Pune Maharashtra 411028</t>
  </si>
  <si>
    <t>419-740-6192</t>
  </si>
  <si>
    <t>Yogesh Deshmukh thru Shivam Patel</t>
  </si>
  <si>
    <t xml:space="preserve">UPDATED 1/02/2024 </t>
  </si>
  <si>
    <t>AERO DEFENCE PTY LTD</t>
  </si>
  <si>
    <t xml:space="preserve">AS Raymond, US 0088 </t>
  </si>
  <si>
    <t xml:space="preserve">Aero Defence </t>
  </si>
  <si>
    <t>49 City Link Drive, Carrara QDL Autralia 4211</t>
  </si>
  <si>
    <t>3116-76059</t>
  </si>
  <si>
    <t>ANZBAU3M</t>
  </si>
  <si>
    <t xml:space="preserve">One time AR Refund </t>
  </si>
  <si>
    <t>OLD WIRE FORM - DO NOT USE</t>
  </si>
  <si>
    <t>JIANGSU SUNZO SPRING CO LTD</t>
  </si>
  <si>
    <t xml:space="preserve">Jiangsu Sunzo Spring Elasticity Technology Co. Ltd. </t>
  </si>
  <si>
    <t>No7 Xiangshan Road Machinery Parts, Economic Development Zone, Sihong County Suqian City Jiangsu Province, China</t>
  </si>
  <si>
    <t>Industrial &amp; Commercial Bank of China, Jiangsu Provincial Branch</t>
  </si>
  <si>
    <t>Nunber 810 Hongze Lake Road Suqian Jiangsu China</t>
  </si>
  <si>
    <t>ICBKCNBJJSP</t>
  </si>
  <si>
    <t>1116050029000083158</t>
  </si>
  <si>
    <t>see JBA details</t>
  </si>
  <si>
    <t>Andrea Pitch</t>
  </si>
  <si>
    <t>Daniel Tuller</t>
  </si>
  <si>
    <t xml:space="preserve">Andrea Pitch </t>
  </si>
  <si>
    <t>Date: _____</t>
  </si>
  <si>
    <t>Dan Tuller</t>
  </si>
  <si>
    <t>ANDREA PITCH</t>
  </si>
  <si>
    <t>US</t>
  </si>
  <si>
    <t>Associated Spring do Brasil Ltda</t>
  </si>
  <si>
    <t>0009-327594</t>
  </si>
  <si>
    <t>Itau Unibanco S.A.</t>
  </si>
  <si>
    <t>Brazil</t>
  </si>
  <si>
    <t>BR3360701190000090000327594C1</t>
  </si>
  <si>
    <t>***NEW BANKING INFORMATION***</t>
  </si>
  <si>
    <t>072-114565-0</t>
  </si>
  <si>
    <t>Associated Spring Stamping Solutions</t>
  </si>
  <si>
    <t>Associated Spring Stamping Solutions Asia Pte Ltd</t>
  </si>
  <si>
    <t>ASASIA 88-1225</t>
  </si>
  <si>
    <t>.</t>
  </si>
  <si>
    <t>ASBRAZIL</t>
  </si>
  <si>
    <t>301 Wallace Barnes st   Campinas - Sao Paulo - Brazil   -</t>
  </si>
  <si>
    <t>MULTIPLE</t>
  </si>
  <si>
    <t>SEE WIRE BACK UP</t>
  </si>
  <si>
    <t>IDEAL GAS SPRING</t>
  </si>
  <si>
    <t>Daniel Tuller. Controller</t>
  </si>
  <si>
    <t>Ideal Gas Spring Private Limited</t>
  </si>
  <si>
    <t>E -3/3, OLD MIDC,SATARA SATARA, MAHARASHTRA 415004 INDIA</t>
  </si>
  <si>
    <t>00619 KRISHNANAGAR MSME BR. UTTEKAR ARCADE,</t>
  </si>
  <si>
    <t xml:space="preserve"> NEAR BOMBAY RESTURANT CHOWK, NH-4, SATARA-415003</t>
  </si>
  <si>
    <t>MAHBINBBSAT</t>
  </si>
  <si>
    <t>Date:10/29/24</t>
  </si>
  <si>
    <t>Multiple, see back up</t>
  </si>
  <si>
    <t>SHANGHAI FANGXING SPRING CO</t>
  </si>
  <si>
    <t>SHANGHAI HANHAO HARDWARE SPRING CO, LTD</t>
  </si>
  <si>
    <t>NO 7-8, IANE 651, TAOGAN RD, SHESHAN INDUSTRIAL ZONE, SONGJIANG DISTRICT</t>
  </si>
  <si>
    <t>CHINA CONSTRUCTION BANK CORPORATION SHANGHAI BRANCH SONGJIANG</t>
  </si>
  <si>
    <t>NO.151 REMIN ROAD(N) SONGJIANG DISTRICT SHANGHAI, CHINA 201600</t>
  </si>
  <si>
    <t>PCBCCNBJSHX</t>
  </si>
  <si>
    <t>SEE WIRE BACKUP</t>
  </si>
  <si>
    <t>SEE BACK UP</t>
  </si>
  <si>
    <t xml:space="preserve"> 
 </t>
  </si>
  <si>
    <t>\</t>
  </si>
  <si>
    <t>MULTIPLE - SEE BACK UP</t>
  </si>
  <si>
    <t>EI12024000000052</t>
  </si>
  <si>
    <t>multiple, see back up</t>
  </si>
  <si>
    <t>MULTIPLE, SEE BACK UP</t>
  </si>
  <si>
    <t>BANK OF NINBO</t>
  </si>
  <si>
    <t>NO. 345 Ningdong Road Yingzhou District Ningbo 315042</t>
  </si>
  <si>
    <t>BKNBCN2NXXX</t>
  </si>
  <si>
    <t>51012025000051084</t>
  </si>
  <si>
    <t>Ningbo Yili Shock Absorber Co., Ltd.</t>
  </si>
  <si>
    <t>SUMINISTROS SIDERURGICOS MONTERREY</t>
  </si>
  <si>
    <t>CALLE RAMON OVIEDO MARTINEZ No 101 BUENOS AIRES MEX 64800</t>
  </si>
  <si>
    <t>82500835017</t>
  </si>
  <si>
    <t>BANCO SANTANDER (MEXICO)S.A. de C.V.</t>
  </si>
  <si>
    <t>CALLE SUC. 7987 VASCONCELOS ORIENTE</t>
  </si>
  <si>
    <t>SAN PEDRO GRAZA GARCIA, NUEVO LEON MEXICO</t>
  </si>
  <si>
    <t>BMSXMXMMXXX</t>
  </si>
  <si>
    <r>
      <t xml:space="preserve">Date: </t>
    </r>
    <r>
      <rPr>
        <sz val="14"/>
        <rFont val="Arial"/>
        <family val="2"/>
      </rPr>
      <t>05/14/25</t>
    </r>
  </si>
  <si>
    <r>
      <t xml:space="preserve">     Due Date: </t>
    </r>
    <r>
      <rPr>
        <sz val="14"/>
        <rFont val="Arial"/>
        <family val="2"/>
      </rPr>
      <t>05/15/25</t>
    </r>
  </si>
  <si>
    <t>Date:06/04/25</t>
  </si>
  <si>
    <t>USB02250513</t>
  </si>
  <si>
    <t>HSBC</t>
  </si>
  <si>
    <t>UK Bank Plc, 2 Buchanan St.</t>
  </si>
  <si>
    <t>Glasgow G1 3LB</t>
  </si>
  <si>
    <t>GB62HBUK40127692512460</t>
  </si>
  <si>
    <t>HBUKGB4B</t>
  </si>
  <si>
    <t>525Y6201</t>
  </si>
  <si>
    <t>104/25</t>
  </si>
  <si>
    <t>Date: _09/09/25_____________</t>
  </si>
  <si>
    <t>XIAMEN HARDWARE</t>
  </si>
  <si>
    <t>XIAMEN TEAM INDUSTRIAL CO., LTD</t>
  </si>
  <si>
    <t>UNIT 1, 5TH FLOOR , BUILDING 3 NO.258, HUANZHU ROAD, JIMEI DISTRICT XIAMEN 361021, CHINA</t>
  </si>
  <si>
    <t>40390014040030677</t>
  </si>
  <si>
    <t>THE AGRICULTURE BANK OF CHINA , XIAMEN CHENGNAN BRANCH</t>
  </si>
  <si>
    <t>NO189, HAUNCHENG SOUTH RD.,TONGAN DISTRICT, XIAMEN 361199, CHINA</t>
  </si>
  <si>
    <t>AB0CCNBJ400</t>
  </si>
  <si>
    <t>Date: 12/09/25</t>
  </si>
  <si>
    <t>Date: 1/6/2026</t>
  </si>
  <si>
    <t>Date: __1/6/2026____________</t>
  </si>
  <si>
    <t>Date:1/6/2026</t>
  </si>
  <si>
    <t>Date: 1/13/2026</t>
  </si>
  <si>
    <t xml:space="preserve">     Due Date:1/22/2026</t>
  </si>
  <si>
    <t>Date: ____1/20/2026__________</t>
  </si>
  <si>
    <t>Priyanka Saha</t>
  </si>
  <si>
    <t>Date: 1/27/2026</t>
  </si>
  <si>
    <t>Date: 2/18/2026</t>
  </si>
  <si>
    <t>Barnes Group (U.K.) Ltd.</t>
  </si>
  <si>
    <t>Unit 4 Grosvenor Business Centre</t>
  </si>
  <si>
    <t>01420011</t>
  </si>
  <si>
    <t xml:space="preserve">HSBC UK Bank Plc </t>
  </si>
  <si>
    <t>62-76 Park St, 2nd Floor Southwark London GB</t>
  </si>
  <si>
    <t>HBUKGB4125U</t>
  </si>
  <si>
    <t>Date: 02/24/26</t>
  </si>
  <si>
    <t>Date: ___02/24/2026___________</t>
  </si>
  <si>
    <r>
      <t>Date:</t>
    </r>
    <r>
      <rPr>
        <sz val="14"/>
        <rFont val="Arial"/>
        <family val="2"/>
      </rPr>
      <t xml:space="preserve"> 02/24/2026</t>
    </r>
  </si>
  <si>
    <t>13/F, A, Wah Sing Industrial Building, 12-14 Wah Sing Street, Kwai Chung, Hong Kong</t>
  </si>
  <si>
    <t>Lane No: 4 Industrial Estate, Plot No: 111, Ramtekdi Industrial Area, Hadapsar, Pune, Maharashtra 411013, India</t>
  </si>
  <si>
    <t>22 Wates Way, Mitcham CR4 4HR, UK</t>
  </si>
  <si>
    <t>Minggang Industrial Park, Building A, Xianggang Street, Jinnan District, Tianjin, China — Postal Code: 300350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</si>
</sst>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47" x14ac:knownFonts="1">
    <font>
      <sz val="10"/>
      <name val="Arial"/>
    </font>
    <font>
      <sz val="8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sz val="14"/>
      <name val="Arial"/>
      <family val="2"/>
    </font>
    <font>
      <b/>
      <u/>
      <sz val="14"/>
      <color indexed="12"/>
      <name val="Arial"/>
      <family val="2"/>
    </font>
    <font>
      <b/>
      <sz val="14"/>
      <color indexed="12"/>
      <name val="Arial"/>
      <family val="2"/>
    </font>
    <font>
      <u/>
      <sz val="14"/>
      <name val="Arial"/>
      <family val="2"/>
    </font>
    <font>
      <b/>
      <u/>
      <sz val="9"/>
      <name val="Arial"/>
      <family val="2"/>
    </font>
    <font>
      <b/>
      <sz val="12"/>
      <color rgb="FFFF0000"/>
      <name val="Arial"/>
      <family val="2"/>
    </font>
    <font>
      <sz val="14"/>
      <color rgb="FFFF0000"/>
      <name val="Arial"/>
      <family val="2"/>
    </font>
    <font>
      <b/>
      <sz val="14"/>
      <color rgb="FFFF0000"/>
      <name val="Arial"/>
      <family val="2"/>
    </font>
    <font>
      <b/>
      <sz val="14"/>
      <color rgb="FF0000FF"/>
      <name val="Arial"/>
      <family val="2"/>
    </font>
    <font>
      <b/>
      <sz val="18"/>
      <color theme="1"/>
      <name val="Arial"/>
      <family val="2"/>
    </font>
    <font>
      <sz val="14"/>
      <color theme="1"/>
      <name val="Arial"/>
      <family val="2"/>
    </font>
    <font>
      <b/>
      <u/>
      <sz val="12"/>
      <color theme="1"/>
      <name val="Arial"/>
      <family val="2"/>
    </font>
    <font>
      <u/>
      <sz val="12"/>
      <color theme="1"/>
      <name val="Arial"/>
      <family val="2"/>
    </font>
    <font>
      <b/>
      <u/>
      <sz val="14"/>
      <color theme="1"/>
      <name val="Arial"/>
      <family val="2"/>
    </font>
    <font>
      <b/>
      <sz val="14"/>
      <color theme="1"/>
      <name val="Arial"/>
      <family val="2"/>
    </font>
    <font>
      <b/>
      <sz val="14"/>
      <color rgb="FF002060"/>
      <name val="Arial"/>
      <family val="2"/>
    </font>
    <font>
      <b/>
      <sz val="18"/>
      <color rgb="FF0000FF"/>
      <name val="Arial"/>
      <family val="2"/>
    </font>
    <font>
      <sz val="18"/>
      <color rgb="FF0000FF"/>
      <name val="Arial"/>
      <family val="2"/>
    </font>
    <font>
      <b/>
      <u/>
      <sz val="14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12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b/>
      <sz val="12"/>
      <color rgb="FF00B050"/>
      <name val="Arial"/>
      <family val="2"/>
    </font>
    <font>
      <b/>
      <sz val="14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2"/>
      <color rgb="FFFF0000"/>
      <name val="Arial"/>
      <family val="2"/>
    </font>
    <font>
      <b/>
      <sz val="10"/>
      <name val="Arial"/>
      <family val="2"/>
    </font>
    <font>
      <b/>
      <sz val="18"/>
      <color theme="3" tint="-0.499984740745262"/>
      <name val="Arial"/>
      <family val="2"/>
    </font>
    <font>
      <sz val="18"/>
      <color theme="3" tint="-0.499984740745262"/>
      <name val="Arial"/>
      <family val="2"/>
    </font>
    <font>
      <sz val="10"/>
      <color theme="3" tint="-0.499984740745262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61">
    <xf numFmtId="0" fontId="0" fillId="0" borderId="0" xfId="0"/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 vertical="justify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4" fillId="2" borderId="0" xfId="0" applyFont="1" applyFill="1" applyAlignment="1" applyProtection="1">
      <alignment horizontal="left" vertical="justify"/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6" fillId="2" borderId="8" xfId="0" applyFont="1" applyFill="1" applyBorder="1" applyProtection="1">
      <protection locked="0"/>
    </xf>
    <xf numFmtId="0" fontId="16" fillId="2" borderId="0" xfId="0" applyFont="1" applyFill="1" applyProtection="1">
      <protection locked="0"/>
    </xf>
    <xf numFmtId="40" fontId="2" fillId="2" borderId="0" xfId="0" applyNumberFormat="1" applyFont="1" applyFill="1" applyProtection="1">
      <protection locked="0"/>
    </xf>
    <xf numFmtId="0" fontId="8" fillId="2" borderId="0" xfId="0" applyFont="1" applyFill="1" applyProtection="1">
      <protection locked="0"/>
    </xf>
    <xf numFmtId="0" fontId="6" fillId="2" borderId="5" xfId="0" applyFont="1" applyFill="1" applyBorder="1" applyProtection="1">
      <protection locked="0"/>
    </xf>
    <xf numFmtId="0" fontId="8" fillId="2" borderId="4" xfId="0" applyFont="1" applyFill="1" applyBorder="1" applyProtection="1">
      <protection locked="0"/>
    </xf>
    <xf numFmtId="0" fontId="6" fillId="2" borderId="4" xfId="0" applyFont="1" applyFill="1" applyBorder="1" applyProtection="1">
      <protection locked="0"/>
    </xf>
    <xf numFmtId="0" fontId="6" fillId="2" borderId="6" xfId="0" applyFont="1" applyFill="1" applyBorder="1" applyProtection="1">
      <protection locked="0"/>
    </xf>
    <xf numFmtId="0" fontId="6" fillId="2" borderId="1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0" fontId="6" fillId="2" borderId="2" xfId="0" applyFont="1" applyFill="1" applyBorder="1" applyProtection="1">
      <protection locked="0"/>
    </xf>
    <xf numFmtId="0" fontId="6" fillId="2" borderId="3" xfId="0" applyFont="1" applyFill="1" applyBorder="1" applyProtection="1">
      <protection locked="0"/>
    </xf>
    <xf numFmtId="0" fontId="7" fillId="2" borderId="0" xfId="0" applyFont="1" applyFill="1" applyProtection="1">
      <protection locked="0"/>
    </xf>
    <xf numFmtId="0" fontId="10" fillId="2" borderId="13" xfId="0" applyFont="1" applyFill="1" applyBorder="1" applyProtection="1"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6" fillId="2" borderId="13" xfId="0" applyFont="1" applyFill="1" applyBorder="1" applyProtection="1">
      <protection locked="0"/>
    </xf>
    <xf numFmtId="0" fontId="18" fillId="2" borderId="0" xfId="0" applyFont="1" applyFill="1" applyAlignment="1" applyProtection="1">
      <alignment horizontal="left" vertical="center" wrapText="1"/>
      <protection locked="0"/>
    </xf>
    <xf numFmtId="0" fontId="18" fillId="0" borderId="0" xfId="0" applyFont="1" applyAlignment="1" applyProtection="1">
      <alignment horizontal="left" vertical="center" wrapText="1"/>
      <protection locked="0"/>
    </xf>
    <xf numFmtId="0" fontId="8" fillId="3" borderId="9" xfId="0" applyFont="1" applyFill="1" applyBorder="1" applyProtection="1">
      <protection locked="0"/>
    </xf>
    <xf numFmtId="0" fontId="8" fillId="3" borderId="10" xfId="0" applyFont="1" applyFill="1" applyBorder="1" applyProtection="1">
      <protection locked="0"/>
    </xf>
    <xf numFmtId="0" fontId="6" fillId="3" borderId="10" xfId="0" applyFont="1" applyFill="1" applyBorder="1" applyProtection="1">
      <protection locked="0"/>
    </xf>
    <xf numFmtId="0" fontId="6" fillId="3" borderId="11" xfId="0" applyFont="1" applyFill="1" applyBorder="1" applyProtection="1">
      <protection locked="0"/>
    </xf>
    <xf numFmtId="0" fontId="10" fillId="0" borderId="0" xfId="0" applyFont="1" applyProtection="1">
      <protection locked="0"/>
    </xf>
    <xf numFmtId="0" fontId="8" fillId="3" borderId="12" xfId="0" applyFont="1" applyFill="1" applyBorder="1" applyProtection="1">
      <protection locked="0"/>
    </xf>
    <xf numFmtId="0" fontId="8" fillId="3" borderId="13" xfId="0" applyFont="1" applyFill="1" applyBorder="1" applyProtection="1">
      <protection locked="0"/>
    </xf>
    <xf numFmtId="0" fontId="6" fillId="3" borderId="13" xfId="0" applyFont="1" applyFill="1" applyBorder="1" applyProtection="1">
      <protection locked="0"/>
    </xf>
    <xf numFmtId="0" fontId="6" fillId="3" borderId="14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3" fillId="3" borderId="0" xfId="0" applyFont="1" applyFill="1" applyProtection="1">
      <protection locked="0"/>
    </xf>
    <xf numFmtId="0" fontId="6" fillId="3" borderId="0" xfId="0" applyFont="1" applyFill="1" applyProtection="1">
      <protection locked="0"/>
    </xf>
    <xf numFmtId="0" fontId="2" fillId="3" borderId="0" xfId="0" applyFont="1" applyFill="1" applyProtection="1">
      <protection locked="0"/>
    </xf>
    <xf numFmtId="0" fontId="8" fillId="3" borderId="0" xfId="0" applyFont="1" applyFill="1" applyProtection="1">
      <protection locked="0"/>
    </xf>
    <xf numFmtId="0" fontId="33" fillId="3" borderId="0" xfId="0" applyFont="1" applyFill="1" applyProtection="1">
      <protection locked="0"/>
    </xf>
    <xf numFmtId="0" fontId="10" fillId="2" borderId="1" xfId="0" applyFont="1" applyFill="1" applyBorder="1" applyProtection="1">
      <protection locked="0"/>
    </xf>
    <xf numFmtId="0" fontId="19" fillId="2" borderId="2" xfId="0" applyFont="1" applyFill="1" applyBorder="1" applyProtection="1">
      <protection locked="0"/>
    </xf>
    <xf numFmtId="0" fontId="20" fillId="2" borderId="2" xfId="0" applyFont="1" applyFill="1" applyBorder="1" applyProtection="1">
      <protection locked="0"/>
    </xf>
    <xf numFmtId="0" fontId="10" fillId="2" borderId="2" xfId="0" applyFont="1" applyFill="1" applyBorder="1" applyProtection="1">
      <protection locked="0"/>
    </xf>
    <xf numFmtId="0" fontId="10" fillId="2" borderId="3" xfId="0" applyFont="1" applyFill="1" applyBorder="1" applyProtection="1">
      <protection locked="0"/>
    </xf>
    <xf numFmtId="0" fontId="13" fillId="2" borderId="7" xfId="0" applyFont="1" applyFill="1" applyBorder="1" applyProtection="1">
      <protection locked="0"/>
    </xf>
    <xf numFmtId="0" fontId="21" fillId="2" borderId="0" xfId="0" applyFont="1" applyFill="1" applyProtection="1">
      <protection locked="0"/>
    </xf>
    <xf numFmtId="0" fontId="22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13" fillId="2" borderId="0" xfId="0" applyFont="1" applyFill="1" applyProtection="1">
      <protection locked="0"/>
    </xf>
    <xf numFmtId="0" fontId="13" fillId="2" borderId="8" xfId="0" applyFont="1" applyFill="1" applyBorder="1" applyProtection="1">
      <protection locked="0"/>
    </xf>
    <xf numFmtId="0" fontId="15" fillId="2" borderId="0" xfId="0" applyFont="1" applyFill="1" applyProtection="1">
      <protection locked="0"/>
    </xf>
    <xf numFmtId="0" fontId="9" fillId="2" borderId="0" xfId="0" applyFont="1" applyFill="1" applyProtection="1">
      <protection locked="0"/>
    </xf>
    <xf numFmtId="0" fontId="11" fillId="2" borderId="7" xfId="0" applyFont="1" applyFill="1" applyBorder="1" applyProtection="1">
      <protection locked="0"/>
    </xf>
    <xf numFmtId="0" fontId="11" fillId="2" borderId="0" xfId="0" applyFont="1" applyFill="1" applyProtection="1">
      <protection locked="0"/>
    </xf>
    <xf numFmtId="0" fontId="14" fillId="2" borderId="0" xfId="0" applyFont="1" applyFill="1" applyProtection="1">
      <protection locked="0"/>
    </xf>
    <xf numFmtId="0" fontId="23" fillId="2" borderId="0" xfId="0" applyFont="1" applyFill="1" applyProtection="1">
      <protection locked="0"/>
    </xf>
    <xf numFmtId="0" fontId="24" fillId="2" borderId="0" xfId="0" applyFont="1" applyFill="1" applyProtection="1">
      <protection locked="0"/>
    </xf>
    <xf numFmtId="0" fontId="11" fillId="2" borderId="5" xfId="0" applyFont="1" applyFill="1" applyBorder="1" applyProtection="1">
      <protection locked="0"/>
    </xf>
    <xf numFmtId="0" fontId="23" fillId="2" borderId="4" xfId="0" applyFont="1" applyFill="1" applyBorder="1" applyProtection="1">
      <protection locked="0"/>
    </xf>
    <xf numFmtId="0" fontId="11" fillId="2" borderId="4" xfId="0" applyFont="1" applyFill="1" applyBorder="1" applyProtection="1">
      <protection locked="0"/>
    </xf>
    <xf numFmtId="0" fontId="12" fillId="2" borderId="4" xfId="0" applyFont="1" applyFill="1" applyBorder="1" applyProtection="1">
      <protection locked="0"/>
    </xf>
    <xf numFmtId="0" fontId="13" fillId="2" borderId="6" xfId="0" applyFont="1" applyFill="1" applyBorder="1" applyProtection="1">
      <protection locked="0"/>
    </xf>
    <xf numFmtId="0" fontId="11" fillId="2" borderId="15" xfId="0" applyFont="1" applyFill="1" applyBorder="1" applyProtection="1">
      <protection locked="0"/>
    </xf>
    <xf numFmtId="0" fontId="23" fillId="2" borderId="15" xfId="0" applyFont="1" applyFill="1" applyBorder="1" applyProtection="1">
      <protection locked="0"/>
    </xf>
    <xf numFmtId="0" fontId="12" fillId="2" borderId="15" xfId="0" applyFont="1" applyFill="1" applyBorder="1" applyProtection="1">
      <protection locked="0"/>
    </xf>
    <xf numFmtId="0" fontId="13" fillId="2" borderId="15" xfId="0" applyFont="1" applyFill="1" applyBorder="1" applyProtection="1">
      <protection locked="0"/>
    </xf>
    <xf numFmtId="0" fontId="19" fillId="2" borderId="0" xfId="0" applyFont="1" applyFill="1" applyProtection="1">
      <protection locked="0"/>
    </xf>
    <xf numFmtId="0" fontId="10" fillId="0" borderId="8" xfId="0" applyFont="1" applyBorder="1" applyProtection="1">
      <protection locked="0"/>
    </xf>
    <xf numFmtId="0" fontId="17" fillId="2" borderId="0" xfId="0" applyFont="1" applyFill="1" applyProtection="1">
      <protection locked="0"/>
    </xf>
    <xf numFmtId="0" fontId="8" fillId="2" borderId="1" xfId="0" applyFont="1" applyFill="1" applyBorder="1" applyProtection="1">
      <protection locked="0"/>
    </xf>
    <xf numFmtId="0" fontId="34" fillId="4" borderId="17" xfId="0" applyFont="1" applyFill="1" applyBorder="1" applyProtection="1">
      <protection locked="0"/>
    </xf>
    <xf numFmtId="0" fontId="35" fillId="4" borderId="17" xfId="0" applyFont="1" applyFill="1" applyBorder="1" applyProtection="1">
      <protection locked="0"/>
    </xf>
    <xf numFmtId="0" fontId="35" fillId="4" borderId="18" xfId="0" applyFont="1" applyFill="1" applyBorder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4" fillId="4" borderId="16" xfId="0" applyFont="1" applyFill="1" applyBorder="1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36" fillId="6" borderId="0" xfId="0" applyFont="1" applyFill="1" applyProtection="1">
      <protection locked="0"/>
    </xf>
    <xf numFmtId="0" fontId="28" fillId="0" borderId="0" xfId="0" applyFont="1" applyAlignment="1" applyProtection="1">
      <alignment wrapText="1"/>
      <protection locked="0"/>
    </xf>
    <xf numFmtId="0" fontId="6" fillId="2" borderId="0" xfId="0" applyFont="1" applyFill="1"/>
    <xf numFmtId="16" fontId="6" fillId="2" borderId="0" xfId="0" applyNumberFormat="1" applyFont="1" applyFill="1" applyProtection="1">
      <protection locked="0"/>
    </xf>
    <xf numFmtId="0" fontId="10" fillId="2" borderId="0" xfId="0" applyFont="1" applyFill="1"/>
    <xf numFmtId="0" fontId="38" fillId="2" borderId="0" xfId="1" applyFont="1" applyFill="1"/>
    <xf numFmtId="1" fontId="8" fillId="0" borderId="0" xfId="2" applyNumberFormat="1" applyFont="1" applyAlignment="1" applyProtection="1">
      <alignment horizontal="center"/>
      <protection locked="0"/>
    </xf>
    <xf numFmtId="0" fontId="8" fillId="0" borderId="0" xfId="2" quotePrefix="1" applyFont="1" applyAlignment="1" applyProtection="1">
      <alignment horizontal="center"/>
      <protection locked="0"/>
    </xf>
    <xf numFmtId="0" fontId="39" fillId="2" borderId="0" xfId="0" applyFont="1" applyFill="1" applyProtection="1">
      <protection locked="0"/>
    </xf>
    <xf numFmtId="49" fontId="6" fillId="2" borderId="0" xfId="0" applyNumberFormat="1" applyFont="1" applyFill="1"/>
    <xf numFmtId="0" fontId="38" fillId="2" borderId="0" xfId="0" applyFont="1" applyFill="1"/>
    <xf numFmtId="0" fontId="3" fillId="2" borderId="0" xfId="2" applyFill="1"/>
    <xf numFmtId="1" fontId="6" fillId="2" borderId="13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center" vertical="justify"/>
      <protection locked="0"/>
    </xf>
    <xf numFmtId="0" fontId="4" fillId="0" borderId="0" xfId="0" applyFont="1" applyAlignment="1" applyProtection="1">
      <alignment horizontal="left" vertical="justify"/>
      <protection locked="0"/>
    </xf>
    <xf numFmtId="0" fontId="5" fillId="0" borderId="0" xfId="0" applyFont="1" applyAlignment="1" applyProtection="1">
      <alignment horizontal="left"/>
      <protection locked="0"/>
    </xf>
    <xf numFmtId="14" fontId="6" fillId="2" borderId="0" xfId="0" applyNumberFormat="1" applyFont="1" applyFill="1" applyProtection="1">
      <protection locked="0"/>
    </xf>
    <xf numFmtId="49" fontId="6" fillId="2" borderId="13" xfId="0" applyNumberFormat="1" applyFont="1" applyFill="1" applyBorder="1" applyProtection="1">
      <protection locked="0"/>
    </xf>
    <xf numFmtId="0" fontId="38" fillId="2" borderId="13" xfId="0" applyFont="1" applyFill="1" applyBorder="1" applyProtection="1">
      <protection locked="0"/>
    </xf>
    <xf numFmtId="0" fontId="6" fillId="2" borderId="13" xfId="0" quotePrefix="1" applyFont="1" applyFill="1" applyBorder="1" applyProtection="1">
      <protection locked="0"/>
    </xf>
    <xf numFmtId="0" fontId="41" fillId="2" borderId="0" xfId="0" applyFont="1" applyFill="1" applyProtection="1">
      <protection locked="0"/>
    </xf>
    <xf numFmtId="0" fontId="16" fillId="0" borderId="0" xfId="0" applyFont="1" applyProtection="1">
      <protection locked="0"/>
    </xf>
    <xf numFmtId="0" fontId="40" fillId="0" borderId="0" xfId="0" applyFont="1" applyProtection="1">
      <protection locked="0"/>
    </xf>
    <xf numFmtId="49" fontId="6" fillId="2" borderId="0" xfId="0" quotePrefix="1" applyNumberFormat="1" applyFont="1" applyFill="1"/>
    <xf numFmtId="0" fontId="6" fillId="2" borderId="8" xfId="0" applyFont="1" applyFill="1" applyBorder="1" applyAlignment="1" applyProtection="1">
      <alignment horizontal="right"/>
      <protection locked="0"/>
    </xf>
    <xf numFmtId="1" fontId="8" fillId="0" borderId="0" xfId="2" quotePrefix="1" applyNumberFormat="1" applyFont="1" applyAlignment="1" applyProtection="1">
      <alignment horizontal="center"/>
      <protection locked="0"/>
    </xf>
    <xf numFmtId="0" fontId="3" fillId="2" borderId="0" xfId="0" applyFont="1" applyFill="1" applyProtection="1">
      <protection locked="0"/>
    </xf>
    <xf numFmtId="49" fontId="6" fillId="3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0" fontId="16" fillId="2" borderId="0" xfId="0" applyFont="1" applyFill="1" applyAlignment="1" applyProtection="1">
      <alignment horizontal="right"/>
      <protection locked="0"/>
    </xf>
    <xf numFmtId="0" fontId="8" fillId="2" borderId="0" xfId="0" applyFont="1" applyFill="1"/>
    <xf numFmtId="49" fontId="8" fillId="2" borderId="0" xfId="0" applyNumberFormat="1" applyFont="1" applyFill="1"/>
    <xf numFmtId="0" fontId="2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6" fillId="0" borderId="8" xfId="0" applyFont="1" applyBorder="1" applyProtection="1">
      <protection locked="0"/>
    </xf>
    <xf numFmtId="14" fontId="13" fillId="2" borderId="0" xfId="0" applyNumberFormat="1" applyFont="1" applyFill="1" applyProtection="1">
      <protection locked="0"/>
    </xf>
    <xf numFmtId="0" fontId="38" fillId="3" borderId="0" xfId="0" applyFont="1" applyFill="1" applyProtection="1">
      <protection locked="0"/>
    </xf>
    <xf numFmtId="14" fontId="10" fillId="2" borderId="0" xfId="0" applyNumberFormat="1" applyFont="1" applyFill="1" applyProtection="1">
      <protection locked="0"/>
    </xf>
    <xf numFmtId="0" fontId="10" fillId="3" borderId="0" xfId="0" applyFont="1" applyFill="1" applyProtection="1">
      <protection locked="0"/>
    </xf>
    <xf numFmtId="14" fontId="2" fillId="2" borderId="0" xfId="0" applyNumberFormat="1" applyFont="1" applyFill="1" applyProtection="1">
      <protection locked="0"/>
    </xf>
    <xf numFmtId="3" fontId="16" fillId="2" borderId="0" xfId="0" applyNumberFormat="1" applyFont="1" applyFill="1" applyProtection="1">
      <protection locked="0"/>
    </xf>
    <xf numFmtId="15" fontId="6" fillId="2" borderId="0" xfId="0" applyNumberFormat="1" applyFont="1" applyFill="1" applyProtection="1">
      <protection locked="0"/>
    </xf>
    <xf numFmtId="0" fontId="45" fillId="2" borderId="8" xfId="0" applyFont="1" applyFill="1" applyBorder="1" applyProtection="1">
      <protection locked="0"/>
    </xf>
    <xf numFmtId="0" fontId="46" fillId="2" borderId="0" xfId="0" applyFont="1" applyFill="1" applyProtection="1">
      <protection locked="0"/>
    </xf>
    <xf numFmtId="0" fontId="6" fillId="2" borderId="0" xfId="0" applyFont="1" applyFill="1" applyAlignment="1" applyProtection="1">
      <alignment horizontal="center" wrapText="1"/>
      <protection locked="0"/>
    </xf>
    <xf numFmtId="0" fontId="6" fillId="2" borderId="13" xfId="0" applyFont="1" applyFill="1" applyBorder="1" applyAlignment="1" applyProtection="1">
      <alignment horizontal="center" wrapText="1"/>
      <protection locked="0"/>
    </xf>
    <xf numFmtId="1" fontId="0" fillId="2" borderId="0" xfId="0" applyNumberFormat="1" applyFill="1" applyProtection="1">
      <protection locked="0"/>
    </xf>
    <xf numFmtId="164" fontId="6" fillId="2" borderId="0" xfId="0" applyNumberFormat="1" applyFont="1" applyFill="1" applyProtection="1">
      <protection locked="0"/>
    </xf>
    <xf numFmtId="0" fontId="10" fillId="2" borderId="0" xfId="0" applyFont="1" applyFill="1" applyAlignment="1" applyProtection="1">
      <alignment wrapText="1"/>
      <protection locked="0"/>
    </xf>
    <xf numFmtId="1" fontId="6" fillId="2" borderId="13" xfId="0" quotePrefix="1" applyNumberFormat="1" applyFont="1" applyFill="1" applyBorder="1" applyProtection="1">
      <protection locked="0"/>
    </xf>
    <xf numFmtId="4" fontId="0" fillId="0" borderId="0" xfId="0" applyNumberFormat="1"/>
    <xf numFmtId="0" fontId="3" fillId="0" borderId="0" xfId="0" applyFont="1"/>
    <xf numFmtId="0" fontId="3" fillId="0" borderId="0" xfId="0" quotePrefix="1" applyFont="1"/>
    <xf numFmtId="0" fontId="37" fillId="2" borderId="0" xfId="0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25" fillId="2" borderId="0" xfId="0" applyFont="1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 vertical="justify"/>
      <protection locked="0"/>
    </xf>
    <xf numFmtId="0" fontId="0" fillId="2" borderId="0" xfId="0" applyFill="1" applyAlignment="1" applyProtection="1">
      <alignment horizontal="center"/>
      <protection locked="0"/>
    </xf>
    <xf numFmtId="0" fontId="26" fillId="2" borderId="0" xfId="0" applyFont="1" applyFill="1" applyAlignment="1" applyProtection="1">
      <alignment horizontal="left" vertical="justify"/>
      <protection locked="0"/>
    </xf>
    <xf numFmtId="0" fontId="27" fillId="2" borderId="0" xfId="0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2" borderId="0" xfId="0" applyFont="1" applyFill="1" applyAlignment="1" applyProtection="1">
      <alignment horizontal="left" vertical="justify"/>
      <protection locked="0"/>
    </xf>
    <xf numFmtId="0" fontId="5" fillId="2" borderId="0" xfId="0" applyFont="1" applyFill="1" applyAlignment="1" applyProtection="1">
      <alignment horizontal="left"/>
      <protection locked="0"/>
    </xf>
    <xf numFmtId="0" fontId="28" fillId="2" borderId="0" xfId="0" applyFont="1" applyFill="1" applyAlignment="1" applyProtection="1">
      <alignment horizontal="center" wrapText="1"/>
      <protection locked="0"/>
    </xf>
    <xf numFmtId="0" fontId="6" fillId="2" borderId="0" xfId="0" applyFont="1" applyFill="1" applyAlignment="1" applyProtection="1">
      <alignment horizontal="center" wrapText="1"/>
      <protection locked="0"/>
    </xf>
    <xf numFmtId="0" fontId="6" fillId="2" borderId="13" xfId="0" applyFont="1" applyFill="1" applyBorder="1" applyAlignment="1" applyProtection="1">
      <alignment horizontal="center" wrapText="1"/>
      <protection locked="0"/>
    </xf>
    <xf numFmtId="0" fontId="18" fillId="2" borderId="0" xfId="0" applyFont="1" applyFill="1" applyAlignment="1" applyProtection="1">
      <alignment horizontal="left" vertical="center" wrapText="1"/>
      <protection locked="0"/>
    </xf>
    <xf numFmtId="0" fontId="18" fillId="0" borderId="0" xfId="0" applyFont="1" applyAlignment="1" applyProtection="1">
      <alignment horizontal="left" vertical="center" wrapText="1"/>
      <protection locked="0"/>
    </xf>
    <xf numFmtId="49" fontId="6" fillId="2" borderId="0" xfId="0" applyNumberFormat="1" applyFont="1" applyFill="1" applyAlignment="1">
      <alignment horizontal="center"/>
    </xf>
    <xf numFmtId="0" fontId="16" fillId="2" borderId="0" xfId="0" applyFont="1" applyFill="1" applyAlignment="1" applyProtection="1">
      <alignment horizontal="center"/>
      <protection locked="0"/>
    </xf>
    <xf numFmtId="0" fontId="42" fillId="2" borderId="0" xfId="0" applyFont="1" applyFill="1" applyAlignment="1" applyProtection="1">
      <alignment horizontal="left" vertical="justify"/>
      <protection locked="0"/>
    </xf>
    <xf numFmtId="0" fontId="43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6" fillId="2" borderId="13" xfId="0" applyFont="1" applyFill="1" applyBorder="1" applyAlignment="1" applyProtection="1">
      <alignment horizontal="center"/>
      <protection locked="0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75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4.jpe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1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2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3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4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5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6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_rels/drawing68.xml.rels><?xml version="1.0" encoding="UTF-8" standalone="yes"?>
<Relationships xmlns="http://schemas.openxmlformats.org/package/2006/relationships"><Relationship Id="rId2" Type="http://schemas.openxmlformats.org/officeDocument/2006/relationships/image" Target="::::::Desktop:JPEGs:BarnesLogo3D_RGB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E705DC1A-221F-46BF-B08D-C18602F83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7A5EA0E-9410-4705-873C-6E6437A4039D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339AC57-572F-45CB-AA49-D2949E4DADD3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C4D0312-BB6E-4DC7-A35F-6DC3D9390F05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6" name="Picture 5" descr="::::::Desktop:JPEGs:BarnesLogo3D_RGB.jpg">
          <a:extLst>
            <a:ext uri="{FF2B5EF4-FFF2-40B4-BE49-F238E27FC236}">
              <a16:creationId xmlns:a16="http://schemas.microsoft.com/office/drawing/2014/main" id="{2393FDCA-9294-4331-9B0D-67EDE685E0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91FDA42-79D9-4467-8383-C566C6C45A49}"/>
            </a:ext>
          </a:extLst>
        </xdr:cNvPr>
        <xdr:cNvSpPr/>
      </xdr:nvSpPr>
      <xdr:spPr>
        <a:xfrm>
          <a:off x="2526239" y="1589087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45754F6-C3C2-4BC4-8BE2-9423E5543F6E}"/>
            </a:ext>
          </a:extLst>
        </xdr:cNvPr>
        <xdr:cNvSpPr/>
      </xdr:nvSpPr>
      <xdr:spPr>
        <a:xfrm>
          <a:off x="1279517" y="1589087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0AC0176-56FC-444D-8F62-6F5B7FD2CDD0}"/>
            </a:ext>
          </a:extLst>
        </xdr:cNvPr>
        <xdr:cNvSpPr/>
      </xdr:nvSpPr>
      <xdr:spPr>
        <a:xfrm>
          <a:off x="371475" y="1263015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10" name="Picture 9" descr="::::::Desktop:JPEGs:BarnesLogo3D_RGB.jpg">
          <a:extLst>
            <a:ext uri="{FF2B5EF4-FFF2-40B4-BE49-F238E27FC236}">
              <a16:creationId xmlns:a16="http://schemas.microsoft.com/office/drawing/2014/main" id="{A9D42C8C-A7BB-4C54-97F5-EDC054D5DA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0F20976-DF64-41C2-AFC3-1E6FB41E5ABE}"/>
            </a:ext>
          </a:extLst>
        </xdr:cNvPr>
        <xdr:cNvSpPr/>
      </xdr:nvSpPr>
      <xdr:spPr>
        <a:xfrm>
          <a:off x="2526239" y="1589087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AD728A15-42A8-4F49-92DD-E4DD719E2816}"/>
            </a:ext>
          </a:extLst>
        </xdr:cNvPr>
        <xdr:cNvSpPr/>
      </xdr:nvSpPr>
      <xdr:spPr>
        <a:xfrm>
          <a:off x="1279517" y="1589087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019AB01-0F44-4235-8A1D-16023F40D843}"/>
            </a:ext>
          </a:extLst>
        </xdr:cNvPr>
        <xdr:cNvSpPr/>
      </xdr:nvSpPr>
      <xdr:spPr>
        <a:xfrm>
          <a:off x="371475" y="1263015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31412572-FA7C-4ABD-97B9-8130B7187B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323736-3690-4EB9-9EE9-E7F5238FA8D9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8D1E8B0-809F-454E-BF6E-44D1F04C66B7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/>
            <a:t>X</a:t>
          </a:r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577102F-5C6F-4709-984C-882037C4ECDE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EC617DC5-9784-4110-A8F3-611E802B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2B4DF37-7D83-4F1F-81DE-D697C4522255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A378F39-A9F4-4EDF-A563-CA218FE45F0E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45F63D0-B711-41EE-ADC8-EE823A431FEF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D9D3FE4A-CADC-4F11-8A4D-0F4AEE892C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11B7CFE-5EF5-4BFA-867E-57DAD7B421F1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64122E8-D01B-4641-9967-1315E6A3D5D4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990263D-6436-4865-B130-34E03315D5B1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5B6F4CB-9D78-4D8C-9D4A-FA4E55352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B340BA-944F-45C2-899E-E270F1E4205E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7862613-60D7-4B87-9763-5809B94CFF9D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C7CE52A-16B2-4E01-97A2-0485459F62D1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6" name="Picture 5" descr="::::::Desktop:JPEGs:BarnesLogo3D_RGB.jpg">
          <a:extLst>
            <a:ext uri="{FF2B5EF4-FFF2-40B4-BE49-F238E27FC236}">
              <a16:creationId xmlns:a16="http://schemas.microsoft.com/office/drawing/2014/main" id="{3F3CD11F-5F59-4FD7-8AE9-B105A0B2C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2DF9332-C3B9-4711-907A-42C0EA8D359F}"/>
            </a:ext>
          </a:extLst>
        </xdr:cNvPr>
        <xdr:cNvSpPr/>
      </xdr:nvSpPr>
      <xdr:spPr>
        <a:xfrm>
          <a:off x="2526239" y="1590040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3BECE6D-9F19-44A5-AB93-333726B318B4}"/>
            </a:ext>
          </a:extLst>
        </xdr:cNvPr>
        <xdr:cNvSpPr/>
      </xdr:nvSpPr>
      <xdr:spPr>
        <a:xfrm>
          <a:off x="1279517" y="1590040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376EBCF-2565-4099-ADEA-9ED5450438F5}"/>
            </a:ext>
          </a:extLst>
        </xdr:cNvPr>
        <xdr:cNvSpPr/>
      </xdr:nvSpPr>
      <xdr:spPr>
        <a:xfrm>
          <a:off x="371475" y="126396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D1FCB437-F935-4091-83B3-AAAB3CC41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DAC703-76CA-418D-818C-F4C58DDDDF87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C3C1684-EB10-4F79-AAC0-635C39CAE6E5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D9E7082-EFCE-4EEA-AE39-92D33557845B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C4D75E1E-F642-4AF0-A3D0-D7AED1CE18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0"/>
          <a:ext cx="257556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2FD8190-6FD9-4B0E-9431-9EEC84C42B51}"/>
            </a:ext>
          </a:extLst>
        </xdr:cNvPr>
        <xdr:cNvSpPr/>
      </xdr:nvSpPr>
      <xdr:spPr>
        <a:xfrm>
          <a:off x="2524334" y="15852775"/>
          <a:ext cx="427763" cy="28194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D885F64-A6E0-4CC6-A3D4-44B95205DD3C}"/>
            </a:ext>
          </a:extLst>
        </xdr:cNvPr>
        <xdr:cNvSpPr/>
      </xdr:nvSpPr>
      <xdr:spPr>
        <a:xfrm>
          <a:off x="1283327" y="15852775"/>
          <a:ext cx="431077" cy="28194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0EF1F14-593D-4035-83C9-DD88890514B5}"/>
            </a:ext>
          </a:extLst>
        </xdr:cNvPr>
        <xdr:cNvSpPr/>
      </xdr:nvSpPr>
      <xdr:spPr>
        <a:xfrm>
          <a:off x="373380" y="12618720"/>
          <a:ext cx="368674" cy="13285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99D5D240-3050-4617-811A-E3EC13619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0"/>
          <a:ext cx="264795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17041B7-7145-4D7B-B0E7-D364E08E38F6}"/>
            </a:ext>
          </a:extLst>
        </xdr:cNvPr>
        <xdr:cNvSpPr/>
      </xdr:nvSpPr>
      <xdr:spPr>
        <a:xfrm>
          <a:off x="2627839" y="1564640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9D11A5E-B5E2-4B5A-92B6-5DBE700BD20A}"/>
            </a:ext>
          </a:extLst>
        </xdr:cNvPr>
        <xdr:cNvSpPr/>
      </xdr:nvSpPr>
      <xdr:spPr>
        <a:xfrm>
          <a:off x="1314442" y="15646400"/>
          <a:ext cx="44123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1D1A3B9-7DC5-40E5-88DC-DF226A9DA5EB}"/>
            </a:ext>
          </a:extLst>
        </xdr:cNvPr>
        <xdr:cNvSpPr/>
      </xdr:nvSpPr>
      <xdr:spPr>
        <a:xfrm>
          <a:off x="377825" y="12468225"/>
          <a:ext cx="364864" cy="13983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69A398AE-3CB2-4DCC-BFF1-46799DC5B2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" y="0"/>
          <a:ext cx="2625090" cy="651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1D9AD65-EDDA-462C-B994-3A2898E33016}"/>
            </a:ext>
          </a:extLst>
        </xdr:cNvPr>
        <xdr:cNvSpPr/>
      </xdr:nvSpPr>
      <xdr:spPr>
        <a:xfrm>
          <a:off x="2587199" y="15467965"/>
          <a:ext cx="422048" cy="27813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75DACE-3D2E-4C1F-BE5D-C0621B27879B}"/>
            </a:ext>
          </a:extLst>
        </xdr:cNvPr>
        <xdr:cNvSpPr/>
      </xdr:nvSpPr>
      <xdr:spPr>
        <a:xfrm>
          <a:off x="1296662" y="15467965"/>
          <a:ext cx="434887" cy="27813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54C97EE-F550-46D6-A1BC-15BE9FD2FEE9}"/>
            </a:ext>
          </a:extLst>
        </xdr:cNvPr>
        <xdr:cNvSpPr/>
      </xdr:nvSpPr>
      <xdr:spPr>
        <a:xfrm>
          <a:off x="375285" y="1231011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6BF17FA5-81B9-490A-83E7-705BF1DF70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E7D382D-BE6F-4A4D-B24B-02E507F5EDB1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E117F4C-6DBD-4E27-AAF0-E14B0EE86D08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0EA7688-0904-4DCE-97D1-E3B7840CBAB6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6D99A779-64A0-42DD-8F78-6686551B34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051BA35-6394-4B8A-88A5-AF10BEEF128D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6ED68D8-692D-4C1D-A041-1F81B2698C92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4F40B18-A89F-4B60-ADE6-C58258623194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39E69F98-9864-4343-8213-FA037805D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5FBCC9-68D2-4735-8CC1-D5A48B62C0FD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2DDE53D-5FF6-4401-9FDD-8680A20C03CE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161C5F2-97AE-4104-9CB7-F553941B54E9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F97CC7-04F1-4B08-97BB-6CB0B21E34B6}"/>
            </a:ext>
          </a:extLst>
        </xdr:cNvPr>
        <xdr:cNvSpPr/>
      </xdr:nvSpPr>
      <xdr:spPr>
        <a:xfrm>
          <a:off x="2634189" y="172434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A114E62-98B5-49E0-BB8E-6C461AEDBB56}"/>
            </a:ext>
          </a:extLst>
        </xdr:cNvPr>
        <xdr:cNvSpPr/>
      </xdr:nvSpPr>
      <xdr:spPr>
        <a:xfrm>
          <a:off x="1327142" y="172434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78653C-5C19-4362-AF6B-2DDE5344043B}"/>
            </a:ext>
          </a:extLst>
        </xdr:cNvPr>
        <xdr:cNvSpPr/>
      </xdr:nvSpPr>
      <xdr:spPr>
        <a:xfrm>
          <a:off x="384175" y="1403350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190500</xdr:colOff>
      <xdr:row>0</xdr:row>
      <xdr:rowOff>0</xdr:rowOff>
    </xdr:from>
    <xdr:to>
      <xdr:col>3</xdr:col>
      <xdr:colOff>25400</xdr:colOff>
      <xdr:row>4</xdr:row>
      <xdr:rowOff>355361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9A0E30-419F-4B7B-AC18-139DD2485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2190750" cy="1326911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111124</xdr:colOff>
      <xdr:row>38</xdr:row>
      <xdr:rowOff>222249</xdr:rowOff>
    </xdr:from>
    <xdr:to>
      <xdr:col>7</xdr:col>
      <xdr:colOff>871747</xdr:colOff>
      <xdr:row>40</xdr:row>
      <xdr:rowOff>95250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7DF72CD-39DA-9111-1763-53A8A2CAC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94249" y="8778874"/>
          <a:ext cx="2760873" cy="31750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526239" y="1584325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79517" y="1584325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1475" y="1261110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26239" y="1584325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79517" y="1584325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71475" y="1261110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2B23DC25-0FE8-44B0-B063-A3AD9B8821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4094327-3A01-4526-9423-F090697BB6B9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A69302B-3C8B-43CD-AF64-0647176CC4BD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B2A685C-FD59-4798-82DE-C01E86115A38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83172B-B4D4-4E8E-87AB-3B10A47C9B1E}"/>
            </a:ext>
          </a:extLst>
        </xdr:cNvPr>
        <xdr:cNvSpPr/>
      </xdr:nvSpPr>
      <xdr:spPr>
        <a:xfrm>
          <a:off x="2526239" y="1593850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EAEFB65-25A9-4CE3-B4B0-F8342ACBD0D4}"/>
            </a:ext>
          </a:extLst>
        </xdr:cNvPr>
        <xdr:cNvSpPr/>
      </xdr:nvSpPr>
      <xdr:spPr>
        <a:xfrm>
          <a:off x="1289042" y="1593850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769588B-56F4-4B17-A0D6-C32C59D9C9D4}"/>
            </a:ext>
          </a:extLst>
        </xdr:cNvPr>
        <xdr:cNvSpPr/>
      </xdr:nvSpPr>
      <xdr:spPr>
        <a:xfrm>
          <a:off x="371475" y="126777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190500</xdr:colOff>
      <xdr:row>0</xdr:row>
      <xdr:rowOff>0</xdr:rowOff>
    </xdr:from>
    <xdr:to>
      <xdr:col>3</xdr:col>
      <xdr:colOff>1289861</xdr:colOff>
      <xdr:row>6</xdr:row>
      <xdr:rowOff>153668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E1EB400-CDED-4B2D-8ECF-45F7CACA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3299636" cy="1115693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2526239" y="1584325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1279517" y="1584325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371475" y="1261110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9E9C2F89-C619-41C5-8CFF-77317482F8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A1A27C0-6D52-48AA-B9FE-1DDFD1EE158B}"/>
            </a:ext>
          </a:extLst>
        </xdr:cNvPr>
        <xdr:cNvSpPr/>
      </xdr:nvSpPr>
      <xdr:spPr>
        <a:xfrm>
          <a:off x="2526239" y="1589087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AC43BE6-367E-41CC-98AB-739D01F356B8}"/>
            </a:ext>
          </a:extLst>
        </xdr:cNvPr>
        <xdr:cNvSpPr/>
      </xdr:nvSpPr>
      <xdr:spPr>
        <a:xfrm>
          <a:off x="1279517" y="1589087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241FEB4-DCDA-49F7-BBC9-D3B980E387F8}"/>
            </a:ext>
          </a:extLst>
        </xdr:cNvPr>
        <xdr:cNvSpPr/>
      </xdr:nvSpPr>
      <xdr:spPr>
        <a:xfrm>
          <a:off x="371475" y="1263015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10</xdr:col>
      <xdr:colOff>514350</xdr:colOff>
      <xdr:row>32</xdr:row>
      <xdr:rowOff>161925</xdr:rowOff>
    </xdr:from>
    <xdr:to>
      <xdr:col>20</xdr:col>
      <xdr:colOff>419938</xdr:colOff>
      <xdr:row>54</xdr:row>
      <xdr:rowOff>124317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8EBDCC-CC93-42DB-845D-853B61AD6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5525" y="7505700"/>
          <a:ext cx="6001588" cy="352474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5269" name="Picture 1" descr="::::::Desktop:JPEGs:BarnesLogo3D_RGB.jpg">
          <a:extLst>
            <a:ext uri="{FF2B5EF4-FFF2-40B4-BE49-F238E27FC236}">
              <a16:creationId xmlns:a16="http://schemas.microsoft.com/office/drawing/2014/main" id="{00000000-0008-0000-2700-00009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25742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2522006" y="15634758"/>
          <a:ext cx="422048" cy="28998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1272109" y="15634758"/>
          <a:ext cx="434887" cy="28998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367242" y="12471400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6" name="Picture 5" descr="::::::Desktop:JPEGs:BarnesLogo3D_RGB.jpg">
          <a:extLst>
            <a:ext uri="{FF2B5EF4-FFF2-40B4-BE49-F238E27FC236}">
              <a16:creationId xmlns:a16="http://schemas.microsoft.com/office/drawing/2014/main" id="{8C9ADBAA-7E5D-4C25-9E65-C69EA37A4E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3656DE9-3FA2-4317-9194-A7006FA96BC9}"/>
            </a:ext>
          </a:extLst>
        </xdr:cNvPr>
        <xdr:cNvSpPr/>
      </xdr:nvSpPr>
      <xdr:spPr>
        <a:xfrm>
          <a:off x="2526239" y="1590040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8FA85F4-97BA-48B9-9A32-8C0C0930A494}"/>
            </a:ext>
          </a:extLst>
        </xdr:cNvPr>
        <xdr:cNvSpPr/>
      </xdr:nvSpPr>
      <xdr:spPr>
        <a:xfrm>
          <a:off x="1279517" y="1590040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C633C13-0AD9-4FFA-9038-E4C458AFEB49}"/>
            </a:ext>
          </a:extLst>
        </xdr:cNvPr>
        <xdr:cNvSpPr/>
      </xdr:nvSpPr>
      <xdr:spPr>
        <a:xfrm>
          <a:off x="371475" y="126396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10" name="Picture 9" descr="::::::Desktop:JPEGs:BarnesLogo3D_RGB.jpg">
          <a:extLst>
            <a:ext uri="{FF2B5EF4-FFF2-40B4-BE49-F238E27FC236}">
              <a16:creationId xmlns:a16="http://schemas.microsoft.com/office/drawing/2014/main" id="{C5FAE769-9813-4481-84C5-4FBC6376D1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5B08EA7-7632-4B95-952F-E45586DCB65D}"/>
            </a:ext>
          </a:extLst>
        </xdr:cNvPr>
        <xdr:cNvSpPr/>
      </xdr:nvSpPr>
      <xdr:spPr>
        <a:xfrm>
          <a:off x="2526239" y="15900400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36E6FA5A-61FD-4BB1-98D4-B0DFC9D5661A}"/>
            </a:ext>
          </a:extLst>
        </xdr:cNvPr>
        <xdr:cNvSpPr/>
      </xdr:nvSpPr>
      <xdr:spPr>
        <a:xfrm>
          <a:off x="1279517" y="15900400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6CAA6B9-286E-49EF-BA60-8692C00777D9}"/>
            </a:ext>
          </a:extLst>
        </xdr:cNvPr>
        <xdr:cNvSpPr/>
      </xdr:nvSpPr>
      <xdr:spPr>
        <a:xfrm>
          <a:off x="371475" y="126396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608EF7A1-7BE5-4DD0-B1DC-82DF023E1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E12585B-03D0-4AF6-BFC3-32F8B3FC408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9C36941-66B7-4E62-9FAE-5BE7946D5476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F245CBC-C511-4157-8725-67F3BE1E19E7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32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C5F65269-4BE4-4FA4-BF34-0BA4EB2744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D940C79-4222-461A-89C7-C43687E0A279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BBBF89A-3B62-4BEC-9B53-B7BA6E9A8F24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38CD573-69E4-4539-BAD8-F5CB3B26B2E2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144CA2D1-CFC8-4174-88BC-CE7539863A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4B495FF-21C4-4954-9052-531AE9EA6194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3E6A811-298C-43FE-A5A6-A966067788ED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FB5952C-A9FE-4C09-9D57-7D792B41DA8C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0</xdr:rowOff>
    </xdr:from>
    <xdr:to>
      <xdr:col>3</xdr:col>
      <xdr:colOff>1143000</xdr:colOff>
      <xdr:row>2</xdr:row>
      <xdr:rowOff>133350</xdr:rowOff>
    </xdr:to>
    <xdr:pic>
      <xdr:nvPicPr>
        <xdr:cNvPr id="2" name="Picture 1" descr="::::::Desktop:JPEGs:BarnesLogo3D_RGB.jpg">
          <a:extLst>
            <a:ext uri="{FF2B5EF4-FFF2-40B4-BE49-F238E27FC236}">
              <a16:creationId xmlns:a16="http://schemas.microsoft.com/office/drawing/2014/main" id="{192B894B-5F7E-4AA9-AF3C-71675294D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0"/>
          <a:ext cx="25812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278339</xdr:colOff>
      <xdr:row>70</xdr:row>
      <xdr:rowOff>98425</xdr:rowOff>
    </xdr:from>
    <xdr:to>
      <xdr:col>3</xdr:col>
      <xdr:colOff>700387</xdr:colOff>
      <xdr:row>71</xdr:row>
      <xdr:rowOff>155575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7081E1-A104-4F51-8465-46F2B4A9B197}"/>
            </a:ext>
          </a:extLst>
        </xdr:cNvPr>
        <xdr:cNvSpPr/>
      </xdr:nvSpPr>
      <xdr:spPr>
        <a:xfrm>
          <a:off x="2526239" y="15833725"/>
          <a:ext cx="422048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488942</xdr:colOff>
      <xdr:row>70</xdr:row>
      <xdr:rowOff>98425</xdr:rowOff>
    </xdr:from>
    <xdr:to>
      <xdr:col>2</xdr:col>
      <xdr:colOff>923829</xdr:colOff>
      <xdr:row>71</xdr:row>
      <xdr:rowOff>155575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6661E92-B85B-4D17-862D-106386CA43F4}"/>
            </a:ext>
          </a:extLst>
        </xdr:cNvPr>
        <xdr:cNvSpPr/>
      </xdr:nvSpPr>
      <xdr:spPr>
        <a:xfrm>
          <a:off x="1279517" y="15833725"/>
          <a:ext cx="434887" cy="2857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123825</xdr:colOff>
      <xdr:row>57</xdr:row>
      <xdr:rowOff>57150</xdr:rowOff>
    </xdr:from>
    <xdr:to>
      <xdr:col>1</xdr:col>
      <xdr:colOff>488689</xdr:colOff>
      <xdr:row>57</xdr:row>
      <xdr:rowOff>193813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60C06AC-5051-4A1A-B508-7AF1D0A936C2}"/>
            </a:ext>
          </a:extLst>
        </xdr:cNvPr>
        <xdr:cNvSpPr/>
      </xdr:nvSpPr>
      <xdr:spPr>
        <a:xfrm>
          <a:off x="371475" y="12601575"/>
          <a:ext cx="364864" cy="13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comments" Target="../comments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comments" Target="../comments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comments" Target="../comments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comments" Target="../comments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comments" Target="../comments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comments" Target="../comments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comments" Target="../comments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comments" Target="../comments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comments" Target="../comments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omments" Target="../comments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4" Type="http://schemas.openxmlformats.org/officeDocument/2006/relationships/comments" Target="../comments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omments" Target="../comments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omments" Target="../comments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omments" Target="../comments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4" Type="http://schemas.openxmlformats.org/officeDocument/2006/relationships/comments" Target="../comments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4" Type="http://schemas.openxmlformats.org/officeDocument/2006/relationships/comments" Target="../comments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4" Type="http://schemas.openxmlformats.org/officeDocument/2006/relationships/comments" Target="../comments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4" Type="http://schemas.openxmlformats.org/officeDocument/2006/relationships/comments" Target="../comments5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4" Type="http://schemas.openxmlformats.org/officeDocument/2006/relationships/comments" Target="../comments5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4" Type="http://schemas.openxmlformats.org/officeDocument/2006/relationships/comments" Target="../comments5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4" Type="http://schemas.openxmlformats.org/officeDocument/2006/relationships/comments" Target="../comments6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4" Type="http://schemas.openxmlformats.org/officeDocument/2006/relationships/comments" Target="../comments6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4" Type="http://schemas.openxmlformats.org/officeDocument/2006/relationships/comments" Target="../comments6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4" Type="http://schemas.openxmlformats.org/officeDocument/2006/relationships/comments" Target="../comments6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4" Type="http://schemas.openxmlformats.org/officeDocument/2006/relationships/comments" Target="../comments6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4" Type="http://schemas.openxmlformats.org/officeDocument/2006/relationships/comments" Target="../comments6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4" Type="http://schemas.openxmlformats.org/officeDocument/2006/relationships/comments" Target="../comments66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4" Type="http://schemas.openxmlformats.org/officeDocument/2006/relationships/comments" Target="../comments6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4" Type="http://schemas.openxmlformats.org/officeDocument/2006/relationships/comments" Target="../comments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">
    <tabColor rgb="FF92D050"/>
    <pageSetUpPr fitToPage="1"/>
  </sheetPr>
  <dimension ref="A1:Q89"/>
  <sheetViews>
    <sheetView topLeftCell="B11" zoomScale="90" zoomScaleNormal="90" workbookViewId="0">
      <selection activeCell="C37" sqref="C37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140</v>
      </c>
      <c r="E8" s="12"/>
      <c r="F8" s="12"/>
      <c r="G8" s="11" t="s">
        <v>10</v>
      </c>
      <c r="H8" s="100">
        <v>46079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336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421.15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536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 t="s">
        <v>417</v>
      </c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140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539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141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4" t="s">
        <v>263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264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135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21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1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1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1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4817-6021-45F2-9E73-1854D977A8C4}">
  <sheetPr codeName="Sheet2">
    <tabColor rgb="FF92D050"/>
    <pageSetUpPr fitToPage="1"/>
  </sheetPr>
  <dimension ref="A1:Q89"/>
  <sheetViews>
    <sheetView topLeftCell="A12" zoomScale="140" zoomScaleNormal="140" workbookViewId="0">
      <selection activeCell="H40" sqref="H40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373</v>
      </c>
      <c r="E8" s="12"/>
      <c r="F8" s="12"/>
      <c r="G8" s="11" t="s">
        <v>10</v>
      </c>
      <c r="H8" s="100">
        <v>46079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464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34">
        <v>180919.71</v>
      </c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2"/>
      <c r="F13" s="12"/>
      <c r="G13" s="96"/>
      <c r="H13" s="117"/>
      <c r="I13" s="117"/>
      <c r="J13" s="118"/>
    </row>
    <row r="14" spans="2:11" ht="18" x14ac:dyDescent="0.2">
      <c r="B14" s="10"/>
      <c r="C14" s="11" t="s">
        <v>3</v>
      </c>
      <c r="D14" s="12">
        <v>1595</v>
      </c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/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537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374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541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>
        <v>92512460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505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506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 t="s">
        <v>507</v>
      </c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8" x14ac:dyDescent="0.2">
      <c r="B48" s="10"/>
      <c r="C48" s="12" t="s">
        <v>35</v>
      </c>
      <c r="D48" s="12"/>
      <c r="E48" s="4"/>
      <c r="F48" s="4"/>
      <c r="G48" s="114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115" t="s">
        <v>508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114" t="s">
        <v>509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3">
    <dataValidation type="list" errorStyle="warning" allowBlank="1" showInputMessage="1" showErrorMessage="1" errorTitle="Verify" error="Is currencey correct?" promptTitle="Currency" prompt="Select Payment Currency" sqref="H10" xr:uid="{D72169A6-B75D-47DA-9410-04697631D4F8}">
      <formula1>Currency</formula1>
    </dataValidation>
    <dataValidation type="list" allowBlank="1" showInputMessage="1" showErrorMessage="1" sqref="E33" xr:uid="{7A5656AA-6DDF-4BD7-99CF-F1995E68BF52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F79B8FD3-A299-4D5C-A945-E8A68BE02E0A}">
      <formula1>IF(E33=#REF!,TRUE,FALSE)</formula1>
    </dataValidation>
  </dataValidations>
  <pageMargins left="0.2" right="0" top="0.75" bottom="0.75" header="0.3" footer="0.3"/>
  <pageSetup scale="67" orientation="portrait" horizontalDpi="360" verticalDpi="360" r:id="rId1"/>
  <colBreaks count="1" manualBreakCount="1">
    <brk id="12" max="88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">
    <tabColor rgb="FF92D050"/>
    <pageSetUpPr fitToPage="1"/>
  </sheetPr>
  <dimension ref="A1:Q89"/>
  <sheetViews>
    <sheetView topLeftCell="A24" zoomScale="90" zoomScaleNormal="90" workbookViewId="0">
      <selection activeCell="H52" sqref="H5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122</v>
      </c>
      <c r="E8" s="12"/>
      <c r="F8" s="12"/>
      <c r="G8" s="11" t="s">
        <v>10</v>
      </c>
      <c r="H8" s="100">
        <v>46058</v>
      </c>
      <c r="I8" s="86"/>
      <c r="J8" s="13"/>
    </row>
    <row r="9" spans="2:11" ht="18" x14ac:dyDescent="0.2">
      <c r="B9" s="10"/>
      <c r="C9" s="11"/>
      <c r="D9" s="16" t="s">
        <v>123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485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46132.24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23">
        <v>46056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124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261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125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126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127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E00-000000000000}">
      <formula1>Currency</formula1>
    </dataValidation>
    <dataValidation type="list" allowBlank="1" showInputMessage="1" showErrorMessage="1" sqref="E33" xr:uid="{00000000-0002-0000-1E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E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E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58D4B-895B-4086-9A5E-97D9CD26855C}">
  <sheetPr codeName="Sheet4">
    <tabColor rgb="FF92D050"/>
    <pageSetUpPr fitToPage="1"/>
  </sheetPr>
  <dimension ref="A1:Q89"/>
  <sheetViews>
    <sheetView zoomScale="90" zoomScaleNormal="90" workbookViewId="0">
      <selection activeCell="Q33" sqref="Q3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304</v>
      </c>
      <c r="E8" s="12"/>
      <c r="F8" s="12"/>
      <c r="G8" s="11" t="s">
        <v>10</v>
      </c>
      <c r="H8" s="100">
        <v>46079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482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7330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46077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418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120" t="s">
        <v>427</v>
      </c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305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customHeight="1" x14ac:dyDescent="0.2">
      <c r="B37" s="10"/>
      <c r="C37" s="12" t="s">
        <v>7</v>
      </c>
      <c r="D37" s="12"/>
      <c r="E37" s="149" t="s">
        <v>540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422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423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 t="s">
        <v>424</v>
      </c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421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420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 t="s">
        <v>426</v>
      </c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119">
        <v>45293</v>
      </c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 t="s">
        <v>425</v>
      </c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533A0C2C-B0F3-4C21-823F-B7D007268E93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5F84C29A-B11C-4A2C-A010-466196142BA7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A3A5388E-8A2C-4F98-9D7B-060943196328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4CF98E43-40F9-4A24-A0AC-2666DCE1507E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92D050"/>
    <pageSetUpPr fitToPage="1"/>
  </sheetPr>
  <dimension ref="A1:Q89"/>
  <sheetViews>
    <sheetView topLeftCell="A24" zoomScale="90" zoomScaleNormal="90" workbookViewId="0">
      <selection activeCell="I52" sqref="I5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3" ht="18" customHeight="1" x14ac:dyDescent="0.15">
      <c r="F1" s="141"/>
      <c r="G1" s="141"/>
      <c r="H1" s="141"/>
      <c r="I1" s="142"/>
      <c r="J1" s="142"/>
    </row>
    <row r="2" spans="2:13" ht="23.25" customHeight="1" x14ac:dyDescent="0.25">
      <c r="F2" s="2"/>
      <c r="G2" s="143" t="s">
        <v>34</v>
      </c>
      <c r="H2" s="144"/>
      <c r="I2" s="144"/>
      <c r="J2" s="145"/>
    </row>
    <row r="3" spans="2:13" ht="20" x14ac:dyDescent="0.2">
      <c r="F3" s="2"/>
      <c r="G3" s="146"/>
      <c r="H3" s="147"/>
      <c r="I3" s="147"/>
      <c r="J3" s="3"/>
    </row>
    <row r="4" spans="2:13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3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3" ht="20" x14ac:dyDescent="0.2">
      <c r="B6" s="83" t="s">
        <v>47</v>
      </c>
      <c r="F6" s="2"/>
      <c r="G6" s="5"/>
      <c r="H6" s="6"/>
      <c r="I6" s="6"/>
      <c r="J6" s="3"/>
    </row>
    <row r="7" spans="2:13" x14ac:dyDescent="0.15">
      <c r="B7" s="7"/>
      <c r="C7" s="8"/>
      <c r="D7" s="8"/>
      <c r="E7" s="8"/>
      <c r="F7" s="8"/>
      <c r="G7" s="8"/>
      <c r="H7" s="8"/>
      <c r="I7" s="8"/>
      <c r="J7" s="9"/>
      <c r="M7" s="110" t="s">
        <v>330</v>
      </c>
    </row>
    <row r="8" spans="2:13" ht="18" x14ac:dyDescent="0.2">
      <c r="B8" s="10"/>
      <c r="C8" s="11" t="s">
        <v>4</v>
      </c>
      <c r="D8" s="16" t="s">
        <v>72</v>
      </c>
      <c r="E8" s="12"/>
      <c r="F8" s="12"/>
      <c r="G8" s="11" t="s">
        <v>10</v>
      </c>
      <c r="H8" s="100">
        <v>46058</v>
      </c>
      <c r="I8" s="86"/>
      <c r="J8" s="13"/>
    </row>
    <row r="9" spans="2:13" ht="18" x14ac:dyDescent="0.2">
      <c r="B9" s="10"/>
      <c r="C9" s="11"/>
      <c r="D9" s="16" t="s">
        <v>73</v>
      </c>
      <c r="E9" s="12"/>
      <c r="F9" s="12"/>
      <c r="G9" s="11"/>
      <c r="H9" s="4"/>
      <c r="I9" s="4"/>
      <c r="J9" s="13"/>
    </row>
    <row r="10" spans="2:13" ht="18" x14ac:dyDescent="0.2">
      <c r="B10" s="10"/>
      <c r="C10" s="11" t="s">
        <v>8</v>
      </c>
      <c r="D10" s="14" t="s">
        <v>474</v>
      </c>
      <c r="E10" s="14"/>
      <c r="F10" s="12"/>
      <c r="G10" s="11" t="s">
        <v>9</v>
      </c>
      <c r="H10" s="4" t="s">
        <v>245</v>
      </c>
      <c r="I10" s="4"/>
      <c r="J10" s="13"/>
    </row>
    <row r="11" spans="2:13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3" ht="18" x14ac:dyDescent="0.2">
      <c r="B12" s="10"/>
      <c r="C12" s="11" t="s">
        <v>0</v>
      </c>
      <c r="D12" s="15">
        <v>67659.55</v>
      </c>
      <c r="E12" s="12"/>
      <c r="F12" s="12"/>
      <c r="G12" s="11"/>
      <c r="H12" s="4" t="s">
        <v>5</v>
      </c>
      <c r="I12" s="16"/>
      <c r="J12" s="13"/>
    </row>
    <row r="13" spans="2:13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3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3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3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21">
        <v>46056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74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246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75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76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77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78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0B00-000000000000}">
      <formula1>Currency</formula1>
    </dataValidation>
    <dataValidation type="list" allowBlank="1" showInputMessage="1" showErrorMessage="1" sqref="E33" xr:uid="{00000000-0002-0000-0B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B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B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955F2-A99C-4A7C-ACB6-74664385D305}">
  <sheetPr codeName="Sheet6">
    <tabColor rgb="FF92D050"/>
  </sheetPr>
  <dimension ref="A1:Q89"/>
  <sheetViews>
    <sheetView topLeftCell="A28" zoomScaleNormal="100" workbookViewId="0">
      <selection activeCell="G13" sqref="G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3" ht="18" customHeight="1" x14ac:dyDescent="0.15">
      <c r="F1" s="141"/>
      <c r="G1" s="141"/>
      <c r="H1" s="141"/>
      <c r="I1" s="142"/>
      <c r="J1" s="142"/>
    </row>
    <row r="2" spans="2:13" ht="23.25" customHeight="1" x14ac:dyDescent="0.25">
      <c r="F2" s="2"/>
      <c r="G2" s="143" t="s">
        <v>34</v>
      </c>
      <c r="H2" s="144"/>
      <c r="I2" s="144"/>
      <c r="J2" s="145"/>
    </row>
    <row r="3" spans="2:13" ht="20" x14ac:dyDescent="0.2">
      <c r="F3" s="2"/>
      <c r="G3" s="146"/>
      <c r="H3" s="147"/>
      <c r="I3" s="147"/>
      <c r="J3" s="3"/>
    </row>
    <row r="4" spans="2:13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3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3" ht="20" x14ac:dyDescent="0.2">
      <c r="B6" s="83" t="s">
        <v>47</v>
      </c>
      <c r="F6" s="2"/>
      <c r="G6" s="5"/>
      <c r="H6" s="6"/>
      <c r="I6" s="6"/>
      <c r="J6" s="3"/>
    </row>
    <row r="7" spans="2:13" x14ac:dyDescent="0.15">
      <c r="B7" s="7"/>
      <c r="C7" s="8"/>
      <c r="D7" s="8"/>
      <c r="E7" s="8"/>
      <c r="F7" s="8"/>
      <c r="G7" s="8"/>
      <c r="H7" s="8"/>
      <c r="I7" s="8"/>
      <c r="J7" s="9"/>
      <c r="M7" s="110" t="s">
        <v>354</v>
      </c>
    </row>
    <row r="8" spans="2:13" ht="18" x14ac:dyDescent="0.2">
      <c r="B8" s="10"/>
      <c r="C8" s="11" t="s">
        <v>4</v>
      </c>
      <c r="D8" s="16" t="s">
        <v>348</v>
      </c>
      <c r="E8" s="12"/>
      <c r="F8" s="12"/>
      <c r="G8" s="11" t="s">
        <v>10</v>
      </c>
      <c r="H8" s="100">
        <v>46079</v>
      </c>
      <c r="I8" s="86"/>
      <c r="J8" s="13"/>
    </row>
    <row r="9" spans="2:13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3" ht="18" x14ac:dyDescent="0.2">
      <c r="B10" s="10"/>
      <c r="C10" s="11" t="s">
        <v>8</v>
      </c>
      <c r="D10" s="14" t="s">
        <v>355</v>
      </c>
      <c r="E10" s="14"/>
      <c r="F10" s="12"/>
      <c r="G10" s="11" t="s">
        <v>9</v>
      </c>
      <c r="H10" s="4" t="s">
        <v>245</v>
      </c>
      <c r="I10" s="4"/>
      <c r="J10" s="13"/>
    </row>
    <row r="11" spans="2:13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3" ht="18" x14ac:dyDescent="0.2">
      <c r="B12" s="10"/>
      <c r="C12" s="11" t="s">
        <v>0</v>
      </c>
      <c r="D12" s="15">
        <v>73967.42</v>
      </c>
      <c r="E12" s="12"/>
      <c r="F12" s="12"/>
      <c r="G12" s="11"/>
      <c r="H12" s="4" t="s">
        <v>5</v>
      </c>
      <c r="I12" s="16"/>
      <c r="J12" s="13"/>
    </row>
    <row r="13" spans="2:13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3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3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3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21">
        <v>46077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349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350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351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76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352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353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B224EDCB-F772-4C89-813D-BCD702667CA8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9FD1C904-A193-443D-BFB8-187F8068A134}">
      <formula1>IF(E33=#REF!,TRUE,FALSE)</formula1>
    </dataValidation>
    <dataValidation type="list" allowBlank="1" showInputMessage="1" showErrorMessage="1" sqref="E33" xr:uid="{6E81F428-01A8-4B8D-A3F9-83A44BD86778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8C7ECF7A-3D40-4A91-93CF-3118A09F7FDB}">
      <formula1>Currency</formula1>
    </dataValidation>
  </dataValidations>
  <pageMargins left="0.7" right="0.7" top="0.75" bottom="0.75" header="0.3" footer="0.3"/>
  <pageSetup scale="57" orientation="portrait" horizontalDpi="360" verticalDpi="360" r:id="rId1"/>
  <colBreaks count="1" manualBreakCount="1">
    <brk id="12" max="88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14D7B-2ED8-46C8-886B-F0009BD3DD75}">
  <sheetPr codeName="Sheet7">
    <tabColor rgb="FF92D050"/>
  </sheetPr>
  <dimension ref="A1:Q89"/>
  <sheetViews>
    <sheetView topLeftCell="A27" zoomScaleNormal="100" workbookViewId="0">
      <selection activeCell="D12" sqref="D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2" ht="18" customHeight="1" x14ac:dyDescent="0.15">
      <c r="F1" s="141"/>
      <c r="G1" s="141"/>
      <c r="H1" s="141"/>
      <c r="I1" s="142"/>
      <c r="J1" s="142"/>
    </row>
    <row r="2" spans="2:12" ht="23.25" customHeight="1" x14ac:dyDescent="0.25">
      <c r="F2" s="2"/>
      <c r="G2" s="143" t="s">
        <v>34</v>
      </c>
      <c r="H2" s="144"/>
      <c r="I2" s="144"/>
      <c r="J2" s="145"/>
    </row>
    <row r="3" spans="2:12" ht="20" x14ac:dyDescent="0.2">
      <c r="F3" s="2"/>
      <c r="G3" s="146"/>
      <c r="H3" s="147"/>
      <c r="I3" s="147"/>
      <c r="J3" s="3"/>
    </row>
    <row r="4" spans="2:12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2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2" ht="20" x14ac:dyDescent="0.2">
      <c r="B6" s="83" t="s">
        <v>47</v>
      </c>
      <c r="F6" s="2"/>
      <c r="G6" s="5"/>
      <c r="H6" s="6"/>
      <c r="I6" s="6"/>
      <c r="J6" s="3"/>
    </row>
    <row r="7" spans="2:12" x14ac:dyDescent="0.15">
      <c r="B7" s="7"/>
      <c r="C7" s="8"/>
      <c r="D7" s="8"/>
      <c r="E7" s="8"/>
      <c r="F7" s="8"/>
      <c r="G7" s="8"/>
      <c r="H7" s="8"/>
      <c r="I7" s="8"/>
      <c r="J7" s="9"/>
    </row>
    <row r="8" spans="2:12" ht="18" x14ac:dyDescent="0.2">
      <c r="B8" s="10"/>
      <c r="C8" s="11" t="s">
        <v>4</v>
      </c>
      <c r="D8" s="16" t="s">
        <v>436</v>
      </c>
      <c r="E8" s="12"/>
      <c r="F8" s="12"/>
      <c r="G8" s="11" t="s">
        <v>10</v>
      </c>
      <c r="H8" s="100">
        <v>46051</v>
      </c>
      <c r="I8" s="86"/>
      <c r="J8" s="13"/>
    </row>
    <row r="9" spans="2:12" ht="18" x14ac:dyDescent="0.2">
      <c r="B9" s="10"/>
      <c r="C9" s="11"/>
      <c r="D9" s="16"/>
      <c r="E9" s="12"/>
      <c r="F9" s="12"/>
      <c r="G9" s="11"/>
      <c r="H9" s="4"/>
      <c r="I9" s="4"/>
      <c r="J9" s="13"/>
      <c r="L9" s="110" t="s">
        <v>332</v>
      </c>
    </row>
    <row r="10" spans="2:12" ht="18" x14ac:dyDescent="0.2">
      <c r="B10" s="10"/>
      <c r="C10" s="11" t="s">
        <v>8</v>
      </c>
      <c r="D10" s="14" t="s">
        <v>345</v>
      </c>
      <c r="E10" s="14"/>
      <c r="F10" s="12"/>
      <c r="G10" s="11" t="s">
        <v>9</v>
      </c>
      <c r="H10" s="4"/>
      <c r="I10" s="4"/>
      <c r="J10" s="13"/>
    </row>
    <row r="11" spans="2:12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2" ht="18" x14ac:dyDescent="0.2">
      <c r="B12" s="10"/>
      <c r="C12" s="11" t="s">
        <v>0</v>
      </c>
      <c r="D12" s="15">
        <v>13141.45</v>
      </c>
      <c r="E12" s="12"/>
      <c r="F12" s="12"/>
      <c r="G12" s="11"/>
      <c r="H12" s="4" t="s">
        <v>5</v>
      </c>
      <c r="I12" s="16"/>
      <c r="J12" s="13"/>
    </row>
    <row r="13" spans="2:12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2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2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2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528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418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437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438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439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440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441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153" t="s">
        <v>442</v>
      </c>
      <c r="H50" s="153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10">
    <mergeCell ref="B67:J67"/>
    <mergeCell ref="A87:J87"/>
    <mergeCell ref="A88:J88"/>
    <mergeCell ref="G50:H50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EF01C148-F5F9-458A-B0C5-CB13E30A226F}">
      <formula1>Currency</formula1>
    </dataValidation>
    <dataValidation type="list" allowBlank="1" showInputMessage="1" showErrorMessage="1" sqref="E33" xr:uid="{EB9ECF64-B700-464F-8AA2-7472E1787059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12C37222-6FE9-4FA5-83B5-BD5507FE2DF7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490E6C1A-2EA8-4F90-92A8-2AE8339E64AC}">
      <formula1>IF(E33=#REF!,TRUE,FALSE)</formula1>
    </dataValidation>
  </dataValidations>
  <pageMargins left="0.7" right="0.7" top="0.75" bottom="0.75" header="0.3" footer="0.3"/>
  <pageSetup scale="46" orientation="portrait" r:id="rId1"/>
  <rowBreaks count="1" manualBreakCount="1">
    <brk id="86" max="10" man="1"/>
  </rowBreaks>
  <colBreaks count="1" manualBreakCount="1">
    <brk id="11" max="1048575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3C1F9-BF44-4814-B46C-D7E31BFAC788}">
  <sheetPr codeName="Sheet8">
    <tabColor rgb="FF92D050"/>
  </sheetPr>
  <dimension ref="A1:Q89"/>
  <sheetViews>
    <sheetView zoomScale="80" zoomScaleNormal="80" workbookViewId="0">
      <selection activeCell="G12" sqref="G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358</v>
      </c>
      <c r="E8" s="12"/>
      <c r="F8" s="12"/>
      <c r="G8" s="11" t="s">
        <v>10</v>
      </c>
      <c r="H8" s="100">
        <v>46044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412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16901.759999999998</v>
      </c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446</v>
      </c>
      <c r="E18" s="12"/>
      <c r="F18" s="12"/>
      <c r="G18" s="11"/>
      <c r="H18" s="11" t="s">
        <v>28</v>
      </c>
      <c r="I18" s="100">
        <v>46042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359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360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361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362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363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361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2875209-DECA-4CD7-BDB3-EF84BB6202C1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815200FB-2098-4694-869E-3A69B52A5DB9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E4E09D86-F464-4522-AD91-B174C3D0F546}">
      <formula1>Currency</formula1>
    </dataValidation>
    <dataValidation type="list" allowBlank="1" showInputMessage="1" showErrorMessage="1" sqref="E33" xr:uid="{0A1971D5-83C8-479B-A0A5-2D42E0B277B2}">
      <formula1>Entity</formula1>
    </dataValidation>
  </dataValidations>
  <pageMargins left="0.7" right="0.7" top="0.75" bottom="0.75" header="0.3" footer="0.3"/>
  <pageSetup scale="42" orientation="portrait" horizontalDpi="360" verticalDpi="360" r:id="rId1"/>
  <colBreaks count="1" manualBreakCount="1">
    <brk id="12" max="88" man="1"/>
  </col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">
    <tabColor rgb="FF92D050"/>
    <pageSetUpPr fitToPage="1"/>
  </sheetPr>
  <dimension ref="A1:Q89"/>
  <sheetViews>
    <sheetView topLeftCell="A12" zoomScale="90" zoomScaleNormal="90" workbookViewId="0">
      <selection activeCell="G13" sqref="G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2" ht="18" customHeight="1" x14ac:dyDescent="0.15">
      <c r="F1" s="141"/>
      <c r="G1" s="141"/>
      <c r="H1" s="141"/>
      <c r="I1" s="142"/>
      <c r="J1" s="142"/>
    </row>
    <row r="2" spans="2:12" ht="23.25" customHeight="1" x14ac:dyDescent="0.25">
      <c r="F2" s="2"/>
      <c r="G2" s="143" t="s">
        <v>34</v>
      </c>
      <c r="H2" s="144"/>
      <c r="I2" s="144"/>
      <c r="J2" s="145"/>
    </row>
    <row r="3" spans="2:12" ht="20" x14ac:dyDescent="0.2">
      <c r="F3" s="2"/>
      <c r="G3" s="146"/>
      <c r="H3" s="147"/>
      <c r="I3" s="147"/>
      <c r="J3" s="3"/>
    </row>
    <row r="4" spans="2:12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2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2" ht="20" x14ac:dyDescent="0.2">
      <c r="B6" s="83" t="s">
        <v>47</v>
      </c>
      <c r="F6" s="2"/>
      <c r="G6" s="5"/>
      <c r="H6" s="6"/>
      <c r="I6" s="6"/>
      <c r="J6" s="3"/>
    </row>
    <row r="7" spans="2:12" x14ac:dyDescent="0.15">
      <c r="B7" s="7"/>
      <c r="C7" s="8"/>
      <c r="D7" s="8"/>
      <c r="E7" s="8"/>
      <c r="F7" s="8"/>
      <c r="G7" s="8"/>
      <c r="H7" s="8"/>
      <c r="I7" s="8"/>
      <c r="J7" s="9"/>
    </row>
    <row r="8" spans="2:12" ht="18" x14ac:dyDescent="0.2">
      <c r="B8" s="10"/>
      <c r="C8" s="11" t="s">
        <v>4</v>
      </c>
      <c r="D8" s="16" t="s">
        <v>119</v>
      </c>
      <c r="E8" s="12"/>
      <c r="F8" s="12"/>
      <c r="G8" s="11" t="s">
        <v>10</v>
      </c>
      <c r="H8" s="100">
        <v>46037</v>
      </c>
      <c r="I8" s="86"/>
      <c r="J8" s="13"/>
    </row>
    <row r="9" spans="2:12" ht="18" x14ac:dyDescent="0.2">
      <c r="B9" s="10"/>
      <c r="C9" s="11"/>
      <c r="D9" s="16"/>
      <c r="E9" s="12"/>
      <c r="F9" s="12"/>
      <c r="G9" s="11"/>
      <c r="H9" s="4"/>
      <c r="I9" s="4"/>
      <c r="J9" s="13"/>
      <c r="L9" s="1" t="s">
        <v>356</v>
      </c>
    </row>
    <row r="10" spans="2:12" ht="18" x14ac:dyDescent="0.2">
      <c r="B10" s="10"/>
      <c r="C10" s="11" t="s">
        <v>8</v>
      </c>
      <c r="D10" s="14" t="s">
        <v>380</v>
      </c>
      <c r="E10" s="14"/>
      <c r="F10" s="12"/>
      <c r="G10" s="11" t="s">
        <v>9</v>
      </c>
      <c r="H10" s="4"/>
      <c r="I10" s="4"/>
      <c r="J10" s="13"/>
    </row>
    <row r="11" spans="2:12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2" ht="18" x14ac:dyDescent="0.2">
      <c r="B12" s="10"/>
      <c r="C12" s="11" t="s">
        <v>0</v>
      </c>
      <c r="D12" s="15">
        <v>84408.1</v>
      </c>
      <c r="E12" s="12"/>
      <c r="F12" s="12"/>
      <c r="G12" s="11"/>
      <c r="H12" s="4" t="s">
        <v>5</v>
      </c>
      <c r="I12" s="16"/>
      <c r="J12" s="13"/>
    </row>
    <row r="13" spans="2:12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2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2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2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524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259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260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187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120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121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19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9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9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9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0">
    <tabColor rgb="FF92D050"/>
    <pageSetUpPr fitToPage="1"/>
  </sheetPr>
  <dimension ref="A1:Q89"/>
  <sheetViews>
    <sheetView topLeftCell="A24" zoomScale="90" zoomScaleNormal="90" workbookViewId="0">
      <selection activeCell="AA78" sqref="AA7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281</v>
      </c>
      <c r="E8" s="12"/>
      <c r="F8" s="12"/>
      <c r="G8" s="11" t="s">
        <v>10</v>
      </c>
      <c r="H8" s="100">
        <v>46079</v>
      </c>
      <c r="I8" s="86"/>
      <c r="J8" s="13"/>
    </row>
    <row r="9" spans="2:11" ht="18" x14ac:dyDescent="0.2">
      <c r="B9" s="10"/>
      <c r="C9" s="11"/>
      <c r="D9" s="16" t="s">
        <v>280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336</v>
      </c>
      <c r="E10" s="14"/>
      <c r="F10" s="12"/>
      <c r="G10" s="11" t="s">
        <v>9</v>
      </c>
      <c r="H10" s="4"/>
      <c r="I10" s="4" t="s">
        <v>245</v>
      </c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11949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 t="s">
        <v>461</v>
      </c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447</v>
      </c>
      <c r="I18" s="100">
        <v>46077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100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279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282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283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284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285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286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286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1A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A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A00-000002000000}">
      <formula1>Currency</formula1>
    </dataValidation>
    <dataValidation type="list" allowBlank="1" showInputMessage="1" showErrorMessage="1" sqref="E33" xr:uid="{00000000-0002-0000-1A00-000003000000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1">
    <tabColor rgb="FF92D050"/>
    <pageSetUpPr fitToPage="1"/>
  </sheetPr>
  <dimension ref="A1:Q89"/>
  <sheetViews>
    <sheetView zoomScale="90" zoomScaleNormal="90" workbookViewId="0">
      <selection activeCell="I10" sqref="I10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2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2" ht="18" customHeight="1" x14ac:dyDescent="0.15">
      <c r="F1" s="141"/>
      <c r="G1" s="141"/>
      <c r="H1" s="141"/>
      <c r="I1" s="142"/>
      <c r="J1" s="142"/>
    </row>
    <row r="2" spans="2:12" ht="23.25" customHeight="1" x14ac:dyDescent="0.25">
      <c r="F2" s="2"/>
      <c r="G2" s="143" t="s">
        <v>34</v>
      </c>
      <c r="H2" s="144"/>
      <c r="I2" s="144"/>
      <c r="J2" s="145"/>
    </row>
    <row r="3" spans="2:12" ht="20" x14ac:dyDescent="0.2">
      <c r="F3" s="2"/>
      <c r="G3" s="146"/>
      <c r="H3" s="147"/>
      <c r="I3" s="147"/>
      <c r="J3" s="3"/>
    </row>
    <row r="4" spans="2:12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2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2" ht="20" x14ac:dyDescent="0.2">
      <c r="B6" s="83" t="s">
        <v>47</v>
      </c>
      <c r="F6" s="2"/>
      <c r="G6" s="5"/>
      <c r="H6" s="6"/>
      <c r="I6" s="6"/>
      <c r="J6" s="3"/>
    </row>
    <row r="7" spans="2:12" x14ac:dyDescent="0.15">
      <c r="B7" s="7"/>
      <c r="C7" s="8"/>
      <c r="D7" s="8"/>
      <c r="E7" s="8"/>
      <c r="F7" s="8"/>
      <c r="G7" s="8"/>
      <c r="H7" s="8"/>
      <c r="I7" s="8"/>
      <c r="J7" s="9"/>
    </row>
    <row r="8" spans="2:12" ht="18" x14ac:dyDescent="0.2">
      <c r="B8" s="10"/>
      <c r="C8" s="11" t="s">
        <v>4</v>
      </c>
      <c r="D8" s="91" t="s">
        <v>513</v>
      </c>
      <c r="E8" s="12"/>
      <c r="F8" s="12"/>
      <c r="G8" s="11" t="s">
        <v>525</v>
      </c>
      <c r="H8" s="100"/>
      <c r="I8" s="86"/>
      <c r="J8" s="13"/>
    </row>
    <row r="9" spans="2:12" ht="18" x14ac:dyDescent="0.2">
      <c r="B9" s="10"/>
      <c r="C9" s="11"/>
      <c r="D9" s="16"/>
      <c r="E9" s="12"/>
      <c r="F9" s="12"/>
      <c r="G9" s="11"/>
      <c r="H9" s="4"/>
      <c r="I9" s="4"/>
      <c r="J9" s="13"/>
      <c r="L9" s="110" t="s">
        <v>333</v>
      </c>
    </row>
    <row r="10" spans="2:12" ht="18" x14ac:dyDescent="0.2">
      <c r="B10" s="10"/>
      <c r="C10" s="11" t="s">
        <v>8</v>
      </c>
      <c r="D10" s="14" t="s">
        <v>482</v>
      </c>
      <c r="E10" s="14"/>
      <c r="F10" s="12"/>
      <c r="G10" s="11" t="s">
        <v>9</v>
      </c>
      <c r="H10" s="4"/>
      <c r="I10" s="4"/>
      <c r="J10" s="13"/>
    </row>
    <row r="11" spans="2:12" ht="18" x14ac:dyDescent="0.2">
      <c r="B11" s="10"/>
      <c r="C11" s="11"/>
      <c r="D11" s="12"/>
      <c r="E11" s="12"/>
      <c r="F11" s="12"/>
      <c r="H11" s="4"/>
      <c r="I11" s="4"/>
      <c r="J11" s="13"/>
    </row>
    <row r="12" spans="2:12" ht="18" x14ac:dyDescent="0.2">
      <c r="B12" s="10"/>
      <c r="C12" s="11" t="s">
        <v>0</v>
      </c>
      <c r="D12" s="15">
        <v>21628.880000000001</v>
      </c>
      <c r="E12" s="12"/>
      <c r="F12" s="12"/>
      <c r="H12" s="4" t="s">
        <v>5</v>
      </c>
      <c r="I12" s="16"/>
      <c r="J12" s="13"/>
    </row>
    <row r="13" spans="2:12" ht="18" x14ac:dyDescent="0.2">
      <c r="B13" s="10"/>
      <c r="C13" s="11"/>
      <c r="D13" s="12"/>
      <c r="E13" s="116"/>
      <c r="F13" s="35"/>
      <c r="G13" s="35"/>
      <c r="H13" s="117"/>
      <c r="I13" s="117"/>
      <c r="J13" s="13"/>
    </row>
    <row r="14" spans="2:12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2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2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526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514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customHeight="1" x14ac:dyDescent="0.2">
      <c r="B37" s="10"/>
      <c r="C37" s="12" t="s">
        <v>7</v>
      </c>
      <c r="D37" s="12"/>
      <c r="E37" s="149" t="s">
        <v>515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33" t="s">
        <v>516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517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93" t="s">
        <v>518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516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519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E8B4B63B-E849-49EE-8830-29F948DF7C36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13DFAAF3-8C94-4260-9731-522464B20DCC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B13F385E-BB79-415A-9A38-5C4BDBC4D321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C18E9A46-12DC-4CE9-8E99-F7546C2DAF60}">
      <formula1>IF(E33=#REF!,TRUE,FALSE)</formula1>
    </dataValidation>
  </dataValidations>
  <pageMargins left="1" right="1" top="0.25" bottom="0.25" header="0.5" footer="0.5"/>
  <pageSetup scale="56" orientation="portrait" r:id="rId1"/>
  <headerFooter scaleWithDoc="0"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2">
    <tabColor rgb="FF92D050"/>
    <pageSetUpPr fitToPage="1"/>
  </sheetPr>
  <dimension ref="A1:Q89"/>
  <sheetViews>
    <sheetView zoomScale="90" zoomScaleNormal="90" workbookViewId="0">
      <selection activeCell="D12" sqref="D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398</v>
      </c>
      <c r="E8" s="12"/>
      <c r="F8" s="12"/>
      <c r="G8" s="11" t="s">
        <v>10</v>
      </c>
      <c r="H8" s="100">
        <v>46058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336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17401.48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46056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418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137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262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138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136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139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2000-000000000000}">
      <formula1>Currency</formula1>
    </dataValidation>
    <dataValidation type="list" allowBlank="1" showInputMessage="1" showErrorMessage="1" sqref="E33" xr:uid="{00000000-0002-0000-20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0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0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92D050"/>
    <pageSetUpPr fitToPage="1"/>
  </sheetPr>
  <dimension ref="A1:Q89"/>
  <sheetViews>
    <sheetView tabSelected="1" zoomScale="90" zoomScaleNormal="90" workbookViewId="0">
      <selection activeCell="T40" sqref="T40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287</v>
      </c>
      <c r="E8" s="12"/>
      <c r="F8" s="12"/>
      <c r="G8" s="11" t="s">
        <v>10</v>
      </c>
      <c r="H8" s="100">
        <v>46030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24" t="s">
        <v>465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47755.96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522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396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287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542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289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288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290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06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6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6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6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4">
    <tabColor rgb="FF92D050"/>
    <pageSetUpPr fitToPage="1"/>
  </sheetPr>
  <dimension ref="A1:Q89"/>
  <sheetViews>
    <sheetView topLeftCell="A14" zoomScale="90" zoomScaleNormal="90" workbookViewId="0">
      <selection sqref="A1:XFD1048576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195</v>
      </c>
      <c r="E8" s="12"/>
      <c r="F8" s="12"/>
      <c r="G8" s="11" t="s">
        <v>10</v>
      </c>
      <c r="H8" s="100">
        <v>46030</v>
      </c>
      <c r="I8" s="86"/>
      <c r="J8" s="13"/>
    </row>
    <row r="9" spans="2:11" ht="18" x14ac:dyDescent="0.2">
      <c r="B9" s="10"/>
      <c r="C9" s="11"/>
      <c r="D9" s="16" t="s">
        <v>196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343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17367.36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446</v>
      </c>
      <c r="E18" s="12"/>
      <c r="F18" s="12"/>
      <c r="G18" s="11"/>
      <c r="H18" s="11" t="s">
        <v>521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197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198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1" t="s">
        <v>202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199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200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201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9" thickBot="1" x14ac:dyDescent="0.25">
      <c r="B52" s="10"/>
      <c r="C52" s="12" t="s">
        <v>24</v>
      </c>
      <c r="D52" s="12"/>
      <c r="E52" s="4"/>
      <c r="F52" s="4"/>
      <c r="G52" s="4"/>
      <c r="H52" s="28" t="s">
        <v>201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 H52" xr:uid="{00000000-0002-0000-1C00-000000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C00-000001000000}">
      <formula1>IF(E33=#REF!,TRUE,FALSE)</formula1>
    </dataValidation>
    <dataValidation type="list" allowBlank="1" showInputMessage="1" showErrorMessage="1" sqref="E33" xr:uid="{00000000-0002-0000-1C00-000002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C00-000003000000}">
      <formula1>Currency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5">
    <tabColor rgb="FF92D050"/>
    <pageSetUpPr fitToPage="1"/>
  </sheetPr>
  <dimension ref="A1:Q89"/>
  <sheetViews>
    <sheetView topLeftCell="A18" zoomScale="90" zoomScaleNormal="90" workbookViewId="0">
      <selection activeCell="E13" sqref="E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3" ht="18" customHeight="1" x14ac:dyDescent="0.15">
      <c r="F1" s="141"/>
      <c r="G1" s="141"/>
      <c r="H1" s="141"/>
      <c r="I1" s="142"/>
      <c r="J1" s="142"/>
    </row>
    <row r="2" spans="2:13" ht="23.25" customHeight="1" x14ac:dyDescent="0.25">
      <c r="F2" s="2"/>
      <c r="G2" s="143" t="s">
        <v>34</v>
      </c>
      <c r="H2" s="144"/>
      <c r="I2" s="144"/>
      <c r="J2" s="145"/>
    </row>
    <row r="3" spans="2:13" ht="20" x14ac:dyDescent="0.2">
      <c r="F3" s="2"/>
      <c r="G3" s="146"/>
      <c r="H3" s="147"/>
      <c r="I3" s="147"/>
      <c r="J3" s="3"/>
    </row>
    <row r="4" spans="2:13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3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3" ht="20" x14ac:dyDescent="0.2">
      <c r="B6" s="83" t="s">
        <v>47</v>
      </c>
      <c r="F6" s="2"/>
      <c r="G6" s="5"/>
      <c r="H6" s="6"/>
      <c r="I6" s="6"/>
      <c r="J6" s="3"/>
    </row>
    <row r="7" spans="2:13" x14ac:dyDescent="0.15">
      <c r="B7" s="7"/>
      <c r="C7" s="8"/>
      <c r="D7" s="8"/>
      <c r="E7" s="8"/>
      <c r="F7" s="8"/>
      <c r="G7" s="8"/>
      <c r="H7" s="8"/>
      <c r="I7" s="8"/>
      <c r="J7" s="9"/>
    </row>
    <row r="8" spans="2:13" ht="18" x14ac:dyDescent="0.2">
      <c r="B8" s="10"/>
      <c r="C8" s="11" t="s">
        <v>4</v>
      </c>
      <c r="D8" s="91" t="s">
        <v>204</v>
      </c>
      <c r="E8" s="12"/>
      <c r="F8" s="12"/>
      <c r="G8" s="11" t="s">
        <v>10</v>
      </c>
      <c r="H8" s="100">
        <v>46002</v>
      </c>
      <c r="I8" s="86"/>
      <c r="J8" s="13"/>
      <c r="M8" s="110" t="s">
        <v>331</v>
      </c>
    </row>
    <row r="9" spans="2:13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3" ht="18" x14ac:dyDescent="0.2">
      <c r="B10" s="10"/>
      <c r="C10" s="11" t="s">
        <v>8</v>
      </c>
      <c r="D10" s="14" t="s">
        <v>338</v>
      </c>
      <c r="E10" s="14"/>
      <c r="F10" s="12"/>
      <c r="G10" s="11" t="s">
        <v>9</v>
      </c>
      <c r="H10" s="4"/>
      <c r="I10" s="4"/>
      <c r="J10" s="13"/>
    </row>
    <row r="11" spans="2:13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3" ht="18" x14ac:dyDescent="0.2">
      <c r="B12" s="10"/>
      <c r="C12" s="11" t="s">
        <v>0</v>
      </c>
      <c r="D12" s="15">
        <v>27210.799999999999</v>
      </c>
      <c r="E12" s="12"/>
      <c r="F12" s="12"/>
      <c r="G12" s="11"/>
      <c r="H12" s="4" t="s">
        <v>5</v>
      </c>
      <c r="I12" s="16"/>
      <c r="J12" s="13"/>
    </row>
    <row r="13" spans="2:13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3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3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3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520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205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206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8" x14ac:dyDescent="0.2">
      <c r="B40" s="10"/>
      <c r="C40" s="12" t="s">
        <v>29</v>
      </c>
      <c r="D40" s="12"/>
      <c r="E40" s="4"/>
      <c r="F40" s="4"/>
      <c r="G40" s="111" t="s">
        <v>342</v>
      </c>
      <c r="H40" s="42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339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340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 t="s">
        <v>341</v>
      </c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38" t="s">
        <v>230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1D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D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D00-000002000000}">
      <formula1>Currency</formula1>
    </dataValidation>
    <dataValidation type="list" allowBlank="1" showInputMessage="1" showErrorMessage="1" sqref="E33" xr:uid="{00000000-0002-0000-1D00-000003000000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F78D9-C439-4152-82FF-3541C3EF4464}">
  <sheetPr codeName="Sheet16">
    <tabColor rgb="FF92D050"/>
    <pageSetUpPr fitToPage="1"/>
  </sheetPr>
  <dimension ref="A1:Q89"/>
  <sheetViews>
    <sheetView topLeftCell="A5" zoomScale="90" zoomScaleNormal="90" workbookViewId="0">
      <selection activeCell="I31" sqref="I3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312</v>
      </c>
      <c r="E8" s="12"/>
      <c r="F8" s="12"/>
      <c r="G8" s="11" t="s">
        <v>10</v>
      </c>
      <c r="H8" s="100">
        <v>46051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54" t="s">
        <v>487</v>
      </c>
      <c r="E10" s="15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22265.24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46049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312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313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314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315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316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 t="s">
        <v>317</v>
      </c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318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10">
    <mergeCell ref="B67:J67"/>
    <mergeCell ref="A87:J87"/>
    <mergeCell ref="A88:J88"/>
    <mergeCell ref="F1:J1"/>
    <mergeCell ref="G2:J2"/>
    <mergeCell ref="G3:I3"/>
    <mergeCell ref="B5:J5"/>
    <mergeCell ref="E37:I38"/>
    <mergeCell ref="B56:J56"/>
    <mergeCell ref="D10:E10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A6C7B494-0843-4C8E-8A84-00C8DA85B9F5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AA8CEAEF-D848-4B65-A6EE-FDBF602A79B1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BCFF6693-FB9C-4600-BF2C-63328DAF7877}">
      <formula1>Currency</formula1>
    </dataValidation>
    <dataValidation type="list" allowBlank="1" showInputMessage="1" showErrorMessage="1" sqref="E33" xr:uid="{4353E810-57C1-4507-A927-198AFB5FF95F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CE2FC-4F27-4E84-A5EB-6F7E4FBAF9C5}">
  <sheetPr codeName="Sheet17">
    <tabColor rgb="FF92D050"/>
  </sheetPr>
  <dimension ref="A1:Q89"/>
  <sheetViews>
    <sheetView zoomScale="80" zoomScaleNormal="80" workbookViewId="0">
      <selection activeCell="D13" sqref="D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6.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3" ht="18" customHeight="1" x14ac:dyDescent="0.15">
      <c r="F1" s="141"/>
      <c r="G1" s="141"/>
      <c r="H1" s="141"/>
      <c r="I1" s="142"/>
      <c r="J1" s="142"/>
    </row>
    <row r="2" spans="2:13" ht="23.25" customHeight="1" x14ac:dyDescent="0.25">
      <c r="F2" s="2"/>
      <c r="G2" s="143" t="s">
        <v>34</v>
      </c>
      <c r="H2" s="144"/>
      <c r="I2" s="144"/>
      <c r="J2" s="145"/>
    </row>
    <row r="3" spans="2:13" ht="20" x14ac:dyDescent="0.2">
      <c r="F3" s="2"/>
      <c r="G3" s="146"/>
      <c r="H3" s="147"/>
      <c r="I3" s="147"/>
      <c r="J3" s="3"/>
    </row>
    <row r="4" spans="2:13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3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3" ht="20" x14ac:dyDescent="0.2">
      <c r="B6" s="83" t="s">
        <v>47</v>
      </c>
      <c r="F6" s="2"/>
      <c r="G6" s="5"/>
      <c r="H6" s="6"/>
      <c r="I6" s="6"/>
      <c r="J6" s="3"/>
    </row>
    <row r="7" spans="2:13" x14ac:dyDescent="0.15">
      <c r="B7" s="7"/>
      <c r="C7" s="8"/>
      <c r="D7" s="8"/>
      <c r="E7" s="8"/>
      <c r="F7" s="8"/>
      <c r="G7" s="8"/>
      <c r="H7" s="8"/>
      <c r="I7" s="8"/>
      <c r="J7" s="9"/>
      <c r="M7" s="110"/>
    </row>
    <row r="8" spans="2:13" ht="18" x14ac:dyDescent="0.2">
      <c r="B8" s="10"/>
      <c r="C8" s="11" t="s">
        <v>4</v>
      </c>
      <c r="D8" s="91" t="s">
        <v>404</v>
      </c>
      <c r="E8" s="12"/>
      <c r="F8" s="12"/>
      <c r="G8" s="11" t="s">
        <v>10</v>
      </c>
      <c r="H8" s="100">
        <v>45960</v>
      </c>
      <c r="I8" s="86"/>
      <c r="J8" s="13"/>
    </row>
    <row r="9" spans="2:13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3" ht="18" x14ac:dyDescent="0.2">
      <c r="B10" s="10"/>
      <c r="C10" s="11" t="s">
        <v>8</v>
      </c>
      <c r="D10" s="14" t="s">
        <v>355</v>
      </c>
      <c r="E10" s="14"/>
      <c r="F10" s="12"/>
      <c r="G10" s="11" t="s">
        <v>9</v>
      </c>
      <c r="H10" s="4" t="s">
        <v>245</v>
      </c>
      <c r="I10" s="4"/>
      <c r="J10" s="13"/>
    </row>
    <row r="11" spans="2:13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3" ht="18" x14ac:dyDescent="0.2">
      <c r="B12" s="10"/>
      <c r="C12" s="11" t="s">
        <v>0</v>
      </c>
      <c r="D12" s="15">
        <v>2442.75</v>
      </c>
      <c r="E12" s="12"/>
      <c r="F12" s="12"/>
      <c r="G12" s="11"/>
      <c r="H12" s="4" t="s">
        <v>5</v>
      </c>
      <c r="I12" s="16"/>
      <c r="J12" s="13"/>
    </row>
    <row r="13" spans="2:13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3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3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3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21">
        <v>45958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405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406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407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410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93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408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409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1EE82CED-1652-4270-9CE6-498694BB5E2D}">
      <formula1>Currency</formula1>
    </dataValidation>
    <dataValidation type="list" allowBlank="1" showInputMessage="1" showErrorMessage="1" sqref="E33" xr:uid="{6E4D0EE1-5C2C-4F6E-96BE-12C13E434B9B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5BD5F72D-006D-4543-BC2D-79DC36D0AC49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4BD34ED1-4064-494E-B15A-4CE89F7CA776}">
      <formula1>IF(E33=#REF!,TRUE,FALSE)</formula1>
    </dataValidation>
  </dataValidations>
  <pageMargins left="0.7" right="0.7" top="0.75" bottom="0.75" header="0.3" footer="0.3"/>
  <pageSetup scale="46" orientation="portrait" r:id="rId1"/>
  <rowBreaks count="1" manualBreakCount="1">
    <brk id="86" max="10" man="1"/>
  </rowBreaks>
  <colBreaks count="1" manualBreakCount="1">
    <brk id="12" max="88" man="1"/>
  </colBreaks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8">
    <tabColor rgb="FF92D050"/>
    <pageSetUpPr fitToPage="1"/>
  </sheetPr>
  <dimension ref="A1:Q89"/>
  <sheetViews>
    <sheetView zoomScale="90" zoomScaleNormal="90" workbookViewId="0">
      <selection activeCell="E12" sqref="E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344</v>
      </c>
      <c r="E8" s="12"/>
      <c r="F8" s="12"/>
      <c r="G8" s="11" t="s">
        <v>10</v>
      </c>
      <c r="H8" s="100">
        <v>46030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336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110538.82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521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142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143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144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145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2200-000000000000}">
      <formula1>Currency</formula1>
    </dataValidation>
    <dataValidation type="list" allowBlank="1" showInputMessage="1" showErrorMessage="1" sqref="E33" xr:uid="{00000000-0002-0000-22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2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2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5ED84-58FF-4170-BABF-066D0F0C8C67}">
  <sheetPr codeName="Sheet19">
    <tabColor rgb="FF92D050"/>
  </sheetPr>
  <dimension ref="A1:Q89"/>
  <sheetViews>
    <sheetView topLeftCell="A19" zoomScale="160" zoomScaleNormal="160" workbookViewId="0">
      <selection activeCell="E37" sqref="E37:I3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35" t="s">
        <v>530</v>
      </c>
      <c r="E8" s="12"/>
      <c r="F8" s="12"/>
      <c r="G8" s="11" t="s">
        <v>10</v>
      </c>
      <c r="H8" s="100">
        <v>46072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343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12302.52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529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135" t="s">
        <v>530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531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8" x14ac:dyDescent="0.2">
      <c r="B40" s="10"/>
      <c r="C40" s="12" t="s">
        <v>29</v>
      </c>
      <c r="D40" s="12"/>
      <c r="E40" s="4"/>
      <c r="F40" s="4"/>
      <c r="G40" s="136" t="s">
        <v>532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533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534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8" x14ac:dyDescent="0.2">
      <c r="B48" s="10"/>
      <c r="C48" s="12" t="s">
        <v>35</v>
      </c>
      <c r="D48" s="12"/>
      <c r="E48" s="4"/>
      <c r="F48" s="4"/>
      <c r="G48" s="135" t="s">
        <v>535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9" thickBot="1" x14ac:dyDescent="0.25">
      <c r="B52" s="10"/>
      <c r="C52" s="12" t="s">
        <v>24</v>
      </c>
      <c r="D52" s="12"/>
      <c r="E52" s="4"/>
      <c r="F52" s="4"/>
      <c r="G52" s="4"/>
      <c r="H52" s="28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5E62054F-19C2-4521-B338-2A7D02917522}">
      <formula1>Currency</formula1>
    </dataValidation>
    <dataValidation type="list" allowBlank="1" showInputMessage="1" showErrorMessage="1" sqref="E33" xr:uid="{18D9BA80-A0AE-4F8A-9237-882B49EE115C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6555CEA0-2E19-4EAF-9455-2F7227F69971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H52" xr:uid="{3774E70E-800B-4712-BF4D-3FFD3249BB5E}">
      <formula1>IF(F37=#REF!,TRUE,FALSE)</formula1>
    </dataValidation>
  </dataValidations>
  <pageMargins left="0.7" right="0.7" top="0.75" bottom="0.75" header="0.3" footer="0.3"/>
  <pageSetup scale="64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92D050"/>
    <pageSetUpPr fitToPage="1"/>
  </sheetPr>
  <dimension ref="A1:Q89"/>
  <sheetViews>
    <sheetView zoomScale="90" zoomScaleNormal="90" workbookViewId="0">
      <selection activeCell="E35" sqref="E35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61</v>
      </c>
      <c r="E8" s="12"/>
      <c r="F8" s="12"/>
      <c r="G8" s="11" t="s">
        <v>10</v>
      </c>
      <c r="H8" s="100">
        <v>46058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443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728.2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08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46056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291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292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294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293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109" t="s">
        <v>292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04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4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4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4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rgb="FF92D050"/>
    <pageSetUpPr fitToPage="1"/>
  </sheetPr>
  <dimension ref="A1:Q89"/>
  <sheetViews>
    <sheetView zoomScale="90" zoomScaleNormal="90" workbookViewId="0">
      <selection activeCell="D12" sqref="D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105</v>
      </c>
      <c r="E8" s="12"/>
      <c r="F8" s="12"/>
      <c r="G8" s="11" t="s">
        <v>10</v>
      </c>
      <c r="H8" s="100">
        <v>46051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336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18000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46049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105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250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106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251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252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253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15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5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5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5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4B664-8F4F-43C6-9271-1333FED9702F}">
  <sheetPr codeName="Sheet22">
    <tabColor rgb="FF92D050"/>
    <pageSetUpPr fitToPage="1"/>
  </sheetPr>
  <dimension ref="A1:Q89"/>
  <sheetViews>
    <sheetView topLeftCell="A3" zoomScaleNormal="100" workbookViewId="0">
      <selection activeCell="G13" sqref="G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2" ht="18" customHeight="1" x14ac:dyDescent="0.15">
      <c r="F1" s="141"/>
      <c r="G1" s="141"/>
      <c r="H1" s="141"/>
      <c r="I1" s="142"/>
      <c r="J1" s="142"/>
    </row>
    <row r="2" spans="2:12" ht="23.25" customHeight="1" x14ac:dyDescent="0.25">
      <c r="F2" s="2"/>
      <c r="G2" s="143" t="s">
        <v>34</v>
      </c>
      <c r="H2" s="144"/>
      <c r="I2" s="144"/>
      <c r="J2" s="145"/>
    </row>
    <row r="3" spans="2:12" ht="20" x14ac:dyDescent="0.2">
      <c r="F3" s="2"/>
      <c r="G3" s="146"/>
      <c r="H3" s="147"/>
      <c r="I3" s="147"/>
      <c r="J3" s="3"/>
    </row>
    <row r="4" spans="2:12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2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2" ht="20" x14ac:dyDescent="0.2">
      <c r="B6" s="83" t="s">
        <v>47</v>
      </c>
      <c r="F6" s="2"/>
      <c r="G6" s="5"/>
      <c r="H6" s="6"/>
      <c r="I6" s="6"/>
      <c r="J6" s="3"/>
    </row>
    <row r="7" spans="2:12" x14ac:dyDescent="0.15">
      <c r="B7" s="7"/>
      <c r="C7" s="8"/>
      <c r="D7" s="8"/>
      <c r="E7" s="8"/>
      <c r="F7" s="8"/>
      <c r="G7" s="8"/>
      <c r="H7" s="8"/>
      <c r="I7" s="8"/>
      <c r="J7" s="9"/>
    </row>
    <row r="8" spans="2:12" ht="18" x14ac:dyDescent="0.2">
      <c r="B8" s="10"/>
      <c r="C8" s="11" t="s">
        <v>4</v>
      </c>
      <c r="D8" s="16" t="s">
        <v>399</v>
      </c>
      <c r="E8" s="12"/>
      <c r="F8" s="12"/>
      <c r="G8" s="11" t="s">
        <v>10</v>
      </c>
      <c r="H8" s="100">
        <v>46079</v>
      </c>
      <c r="I8" s="86"/>
      <c r="J8" s="13"/>
    </row>
    <row r="9" spans="2:12" ht="18" x14ac:dyDescent="0.2">
      <c r="B9" s="10"/>
      <c r="C9" s="11"/>
      <c r="D9" s="16"/>
      <c r="E9" s="12"/>
      <c r="F9" s="12"/>
      <c r="G9" s="11"/>
      <c r="H9" s="4"/>
      <c r="I9" s="4"/>
      <c r="J9" s="13"/>
      <c r="L9" s="110"/>
    </row>
    <row r="10" spans="2:12" ht="18" x14ac:dyDescent="0.2">
      <c r="B10" s="10"/>
      <c r="C10" s="11" t="s">
        <v>8</v>
      </c>
      <c r="D10" s="14" t="s">
        <v>488</v>
      </c>
      <c r="E10" s="14"/>
      <c r="F10" s="12"/>
      <c r="G10" s="11" t="s">
        <v>9</v>
      </c>
      <c r="H10" s="4"/>
      <c r="I10" s="4"/>
      <c r="J10" s="13"/>
    </row>
    <row r="11" spans="2:12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2" ht="18" x14ac:dyDescent="0.2">
      <c r="B12" s="10"/>
      <c r="C12" s="11" t="s">
        <v>0</v>
      </c>
      <c r="D12" s="15">
        <v>25029</v>
      </c>
      <c r="E12" s="12"/>
      <c r="F12" s="12"/>
      <c r="G12" s="11"/>
      <c r="H12" s="4" t="s">
        <v>5</v>
      </c>
      <c r="I12" s="16"/>
      <c r="J12" s="13"/>
    </row>
    <row r="13" spans="2:12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2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2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2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538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399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400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>
        <v>60000908468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401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94" t="s">
        <v>402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403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7C1F0DF5-9450-4500-B013-118EADC77ABE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E2F045D-65F3-453A-8460-015C87B3AA2C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F68A68AF-3589-4719-8C01-6452D0F56DCD}">
      <formula1>Currency</formula1>
    </dataValidation>
    <dataValidation type="list" allowBlank="1" showInputMessage="1" showErrorMessage="1" sqref="E33" xr:uid="{10F5BEE7-ACAC-42C2-8444-D13B50341336}">
      <formula1>Entity</formula1>
    </dataValidation>
  </dataValidations>
  <pageMargins left="0.2" right="0" top="0.75" bottom="0.75" header="0.3" footer="0.3"/>
  <pageSetup scale="73" orientation="portrait" r:id="rId1"/>
  <colBreaks count="1" manualBreakCount="1">
    <brk id="10" max="1048575" man="1"/>
  </colBreaks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tabColor rgb="FF92D050"/>
    <pageSetUpPr fitToPage="1"/>
  </sheetPr>
  <dimension ref="A1:Q89"/>
  <sheetViews>
    <sheetView zoomScale="90" zoomScaleNormal="90" workbookViewId="0">
      <selection activeCell="D13" sqref="D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111</v>
      </c>
      <c r="E8" s="12"/>
      <c r="F8" s="12"/>
      <c r="G8" s="11" t="s">
        <v>10</v>
      </c>
      <c r="H8" s="100">
        <v>45974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488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1700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28</v>
      </c>
      <c r="I18" s="100">
        <v>45972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445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112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254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113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114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115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17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7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7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7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>
    <tabColor rgb="FF92D050"/>
    <pageSetUpPr fitToPage="1"/>
  </sheetPr>
  <dimension ref="A1:Q89"/>
  <sheetViews>
    <sheetView zoomScale="90" zoomScaleNormal="90" workbookViewId="0">
      <selection activeCell="K8" sqref="K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D3" s="96"/>
      <c r="E3" s="40"/>
      <c r="F3" s="97"/>
      <c r="G3" s="98"/>
      <c r="H3" s="99"/>
      <c r="I3" s="99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93</v>
      </c>
      <c r="E8" s="12"/>
      <c r="F8" s="12"/>
      <c r="G8" s="11" t="s">
        <v>10</v>
      </c>
      <c r="H8" s="100">
        <v>46058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>
        <v>2625000122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59170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46056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93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248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95">
        <v>50200015704679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58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 t="s">
        <v>170</v>
      </c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171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172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94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8">
    <mergeCell ref="B67:J67"/>
    <mergeCell ref="A87:J87"/>
    <mergeCell ref="A88:J88"/>
    <mergeCell ref="F1:J1"/>
    <mergeCell ref="G2:J2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100-000000000000}">
      <formula1>Currency</formula1>
    </dataValidation>
    <dataValidation type="list" allowBlank="1" showInputMessage="1" showErrorMessage="1" sqref="E33" xr:uid="{00000000-0002-0000-11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1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100-000003000000}">
      <formula1>IF(E33=#REF!,TRUE,FALSE)</formula1>
    </dataValidation>
  </dataValidations>
  <pageMargins left="0" right="0" top="0.25" bottom="0.25" header="0.5" footer="0.5"/>
  <pageSetup scale="78" orientation="portrait" r:id="rId1"/>
  <headerFooter scaleWithDoc="0" alignWithMargins="0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CECA6-F02D-4174-9CA9-7C0BF2D381A1}">
  <sheetPr codeName="Sheet25">
    <tabColor rgb="FF92D050"/>
    <pageSetUpPr fitToPage="1"/>
  </sheetPr>
  <dimension ref="A1:Q89"/>
  <sheetViews>
    <sheetView topLeftCell="A22" zoomScale="90" zoomScaleNormal="90" workbookViewId="0">
      <selection activeCell="I48" sqref="I4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295</v>
      </c>
      <c r="E8" s="12"/>
      <c r="F8" s="12"/>
      <c r="G8" s="11" t="s">
        <v>10</v>
      </c>
      <c r="H8" s="100">
        <v>46030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6125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46028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301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302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300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297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298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299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296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40AB8FC-599A-44A7-8E8A-D6D8C4101077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DF6A6CE9-895D-4F80-A199-699365E6DB3C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A2315956-7952-4782-8D21-19C3E482DE5C}">
      <formula1>Currency</formula1>
    </dataValidation>
    <dataValidation type="list" allowBlank="1" showInputMessage="1" showErrorMessage="1" sqref="E33" xr:uid="{315BF58F-4B62-4D75-8093-B569D224A326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92D050"/>
    <pageSetUpPr fitToPage="1"/>
  </sheetPr>
  <dimension ref="A1:Q89"/>
  <sheetViews>
    <sheetView topLeftCell="A29" zoomScale="90" zoomScaleNormal="90" workbookViewId="0">
      <selection activeCell="D12" sqref="D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2" t="s">
        <v>411</v>
      </c>
      <c r="F4" s="42"/>
      <c r="G4" s="42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67</v>
      </c>
      <c r="E8" s="12"/>
      <c r="F8" s="12"/>
      <c r="G8" s="11" t="s">
        <v>10</v>
      </c>
      <c r="H8" s="100">
        <v>46051</v>
      </c>
      <c r="I8" s="86"/>
      <c r="J8" s="13"/>
    </row>
    <row r="9" spans="2:11" ht="18" x14ac:dyDescent="0.2">
      <c r="B9" s="10"/>
      <c r="C9" s="11"/>
      <c r="D9" s="16" t="s">
        <v>68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54" t="s">
        <v>335</v>
      </c>
      <c r="E10" s="15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44743.6</v>
      </c>
      <c r="E12" s="12"/>
      <c r="F12" s="12"/>
      <c r="G12" s="11"/>
      <c r="H12" s="4" t="s">
        <v>5</v>
      </c>
      <c r="I12" s="16"/>
      <c r="J12" s="13"/>
    </row>
    <row r="13" spans="2:11" ht="19" x14ac:dyDescent="0.2">
      <c r="B13" s="10"/>
      <c r="C13" s="11"/>
      <c r="D13" s="132" t="s">
        <v>483</v>
      </c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 t="s">
        <v>484</v>
      </c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46049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66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69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 t="s">
        <v>70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71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10">
    <mergeCell ref="B67:J67"/>
    <mergeCell ref="A87:J87"/>
    <mergeCell ref="A88:J88"/>
    <mergeCell ref="F1:J1"/>
    <mergeCell ref="G2:J2"/>
    <mergeCell ref="G3:I3"/>
    <mergeCell ref="B5:J5"/>
    <mergeCell ref="E37:I38"/>
    <mergeCell ref="B56:J56"/>
    <mergeCell ref="D10:E10"/>
  </mergeCells>
  <dataValidations count="4">
    <dataValidation type="list" allowBlank="1" showInputMessage="1" showErrorMessage="1" sqref="E33" xr:uid="{00000000-0002-0000-0A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A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A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A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921D-5309-46A2-BA17-3B77BBE4D31C}">
  <sheetPr codeName="Sheet27">
    <tabColor rgb="FF92D050"/>
    <pageSetUpPr fitToPage="1"/>
  </sheetPr>
  <dimension ref="A1:Q89"/>
  <sheetViews>
    <sheetView topLeftCell="A13" zoomScale="71" zoomScaleNormal="71" workbookViewId="0">
      <selection activeCell="F13" sqref="F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306</v>
      </c>
      <c r="E8" s="12"/>
      <c r="F8" s="12"/>
      <c r="G8" s="11" t="s">
        <v>10</v>
      </c>
      <c r="H8" s="100">
        <v>46051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>
        <v>775000601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182753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527</v>
      </c>
      <c r="E18" s="12"/>
      <c r="F18" s="12"/>
      <c r="G18" s="11"/>
      <c r="H18" s="11" t="s">
        <v>28</v>
      </c>
      <c r="I18" s="100">
        <v>46049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448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415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306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307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308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309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310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311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F5F3590E-50E4-4E61-A57E-B08BB3C26AD1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33D8D8BC-2FE2-45DA-9825-F63426D13B5C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DD316537-0867-4F1D-A542-BEB4BB7E8CEC}">
      <formula1>Currency</formula1>
    </dataValidation>
    <dataValidation type="list" allowBlank="1" showInputMessage="1" showErrorMessage="1" sqref="E33" xr:uid="{03607796-AF26-402D-B28F-14AFF215BFA2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3B33B-24A3-4418-8600-A1F3AAE699D7}">
  <sheetPr codeName="Sheet28">
    <tabColor rgb="FF92D050"/>
    <pageSetUpPr fitToPage="1"/>
  </sheetPr>
  <dimension ref="A1:Q89"/>
  <sheetViews>
    <sheetView zoomScale="90" zoomScaleNormal="90" workbookViewId="0">
      <selection activeCell="E13" sqref="E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462</v>
      </c>
      <c r="E8" s="12"/>
      <c r="F8" s="12"/>
      <c r="G8" s="11" t="s">
        <v>10</v>
      </c>
      <c r="H8" s="100">
        <v>46002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511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66436.63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28</v>
      </c>
      <c r="I18" s="100">
        <v>46000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445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379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 t="s">
        <v>450</v>
      </c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451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463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452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453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 t="s">
        <v>454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 t="s">
        <v>455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90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DF67F4F6-BA8C-4B0A-9E09-373175016851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ABB45351-958F-4085-A475-25581BF0C4C2}">
      <formula1>IF(E33=#REF!,TRUE,FALSE)</formula1>
    </dataValidation>
    <dataValidation type="list" allowBlank="1" showInputMessage="1" showErrorMessage="1" sqref="E33" xr:uid="{D0338888-3D45-4B4F-8785-6CB383AA4265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A20C8F3C-4AE1-4FD2-B9EE-89D3BEF25296}">
      <formula1>Currency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3887E-84F9-4890-AFE5-FE14AB396985}">
  <sheetPr codeName="Sheet29">
    <tabColor rgb="FF92D050"/>
  </sheetPr>
  <dimension ref="A1:Q89"/>
  <sheetViews>
    <sheetView topLeftCell="A5" zoomScaleNormal="100" workbookViewId="0">
      <selection activeCell="I10" sqref="I10"/>
    </sheetView>
  </sheetViews>
  <sheetFormatPr baseColWidth="10" defaultColWidth="9.33203125" defaultRowHeight="13" x14ac:dyDescent="0.15"/>
  <cols>
    <col min="1" max="1" width="3.6640625" style="1" customWidth="1"/>
    <col min="2" max="2" width="8.33203125" style="1" customWidth="1"/>
    <col min="3" max="3" width="21.6640625" style="1" customWidth="1"/>
    <col min="4" max="4" width="21.5" style="1" customWidth="1"/>
    <col min="5" max="5" width="15" style="1" customWidth="1"/>
    <col min="6" max="6" width="1.6640625" style="1" customWidth="1"/>
    <col min="7" max="7" width="28.5" style="1" customWidth="1"/>
    <col min="8" max="8" width="17.33203125" style="1" customWidth="1"/>
    <col min="9" max="9" width="20.33203125" style="1" customWidth="1"/>
    <col min="10" max="10" width="25.5" style="1" customWidth="1"/>
    <col min="11" max="16384" width="9.332031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55" t="s">
        <v>34</v>
      </c>
      <c r="H2" s="156"/>
      <c r="I2" s="156"/>
      <c r="J2" s="157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1" t="s">
        <v>475</v>
      </c>
      <c r="E8" s="12"/>
      <c r="F8" s="12"/>
      <c r="G8" s="11" t="s">
        <v>10</v>
      </c>
      <c r="H8" s="100">
        <v>46030</v>
      </c>
      <c r="I8" s="125"/>
      <c r="J8" s="13"/>
    </row>
    <row r="9" spans="2:11" ht="18" x14ac:dyDescent="0.2">
      <c r="B9" s="10"/>
      <c r="C9" s="11"/>
      <c r="D9" s="12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481</v>
      </c>
      <c r="E10" s="14"/>
      <c r="F10" s="12"/>
      <c r="G10" s="11" t="s">
        <v>9</v>
      </c>
      <c r="H10" s="131" t="s">
        <v>245</v>
      </c>
      <c r="I10" s="4" t="s">
        <v>245</v>
      </c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46531.25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523</v>
      </c>
      <c r="I18" s="86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86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467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7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7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7" ht="18" x14ac:dyDescent="0.2">
      <c r="B35" s="10"/>
      <c r="C35" s="12" t="s">
        <v>2</v>
      </c>
      <c r="D35" s="12"/>
      <c r="E35" s="4" t="s">
        <v>476</v>
      </c>
      <c r="F35" s="4"/>
      <c r="G35" s="4"/>
      <c r="H35" s="4"/>
      <c r="I35" s="4"/>
      <c r="J35" s="13"/>
    </row>
    <row r="36" spans="2:17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7" ht="18" x14ac:dyDescent="0.2">
      <c r="B37" s="10"/>
      <c r="C37" s="12" t="s">
        <v>7</v>
      </c>
      <c r="D37" s="12"/>
      <c r="E37" s="158" t="s">
        <v>477</v>
      </c>
      <c r="F37" s="158"/>
      <c r="G37" s="158"/>
      <c r="H37" s="158"/>
      <c r="I37" s="158"/>
      <c r="J37" s="13"/>
    </row>
    <row r="38" spans="2:17" ht="18" x14ac:dyDescent="0.2">
      <c r="B38" s="10"/>
      <c r="C38" s="12"/>
      <c r="D38" s="12"/>
      <c r="J38" s="13"/>
    </row>
    <row r="39" spans="2:17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7" ht="18" x14ac:dyDescent="0.2">
      <c r="B40" s="10"/>
      <c r="C40" s="12" t="s">
        <v>29</v>
      </c>
      <c r="D40" s="12"/>
      <c r="E40" s="4"/>
      <c r="F40" s="4"/>
      <c r="G40" s="130">
        <v>3.1050180369999999E+19</v>
      </c>
      <c r="H40" s="4"/>
      <c r="I40" s="4"/>
      <c r="J40" s="13"/>
    </row>
    <row r="41" spans="2:17" ht="19" thickBot="1" x14ac:dyDescent="0.25">
      <c r="B41" s="10"/>
      <c r="C41" s="12"/>
      <c r="D41" s="12"/>
      <c r="E41" s="4"/>
      <c r="F41" s="4"/>
      <c r="G41" s="28"/>
      <c r="H41" s="4"/>
      <c r="I41" s="4"/>
      <c r="J41" s="13"/>
    </row>
    <row r="42" spans="2:17" ht="109" customHeight="1" x14ac:dyDescent="0.2">
      <c r="B42" s="10"/>
      <c r="C42" s="12" t="s">
        <v>1</v>
      </c>
      <c r="D42" s="12"/>
      <c r="E42" s="4"/>
      <c r="F42" s="4"/>
      <c r="G42" s="149" t="s">
        <v>478</v>
      </c>
      <c r="H42" s="149"/>
      <c r="I42" s="149"/>
      <c r="J42" s="13"/>
    </row>
    <row r="43" spans="2:17" ht="18" x14ac:dyDescent="0.2">
      <c r="B43" s="10"/>
      <c r="C43" s="12"/>
      <c r="D43" s="12"/>
      <c r="E43" s="4"/>
      <c r="F43" s="4"/>
      <c r="H43" s="4"/>
      <c r="I43" s="4"/>
      <c r="J43" s="13"/>
    </row>
    <row r="44" spans="2:17" ht="46.5" customHeight="1" x14ac:dyDescent="0.2">
      <c r="B44" s="10"/>
      <c r="C44" s="12" t="s">
        <v>6</v>
      </c>
      <c r="D44" s="12"/>
      <c r="E44" s="4"/>
      <c r="F44" s="4"/>
      <c r="G44" s="149" t="s">
        <v>479</v>
      </c>
      <c r="H44" s="149"/>
      <c r="I44" s="149"/>
      <c r="J44" s="128"/>
      <c r="K44" s="128"/>
      <c r="L44" s="127"/>
      <c r="M44" s="127"/>
      <c r="N44" s="127"/>
      <c r="O44" s="127"/>
      <c r="P44" s="127"/>
      <c r="Q44" s="127"/>
    </row>
    <row r="45" spans="2:17" ht="19" thickBot="1" x14ac:dyDescent="0.25">
      <c r="B45" s="10"/>
      <c r="C45" s="12"/>
      <c r="D45" s="12"/>
      <c r="E45" s="4"/>
      <c r="F45" s="4"/>
      <c r="G45" s="129"/>
      <c r="H45" s="129"/>
      <c r="I45" s="129"/>
      <c r="J45" s="129"/>
      <c r="K45" s="129"/>
    </row>
    <row r="46" spans="2:17" ht="19" thickBot="1" x14ac:dyDescent="0.25">
      <c r="B46" s="10"/>
      <c r="C46" s="12" t="s">
        <v>30</v>
      </c>
      <c r="D46" s="12"/>
      <c r="E46" s="4"/>
      <c r="F46" s="4"/>
      <c r="G46" s="103"/>
      <c r="H46" s="4"/>
      <c r="I46" s="4"/>
      <c r="J46" s="13"/>
    </row>
    <row r="47" spans="2:17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7" ht="19" thickBot="1" x14ac:dyDescent="0.25">
      <c r="B48" s="10"/>
      <c r="C48" s="12" t="s">
        <v>35</v>
      </c>
      <c r="D48" s="12"/>
      <c r="E48" s="4"/>
      <c r="F48" s="4"/>
      <c r="G48" s="28" t="s">
        <v>480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9" thickBot="1" x14ac:dyDescent="0.25">
      <c r="B50" s="10"/>
      <c r="C50" s="12" t="s">
        <v>27</v>
      </c>
      <c r="D50" s="12"/>
      <c r="E50" s="4"/>
      <c r="F50" s="4"/>
      <c r="G50" s="28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9" thickBot="1" x14ac:dyDescent="0.25">
      <c r="B52" s="10"/>
      <c r="C52" s="12" t="s">
        <v>24</v>
      </c>
      <c r="D52" s="12"/>
      <c r="E52" s="4"/>
      <c r="F52" s="4"/>
      <c r="G52" s="4"/>
      <c r="H52" s="28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.25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11">
    <mergeCell ref="G44:I44"/>
    <mergeCell ref="B56:J56"/>
    <mergeCell ref="B67:J67"/>
    <mergeCell ref="A87:J87"/>
    <mergeCell ref="A88:J88"/>
    <mergeCell ref="G42:I42"/>
    <mergeCell ref="F1:J1"/>
    <mergeCell ref="G2:J2"/>
    <mergeCell ref="G3:I3"/>
    <mergeCell ref="B5:J5"/>
    <mergeCell ref="E37:I37"/>
  </mergeCells>
  <dataValidations count="2">
    <dataValidation type="list" errorStyle="warning" allowBlank="1" showInputMessage="1" showErrorMessage="1" errorTitle="Verify" error="Is currencey correct?" promptTitle="Currency" prompt="Select Payment Currency" sqref="H10" xr:uid="{CCC73DD6-2748-4964-A22C-8E434CA9B39E}">
      <formula1>Currency</formula1>
    </dataValidation>
    <dataValidation type="list" allowBlank="1" showInputMessage="1" showErrorMessage="1" sqref="E33" xr:uid="{6069685A-4267-4467-8281-70D2CFED8D7E}">
      <formula1>Entity</formula1>
    </dataValidation>
  </dataValidations>
  <pageMargins left="0.7" right="0.7" top="0.75" bottom="0.75" header="0.3" footer="0.3"/>
  <pageSetup scale="40" orientation="portrait" r:id="rId1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0">
    <tabColor rgb="FF92D050"/>
    <pageSetUpPr fitToPage="1"/>
  </sheetPr>
  <dimension ref="A1:Q89"/>
  <sheetViews>
    <sheetView topLeftCell="A34" zoomScale="90" zoomScaleNormal="90" workbookViewId="0">
      <selection activeCell="L50" sqref="L50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79</v>
      </c>
      <c r="E8" s="12"/>
      <c r="F8" s="12"/>
      <c r="G8" s="11" t="s">
        <v>10</v>
      </c>
      <c r="H8" s="100">
        <v>45694</v>
      </c>
      <c r="I8" s="86"/>
      <c r="J8" s="13"/>
    </row>
    <row r="9" spans="2:11" ht="18" x14ac:dyDescent="0.2">
      <c r="B9" s="10"/>
      <c r="C9" s="11"/>
      <c r="D9" s="16" t="s">
        <v>80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486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1450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28</v>
      </c>
      <c r="I18" s="100">
        <v>45693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445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81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247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82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186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83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0D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D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D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D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92D050"/>
    <pageSetUpPr fitToPage="1"/>
  </sheetPr>
  <dimension ref="A1:Q89"/>
  <sheetViews>
    <sheetView topLeftCell="A20" zoomScale="90" zoomScaleNormal="90" workbookViewId="0">
      <selection activeCell="E37" sqref="E37:I3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7.3320312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8" x14ac:dyDescent="0.2">
      <c r="C4" s="4"/>
      <c r="D4" s="4"/>
      <c r="E4" s="122" t="s">
        <v>456</v>
      </c>
      <c r="F4" s="42"/>
      <c r="G4" s="42"/>
      <c r="H4" s="42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53</v>
      </c>
      <c r="E8" s="12"/>
      <c r="F8" s="12"/>
      <c r="G8" s="11" t="s">
        <v>10</v>
      </c>
      <c r="H8" s="100">
        <v>45855</v>
      </c>
      <c r="I8" s="86"/>
      <c r="J8" s="13"/>
    </row>
    <row r="9" spans="2:11" ht="18" x14ac:dyDescent="0.2">
      <c r="B9" s="10"/>
      <c r="C9" s="11"/>
      <c r="D9" s="16" t="s">
        <v>54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510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5640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>
        <v>1595</v>
      </c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28</v>
      </c>
      <c r="I18" s="100">
        <v>45854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371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>
        <v>44</v>
      </c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235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59" t="s">
        <v>244</v>
      </c>
      <c r="F37" s="159"/>
      <c r="G37" s="159"/>
      <c r="H37" s="159"/>
      <c r="I37" s="159"/>
      <c r="J37" s="13"/>
    </row>
    <row r="38" spans="2:10" ht="19" thickBot="1" x14ac:dyDescent="0.25">
      <c r="B38" s="10"/>
      <c r="C38" s="12"/>
      <c r="D38" s="12"/>
      <c r="E38" s="160"/>
      <c r="F38" s="160"/>
      <c r="G38" s="160"/>
      <c r="H38" s="160"/>
      <c r="I38" s="16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347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7" t="s">
        <v>233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9" thickBot="1" x14ac:dyDescent="0.25">
      <c r="B44" s="10"/>
      <c r="C44" s="12" t="s">
        <v>6</v>
      </c>
      <c r="D44" s="12"/>
      <c r="E44" s="4"/>
      <c r="F44" s="4"/>
      <c r="G44" s="102" t="s">
        <v>234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385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01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1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100-000002000000}">
      <formula1>Currency</formula1>
    </dataValidation>
    <dataValidation type="list" allowBlank="1" showInputMessage="1" showErrorMessage="1" sqref="E33" xr:uid="{00000000-0002-0000-0100-000003000000}">
      <formula1>Entity</formula1>
    </dataValidation>
  </dataValidations>
  <pageMargins left="1" right="1" top="0.25" bottom="0.25" header="0.5" footer="0.5"/>
  <pageSetup scale="60" orientation="portrait" r:id="rId1"/>
  <headerFooter scaleWithDoc="0" alignWithMargins="0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2">
    <pageSetUpPr fitToPage="1"/>
  </sheetPr>
  <dimension ref="A1:Q89"/>
  <sheetViews>
    <sheetView topLeftCell="A12"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84</v>
      </c>
      <c r="E8" s="12"/>
      <c r="F8" s="12"/>
      <c r="G8" s="11" t="s">
        <v>10</v>
      </c>
      <c r="H8" s="4"/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/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/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84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85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>
        <v>11615858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86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0000-000000000000}">
      <formula1>Currency</formula1>
    </dataValidation>
    <dataValidation type="list" allowBlank="1" showInputMessage="1" showErrorMessage="1" sqref="E33" xr:uid="{00000000-0002-0000-00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0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0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3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55</v>
      </c>
      <c r="E8" s="12"/>
      <c r="F8" s="12"/>
      <c r="G8" s="11" t="s">
        <v>10</v>
      </c>
      <c r="H8" s="100">
        <v>43720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1125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56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57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58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 t="s">
        <v>59</v>
      </c>
      <c r="F44" s="4"/>
      <c r="G44" s="8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>
        <v>50200012196907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60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0200-000000000000}">
      <formula1>Currency</formula1>
    </dataValidation>
    <dataValidation type="list" allowBlank="1" showInputMessage="1" showErrorMessage="1" sqref="E33" xr:uid="{00000000-0002-0000-02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2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2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458</v>
      </c>
      <c r="E8" s="12"/>
      <c r="F8" s="12"/>
      <c r="G8" s="11" t="s">
        <v>10</v>
      </c>
      <c r="H8" s="100">
        <v>45442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13" t="s">
        <v>460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5002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23">
        <v>45441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459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215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457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216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 t="s">
        <v>217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 t="s">
        <v>218</v>
      </c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219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05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5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500-000002000000}">
      <formula1>Currency</formula1>
    </dataValidation>
    <dataValidation type="list" allowBlank="1" showInputMessage="1" showErrorMessage="1" sqref="E33" xr:uid="{00000000-0002-0000-0500-000003000000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5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62</v>
      </c>
      <c r="E8" s="12"/>
      <c r="F8" s="12"/>
      <c r="G8" s="11" t="s">
        <v>10</v>
      </c>
      <c r="H8" s="100">
        <v>44693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>
        <v>70645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2522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44692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346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379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62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63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 t="s">
        <v>64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90" t="s">
        <v>65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0700-000000000000}">
      <formula1>Currency</formula1>
    </dataValidation>
    <dataValidation type="list" allowBlank="1" showInputMessage="1" showErrorMessage="1" sqref="E33" xr:uid="{00000000-0002-0000-07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7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7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6">
    <pageSetUpPr fitToPage="1"/>
  </sheetPr>
  <dimension ref="A1:Q89"/>
  <sheetViews>
    <sheetView topLeftCell="A3"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62</v>
      </c>
      <c r="E8" s="12"/>
      <c r="F8" s="12"/>
      <c r="G8" s="11" t="s">
        <v>10</v>
      </c>
      <c r="H8" s="100">
        <v>44259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2565.92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62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277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275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278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 t="s">
        <v>276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90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00000000-0002-0000-0800-000000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800-000001000000}">
      <formula1>IF(E33=#REF!,TRUE,FALSE)</formula1>
    </dataValidation>
    <dataValidation type="list" allowBlank="1" showInputMessage="1" showErrorMessage="1" sqref="E33" xr:uid="{00000000-0002-0000-0800-000002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800-000003000000}">
      <formula1>Currency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7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188</v>
      </c>
      <c r="E8" s="12"/>
      <c r="F8" s="12"/>
      <c r="G8" s="11" t="s">
        <v>10</v>
      </c>
      <c r="H8" s="100">
        <v>43174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2700.19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189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192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190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8" t="s">
        <v>191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193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9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90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00000000-0002-0000-0900-000000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900-000001000000}">
      <formula1>IF(E33=#REF!,TRUE,FALSE)</formula1>
    </dataValidation>
    <dataValidation type="list" allowBlank="1" showInputMessage="1" showErrorMessage="1" sqref="E33" xr:uid="{00000000-0002-0000-0900-000002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900-000003000000}">
      <formula1>Currency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B82-AD9A-44AB-A143-97882F98F8B5}">
  <sheetPr codeName="Sheet38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324</v>
      </c>
      <c r="E8" s="12"/>
      <c r="F8" s="12"/>
      <c r="G8" s="11" t="s">
        <v>10</v>
      </c>
      <c r="H8" s="100">
        <v>44658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335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2484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44658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371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324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325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326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327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328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329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38DFB76C-7215-4603-8726-6D6094B72D02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42C092A6-5EFF-4F4F-9C8A-EF5B93F4EA49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BFACFA5C-C2CC-4B88-80B5-CF6F5FE4E57E}">
      <formula1>Currency</formula1>
    </dataValidation>
    <dataValidation type="list" allowBlank="1" showInputMessage="1" showErrorMessage="1" sqref="E33" xr:uid="{A0742F76-BFF2-4D18-9929-41D3CBB8CEB6}">
      <formula1>Entity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9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87</v>
      </c>
      <c r="E8" s="12"/>
      <c r="F8" s="12"/>
      <c r="G8" s="11" t="s">
        <v>10</v>
      </c>
      <c r="H8" s="100">
        <v>43328</v>
      </c>
      <c r="I8" s="86"/>
      <c r="J8" s="13"/>
    </row>
    <row r="9" spans="2:11" ht="18" x14ac:dyDescent="0.2">
      <c r="B9" s="10"/>
      <c r="C9" s="11"/>
      <c r="D9" s="16" t="s">
        <v>88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8750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194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89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90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91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0E00-000000000000}">
      <formula1>Currency</formula1>
    </dataValidation>
    <dataValidation type="list" allowBlank="1" showInputMessage="1" showErrorMessage="1" sqref="E33" xr:uid="{00000000-0002-0000-0E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E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0E00-000003000000}">
      <formula1>IF(E33=#REF!,TRUE,FALSE)</formula1>
    </dataValidation>
  </dataValidations>
  <pageMargins left="1" right="1" top="0.25" bottom="0.25" header="0.5" footer="0.5"/>
  <pageSetup scale="59" orientation="portrait" r:id="rId1"/>
  <headerFooter scaleWithDoc="0" alignWithMargins="0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0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87</v>
      </c>
      <c r="E8" s="12"/>
      <c r="F8" s="12"/>
      <c r="G8" s="11" t="s">
        <v>10</v>
      </c>
      <c r="H8" s="100">
        <v>43908</v>
      </c>
      <c r="I8" s="86"/>
      <c r="J8" s="13"/>
    </row>
    <row r="9" spans="2:11" ht="18" x14ac:dyDescent="0.2">
      <c r="B9" s="10"/>
      <c r="C9" s="11"/>
      <c r="D9" s="16" t="s">
        <v>88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86.7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05"/>
      <c r="E14" s="105"/>
      <c r="F14" s="105"/>
      <c r="G14" s="105"/>
      <c r="H14" s="106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43908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231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232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228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229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230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107" t="s">
        <v>273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00000000-0002-0000-0F00-000000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0F00-000001000000}">
      <formula1>IF(E33=#REF!,TRUE,FALSE)</formula1>
    </dataValidation>
    <dataValidation type="list" allowBlank="1" showInputMessage="1" showErrorMessage="1" sqref="E33" xr:uid="{00000000-0002-0000-0F00-000002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0F00-000003000000}">
      <formula1>Currency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1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92</v>
      </c>
      <c r="E8" s="12"/>
      <c r="F8" s="12"/>
      <c r="G8" s="11" t="s">
        <v>10</v>
      </c>
      <c r="H8" s="100">
        <v>44070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 t="s">
        <v>225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1778.7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/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213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214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212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10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0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0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0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2">
    <pageSetUpPr fitToPage="1"/>
  </sheetPr>
  <dimension ref="A1:Q89"/>
  <sheetViews>
    <sheetView zoomScale="90" zoomScaleNormal="90" workbookViewId="0">
      <selection activeCell="H8" sqref="H8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95</v>
      </c>
      <c r="E8" s="12"/>
      <c r="F8" s="12"/>
      <c r="G8" s="11" t="s">
        <v>10</v>
      </c>
      <c r="H8" s="4"/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/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95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96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97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98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200-000000000000}">
      <formula1>Currency</formula1>
    </dataValidation>
    <dataValidation type="list" allowBlank="1" showInputMessage="1" showErrorMessage="1" sqref="E33" xr:uid="{00000000-0002-0000-12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2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2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3">
    <tabColor rgb="FF92D050"/>
    <pageSetUpPr fitToPage="1"/>
  </sheetPr>
  <dimension ref="A1:Q89"/>
  <sheetViews>
    <sheetView topLeftCell="A2" zoomScale="90" zoomScaleNormal="90" workbookViewId="0">
      <selection activeCell="I14" sqref="I14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99</v>
      </c>
      <c r="E8" s="12"/>
      <c r="F8" s="12"/>
      <c r="G8" s="11" t="s">
        <v>10</v>
      </c>
      <c r="H8" s="100">
        <v>45448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504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3098.4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503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 t="s">
        <v>417</v>
      </c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99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249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>
        <v>5029841219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100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203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101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102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13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3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3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3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56D4-17B4-4ED8-8BED-9894F76F7723}">
  <sheetPr codeName="Sheet44">
    <tabColor rgb="FF92D050"/>
  </sheetPr>
  <dimension ref="A1:Q89"/>
  <sheetViews>
    <sheetView zoomScaleNormal="100" workbookViewId="0">
      <selection activeCell="D29" sqref="D29"/>
    </sheetView>
  </sheetViews>
  <sheetFormatPr baseColWidth="10" defaultColWidth="9.33203125" defaultRowHeight="13" x14ac:dyDescent="0.15"/>
  <cols>
    <col min="1" max="1" width="3.6640625" style="1" customWidth="1"/>
    <col min="2" max="2" width="8.33203125" style="1" customWidth="1"/>
    <col min="3" max="3" width="21.6640625" style="1" customWidth="1"/>
    <col min="4" max="4" width="21.5" style="1" customWidth="1"/>
    <col min="5" max="5" width="15" style="1" customWidth="1"/>
    <col min="6" max="6" width="1.6640625" style="1" customWidth="1"/>
    <col min="7" max="7" width="69" style="1" customWidth="1"/>
    <col min="8" max="8" width="17.33203125" style="1" customWidth="1"/>
    <col min="9" max="9" width="20.33203125" style="1" customWidth="1"/>
    <col min="10" max="10" width="12.33203125" style="1" customWidth="1"/>
    <col min="11" max="16384" width="9.332031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55" t="s">
        <v>34</v>
      </c>
      <c r="H2" s="156"/>
      <c r="I2" s="156"/>
      <c r="J2" s="157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1" t="s">
        <v>466</v>
      </c>
      <c r="E8" s="12"/>
      <c r="F8" s="12"/>
      <c r="G8" s="11" t="s">
        <v>10</v>
      </c>
      <c r="H8" s="86"/>
      <c r="I8" s="125">
        <v>45596</v>
      </c>
      <c r="J8" s="13"/>
    </row>
    <row r="9" spans="2:11" ht="18" x14ac:dyDescent="0.2">
      <c r="B9" s="10"/>
      <c r="C9" s="11"/>
      <c r="D9" s="12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 t="s">
        <v>245</v>
      </c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4295.34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473</v>
      </c>
      <c r="I18" s="86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86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467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7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7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7" ht="18" x14ac:dyDescent="0.2">
      <c r="B35" s="10"/>
      <c r="C35" s="12" t="s">
        <v>2</v>
      </c>
      <c r="D35" s="12"/>
      <c r="E35" s="4" t="s">
        <v>468</v>
      </c>
      <c r="F35" s="4"/>
      <c r="G35" s="4"/>
      <c r="H35" s="4"/>
      <c r="I35" s="4"/>
      <c r="J35" s="13"/>
    </row>
    <row r="36" spans="2:17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7" ht="18" x14ac:dyDescent="0.2">
      <c r="B37" s="10"/>
      <c r="C37" s="12" t="s">
        <v>7</v>
      </c>
      <c r="D37" s="12"/>
      <c r="E37" s="159" t="s">
        <v>469</v>
      </c>
      <c r="F37" s="159"/>
      <c r="G37" s="159"/>
      <c r="H37" s="159"/>
      <c r="I37" s="159"/>
      <c r="J37" s="13"/>
    </row>
    <row r="38" spans="2:17" ht="19" thickBot="1" x14ac:dyDescent="0.25">
      <c r="B38" s="10"/>
      <c r="C38" s="12"/>
      <c r="D38" s="12"/>
      <c r="E38" s="160"/>
      <c r="F38" s="160"/>
      <c r="G38" s="160"/>
      <c r="H38" s="160"/>
      <c r="I38" s="160"/>
      <c r="J38" s="13"/>
    </row>
    <row r="39" spans="2:17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7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7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7" ht="19" thickBot="1" x14ac:dyDescent="0.25">
      <c r="B42" s="10"/>
      <c r="C42" s="12" t="s">
        <v>1</v>
      </c>
      <c r="D42" s="12"/>
      <c r="E42" s="4"/>
      <c r="F42" s="4"/>
      <c r="G42" s="28" t="s">
        <v>327</v>
      </c>
      <c r="H42" s="4"/>
      <c r="I42" s="4"/>
      <c r="J42" s="13"/>
    </row>
    <row r="43" spans="2:17" ht="18" x14ac:dyDescent="0.2">
      <c r="B43" s="10"/>
      <c r="C43" s="12"/>
      <c r="D43" s="12"/>
      <c r="E43" s="4"/>
      <c r="F43" s="4"/>
      <c r="H43" s="4"/>
      <c r="I43" s="4"/>
      <c r="J43" s="13"/>
    </row>
    <row r="44" spans="2:17" ht="19" thickBot="1" x14ac:dyDescent="0.25">
      <c r="B44" s="10"/>
      <c r="C44" s="12" t="s">
        <v>6</v>
      </c>
      <c r="D44" s="12"/>
      <c r="E44" s="4"/>
      <c r="F44" s="4"/>
      <c r="G44" s="28" t="s">
        <v>470</v>
      </c>
      <c r="H44" s="4"/>
      <c r="I44" s="4"/>
      <c r="J44" s="126"/>
      <c r="K44" s="127"/>
      <c r="L44" s="127"/>
      <c r="M44" s="127"/>
      <c r="N44" s="127"/>
      <c r="O44" s="127"/>
      <c r="P44" s="127"/>
      <c r="Q44" s="127"/>
    </row>
    <row r="45" spans="2:17" ht="18" x14ac:dyDescent="0.2">
      <c r="B45" s="10"/>
      <c r="C45" s="12"/>
      <c r="D45" s="12"/>
      <c r="E45" s="4"/>
      <c r="F45" s="4"/>
      <c r="G45" s="4" t="s">
        <v>471</v>
      </c>
      <c r="H45" s="4"/>
      <c r="I45" s="4"/>
      <c r="J45" s="13"/>
    </row>
    <row r="46" spans="2:17" ht="19" thickBot="1" x14ac:dyDescent="0.25">
      <c r="B46" s="10"/>
      <c r="C46" s="12" t="s">
        <v>30</v>
      </c>
      <c r="D46" s="12"/>
      <c r="E46" s="4"/>
      <c r="F46" s="4"/>
      <c r="G46" s="103"/>
      <c r="H46" s="4"/>
      <c r="I46" s="4"/>
      <c r="J46" s="13"/>
    </row>
    <row r="47" spans="2:17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7" ht="19" thickBot="1" x14ac:dyDescent="0.25">
      <c r="B48" s="10"/>
      <c r="C48" s="12" t="s">
        <v>35</v>
      </c>
      <c r="D48" s="12"/>
      <c r="E48" s="4"/>
      <c r="F48" s="4"/>
      <c r="G48" s="28" t="s">
        <v>472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9" thickBot="1" x14ac:dyDescent="0.25">
      <c r="B50" s="10"/>
      <c r="C50" s="12" t="s">
        <v>27</v>
      </c>
      <c r="D50" s="12"/>
      <c r="E50" s="4"/>
      <c r="F50" s="4"/>
      <c r="G50" s="28">
        <v>20104002944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9" thickBot="1" x14ac:dyDescent="0.25">
      <c r="B52" s="10"/>
      <c r="C52" s="12" t="s">
        <v>24</v>
      </c>
      <c r="D52" s="12"/>
      <c r="E52" s="4"/>
      <c r="F52" s="4"/>
      <c r="G52" s="4"/>
      <c r="H52" s="28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.25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2">
    <dataValidation type="list" errorStyle="warning" allowBlank="1" showInputMessage="1" showErrorMessage="1" errorTitle="Verify" error="Is currencey correct?" promptTitle="Currency" prompt="Select Payment Currency" sqref="H10" xr:uid="{D9EA337C-1C90-411A-ADFF-BA40F2119E9B}">
      <formula1>Currency</formula1>
    </dataValidation>
    <dataValidation type="list" allowBlank="1" showInputMessage="1" showErrorMessage="1" sqref="E33" xr:uid="{192DA80D-B8A7-45CF-B692-8CEDC5A47005}">
      <formula1>Entity</formula1>
    </dataValidation>
  </dataValidations>
  <pageMargins left="0.25" right="0.25" top="0.75" bottom="0.75" header="0.3" footer="0.3"/>
  <pageSetup scale="44" orientation="portrait" r:id="rId1"/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5">
    <tabColor rgb="FF92D050"/>
    <pageSetUpPr fitToPage="1"/>
  </sheetPr>
  <dimension ref="A1:Q89"/>
  <sheetViews>
    <sheetView topLeftCell="A2"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04" t="s">
        <v>236</v>
      </c>
      <c r="E8" s="12"/>
      <c r="F8" s="12"/>
      <c r="G8" s="11" t="s">
        <v>10</v>
      </c>
      <c r="H8" s="100">
        <v>45610</v>
      </c>
      <c r="I8" s="86"/>
      <c r="J8" s="13"/>
    </row>
    <row r="9" spans="2:11" ht="18" x14ac:dyDescent="0.2">
      <c r="B9" s="10"/>
      <c r="C9" s="11"/>
      <c r="D9" s="104" t="s">
        <v>237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413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35754.92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28</v>
      </c>
      <c r="I18" s="100">
        <v>45609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238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239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1" t="s">
        <v>240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241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242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243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9" thickBot="1" x14ac:dyDescent="0.25">
      <c r="B52" s="10"/>
      <c r="C52" s="12" t="s">
        <v>24</v>
      </c>
      <c r="D52" s="12"/>
      <c r="E52" s="4"/>
      <c r="F52" s="4"/>
      <c r="G52" s="4"/>
      <c r="H52" s="28" t="s">
        <v>243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B00-000000000000}">
      <formula1>Currency</formula1>
    </dataValidation>
    <dataValidation type="list" allowBlank="1" showInputMessage="1" showErrorMessage="1" sqref="E33" xr:uid="{00000000-0002-0000-1B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B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 H52" xr:uid="{00000000-0002-0000-1B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54BCE-2EF0-440B-9187-F33B7F418151}">
  <sheetPr codeName="Sheet46">
    <tabColor rgb="FF92D050"/>
  </sheetPr>
  <dimension ref="A1:Q89"/>
  <sheetViews>
    <sheetView topLeftCell="B22" workbookViewId="0">
      <selection activeCell="K11" sqref="K11"/>
    </sheetView>
  </sheetViews>
  <sheetFormatPr baseColWidth="10" defaultColWidth="9.1640625" defaultRowHeight="13" x14ac:dyDescent="0.15"/>
  <cols>
    <col min="1" max="1" width="3.6640625" style="1" hidden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494</v>
      </c>
      <c r="E8" s="12"/>
      <c r="F8" s="12"/>
      <c r="G8" s="11" t="s">
        <v>502</v>
      </c>
      <c r="H8" s="100"/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482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H11" s="4"/>
      <c r="I11" s="4"/>
      <c r="J11" s="13"/>
    </row>
    <row r="12" spans="2:11" ht="18" x14ac:dyDescent="0.2">
      <c r="B12" s="10"/>
      <c r="C12" s="11" t="s">
        <v>0</v>
      </c>
      <c r="D12" s="15">
        <v>106872.04</v>
      </c>
      <c r="E12" s="12"/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6"/>
      <c r="F13" s="35"/>
      <c r="G13" s="35"/>
      <c r="H13" s="117"/>
      <c r="I13" s="117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501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91" t="s">
        <v>494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495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8" x14ac:dyDescent="0.2">
      <c r="B40" s="10"/>
      <c r="C40" s="12" t="s">
        <v>29</v>
      </c>
      <c r="D40" s="12"/>
      <c r="E40" s="4"/>
      <c r="F40" s="4"/>
      <c r="G40" s="92" t="s">
        <v>496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497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498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 t="s">
        <v>499</v>
      </c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500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491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7.25" customHeight="1" x14ac:dyDescent="0.2">
      <c r="A79" s="12"/>
      <c r="B79" s="69"/>
      <c r="C79" s="70"/>
      <c r="D79" s="69"/>
      <c r="E79" s="71"/>
      <c r="F79" s="71"/>
      <c r="G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2151A8D4-3B9C-46EE-957A-FB962DB71F84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759038EF-69A1-4C44-8608-B503424982C9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D1EDC610-5641-410C-95FC-9C32CB9541F1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9ADC1945-6E77-4477-B8DA-B11A91495CC3}">
      <formula1>IF(E33=#REF!,TRUE,FALSE)</formula1>
    </dataValidation>
  </dataValidations>
  <pageMargins left="0" right="0" top="0.75" bottom="0.75" header="0.3" footer="0.3"/>
  <pageSetup scale="70" orientation="portrait" r:id="rId1"/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7">
    <tabColor rgb="FF92D050"/>
    <pageSetUpPr fitToPage="1"/>
  </sheetPr>
  <dimension ref="A1:Q89"/>
  <sheetViews>
    <sheetView topLeftCell="A2"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7.3320312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1" t="s">
        <v>48</v>
      </c>
      <c r="E8" s="12"/>
      <c r="F8" s="12"/>
      <c r="G8" s="11" t="s">
        <v>10</v>
      </c>
      <c r="H8" s="86"/>
      <c r="I8" s="100">
        <v>45428</v>
      </c>
      <c r="J8" s="13"/>
    </row>
    <row r="9" spans="2:11" ht="18" x14ac:dyDescent="0.2">
      <c r="B9" s="10"/>
      <c r="C9" s="11"/>
      <c r="D9" s="12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414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4722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449</v>
      </c>
      <c r="E18" s="12"/>
      <c r="F18" s="12"/>
      <c r="G18" s="11"/>
      <c r="H18" s="11" t="s">
        <v>28</v>
      </c>
      <c r="I18" s="100">
        <v>45427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4" t="s">
        <v>48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59" t="s">
        <v>266</v>
      </c>
      <c r="F37" s="159"/>
      <c r="G37" s="159"/>
      <c r="H37" s="159"/>
      <c r="I37" s="159"/>
      <c r="J37" s="13"/>
    </row>
    <row r="38" spans="2:10" ht="19" thickBot="1" x14ac:dyDescent="0.25">
      <c r="B38" s="10"/>
      <c r="C38" s="12"/>
      <c r="D38" s="12"/>
      <c r="E38" s="160"/>
      <c r="F38" s="160"/>
      <c r="G38" s="160"/>
      <c r="H38" s="160"/>
      <c r="I38" s="16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50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9" thickBot="1" x14ac:dyDescent="0.25">
      <c r="B44" s="10"/>
      <c r="C44" s="12" t="s">
        <v>6</v>
      </c>
      <c r="D44" s="12"/>
      <c r="E44" s="4"/>
      <c r="F44" s="4"/>
      <c r="G44" s="28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51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52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F1:J1"/>
    <mergeCell ref="B67:J67"/>
    <mergeCell ref="A87:J87"/>
    <mergeCell ref="A88:J88"/>
    <mergeCell ref="G3:I3"/>
    <mergeCell ref="B56:J56"/>
    <mergeCell ref="G2:J2"/>
    <mergeCell ref="E37:I38"/>
    <mergeCell ref="B5:J5"/>
  </mergeCells>
  <phoneticPr fontId="1" type="noConversion"/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2700-000000000000}">
      <formula1>Currency</formula1>
    </dataValidation>
    <dataValidation type="list" allowBlank="1" showInputMessage="1" showErrorMessage="1" sqref="E33" xr:uid="{00000000-0002-0000-27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7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7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8">
    <tabColor rgb="FF92D050"/>
    <pageSetUpPr fitToPage="1"/>
  </sheetPr>
  <dimension ref="A1:Q89"/>
  <sheetViews>
    <sheetView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167</v>
      </c>
      <c r="E8" s="12"/>
      <c r="F8" s="12"/>
      <c r="G8" s="11" t="s">
        <v>10</v>
      </c>
      <c r="H8" s="100">
        <v>45911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482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H11" s="4"/>
      <c r="I11" s="4"/>
      <c r="J11" s="13"/>
    </row>
    <row r="12" spans="2:11" ht="18" x14ac:dyDescent="0.2">
      <c r="B12" s="10"/>
      <c r="C12" s="11" t="s">
        <v>0</v>
      </c>
      <c r="D12" s="15">
        <v>1530</v>
      </c>
      <c r="E12" s="12"/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6"/>
      <c r="F13" s="35"/>
      <c r="G13" s="35"/>
      <c r="H13" s="117"/>
      <c r="I13" s="117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512</v>
      </c>
      <c r="I18" s="100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493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168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489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490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492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491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B533EB51-AE82-4304-9181-84B5BDF1FFC4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5A3B9266-7B05-4D3F-88C2-7F4A17180532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FA11FC71-A33E-440B-A15B-B310E4F5FD2A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BB2A49D6-E271-4A3E-A86B-2089C0455D05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9">
    <pageSetUpPr fitToPage="1"/>
  </sheetPr>
  <dimension ref="A1:Q89"/>
  <sheetViews>
    <sheetView topLeftCell="A5" zoomScale="90" zoomScaleNormal="90" workbookViewId="0">
      <selection activeCell="H52" sqref="H5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103</v>
      </c>
      <c r="E8" s="12"/>
      <c r="F8" s="12"/>
      <c r="G8" s="11" t="s">
        <v>10</v>
      </c>
      <c r="H8" s="4"/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/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/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103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100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104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102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400-000000000000}">
      <formula1>Currency</formula1>
    </dataValidation>
    <dataValidation type="list" allowBlank="1" showInputMessage="1" showErrorMessage="1" sqref="E33" xr:uid="{00000000-0002-0000-14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4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4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0">
    <pageSetUpPr fitToPage="1"/>
  </sheetPr>
  <dimension ref="A1:Q89"/>
  <sheetViews>
    <sheetView zoomScale="90" zoomScaleNormal="90" workbookViewId="0">
      <selection activeCell="H9" sqref="H9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107</v>
      </c>
      <c r="E8" s="12"/>
      <c r="F8" s="12"/>
      <c r="G8" s="11" t="s">
        <v>10</v>
      </c>
      <c r="H8" s="86">
        <v>43433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1079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173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107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108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109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110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600-000000000000}">
      <formula1>Currency</formula1>
    </dataValidation>
    <dataValidation type="list" allowBlank="1" showInputMessage="1" showErrorMessage="1" sqref="E33" xr:uid="{00000000-0002-0000-16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6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6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1">
    <pageSetUpPr fitToPage="1"/>
  </sheetPr>
  <dimension ref="A1:Q89"/>
  <sheetViews>
    <sheetView zoomScale="90" zoomScaleNormal="90" workbookViewId="0">
      <selection activeCell="K26" sqref="K26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116</v>
      </c>
      <c r="E8" s="12"/>
      <c r="F8" s="12"/>
      <c r="G8" s="11" t="s">
        <v>10</v>
      </c>
      <c r="H8" s="100">
        <v>44546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337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11282.58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44545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117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255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118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256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257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93" t="s">
        <v>258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1800-000000000000}">
      <formula1>Currency</formula1>
    </dataValidation>
    <dataValidation type="list" allowBlank="1" showInputMessage="1" showErrorMessage="1" sqref="E33" xr:uid="{00000000-0002-0000-18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8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8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2">
    <pageSetUpPr fitToPage="1"/>
  </sheetPr>
  <dimension ref="A1:Q89"/>
  <sheetViews>
    <sheetView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128</v>
      </c>
      <c r="E8" s="12"/>
      <c r="F8" s="12"/>
      <c r="G8" s="11" t="s">
        <v>10</v>
      </c>
      <c r="H8" s="4"/>
      <c r="I8" s="86"/>
      <c r="J8" s="13"/>
    </row>
    <row r="9" spans="2:11" ht="18" x14ac:dyDescent="0.2">
      <c r="B9" s="10"/>
      <c r="C9" s="11"/>
      <c r="D9" s="16" t="s">
        <v>129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/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/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130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131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132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133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134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135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1F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1F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1F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1F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>
    <pageSetUpPr fitToPage="1"/>
  </sheetPr>
  <dimension ref="A1:Q89"/>
  <sheetViews>
    <sheetView topLeftCell="A5"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146</v>
      </c>
      <c r="E8" s="12"/>
      <c r="F8" s="12"/>
      <c r="G8" s="11" t="s">
        <v>10</v>
      </c>
      <c r="H8" s="100">
        <v>45239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>
        <v>90306452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49915.86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444</v>
      </c>
      <c r="E18" s="12"/>
      <c r="F18" s="12"/>
      <c r="G18" s="11"/>
      <c r="H18" s="11" t="s">
        <v>28</v>
      </c>
      <c r="I18" s="100">
        <v>45238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/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147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148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2400-000000000000}">
      <formula1>Currency</formula1>
    </dataValidation>
    <dataValidation type="list" allowBlank="1" showInputMessage="1" showErrorMessage="1" sqref="E33" xr:uid="{00000000-0002-0000-24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4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4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4">
    <pageSetUpPr fitToPage="1"/>
  </sheetPr>
  <dimension ref="A1:Q89"/>
  <sheetViews>
    <sheetView topLeftCell="A19"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169</v>
      </c>
      <c r="E8" s="12"/>
      <c r="F8" s="12"/>
      <c r="G8" s="11" t="s">
        <v>10</v>
      </c>
      <c r="H8" s="100">
        <v>43230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30229.83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149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265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125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150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151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152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25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5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5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5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3C511-A195-400B-AE4B-945232C263B1}">
  <sheetPr codeName="Sheet55">
    <pageSetUpPr fitToPage="1"/>
  </sheetPr>
  <dimension ref="A1:Q89"/>
  <sheetViews>
    <sheetView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319</v>
      </c>
      <c r="E8" s="12"/>
      <c r="F8" s="12"/>
      <c r="G8" s="11" t="s">
        <v>10</v>
      </c>
      <c r="H8" s="100">
        <v>44693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386</v>
      </c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639.62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44692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346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319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320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3" t="s">
        <v>321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322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323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318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9C971998-08F6-49FF-A3D5-623F89CB74F7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D0A53377-A733-442A-B242-0DF8FE7F6E45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83F47F2A-8CB9-48AB-B538-69BE34C950A1}">
      <formula1>Currency</formula1>
    </dataValidation>
    <dataValidation type="list" allowBlank="1" showInputMessage="1" showErrorMessage="1" sqref="E33" xr:uid="{4FAB9DB6-D575-4CF9-9C0B-0D8F572B0E79}">
      <formula1>Entity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56">
    <tabColor rgb="FFFF0000"/>
    <pageSetUpPr fitToPage="1"/>
  </sheetPr>
  <dimension ref="A1:Q89"/>
  <sheetViews>
    <sheetView zoomScale="90" zoomScaleNormal="90" workbookViewId="0">
      <selection activeCell="K11" sqref="K1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2" ht="18" customHeight="1" x14ac:dyDescent="0.15">
      <c r="F1" s="141"/>
      <c r="G1" s="141"/>
      <c r="H1" s="141"/>
      <c r="I1" s="142"/>
      <c r="J1" s="142"/>
    </row>
    <row r="2" spans="2:12" ht="23.25" customHeight="1" x14ac:dyDescent="0.25">
      <c r="F2" s="2"/>
      <c r="G2" s="143" t="s">
        <v>34</v>
      </c>
      <c r="H2" s="144"/>
      <c r="I2" s="144"/>
      <c r="J2" s="145"/>
    </row>
    <row r="3" spans="2:12" ht="20" x14ac:dyDescent="0.2">
      <c r="F3" s="2"/>
      <c r="G3" s="146"/>
      <c r="H3" s="147"/>
      <c r="I3" s="147"/>
      <c r="J3" s="3"/>
    </row>
    <row r="4" spans="2:12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2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2" ht="20" x14ac:dyDescent="0.2">
      <c r="B6" s="83" t="s">
        <v>47</v>
      </c>
      <c r="F6" s="2"/>
      <c r="G6" s="5"/>
      <c r="H6" s="6"/>
      <c r="I6" s="6"/>
      <c r="J6" s="3"/>
    </row>
    <row r="7" spans="2:12" x14ac:dyDescent="0.15">
      <c r="B7" s="7"/>
      <c r="C7" s="8"/>
      <c r="D7" s="8"/>
      <c r="E7" s="8"/>
      <c r="F7" s="8"/>
      <c r="G7" s="8"/>
      <c r="H7" s="8"/>
      <c r="I7" s="8"/>
      <c r="J7" s="9"/>
    </row>
    <row r="8" spans="2:12" ht="18" x14ac:dyDescent="0.2">
      <c r="B8" s="10"/>
      <c r="C8" s="11" t="s">
        <v>4</v>
      </c>
      <c r="D8" s="16" t="s">
        <v>153</v>
      </c>
      <c r="E8" s="12"/>
      <c r="F8" s="12"/>
      <c r="G8" s="11" t="s">
        <v>10</v>
      </c>
      <c r="H8" s="100">
        <v>45302</v>
      </c>
      <c r="I8" s="86"/>
      <c r="J8" s="13"/>
    </row>
    <row r="9" spans="2:12" ht="18" x14ac:dyDescent="0.2">
      <c r="B9" s="10"/>
      <c r="C9" s="11"/>
      <c r="D9" s="16"/>
      <c r="E9" s="12"/>
      <c r="F9" s="12"/>
      <c r="G9" s="11"/>
      <c r="H9" s="4"/>
      <c r="I9" s="4"/>
      <c r="J9" s="13"/>
      <c r="L9" s="110" t="s">
        <v>332</v>
      </c>
    </row>
    <row r="10" spans="2:12" ht="18" x14ac:dyDescent="0.2">
      <c r="B10" s="10"/>
      <c r="C10" s="11" t="s">
        <v>8</v>
      </c>
      <c r="D10" s="14" t="s">
        <v>345</v>
      </c>
      <c r="E10" s="14"/>
      <c r="F10" s="12"/>
      <c r="G10" s="11" t="s">
        <v>9</v>
      </c>
      <c r="H10" s="4"/>
      <c r="I10" s="4"/>
      <c r="J10" s="13"/>
    </row>
    <row r="11" spans="2:12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2" ht="18" x14ac:dyDescent="0.2">
      <c r="B12" s="10"/>
      <c r="C12" s="11" t="s">
        <v>0</v>
      </c>
      <c r="D12" s="15">
        <v>40941.19</v>
      </c>
      <c r="E12" s="12"/>
      <c r="F12" s="12"/>
      <c r="H12" s="4" t="s">
        <v>5</v>
      </c>
      <c r="I12" s="16"/>
      <c r="J12" s="13"/>
    </row>
    <row r="13" spans="2:12" ht="18" x14ac:dyDescent="0.2">
      <c r="B13" s="10"/>
      <c r="C13" s="11"/>
      <c r="D13" s="12"/>
      <c r="E13" s="75" t="s">
        <v>435</v>
      </c>
      <c r="F13" s="12"/>
      <c r="G13" s="12"/>
      <c r="H13" s="4"/>
      <c r="I13" s="4"/>
      <c r="J13" s="13"/>
    </row>
    <row r="14" spans="2:12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2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2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397</v>
      </c>
      <c r="E18" s="12"/>
      <c r="F18" s="12"/>
      <c r="G18" s="11"/>
      <c r="H18" s="11" t="s">
        <v>28</v>
      </c>
      <c r="I18" s="100">
        <v>45301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418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75" t="s">
        <v>435</v>
      </c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211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210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207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208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209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>
        <v>393761831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00000000-0002-0000-2600-000000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600-000001000000}">
      <formula1>IF(E33=#REF!,TRUE,FALSE)</formula1>
    </dataValidation>
    <dataValidation type="list" allowBlank="1" showInputMessage="1" showErrorMessage="1" sqref="E33" xr:uid="{00000000-0002-0000-2600-000002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600-000003000000}">
      <formula1>Currency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7">
    <pageSetUpPr fitToPage="1"/>
  </sheetPr>
  <dimension ref="A1:Q89"/>
  <sheetViews>
    <sheetView zoomScale="90" zoomScaleNormal="90" workbookViewId="0">
      <selection activeCell="H51" sqref="H51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174</v>
      </c>
      <c r="E8" s="12"/>
      <c r="F8" s="12"/>
      <c r="G8" s="11" t="s">
        <v>10</v>
      </c>
      <c r="H8" s="100">
        <v>42943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538.71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173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175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176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177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94" t="s">
        <v>178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 t="s">
        <v>179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180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28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8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800-000002000000}">
      <formula1>Currency</formula1>
    </dataValidation>
    <dataValidation type="list" allowBlank="1" showInputMessage="1" showErrorMessage="1" sqref="E33" xr:uid="{00000000-0002-0000-2800-000003000000}">
      <formula1>Entity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58">
    <pageSetUpPr fitToPage="1"/>
  </sheetPr>
  <dimension ref="A1:Q89"/>
  <sheetViews>
    <sheetView zoomScale="90" zoomScaleNormal="90" workbookViewId="0">
      <selection activeCell="H53" sqref="H5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181</v>
      </c>
      <c r="E8" s="12"/>
      <c r="F8" s="12"/>
      <c r="G8" s="11" t="s">
        <v>10</v>
      </c>
      <c r="H8" s="100">
        <v>42943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538.71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173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182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183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94" t="s">
        <v>184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>
        <v>173982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185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29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9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9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9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59">
    <pageSetUpPr fitToPage="1"/>
  </sheetPr>
  <dimension ref="A1:Q89"/>
  <sheetViews>
    <sheetView zoomScale="90" zoomScaleNormal="90" workbookViewId="0">
      <selection activeCell="H52" sqref="H5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154</v>
      </c>
      <c r="E8" s="12"/>
      <c r="F8" s="12"/>
      <c r="G8" s="11" t="s">
        <v>10</v>
      </c>
      <c r="H8" s="4"/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/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/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154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155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85">
        <v>10146168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86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2A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A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A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A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60">
    <pageSetUpPr fitToPage="1"/>
  </sheetPr>
  <dimension ref="A1:Q89"/>
  <sheetViews>
    <sheetView zoomScale="90" zoomScaleNormal="90" workbookViewId="0">
      <selection activeCell="H52" sqref="H5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156</v>
      </c>
      <c r="E8" s="12"/>
      <c r="F8" s="12"/>
      <c r="G8" s="11" t="s">
        <v>10</v>
      </c>
      <c r="H8" s="4"/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/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/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/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4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157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94" t="s">
        <v>158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159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160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2B00-000000000000}">
      <formula1>Currency</formula1>
    </dataValidation>
    <dataValidation type="list" allowBlank="1" showInputMessage="1" showErrorMessage="1" sqref="E33" xr:uid="{00000000-0002-0000-2B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B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B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61">
    <pageSetUpPr fitToPage="1"/>
  </sheetPr>
  <dimension ref="A1:Q89"/>
  <sheetViews>
    <sheetView zoomScale="90" zoomScaleNormal="90" workbookViewId="0">
      <selection activeCell="H9" sqref="H9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16" t="s">
        <v>161</v>
      </c>
      <c r="E8" s="12"/>
      <c r="F8" s="12"/>
      <c r="G8" s="11" t="s">
        <v>10</v>
      </c>
      <c r="H8" s="100">
        <v>43055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2800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162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163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164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165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166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errorStyle="warning" allowBlank="1" showInputMessage="1" showErrorMessage="1" errorTitle="Verify" error="Is currencey correct?" promptTitle="Currency" prompt="Select Payment Currency" sqref="H10" xr:uid="{00000000-0002-0000-2E00-000000000000}">
      <formula1>Currency</formula1>
    </dataValidation>
    <dataValidation type="list" allowBlank="1" showInputMessage="1" showErrorMessage="1" sqref="E33" xr:uid="{00000000-0002-0000-2E00-000001000000}">
      <formula1>Entity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E00-000002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2E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62">
    <pageSetUpPr fitToPage="1"/>
  </sheetPr>
  <dimension ref="A1:Q89"/>
  <sheetViews>
    <sheetView zoomScale="90" zoomScaleNormal="90" workbookViewId="0">
      <selection activeCell="G12" sqref="G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2" ht="18" customHeight="1" x14ac:dyDescent="0.15">
      <c r="F1" s="141"/>
      <c r="G1" s="141"/>
      <c r="H1" s="141"/>
      <c r="I1" s="142"/>
      <c r="J1" s="142"/>
    </row>
    <row r="2" spans="2:12" ht="23.25" customHeight="1" x14ac:dyDescent="0.25">
      <c r="F2" s="2"/>
      <c r="G2" s="143" t="s">
        <v>34</v>
      </c>
      <c r="H2" s="144"/>
      <c r="I2" s="144"/>
      <c r="J2" s="145"/>
    </row>
    <row r="3" spans="2:12" ht="20" x14ac:dyDescent="0.2">
      <c r="F3" s="2"/>
      <c r="G3" s="146"/>
      <c r="H3" s="147"/>
      <c r="I3" s="147"/>
      <c r="J3" s="3"/>
    </row>
    <row r="4" spans="2:12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2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2" ht="20" x14ac:dyDescent="0.2">
      <c r="B6" s="83" t="s">
        <v>47</v>
      </c>
      <c r="F6" s="2"/>
      <c r="G6" s="5"/>
      <c r="H6" s="6"/>
      <c r="I6" s="6"/>
      <c r="J6" s="3"/>
    </row>
    <row r="7" spans="2:12" x14ac:dyDescent="0.15">
      <c r="B7" s="7"/>
      <c r="C7" s="8"/>
      <c r="D7" s="8"/>
      <c r="E7" s="8"/>
      <c r="F7" s="8"/>
      <c r="G7" s="8"/>
      <c r="H7" s="8"/>
      <c r="I7" s="8"/>
      <c r="J7" s="9"/>
    </row>
    <row r="8" spans="2:12" ht="18" x14ac:dyDescent="0.2">
      <c r="B8" s="10"/>
      <c r="C8" s="11" t="s">
        <v>4</v>
      </c>
      <c r="D8" s="16" t="s">
        <v>267</v>
      </c>
      <c r="E8" s="12"/>
      <c r="F8" s="12"/>
      <c r="G8" s="11" t="s">
        <v>10</v>
      </c>
      <c r="H8" s="100">
        <v>44616</v>
      </c>
      <c r="I8" s="86"/>
      <c r="J8" s="13"/>
    </row>
    <row r="9" spans="2:12" ht="18" x14ac:dyDescent="0.2">
      <c r="B9" s="10"/>
      <c r="C9" s="11"/>
      <c r="D9" s="16"/>
      <c r="E9" s="12"/>
      <c r="F9" s="12"/>
      <c r="G9" s="11"/>
      <c r="H9" s="4" t="s">
        <v>5</v>
      </c>
      <c r="I9" s="4"/>
      <c r="J9" s="13"/>
    </row>
    <row r="10" spans="2:12" ht="18" x14ac:dyDescent="0.2">
      <c r="B10" s="10"/>
      <c r="C10" s="11" t="s">
        <v>8</v>
      </c>
      <c r="D10" s="14" t="s">
        <v>343</v>
      </c>
      <c r="E10" s="14"/>
      <c r="F10" s="12"/>
      <c r="G10" s="11" t="s">
        <v>9</v>
      </c>
      <c r="H10" s="4" t="s">
        <v>245</v>
      </c>
      <c r="I10" s="4"/>
      <c r="J10" s="13"/>
    </row>
    <row r="11" spans="2:12" ht="18" x14ac:dyDescent="0.2">
      <c r="B11" s="10"/>
      <c r="C11" s="11"/>
      <c r="D11" s="12"/>
      <c r="E11" s="12"/>
      <c r="F11" s="12"/>
      <c r="G11" s="11"/>
      <c r="H11" s="4"/>
      <c r="I11" s="4"/>
      <c r="J11" s="13"/>
      <c r="L11" s="110" t="s">
        <v>334</v>
      </c>
    </row>
    <row r="12" spans="2:12" ht="18" x14ac:dyDescent="0.2">
      <c r="B12" s="10"/>
      <c r="C12" s="11" t="s">
        <v>0</v>
      </c>
      <c r="D12" s="15">
        <v>3470</v>
      </c>
      <c r="E12" s="12"/>
      <c r="F12" s="12"/>
      <c r="H12" s="4" t="s">
        <v>5</v>
      </c>
      <c r="I12" s="16"/>
      <c r="J12" s="13"/>
    </row>
    <row r="13" spans="2:12" ht="18" x14ac:dyDescent="0.2">
      <c r="B13" s="10"/>
      <c r="C13" s="11"/>
      <c r="D13" s="12"/>
      <c r="E13" s="12"/>
      <c r="F13" s="12"/>
      <c r="G13" s="75"/>
      <c r="H13" s="4"/>
      <c r="I13" s="4"/>
      <c r="J13" s="13"/>
    </row>
    <row r="14" spans="2:12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2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2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44615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 t="s">
        <v>357</v>
      </c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7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7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7" ht="18" x14ac:dyDescent="0.2">
      <c r="B35" s="10"/>
      <c r="C35" s="12" t="s">
        <v>2</v>
      </c>
      <c r="D35" s="12"/>
      <c r="E35" s="85" t="s">
        <v>268</v>
      </c>
      <c r="F35" s="4"/>
      <c r="G35" s="4"/>
      <c r="H35" s="4"/>
      <c r="I35" s="4"/>
      <c r="J35" s="13"/>
    </row>
    <row r="36" spans="2:17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7" ht="18" x14ac:dyDescent="0.2">
      <c r="B37" s="10"/>
      <c r="C37" s="12" t="s">
        <v>7</v>
      </c>
      <c r="D37" s="12"/>
      <c r="E37" s="149" t="s">
        <v>274</v>
      </c>
      <c r="F37" s="149"/>
      <c r="G37" s="149"/>
      <c r="H37" s="149"/>
      <c r="I37" s="149"/>
      <c r="J37" s="13"/>
    </row>
    <row r="38" spans="2:17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7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7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7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7" ht="18" x14ac:dyDescent="0.2">
      <c r="B42" s="10"/>
      <c r="C42" s="12" t="s">
        <v>1</v>
      </c>
      <c r="D42" s="12"/>
      <c r="E42" s="4"/>
      <c r="F42" s="4"/>
      <c r="G42" s="85" t="s">
        <v>269</v>
      </c>
      <c r="H42" s="4"/>
      <c r="I42" s="4"/>
      <c r="J42" s="13"/>
    </row>
    <row r="43" spans="2:17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7" ht="18" x14ac:dyDescent="0.2">
      <c r="B44" s="10"/>
      <c r="C44" s="12" t="s">
        <v>6</v>
      </c>
      <c r="D44" s="12"/>
      <c r="E44" s="88"/>
      <c r="F44" s="4"/>
      <c r="G44" s="85" t="s">
        <v>270</v>
      </c>
      <c r="H44" s="4"/>
      <c r="I44" s="4"/>
      <c r="J44" s="13"/>
      <c r="Q44" s="110"/>
    </row>
    <row r="45" spans="2:17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7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7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7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271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 t="s">
        <v>272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Swift" error="Swift Code is not valid for US entities." promptTitle="Swift Code" prompt="Swift Code is only for Foreign Entities." sqref="G48" xr:uid="{00000000-0002-0000-2F00-000000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2F00-000001000000}">
      <formula1>IF(E33=#REF!,TRUE,FALSE)</formula1>
    </dataValidation>
    <dataValidation type="list" allowBlank="1" showInputMessage="1" showErrorMessage="1" sqref="E33" xr:uid="{00000000-0002-0000-2F00-000002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2F00-000003000000}">
      <formula1>Currency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3">
    <pageSetUpPr fitToPage="1"/>
  </sheetPr>
  <dimension ref="A1:Q89"/>
  <sheetViews>
    <sheetView zoomScale="90" zoomScaleNormal="90" workbookViewId="0">
      <selection activeCell="D13" sqref="D13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428</v>
      </c>
      <c r="E8" s="12"/>
      <c r="F8" s="12"/>
      <c r="G8" s="11" t="s">
        <v>10</v>
      </c>
      <c r="H8" s="86">
        <v>45302</v>
      </c>
      <c r="I8" s="86"/>
      <c r="J8" s="13"/>
    </row>
    <row r="9" spans="2:11" ht="18" x14ac:dyDescent="0.2">
      <c r="B9" s="10"/>
      <c r="C9" s="11"/>
      <c r="D9" s="57" t="s">
        <v>434</v>
      </c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/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198.7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45300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419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429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430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431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 t="s">
        <v>432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/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433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432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31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31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3100-000002000000}">
      <formula1>Currency</formula1>
    </dataValidation>
    <dataValidation type="list" allowBlank="1" showInputMessage="1" showErrorMessage="1" sqref="E33" xr:uid="{00000000-0002-0000-3100-000003000000}">
      <formula1>Entity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64">
    <pageSetUpPr fitToPage="1"/>
  </sheetPr>
  <dimension ref="A1:Q89"/>
  <sheetViews>
    <sheetView topLeftCell="A24" zoomScale="90" zoomScaleNormal="90" workbookViewId="0">
      <selection activeCell="H26" sqref="H25:H26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226</v>
      </c>
      <c r="E8" s="12"/>
      <c r="F8" s="12"/>
      <c r="G8" s="11" t="s">
        <v>10</v>
      </c>
      <c r="H8" s="86">
        <v>43398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 t="s">
        <v>225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f>6.5+104.88+55.42+8345.78</f>
        <v>8512.58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/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227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220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221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custom" allowBlank="1" showInputMessage="1" showErrorMessage="1" errorTitle="ABA#" error="Bank Routing or ABA# US entities only!" promptTitle="US Only" prompt="Bank Routing or ABA only US entities." sqref="G46" xr:uid="{00000000-0002-0000-3200-000000000000}">
      <formula1>IF(E33=#REF!,TRUE,FALSE)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3200-000001000000}">
      <formula1>IF(E33=#REF!,TRUE,FALSE)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3200-000002000000}">
      <formula1>Currency</formula1>
    </dataValidation>
    <dataValidation type="list" allowBlank="1" showInputMessage="1" showErrorMessage="1" sqref="E33" xr:uid="{00000000-0002-0000-3200-000003000000}">
      <formula1>Entity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65">
    <pageSetUpPr fitToPage="1"/>
  </sheetPr>
  <dimension ref="A1:Q89"/>
  <sheetViews>
    <sheetView zoomScale="90" zoomScaleNormal="90" workbookViewId="0">
      <selection activeCell="E20" sqref="E20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224</v>
      </c>
      <c r="E8" s="12"/>
      <c r="F8" s="12"/>
      <c r="G8" s="11" t="s">
        <v>10</v>
      </c>
      <c r="H8" s="86">
        <v>44013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/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1336.02</v>
      </c>
      <c r="E12" s="12"/>
      <c r="F12" s="12"/>
      <c r="G12" s="11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49</v>
      </c>
      <c r="E18" s="12"/>
      <c r="F18" s="12"/>
      <c r="G18" s="11"/>
      <c r="H18" s="11" t="s">
        <v>28</v>
      </c>
      <c r="I18" s="4"/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/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/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/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/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/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/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222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223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sheetProtection selectLockedCells="1"/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00000000-0002-0000-3300-000000000000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00000000-0002-0000-3300-000001000000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00000000-0002-0000-3300-000002000000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00000000-0002-0000-3300-000003000000}">
      <formula1>IF(E33=#REF!,TRUE,FALSE)</formula1>
    </dataValidation>
  </dataValidations>
  <pageMargins left="1" right="1" top="0.25" bottom="0.25" header="0.5" footer="0.5"/>
  <pageSetup scale="49" orientation="portrait" r:id="rId1"/>
  <headerFooter scaleWithDoc="0" alignWithMargins="0"/>
  <drawing r:id="rId2"/>
  <legacy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BD735-CC31-4608-BD2E-85F595DFEB7E}">
  <sheetPr codeName="Sheet66"/>
  <dimension ref="A1:Q89"/>
  <sheetViews>
    <sheetView zoomScaleNormal="100" workbookViewId="0">
      <selection activeCell="E12" sqref="E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364</v>
      </c>
      <c r="E8" s="12"/>
      <c r="F8" s="12"/>
      <c r="G8" s="11" t="s">
        <v>10</v>
      </c>
      <c r="H8" s="100">
        <v>44630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370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12728.8</v>
      </c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/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44629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346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365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366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>
        <v>3484303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367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/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 t="s">
        <v>368</v>
      </c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92" t="s">
        <v>369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85"/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623FE75F-2AF6-4B6E-AC44-1B358494B15F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FA3A6E37-1A06-4A12-A882-7C99AC369D8D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A00643FD-B684-43F9-9E76-4F5900DCCB17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E1E86B6C-CA7A-49C0-B5DA-FC3272A52D96}">
      <formula1>IF(E33=#REF!,TRUE,FALSE)</formula1>
    </dataValidation>
  </dataValidations>
  <pageMargins left="0.7" right="0.7" top="0.75" bottom="0.75" header="0.3" footer="0.3"/>
  <pageSetup scale="42" orientation="portrait" horizontalDpi="360" verticalDpi="360" r:id="rId1"/>
  <colBreaks count="1" manualBreakCount="1">
    <brk id="12" max="88" man="1"/>
  </colBreaks>
  <drawing r:id="rId2"/>
  <legacy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EAF8C-DD5F-4985-9773-5F5AD27714B1}">
  <sheetPr codeName="Sheet67"/>
  <dimension ref="A1:Q89"/>
  <sheetViews>
    <sheetView topLeftCell="A26" zoomScaleNormal="100" workbookViewId="0">
      <selection activeCell="A26" sqref="A1:XFD1048576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19.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373</v>
      </c>
      <c r="E8" s="12"/>
      <c r="F8" s="12"/>
      <c r="G8" s="11" t="s">
        <v>10</v>
      </c>
      <c r="H8" s="100">
        <v>44665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384</v>
      </c>
      <c r="E10" s="14"/>
      <c r="F10" s="12"/>
      <c r="G10" s="11" t="s">
        <v>9</v>
      </c>
      <c r="H10" s="4" t="s">
        <v>381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328952.49</v>
      </c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>
        <v>1595</v>
      </c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44663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346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 t="s">
        <v>383</v>
      </c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374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378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28">
        <v>67584438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376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377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115" t="s">
        <v>382</v>
      </c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114" t="s">
        <v>375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400DB9A5-7EFA-4021-857E-F06A215C4C25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767E883C-C438-42A1-A6AD-A32650899946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6BD69B47-C4DA-4FAD-80E2-B6C25ECAE24F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9633D857-0145-4A2B-BB6A-B743AC3C89E3}">
      <formula1>IF(E33=#REF!,TRUE,FALSE)</formula1>
    </dataValidation>
  </dataValidations>
  <pageMargins left="0.7" right="0.7" top="0.75" bottom="0.75" header="0.3" footer="0.3"/>
  <pageSetup scale="44" orientation="portrait" horizontalDpi="360" verticalDpi="360" r:id="rId1"/>
  <colBreaks count="1" manualBreakCount="1">
    <brk id="11" max="1048575" man="1"/>
  </colBreaks>
  <drawing r:id="rId2"/>
  <legacy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292B1-4D39-455D-BD2F-9FF81715FCA5}">
  <sheetPr codeName="Sheet68"/>
  <dimension ref="A1:Q89"/>
  <sheetViews>
    <sheetView zoomScaleNormal="100" workbookViewId="0">
      <selection activeCell="G12" sqref="G12"/>
    </sheetView>
  </sheetViews>
  <sheetFormatPr baseColWidth="10" defaultColWidth="9.1640625" defaultRowHeight="13" x14ac:dyDescent="0.15"/>
  <cols>
    <col min="1" max="1" width="3.6640625" style="1" customWidth="1"/>
    <col min="2" max="2" width="8.1640625" style="1" customWidth="1"/>
    <col min="3" max="3" width="21.83203125" style="1" customWidth="1"/>
    <col min="4" max="4" width="21.5" style="1" customWidth="1"/>
    <col min="5" max="5" width="15" style="1" customWidth="1"/>
    <col min="6" max="6" width="1.6640625" style="1" customWidth="1"/>
    <col min="7" max="7" width="20.33203125" style="1" customWidth="1"/>
    <col min="8" max="8" width="17.1640625" style="1" customWidth="1"/>
    <col min="9" max="9" width="20.33203125" style="1" customWidth="1"/>
    <col min="10" max="10" width="12.1640625" style="1" customWidth="1"/>
    <col min="11" max="16384" width="9.1640625" style="1"/>
  </cols>
  <sheetData>
    <row r="1" spans="2:11" ht="18" customHeight="1" x14ac:dyDescent="0.15">
      <c r="F1" s="141"/>
      <c r="G1" s="141"/>
      <c r="H1" s="141"/>
      <c r="I1" s="142"/>
      <c r="J1" s="142"/>
    </row>
    <row r="2" spans="2:11" ht="23.25" customHeight="1" x14ac:dyDescent="0.25">
      <c r="F2" s="2"/>
      <c r="G2" s="143" t="s">
        <v>34</v>
      </c>
      <c r="H2" s="144"/>
      <c r="I2" s="144"/>
      <c r="J2" s="145"/>
    </row>
    <row r="3" spans="2:11" ht="20" x14ac:dyDescent="0.2">
      <c r="F3" s="2"/>
      <c r="G3" s="146"/>
      <c r="H3" s="147"/>
      <c r="I3" s="147"/>
      <c r="J3" s="3"/>
    </row>
    <row r="4" spans="2:11" ht="16" x14ac:dyDescent="0.2">
      <c r="C4" s="4"/>
      <c r="D4" s="4"/>
      <c r="E4" s="4"/>
      <c r="F4" s="4"/>
      <c r="G4" s="4"/>
      <c r="H4" s="4"/>
      <c r="I4" s="4"/>
      <c r="J4" s="4"/>
      <c r="K4" s="4"/>
    </row>
    <row r="5" spans="2:11" ht="63" customHeight="1" x14ac:dyDescent="0.2">
      <c r="B5" s="148" t="s">
        <v>41</v>
      </c>
      <c r="C5" s="148"/>
      <c r="D5" s="148"/>
      <c r="E5" s="148"/>
      <c r="F5" s="148"/>
      <c r="G5" s="148"/>
      <c r="H5" s="148"/>
      <c r="I5" s="148"/>
      <c r="J5" s="148"/>
      <c r="K5" s="84"/>
    </row>
    <row r="6" spans="2:11" ht="20" x14ac:dyDescent="0.2">
      <c r="B6" s="83" t="s">
        <v>47</v>
      </c>
      <c r="F6" s="2"/>
      <c r="G6" s="5"/>
      <c r="H6" s="6"/>
      <c r="I6" s="6"/>
      <c r="J6" s="3"/>
    </row>
    <row r="7" spans="2:11" x14ac:dyDescent="0.15">
      <c r="B7" s="7"/>
      <c r="C7" s="8"/>
      <c r="D7" s="8"/>
      <c r="E7" s="8"/>
      <c r="F7" s="8"/>
      <c r="G7" s="8"/>
      <c r="H7" s="8"/>
      <c r="I7" s="8"/>
      <c r="J7" s="9"/>
    </row>
    <row r="8" spans="2:11" ht="18" x14ac:dyDescent="0.2">
      <c r="B8" s="10"/>
      <c r="C8" s="11" t="s">
        <v>4</v>
      </c>
      <c r="D8" s="91" t="s">
        <v>388</v>
      </c>
      <c r="E8" s="12"/>
      <c r="F8" s="12"/>
      <c r="G8" s="11" t="s">
        <v>10</v>
      </c>
      <c r="H8" s="100">
        <v>45043</v>
      </c>
      <c r="I8" s="86"/>
      <c r="J8" s="13"/>
    </row>
    <row r="9" spans="2:11" ht="18" x14ac:dyDescent="0.2">
      <c r="B9" s="10"/>
      <c r="C9" s="11"/>
      <c r="D9" s="16"/>
      <c r="E9" s="12"/>
      <c r="F9" s="12"/>
      <c r="G9" s="11"/>
      <c r="H9" s="4"/>
      <c r="I9" s="4"/>
      <c r="J9" s="13"/>
    </row>
    <row r="10" spans="2:11" ht="18" x14ac:dyDescent="0.2">
      <c r="B10" s="10"/>
      <c r="C10" s="11" t="s">
        <v>8</v>
      </c>
      <c r="D10" s="14" t="s">
        <v>395</v>
      </c>
      <c r="E10" s="14"/>
      <c r="F10" s="12"/>
      <c r="G10" s="11" t="s">
        <v>9</v>
      </c>
      <c r="H10" s="4" t="s">
        <v>245</v>
      </c>
      <c r="I10" s="4"/>
      <c r="J10" s="13"/>
    </row>
    <row r="11" spans="2:11" ht="18" x14ac:dyDescent="0.2">
      <c r="B11" s="10"/>
      <c r="C11" s="11"/>
      <c r="D11" s="12"/>
      <c r="E11" s="12"/>
      <c r="F11" s="12"/>
      <c r="G11" s="11"/>
      <c r="H11" s="4"/>
      <c r="I11" s="4"/>
      <c r="J11" s="13"/>
    </row>
    <row r="12" spans="2:11" ht="18" x14ac:dyDescent="0.2">
      <c r="B12" s="10"/>
      <c r="C12" s="11" t="s">
        <v>0</v>
      </c>
      <c r="D12" s="15">
        <v>192</v>
      </c>
      <c r="F12" s="12"/>
      <c r="H12" s="4" t="s">
        <v>5</v>
      </c>
      <c r="I12" s="16"/>
      <c r="J12" s="13"/>
    </row>
    <row r="13" spans="2:11" ht="18" x14ac:dyDescent="0.2">
      <c r="B13" s="10"/>
      <c r="C13" s="11"/>
      <c r="D13" s="12"/>
      <c r="E13" s="112"/>
      <c r="F13" s="12"/>
      <c r="G13" s="12"/>
      <c r="H13" s="4"/>
      <c r="I13" s="4"/>
      <c r="J13" s="13"/>
    </row>
    <row r="14" spans="2:11" ht="18" x14ac:dyDescent="0.2">
      <c r="B14" s="10"/>
      <c r="C14" s="11" t="s">
        <v>3</v>
      </c>
      <c r="D14" s="12">
        <v>87055</v>
      </c>
      <c r="E14" s="12"/>
      <c r="F14" s="12"/>
      <c r="G14" s="12"/>
      <c r="H14" s="4"/>
      <c r="I14" s="4"/>
      <c r="J14" s="13"/>
    </row>
    <row r="15" spans="2:11" ht="5" customHeight="1" x14ac:dyDescent="0.2">
      <c r="B15" s="17"/>
      <c r="C15" s="18"/>
      <c r="D15" s="19"/>
      <c r="E15" s="19"/>
      <c r="F15" s="19"/>
      <c r="G15" s="19"/>
      <c r="H15" s="19"/>
      <c r="I15" s="19"/>
      <c r="J15" s="20"/>
    </row>
    <row r="16" spans="2:11" ht="16" x14ac:dyDescent="0.2">
      <c r="B16" s="83" t="s">
        <v>46</v>
      </c>
      <c r="C16" s="16"/>
      <c r="D16" s="4"/>
      <c r="E16" s="4"/>
      <c r="F16" s="4"/>
      <c r="G16" s="4"/>
      <c r="H16" s="4"/>
      <c r="I16" s="4"/>
      <c r="J16" s="4"/>
    </row>
    <row r="17" spans="2:13" ht="16" x14ac:dyDescent="0.2">
      <c r="B17" s="76" t="s">
        <v>37</v>
      </c>
      <c r="C17" s="22"/>
      <c r="D17" s="23"/>
      <c r="E17" s="23"/>
      <c r="F17" s="23"/>
      <c r="G17" s="23"/>
      <c r="H17" s="23"/>
      <c r="I17" s="23"/>
      <c r="J17" s="24"/>
    </row>
    <row r="18" spans="2:13" ht="18" x14ac:dyDescent="0.2">
      <c r="B18" s="10"/>
      <c r="C18" s="11" t="s">
        <v>19</v>
      </c>
      <c r="D18" s="12" t="s">
        <v>303</v>
      </c>
      <c r="E18" s="12"/>
      <c r="F18" s="12"/>
      <c r="G18" s="11"/>
      <c r="H18" s="11" t="s">
        <v>28</v>
      </c>
      <c r="I18" s="100">
        <v>45042</v>
      </c>
      <c r="J18" s="13"/>
    </row>
    <row r="19" spans="2:13" ht="18" x14ac:dyDescent="0.2">
      <c r="B19" s="10"/>
      <c r="C19" s="11"/>
      <c r="D19" s="12"/>
      <c r="E19" s="12"/>
      <c r="F19" s="12"/>
      <c r="G19" s="12"/>
      <c r="H19" s="12"/>
      <c r="I19" s="4"/>
      <c r="J19" s="13"/>
    </row>
    <row r="20" spans="2:13" ht="18" x14ac:dyDescent="0.2">
      <c r="B20" s="10"/>
      <c r="C20" s="11"/>
      <c r="D20" s="12"/>
      <c r="E20" s="12"/>
      <c r="F20" s="12"/>
      <c r="G20" s="12"/>
      <c r="H20" s="12"/>
      <c r="I20" s="4"/>
      <c r="J20" s="13"/>
      <c r="M20" s="25"/>
    </row>
    <row r="21" spans="2:13" ht="18" x14ac:dyDescent="0.2">
      <c r="B21" s="10"/>
      <c r="C21" s="11" t="s">
        <v>11</v>
      </c>
      <c r="D21" s="12"/>
      <c r="E21" s="12"/>
      <c r="F21" s="12"/>
      <c r="G21" s="12"/>
      <c r="H21" s="11" t="s">
        <v>28</v>
      </c>
      <c r="I21" s="4"/>
      <c r="J21" s="13"/>
      <c r="M21" s="25"/>
    </row>
    <row r="22" spans="2:13" ht="18" x14ac:dyDescent="0.2">
      <c r="B22" s="10"/>
      <c r="C22" s="11" t="s">
        <v>38</v>
      </c>
      <c r="D22" s="12"/>
      <c r="E22" s="12"/>
      <c r="F22" s="12"/>
      <c r="G22" s="12"/>
      <c r="H22" s="12"/>
      <c r="I22" s="4"/>
      <c r="J22" s="13"/>
      <c r="M22" s="25"/>
    </row>
    <row r="23" spans="2:13" ht="18" x14ac:dyDescent="0.2">
      <c r="B23" s="10"/>
      <c r="C23" s="11"/>
      <c r="D23" s="12"/>
      <c r="E23" s="12"/>
      <c r="F23" s="12"/>
      <c r="G23" s="12"/>
      <c r="H23" s="12"/>
      <c r="I23" s="4"/>
      <c r="J23" s="13"/>
      <c r="M23" s="25"/>
    </row>
    <row r="24" spans="2:13" ht="18" x14ac:dyDescent="0.2">
      <c r="B24" s="10"/>
      <c r="C24" s="11" t="s">
        <v>22</v>
      </c>
      <c r="D24" s="12"/>
      <c r="E24" s="12" t="s">
        <v>387</v>
      </c>
      <c r="F24" s="12"/>
      <c r="G24" s="12"/>
      <c r="H24" s="12"/>
      <c r="I24" s="4"/>
      <c r="J24" s="13"/>
      <c r="M24" s="25"/>
    </row>
    <row r="25" spans="2:13" ht="18" x14ac:dyDescent="0.2">
      <c r="B25" s="10"/>
      <c r="C25" s="11"/>
      <c r="D25" s="12"/>
      <c r="E25" s="12"/>
      <c r="F25" s="12"/>
      <c r="G25" s="12"/>
      <c r="H25" s="12"/>
      <c r="I25" s="4"/>
      <c r="J25" s="13"/>
      <c r="M25" s="25"/>
    </row>
    <row r="26" spans="2:13" ht="18" x14ac:dyDescent="0.2">
      <c r="B26" s="10"/>
      <c r="C26" s="11"/>
      <c r="D26" s="12"/>
      <c r="E26" s="12"/>
      <c r="F26" s="12"/>
      <c r="G26" s="12"/>
      <c r="H26" s="12"/>
      <c r="I26" s="4"/>
      <c r="J26" s="13"/>
      <c r="M26" s="25"/>
    </row>
    <row r="27" spans="2:13" ht="18" x14ac:dyDescent="0.2">
      <c r="B27" s="10"/>
      <c r="C27" s="11" t="s">
        <v>12</v>
      </c>
      <c r="D27" s="12"/>
      <c r="E27" s="12" t="s">
        <v>372</v>
      </c>
      <c r="F27" s="12"/>
      <c r="G27" s="12"/>
      <c r="H27" s="12"/>
      <c r="I27" s="4"/>
      <c r="J27" s="13"/>
      <c r="M27" s="25"/>
    </row>
    <row r="28" spans="2:13" ht="5" customHeight="1" x14ac:dyDescent="0.2">
      <c r="B28" s="17"/>
      <c r="C28" s="18"/>
      <c r="D28" s="19"/>
      <c r="E28" s="19"/>
      <c r="F28" s="19"/>
      <c r="G28" s="19"/>
      <c r="H28" s="19"/>
      <c r="I28" s="19"/>
      <c r="J28" s="20"/>
      <c r="M28" s="25"/>
    </row>
    <row r="29" spans="2:13" ht="16" x14ac:dyDescent="0.2">
      <c r="B29" s="83" t="s">
        <v>46</v>
      </c>
      <c r="C29" s="4"/>
      <c r="D29" s="4"/>
      <c r="E29" s="4"/>
      <c r="F29" s="4"/>
      <c r="G29" s="4"/>
      <c r="H29" s="4"/>
      <c r="I29" s="4"/>
      <c r="J29" s="4"/>
    </row>
    <row r="30" spans="2:13" ht="5" customHeight="1" x14ac:dyDescent="0.2">
      <c r="B30" s="21"/>
      <c r="C30" s="23"/>
      <c r="D30" s="23"/>
      <c r="E30" s="23"/>
      <c r="F30" s="23"/>
      <c r="G30" s="23"/>
      <c r="H30" s="23"/>
      <c r="I30" s="23"/>
      <c r="J30" s="24"/>
    </row>
    <row r="31" spans="2:13" ht="18" x14ac:dyDescent="0.2">
      <c r="B31" s="10"/>
      <c r="C31" s="11" t="s">
        <v>23</v>
      </c>
      <c r="D31" s="12"/>
      <c r="E31" s="4"/>
      <c r="F31" s="4"/>
      <c r="G31" s="4"/>
      <c r="H31" s="4"/>
      <c r="I31" s="4"/>
      <c r="J31" s="13"/>
    </row>
    <row r="32" spans="2:13" ht="18" x14ac:dyDescent="0.2">
      <c r="B32" s="10"/>
      <c r="C32" s="11"/>
      <c r="D32" s="12"/>
      <c r="E32" s="4"/>
      <c r="F32" s="4"/>
      <c r="G32" s="4"/>
      <c r="H32" s="4"/>
      <c r="I32" s="4"/>
      <c r="J32" s="13"/>
    </row>
    <row r="33" spans="2:10" ht="19" thickBot="1" x14ac:dyDescent="0.25">
      <c r="B33" s="10"/>
      <c r="C33" s="12" t="s">
        <v>36</v>
      </c>
      <c r="D33" s="12"/>
      <c r="E33" s="26"/>
      <c r="F33" s="4"/>
      <c r="G33" s="4"/>
      <c r="H33" s="4"/>
      <c r="I33" s="4"/>
      <c r="J33" s="13"/>
    </row>
    <row r="34" spans="2:10" ht="18" x14ac:dyDescent="0.2">
      <c r="B34" s="10"/>
      <c r="C34" s="12"/>
      <c r="D34" s="12"/>
      <c r="E34" s="4"/>
      <c r="F34" s="4"/>
      <c r="G34" s="4"/>
      <c r="H34" s="4"/>
      <c r="I34" s="4"/>
      <c r="J34" s="13"/>
    </row>
    <row r="35" spans="2:10" ht="18" x14ac:dyDescent="0.2">
      <c r="B35" s="10"/>
      <c r="C35" s="12" t="s">
        <v>2</v>
      </c>
      <c r="D35" s="12"/>
      <c r="E35" s="85" t="s">
        <v>389</v>
      </c>
      <c r="F35" s="4"/>
      <c r="G35" s="4"/>
      <c r="H35" s="4"/>
      <c r="I35" s="4"/>
      <c r="J35" s="13"/>
    </row>
    <row r="36" spans="2:10" ht="18" x14ac:dyDescent="0.2">
      <c r="B36" s="10"/>
      <c r="C36" s="12"/>
      <c r="D36" s="12"/>
      <c r="E36" s="85"/>
      <c r="F36" s="4"/>
      <c r="G36" s="4"/>
      <c r="H36" s="4"/>
      <c r="I36" s="4"/>
      <c r="J36" s="13"/>
    </row>
    <row r="37" spans="2:10" ht="18" x14ac:dyDescent="0.2">
      <c r="B37" s="10"/>
      <c r="C37" s="12" t="s">
        <v>7</v>
      </c>
      <c r="D37" s="12"/>
      <c r="E37" s="149" t="s">
        <v>390</v>
      </c>
      <c r="F37" s="149"/>
      <c r="G37" s="149"/>
      <c r="H37" s="149"/>
      <c r="I37" s="149"/>
      <c r="J37" s="13"/>
    </row>
    <row r="38" spans="2:10" ht="19" thickBot="1" x14ac:dyDescent="0.25">
      <c r="B38" s="10"/>
      <c r="C38" s="12"/>
      <c r="D38" s="12"/>
      <c r="E38" s="150"/>
      <c r="F38" s="150"/>
      <c r="G38" s="150"/>
      <c r="H38" s="150"/>
      <c r="I38" s="150"/>
      <c r="J38" s="13"/>
    </row>
    <row r="39" spans="2:10" ht="18" x14ac:dyDescent="0.2">
      <c r="B39" s="10"/>
      <c r="C39" s="12"/>
      <c r="D39" s="12"/>
      <c r="E39" s="27"/>
      <c r="F39" s="27"/>
      <c r="G39" s="27"/>
      <c r="H39" s="27"/>
      <c r="I39" s="27"/>
      <c r="J39" s="13"/>
    </row>
    <row r="40" spans="2:10" ht="19" thickBot="1" x14ac:dyDescent="0.25">
      <c r="B40" s="10"/>
      <c r="C40" s="12" t="s">
        <v>29</v>
      </c>
      <c r="D40" s="12"/>
      <c r="E40" s="4"/>
      <c r="F40" s="4"/>
      <c r="G40" s="101" t="s">
        <v>392</v>
      </c>
      <c r="H40" s="4"/>
      <c r="I40" s="4"/>
      <c r="J40" s="13"/>
    </row>
    <row r="41" spans="2:10" ht="18" x14ac:dyDescent="0.2">
      <c r="B41" s="10"/>
      <c r="C41" s="12"/>
      <c r="D41" s="12"/>
      <c r="E41" s="4"/>
      <c r="F41" s="4"/>
      <c r="G41" s="4"/>
      <c r="H41" s="4"/>
      <c r="I41" s="4"/>
      <c r="J41" s="13"/>
    </row>
    <row r="42" spans="2:10" ht="18" x14ac:dyDescent="0.2">
      <c r="B42" s="10"/>
      <c r="C42" s="12" t="s">
        <v>1</v>
      </c>
      <c r="D42" s="12"/>
      <c r="E42" s="4"/>
      <c r="F42" s="4"/>
      <c r="G42" s="85" t="s">
        <v>391</v>
      </c>
      <c r="H42" s="4"/>
      <c r="I42" s="4"/>
      <c r="J42" s="13"/>
    </row>
    <row r="43" spans="2:10" ht="18" x14ac:dyDescent="0.2">
      <c r="B43" s="10"/>
      <c r="C43" s="12"/>
      <c r="D43" s="12"/>
      <c r="E43" s="4"/>
      <c r="F43" s="4"/>
      <c r="G43" s="4"/>
      <c r="H43" s="4"/>
      <c r="I43" s="4"/>
      <c r="J43" s="13"/>
    </row>
    <row r="44" spans="2:10" ht="18" x14ac:dyDescent="0.2">
      <c r="B44" s="10"/>
      <c r="C44" s="12" t="s">
        <v>6</v>
      </c>
      <c r="D44" s="12"/>
      <c r="E44" s="88"/>
      <c r="F44" s="4"/>
      <c r="G44" s="85" t="s">
        <v>393</v>
      </c>
      <c r="H44" s="4"/>
      <c r="I44" s="4"/>
      <c r="J44" s="13"/>
    </row>
    <row r="45" spans="2:10" ht="18" x14ac:dyDescent="0.2">
      <c r="B45" s="10"/>
      <c r="C45" s="12"/>
      <c r="D45" s="12"/>
      <c r="E45" s="4"/>
      <c r="F45" s="4"/>
      <c r="G45" s="4"/>
      <c r="H45" s="4"/>
      <c r="I45" s="4"/>
      <c r="J45" s="13"/>
    </row>
    <row r="46" spans="2:10" ht="19" thickBot="1" x14ac:dyDescent="0.25">
      <c r="B46" s="10"/>
      <c r="C46" s="12" t="s">
        <v>30</v>
      </c>
      <c r="D46" s="12"/>
      <c r="E46" s="4"/>
      <c r="F46" s="4"/>
      <c r="G46" s="28"/>
      <c r="H46" s="4"/>
      <c r="I46" s="4"/>
      <c r="J46" s="13"/>
    </row>
    <row r="47" spans="2:10" ht="18" x14ac:dyDescent="0.2">
      <c r="B47" s="10"/>
      <c r="C47" s="12"/>
      <c r="D47" s="12"/>
      <c r="E47" s="4"/>
      <c r="F47" s="4"/>
      <c r="G47" s="4"/>
      <c r="H47" s="4"/>
      <c r="I47" s="4"/>
      <c r="J47" s="13"/>
    </row>
    <row r="48" spans="2:10" ht="19" thickBot="1" x14ac:dyDescent="0.25">
      <c r="B48" s="10"/>
      <c r="C48" s="12" t="s">
        <v>35</v>
      </c>
      <c r="D48" s="12"/>
      <c r="E48" s="4"/>
      <c r="F48" s="4"/>
      <c r="G48" s="28"/>
      <c r="H48" s="4"/>
      <c r="I48" s="4"/>
      <c r="J48" s="13"/>
    </row>
    <row r="49" spans="1:17" ht="18" x14ac:dyDescent="0.2">
      <c r="B49" s="10"/>
      <c r="D49" s="12"/>
      <c r="E49" s="4"/>
      <c r="F49" s="4"/>
      <c r="G49" s="4"/>
      <c r="H49" s="4"/>
      <c r="I49" s="4"/>
      <c r="J49" s="13"/>
    </row>
    <row r="50" spans="1:17" ht="18" x14ac:dyDescent="0.2">
      <c r="B50" s="10"/>
      <c r="C50" s="12" t="s">
        <v>27</v>
      </c>
      <c r="D50" s="12"/>
      <c r="E50" s="4"/>
      <c r="F50" s="4"/>
      <c r="G50" s="115"/>
      <c r="H50" s="4"/>
      <c r="I50" s="4"/>
      <c r="J50" s="13"/>
    </row>
    <row r="51" spans="1:17" ht="18" x14ac:dyDescent="0.2">
      <c r="B51" s="10"/>
      <c r="D51" s="12"/>
      <c r="E51" s="4"/>
      <c r="F51" s="4"/>
      <c r="G51" s="4"/>
      <c r="H51" s="4"/>
      <c r="I51" s="4"/>
      <c r="J51" s="13"/>
    </row>
    <row r="52" spans="1:17" ht="18" x14ac:dyDescent="0.2">
      <c r="B52" s="10"/>
      <c r="C52" s="12" t="s">
        <v>24</v>
      </c>
      <c r="D52" s="12"/>
      <c r="E52" s="4"/>
      <c r="F52" s="4"/>
      <c r="G52" s="4"/>
      <c r="H52" s="114" t="s">
        <v>394</v>
      </c>
      <c r="I52" s="4"/>
      <c r="J52" s="13"/>
    </row>
    <row r="53" spans="1:17" ht="4.5" customHeight="1" x14ac:dyDescent="0.2">
      <c r="B53" s="17"/>
      <c r="C53" s="19"/>
      <c r="D53" s="19"/>
      <c r="E53" s="19"/>
      <c r="F53" s="19"/>
      <c r="G53" s="19"/>
      <c r="H53" s="19"/>
      <c r="I53" s="19"/>
      <c r="J53" s="20"/>
    </row>
    <row r="54" spans="1:17" ht="8.25" customHeight="1" x14ac:dyDescent="0.2">
      <c r="B54" s="4"/>
      <c r="C54" s="4"/>
      <c r="D54" s="4"/>
      <c r="E54" s="4"/>
      <c r="F54" s="4"/>
      <c r="G54" s="4"/>
      <c r="H54" s="4"/>
      <c r="I54" s="4"/>
      <c r="J54" s="4"/>
    </row>
    <row r="55" spans="1:17" ht="15" customHeight="1" x14ac:dyDescent="0.2">
      <c r="B55" s="83" t="s">
        <v>40</v>
      </c>
      <c r="C55" s="4"/>
      <c r="D55" s="4"/>
      <c r="E55" s="4"/>
      <c r="F55" s="4"/>
      <c r="G55" s="4"/>
      <c r="H55" s="4"/>
      <c r="I55" s="4"/>
      <c r="J55" s="4"/>
    </row>
    <row r="56" spans="1:17" ht="16.5" customHeight="1" x14ac:dyDescent="0.2">
      <c r="A56" s="12"/>
      <c r="B56" s="151" t="s">
        <v>42</v>
      </c>
      <c r="C56" s="152"/>
      <c r="D56" s="152"/>
      <c r="E56" s="152"/>
      <c r="F56" s="152"/>
      <c r="G56" s="152"/>
      <c r="H56" s="152"/>
      <c r="I56" s="152"/>
      <c r="J56" s="152"/>
    </row>
    <row r="57" spans="1:17" ht="5" customHeight="1" thickBot="1" x14ac:dyDescent="0.25">
      <c r="A57" s="12"/>
      <c r="B57" s="29"/>
      <c r="C57" s="30"/>
      <c r="D57" s="30"/>
      <c r="E57" s="30"/>
      <c r="F57" s="30"/>
      <c r="G57" s="30"/>
      <c r="H57" s="30"/>
      <c r="I57" s="30"/>
      <c r="J57" s="30"/>
    </row>
    <row r="58" spans="1:17" ht="18" x14ac:dyDescent="0.2">
      <c r="A58" s="12"/>
      <c r="B58" s="31"/>
      <c r="C58" s="32" t="s">
        <v>25</v>
      </c>
      <c r="D58" s="33"/>
      <c r="E58" s="33"/>
      <c r="F58" s="33"/>
      <c r="G58" s="33"/>
      <c r="H58" s="33"/>
      <c r="I58" s="33"/>
      <c r="J58" s="34"/>
    </row>
    <row r="59" spans="1:17" ht="19" thickBot="1" x14ac:dyDescent="0.25">
      <c r="A59" s="12"/>
      <c r="B59" s="36"/>
      <c r="C59" s="37" t="s">
        <v>43</v>
      </c>
      <c r="D59" s="38"/>
      <c r="E59" s="38"/>
      <c r="F59" s="38"/>
      <c r="G59" s="38"/>
      <c r="H59" s="38"/>
      <c r="I59" s="38"/>
      <c r="J59" s="39"/>
    </row>
    <row r="60" spans="1:17" s="40" customFormat="1" ht="18" x14ac:dyDescent="0.2">
      <c r="A60" s="35"/>
      <c r="B60" s="41"/>
      <c r="C60" s="41"/>
      <c r="D60" s="41"/>
      <c r="E60" s="42"/>
      <c r="F60" s="42"/>
      <c r="G60" s="42"/>
      <c r="H60" s="42"/>
      <c r="I60" s="42"/>
      <c r="J60" s="42"/>
    </row>
    <row r="61" spans="1:17" s="40" customFormat="1" ht="18" x14ac:dyDescent="0.2">
      <c r="A61" s="35"/>
      <c r="B61" s="43" t="s">
        <v>32</v>
      </c>
      <c r="C61" s="44"/>
      <c r="D61" s="42"/>
      <c r="E61" s="42"/>
      <c r="F61" s="43"/>
      <c r="G61" s="43" t="s">
        <v>28</v>
      </c>
      <c r="H61" s="42"/>
      <c r="I61" s="42"/>
      <c r="J61" s="42"/>
    </row>
    <row r="62" spans="1:17" s="40" customFormat="1" ht="18" x14ac:dyDescent="0.2">
      <c r="A62" s="35"/>
      <c r="B62" s="43"/>
      <c r="C62" s="44"/>
      <c r="D62" s="42"/>
      <c r="E62" s="42"/>
      <c r="F62" s="43"/>
      <c r="G62" s="43"/>
      <c r="H62" s="42"/>
      <c r="I62" s="42"/>
      <c r="J62" s="42"/>
    </row>
    <row r="63" spans="1:17" s="40" customFormat="1" ht="18" x14ac:dyDescent="0.2">
      <c r="A63" s="35"/>
      <c r="B63" s="43" t="s">
        <v>32</v>
      </c>
      <c r="C63" s="44"/>
      <c r="D63" s="42"/>
      <c r="E63" s="42"/>
      <c r="F63" s="43"/>
      <c r="G63" s="43" t="s">
        <v>28</v>
      </c>
      <c r="H63" s="42"/>
      <c r="I63" s="42"/>
      <c r="J63" s="42"/>
      <c r="Q63" s="80"/>
    </row>
    <row r="64" spans="1:17" s="40" customFormat="1" ht="18" x14ac:dyDescent="0.2">
      <c r="A64" s="35"/>
      <c r="B64" s="45" t="s">
        <v>33</v>
      </c>
      <c r="C64" s="44"/>
      <c r="D64" s="42"/>
      <c r="E64" s="42"/>
      <c r="F64" s="42"/>
      <c r="G64" s="42"/>
      <c r="H64" s="42"/>
      <c r="I64" s="42"/>
      <c r="J64" s="42"/>
    </row>
    <row r="65" spans="1:10" ht="14" thickBot="1" x14ac:dyDescent="0.2">
      <c r="B65" s="82"/>
      <c r="C65" s="82"/>
      <c r="D65" s="82"/>
      <c r="E65" s="82"/>
      <c r="F65" s="82"/>
      <c r="G65" s="82"/>
      <c r="H65" s="82"/>
      <c r="I65" s="82"/>
      <c r="J65" s="82"/>
    </row>
    <row r="66" spans="1:10" s="40" customFormat="1" ht="27.75" customHeight="1" thickBot="1" x14ac:dyDescent="0.25">
      <c r="A66" s="35"/>
      <c r="B66" s="81" t="s">
        <v>44</v>
      </c>
      <c r="C66" s="77"/>
      <c r="D66" s="78"/>
      <c r="E66" s="78"/>
      <c r="F66" s="78"/>
      <c r="G66" s="78"/>
      <c r="H66" s="78"/>
      <c r="I66" s="78"/>
      <c r="J66" s="79"/>
    </row>
    <row r="67" spans="1:10" ht="24" customHeight="1" x14ac:dyDescent="0.2">
      <c r="A67" s="12"/>
      <c r="B67" s="137" t="s">
        <v>45</v>
      </c>
      <c r="C67" s="138"/>
      <c r="D67" s="138"/>
      <c r="E67" s="138"/>
      <c r="F67" s="138"/>
      <c r="G67" s="138"/>
      <c r="H67" s="138"/>
      <c r="I67" s="138"/>
      <c r="J67" s="138"/>
    </row>
    <row r="68" spans="1:10" ht="23" x14ac:dyDescent="0.25">
      <c r="A68" s="12"/>
      <c r="B68" s="46"/>
      <c r="C68" s="47" t="s">
        <v>31</v>
      </c>
      <c r="D68" s="48"/>
      <c r="E68" s="49"/>
      <c r="F68" s="49"/>
      <c r="G68" s="49"/>
      <c r="H68" s="49"/>
      <c r="I68" s="49"/>
      <c r="J68" s="50"/>
    </row>
    <row r="69" spans="1:10" ht="18" x14ac:dyDescent="0.2">
      <c r="A69" s="12"/>
      <c r="B69" s="51"/>
      <c r="C69" s="52" t="s">
        <v>20</v>
      </c>
      <c r="D69" s="53"/>
      <c r="E69" s="54" t="s">
        <v>13</v>
      </c>
      <c r="F69" s="12"/>
      <c r="G69" s="12"/>
      <c r="H69" s="55"/>
      <c r="I69" s="55"/>
      <c r="J69" s="56"/>
    </row>
    <row r="70" spans="1:10" ht="18" x14ac:dyDescent="0.2">
      <c r="A70" s="12"/>
      <c r="B70" s="51"/>
      <c r="C70" s="57"/>
      <c r="D70" s="58"/>
      <c r="E70" s="12"/>
      <c r="F70" s="12"/>
      <c r="G70" s="12"/>
      <c r="H70" s="55"/>
      <c r="I70" s="55"/>
      <c r="J70" s="56"/>
    </row>
    <row r="71" spans="1:10" ht="18" x14ac:dyDescent="0.2">
      <c r="A71" s="12"/>
      <c r="B71" s="51"/>
      <c r="C71" s="55"/>
      <c r="D71" s="55"/>
      <c r="E71" s="54" t="s">
        <v>14</v>
      </c>
      <c r="F71" s="12"/>
      <c r="G71" s="12"/>
      <c r="H71" s="55"/>
      <c r="I71" s="55"/>
      <c r="J71" s="56"/>
    </row>
    <row r="72" spans="1:10" ht="18" x14ac:dyDescent="0.2">
      <c r="A72" s="12"/>
      <c r="B72" s="59"/>
      <c r="C72" s="60"/>
      <c r="D72" s="60"/>
      <c r="E72" s="54"/>
      <c r="F72" s="54"/>
      <c r="G72" s="54"/>
      <c r="H72" s="60"/>
      <c r="I72" s="60"/>
      <c r="J72" s="56"/>
    </row>
    <row r="73" spans="1:10" ht="18" x14ac:dyDescent="0.2">
      <c r="A73" s="12"/>
      <c r="B73" s="59"/>
      <c r="C73" s="61" t="s">
        <v>39</v>
      </c>
      <c r="D73" s="61" t="s">
        <v>21</v>
      </c>
      <c r="E73" s="54" t="s">
        <v>15</v>
      </c>
      <c r="F73" s="54"/>
      <c r="G73" s="54"/>
      <c r="H73" s="60"/>
      <c r="I73" s="60"/>
      <c r="J73" s="56"/>
    </row>
    <row r="74" spans="1:10" ht="18" x14ac:dyDescent="0.2">
      <c r="A74" s="12"/>
      <c r="B74" s="59"/>
      <c r="C74" s="61"/>
      <c r="D74" s="61"/>
      <c r="E74" s="54"/>
      <c r="F74" s="54"/>
      <c r="G74" s="54"/>
      <c r="H74" s="60"/>
      <c r="I74" s="60"/>
      <c r="J74" s="56"/>
    </row>
    <row r="75" spans="1:10" ht="18" x14ac:dyDescent="0.2">
      <c r="A75" s="12"/>
      <c r="B75" s="59"/>
      <c r="C75" s="62" t="s">
        <v>16</v>
      </c>
      <c r="D75" s="60" t="s">
        <v>18</v>
      </c>
      <c r="E75" s="54"/>
      <c r="F75" s="54"/>
      <c r="G75" s="54"/>
      <c r="H75" s="60"/>
      <c r="I75" s="60"/>
      <c r="J75" s="56"/>
    </row>
    <row r="76" spans="1:10" ht="18" x14ac:dyDescent="0.2">
      <c r="A76" s="12"/>
      <c r="B76" s="59"/>
      <c r="C76" s="63"/>
      <c r="D76" s="61"/>
      <c r="E76" s="54"/>
      <c r="F76" s="54"/>
      <c r="G76" s="54"/>
      <c r="H76" s="60"/>
      <c r="I76" s="60"/>
      <c r="J76" s="56"/>
    </row>
    <row r="77" spans="1:10" ht="18" x14ac:dyDescent="0.2">
      <c r="A77" s="12"/>
      <c r="B77" s="59"/>
      <c r="C77" s="62" t="s">
        <v>17</v>
      </c>
      <c r="D77" s="60" t="s">
        <v>18</v>
      </c>
      <c r="E77" s="54"/>
      <c r="F77" s="54"/>
      <c r="G77" s="54"/>
      <c r="H77" s="60"/>
      <c r="I77" s="60"/>
      <c r="J77" s="56"/>
    </row>
    <row r="78" spans="1:10" ht="18" x14ac:dyDescent="0.2">
      <c r="A78" s="12"/>
      <c r="B78" s="64"/>
      <c r="C78" s="65"/>
      <c r="D78" s="66"/>
      <c r="E78" s="67"/>
      <c r="F78" s="67"/>
      <c r="G78" s="67"/>
      <c r="H78" s="66"/>
      <c r="I78" s="66"/>
      <c r="J78" s="68"/>
    </row>
    <row r="79" spans="1:10" ht="18" x14ac:dyDescent="0.2">
      <c r="A79" s="12"/>
      <c r="B79" s="69"/>
      <c r="C79" s="70"/>
      <c r="D79" s="69"/>
      <c r="E79" s="71"/>
      <c r="F79" s="71"/>
      <c r="G79" s="71"/>
      <c r="H79" s="69"/>
      <c r="I79" s="69"/>
      <c r="J79" s="72"/>
    </row>
    <row r="80" spans="1:10" ht="23" x14ac:dyDescent="0.25">
      <c r="A80" s="12"/>
      <c r="B80" s="59"/>
      <c r="C80" s="73" t="s">
        <v>26</v>
      </c>
      <c r="D80" s="61"/>
      <c r="E80" s="54"/>
      <c r="F80" s="54"/>
      <c r="G80" s="54"/>
      <c r="H80" s="60"/>
      <c r="I80" s="60"/>
      <c r="J80" s="56"/>
    </row>
    <row r="81" spans="1:10" ht="18" x14ac:dyDescent="0.2">
      <c r="A81" s="12"/>
      <c r="B81" s="59"/>
      <c r="C81" s="52"/>
      <c r="D81" s="35"/>
      <c r="E81" s="35"/>
      <c r="F81" s="35"/>
      <c r="G81" s="35"/>
      <c r="H81" s="35"/>
      <c r="I81" s="35"/>
      <c r="J81" s="74"/>
    </row>
    <row r="82" spans="1:10" ht="18" x14ac:dyDescent="0.2">
      <c r="A82" s="12"/>
      <c r="B82" s="59"/>
      <c r="C82" s="52" t="s">
        <v>16</v>
      </c>
      <c r="D82" s="60" t="s">
        <v>18</v>
      </c>
      <c r="E82" s="54"/>
      <c r="F82" s="54"/>
      <c r="G82" s="54"/>
      <c r="H82" s="60"/>
      <c r="I82" s="60"/>
      <c r="J82" s="56"/>
    </row>
    <row r="83" spans="1:10" ht="18" x14ac:dyDescent="0.2">
      <c r="A83" s="12"/>
      <c r="B83" s="59"/>
      <c r="C83" s="63"/>
      <c r="D83" s="60"/>
      <c r="E83" s="54"/>
      <c r="F83" s="54"/>
      <c r="G83" s="54"/>
      <c r="H83" s="60"/>
      <c r="I83" s="60"/>
      <c r="J83" s="56"/>
    </row>
    <row r="84" spans="1:10" ht="18" x14ac:dyDescent="0.2">
      <c r="A84" s="12"/>
      <c r="B84" s="59"/>
      <c r="C84" s="62" t="s">
        <v>17</v>
      </c>
      <c r="D84" s="60" t="s">
        <v>18</v>
      </c>
      <c r="E84" s="54"/>
      <c r="F84" s="54"/>
      <c r="G84" s="54" t="s">
        <v>5</v>
      </c>
      <c r="H84" s="60"/>
      <c r="I84" s="60"/>
      <c r="J84" s="56"/>
    </row>
    <row r="85" spans="1:10" ht="10" customHeight="1" x14ac:dyDescent="0.2">
      <c r="A85" s="12"/>
      <c r="B85" s="64"/>
      <c r="C85" s="65"/>
      <c r="D85" s="66"/>
      <c r="E85" s="66"/>
      <c r="F85" s="66"/>
      <c r="G85" s="66"/>
      <c r="H85" s="66"/>
      <c r="I85" s="66"/>
      <c r="J85" s="68"/>
    </row>
    <row r="86" spans="1:10" ht="18" x14ac:dyDescent="0.2">
      <c r="A86" s="12"/>
      <c r="B86" s="75"/>
      <c r="C86" s="75"/>
      <c r="D86" s="75"/>
      <c r="E86" s="75"/>
      <c r="F86" s="75"/>
      <c r="G86" s="75"/>
      <c r="H86" s="75"/>
      <c r="I86" s="75"/>
      <c r="J86" s="75"/>
    </row>
    <row r="87" spans="1:10" ht="18" x14ac:dyDescent="0.2">
      <c r="A87" s="139"/>
      <c r="B87" s="140"/>
      <c r="C87" s="140"/>
      <c r="D87" s="140"/>
      <c r="E87" s="140"/>
      <c r="F87" s="140"/>
      <c r="G87" s="140"/>
      <c r="H87" s="140"/>
      <c r="I87" s="140"/>
      <c r="J87" s="140"/>
    </row>
    <row r="88" spans="1:10" ht="18" x14ac:dyDescent="0.2">
      <c r="A88" s="139"/>
      <c r="B88" s="140"/>
      <c r="C88" s="140"/>
      <c r="D88" s="140"/>
      <c r="E88" s="140"/>
      <c r="F88" s="140"/>
      <c r="G88" s="140"/>
      <c r="H88" s="140"/>
      <c r="I88" s="140"/>
      <c r="J88" s="140"/>
    </row>
    <row r="89" spans="1:10" ht="18" x14ac:dyDescent="0.2">
      <c r="A89" s="12"/>
      <c r="B89" s="12"/>
      <c r="C89" s="12"/>
      <c r="D89" s="12"/>
      <c r="E89" s="12"/>
      <c r="F89" s="12"/>
      <c r="G89" s="12"/>
      <c r="H89" s="12"/>
      <c r="I89" s="12"/>
      <c r="J89" s="12"/>
    </row>
  </sheetData>
  <mergeCells count="9">
    <mergeCell ref="B67:J67"/>
    <mergeCell ref="A87:J87"/>
    <mergeCell ref="A88:J88"/>
    <mergeCell ref="F1:J1"/>
    <mergeCell ref="G2:J2"/>
    <mergeCell ref="G3:I3"/>
    <mergeCell ref="B5:J5"/>
    <mergeCell ref="E37:I38"/>
    <mergeCell ref="B56:J56"/>
  </mergeCells>
  <dataValidations count="4">
    <dataValidation type="list" allowBlank="1" showInputMessage="1" showErrorMessage="1" sqref="E33" xr:uid="{5D827660-A8EB-404B-97BB-A8544D50DDB9}">
      <formula1>Entity</formula1>
    </dataValidation>
    <dataValidation type="list" errorStyle="warning" allowBlank="1" showInputMessage="1" showErrorMessage="1" errorTitle="Verify" error="Is currencey correct?" promptTitle="Currency" prompt="Select Payment Currency" sqref="H10" xr:uid="{CBB7AEE8-75E5-4E0D-AA3C-70A2FACCE3EB}">
      <formula1>Currency</formula1>
    </dataValidation>
    <dataValidation type="custom" allowBlank="1" showInputMessage="1" showErrorMessage="1" errorTitle="Swift" error="Swift Code is not valid for US entities." promptTitle="Swift Code" prompt="Swift Code is only for Foreign Entities." sqref="G48" xr:uid="{1CCC620A-D10B-439B-982B-2989FE3C8B6D}">
      <formula1>IF(E33=#REF!,TRUE,FALSE)</formula1>
    </dataValidation>
    <dataValidation type="custom" allowBlank="1" showInputMessage="1" showErrorMessage="1" errorTitle="ABA#" error="Bank Routing or ABA# US entities only!" promptTitle="US Only" prompt="Bank Routing or ABA only US entities." sqref="G46" xr:uid="{37608D02-D251-476D-8228-98BC73C49093}">
      <formula1>IF(E33=#REF!,TRUE,FALSE)</formula1>
    </dataValidation>
  </dataValidations>
  <pageMargins left="0.7" right="0.7" top="0.75" bottom="0.75" header="0.3" footer="0.3"/>
  <pageSetup scale="49" orientation="portrait" r:id="rId1"/>
  <rowBreaks count="1" manualBreakCount="1">
    <brk id="86" max="9" man="1"/>
  </rowBreaks>
  <colBreaks count="1" manualBreakCount="1">
    <brk id="10" max="1048575" man="1"/>
  </col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64ad06499fa4b69af58218f87366555 xmlns="d4a8813c-d6b2-471a-a6c7-84757c764e51">
      <Terms xmlns="http://schemas.microsoft.com/office/infopath/2007/PartnerControls"/>
    </l64ad06499fa4b69af58218f87366555>
    <a9d9f9dff68843609768d85e324c7fc4 xmlns="d4a8813c-d6b2-471a-a6c7-84757c764e51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Corporate</TermName>
          <TermId xmlns="http://schemas.microsoft.com/office/infopath/2007/PartnerControls">b9aefe7a-3e0a-4f39-92ba-4b1e60901079</TermId>
        </TermInfo>
      </Terms>
    </a9d9f9dff68843609768d85e324c7fc4>
    <h66a5c49f8774553ab5bfa98d35d4ad5 xmlns="d4a8813c-d6b2-471a-a6c7-84757c764e51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English</TermName>
          <TermId xmlns="http://schemas.microsoft.com/office/infopath/2007/PartnerControls">4c60dcc9-4f08-44a5-8efa-6c68c4953168</TermId>
        </TermInfo>
      </Terms>
    </h66a5c49f8774553ab5bfa98d35d4ad5>
    <m1b5890cc9fa4875a6b3a249d000ae7f xmlns="d4a8813c-d6b2-471a-a6c7-84757c764e51">
      <Terms xmlns="http://schemas.microsoft.com/office/infopath/2007/PartnerControls"/>
    </m1b5890cc9fa4875a6b3a249d000ae7f>
    <eb4787bfab7145cb98ab5057be56ccf3 xmlns="d4a8813c-d6b2-471a-a6c7-84757c764e51">
      <Terms xmlns="http://schemas.microsoft.com/office/infopath/2007/PartnerControls"/>
    </eb4787bfab7145cb98ab5057be56ccf3>
    <TaxKeywordTaxHTField xmlns="d4a8813c-d6b2-471a-a6c7-84757c764e51">
      <Terms xmlns="http://schemas.microsoft.com/office/infopath/2007/PartnerControls"/>
    </TaxKeywordTaxHTField>
    <TaxCatchAll xmlns="d4a8813c-d6b2-471a-a6c7-84757c764e51">
      <Value>17</Value>
      <Value>1</Value>
    </TaxCatchAl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GI Extended Document" ma:contentTypeID="0x01010009CE3685C0197548BA7A7192628215B1010038AFA67CACFE884A8BD18ECCB45D4B9F" ma:contentTypeVersion="15" ma:contentTypeDescription="" ma:contentTypeScope="" ma:versionID="fa25df0f42bf683e34793ce93dabf4de">
  <xsd:schema xmlns:xsd="http://www.w3.org/2001/XMLSchema" xmlns:xs="http://www.w3.org/2001/XMLSchema" xmlns:p="http://schemas.microsoft.com/office/2006/metadata/properties" xmlns:ns2="d4a8813c-d6b2-471a-a6c7-84757c764e51" targetNamespace="http://schemas.microsoft.com/office/2006/metadata/properties" ma:root="true" ma:fieldsID="2e5ba00c56c06b401ef6318b6649b6cb" ns2:_="">
    <xsd:import namespace="d4a8813c-d6b2-471a-a6c7-84757c764e51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a9d9f9dff68843609768d85e324c7fc4" minOccurs="0"/>
                <xsd:element ref="ns2:eb4787bfab7145cb98ab5057be56ccf3" minOccurs="0"/>
                <xsd:element ref="ns2:l64ad06499fa4b69af58218f87366555" minOccurs="0"/>
                <xsd:element ref="ns2:h66a5c49f8774553ab5bfa98d35d4ad5" minOccurs="0"/>
                <xsd:element ref="ns2:TaxKeywordTaxHTField" minOccurs="0"/>
                <xsd:element ref="ns2:m1b5890cc9fa4875a6b3a249d000ae7f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8813c-d6b2-471a-a6c7-84757c764e51" elementFormDefault="qualified">
    <xsd:import namespace="http://schemas.microsoft.com/office/2006/documentManagement/types"/>
    <xsd:import namespace="http://schemas.microsoft.com/office/infopath/2007/PartnerControls"/>
    <xsd:element name="TaxCatchAll" ma:index="3" nillable="true" ma:displayName="Taxonomy Catch All Column" ma:description="" ma:hidden="true" ma:list="{b25758a2-9087-4431-ba3b-a520eb168920}" ma:internalName="TaxCatchAll" ma:showField="CatchAllData" ma:web="d4a8813c-d6b2-471a-a6c7-84757c764e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4" nillable="true" ma:displayName="Taxonomy Catch All Column1" ma:description="" ma:hidden="true" ma:list="{b25758a2-9087-4431-ba3b-a520eb168920}" ma:internalName="TaxCatchAllLabel" ma:readOnly="true" ma:showField="CatchAllDataLabel" ma:web="d4a8813c-d6b2-471a-a6c7-84757c764e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9d9f9dff68843609768d85e324c7fc4" ma:index="10" nillable="true" ma:taxonomy="true" ma:internalName="a9d9f9dff68843609768d85e324c7fc4" ma:taxonomyFieldName="BGIBusinessUnit" ma:displayName="BGI Business Unit" ma:readOnly="false" ma:default="1;#Corporate|b9aefe7a-3e0a-4f39-92ba-4b1e60901079" ma:fieldId="{a9d9f9df-f688-4360-9768-d85e324c7fc4}" ma:sspId="3ffff582-5398-435b-be80-812982cbddc1" ma:termSetId="39f02bf3-aab5-4c4f-9249-8c913012ddc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b4787bfab7145cb98ab5057be56ccf3" ma:index="12" nillable="true" ma:taxonomy="true" ma:internalName="eb4787bfab7145cb98ab5057be56ccf3" ma:taxonomyFieldName="BGIDocumentType" ma:displayName="BGI Document Type" ma:readOnly="false" ma:default="" ma:fieldId="{eb4787bf-ab71-45cb-98ab-5057be56ccf3}" ma:sspId="3ffff582-5398-435b-be80-812982cbddc1" ma:termSetId="a3e1375f-ff14-4564-a914-76879eba223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64ad06499fa4b69af58218f87366555" ma:index="14" nillable="true" ma:taxonomy="true" ma:internalName="l64ad06499fa4b69af58218f87366555" ma:taxonomyFieldName="BGINavigation" ma:displayName="BGI Navigation" ma:readOnly="false" ma:default="" ma:fieldId="{564ad064-99fa-4b69-af58-218f87366555}" ma:sspId="3ffff582-5398-435b-be80-812982cbddc1" ma:termSetId="838ab471-fd99-40de-b7f0-b43656f3041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66a5c49f8774553ab5bfa98d35d4ad5" ma:index="16" nillable="true" ma:taxonomy="true" ma:internalName="h66a5c49f8774553ab5bfa98d35d4ad5" ma:taxonomyFieldName="BGILanguages" ma:displayName="BGI Languages" ma:default="17;#English|4c60dcc9-4f08-44a5-8efa-6c68c4953168" ma:fieldId="{166a5c49-f877-4553-ab5b-fa98d35d4ad5}" ma:sspId="3ffff582-5398-435b-be80-812982cbddc1" ma:termSetId="5e47257a-fa4a-4d96-a00e-bef3844e6e0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KeywordTaxHTField" ma:index="18" nillable="true" ma:taxonomy="true" ma:internalName="TaxKeywordTaxHTField" ma:taxonomyFieldName="TaxKeyword" ma:displayName="Enterprise Keywords" ma:fieldId="{23f27201-bee3-471e-b2e7-b64fd8b7ca38}" ma:taxonomyMulti="true" ma:sspId="00000000-0000-0000-0000-000000000000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m1b5890cc9fa4875a6b3a249d000ae7f" ma:index="20" nillable="true" ma:taxonomy="true" ma:internalName="m1b5890cc9fa4875a6b3a249d000ae7f" ma:taxonomyFieldName="BGIYear" ma:displayName="BGI Year" ma:default="" ma:fieldId="{61b5890c-c9fa-4875-a6b3-a249d000ae7f}" ma:sspId="3ffff582-5398-435b-be80-812982cbddc1" ma:termSetId="32158e10-2971-44ab-998a-dfc72b6665b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22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1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4784D1-33EC-4445-A14C-BEA446A91FD2}">
  <ds:schemaRefs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d4a8813c-d6b2-471a-a6c7-84757c764e51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D74C871-EC1C-44FC-831C-AAA66AB2F1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8813c-d6b2-471a-a6c7-84757c764e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E94A92-DC1B-4996-94C4-1621CB69ED0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68</vt:i4>
      </vt:variant>
    </vt:vector>
  </HeadingPairs>
  <TitlesOfParts>
    <vt:vector size="136" baseType="lpstr">
      <vt:lpstr>20001 RAINBOW</vt:lpstr>
      <vt:lpstr>20002  -IGS-USD</vt:lpstr>
      <vt:lpstr>20003 - NINGBO LIPINGE</vt:lpstr>
      <vt:lpstr>20004 - SUMAX</vt:lpstr>
      <vt:lpstr>20006 - DALIAN-COHESION</vt:lpstr>
      <vt:lpstr>20007 - DURABLE SPRING-DALIAN</vt:lpstr>
      <vt:lpstr>20008 - SUNZO 2024</vt:lpstr>
      <vt:lpstr>20009 - IGS-KAPCO</vt:lpstr>
      <vt:lpstr>20010 LDK-DEYUAN</vt:lpstr>
      <vt:lpstr>20012 CHANGZHOU LONGXIANG</vt:lpstr>
      <vt:lpstr>20015 - XIAMEN HARDWARE</vt:lpstr>
      <vt:lpstr>20016 - PENGCHEN</vt:lpstr>
      <vt:lpstr>20020 ASTIANJ</vt:lpstr>
      <vt:lpstr>20021SUZHOU MINICUT</vt:lpstr>
      <vt:lpstr>20025 - NEWLAND</vt:lpstr>
      <vt:lpstr>20039 CREATCOM</vt:lpstr>
      <vt:lpstr>20045 GLOBLGAS</vt:lpstr>
      <vt:lpstr>20046 RAYMEX</vt:lpstr>
      <vt:lpstr>20048 - ASRAYMOND UK</vt:lpstr>
      <vt:lpstr>20060 AMAIN</vt:lpstr>
      <vt:lpstr>20063 HANI50</vt:lpstr>
      <vt:lpstr>20070 Pravi Auto</vt:lpstr>
      <vt:lpstr>20085JING50-JINGXX</vt:lpstr>
      <vt:lpstr>20088 GALA</vt:lpstr>
      <vt:lpstr>20127 - SKYMAK</vt:lpstr>
      <vt:lpstr>20174 CHINARAY</vt:lpstr>
      <vt:lpstr>20276 - STROMS</vt:lpstr>
      <vt:lpstr>20307-ASBRAZIL</vt:lpstr>
      <vt:lpstr>20325 - FANGXING</vt:lpstr>
      <vt:lpstr>20068 DESTEK</vt:lpstr>
      <vt:lpstr> 20109 ADVANCEH</vt:lpstr>
      <vt:lpstr>ACHILLES</vt:lpstr>
      <vt:lpstr>ANAND BODHE</vt:lpstr>
      <vt:lpstr>ASASIA</vt:lpstr>
      <vt:lpstr>AZOL</vt:lpstr>
      <vt:lpstr>AZOL 012319</vt:lpstr>
      <vt:lpstr>BH TAN</vt:lpstr>
      <vt:lpstr>DESAI</vt:lpstr>
      <vt:lpstr>DINGTH</vt:lpstr>
      <vt:lpstr>DINGTH (revised 043018)</vt:lpstr>
      <vt:lpstr>FILTO</vt:lpstr>
      <vt:lpstr>GAYSAN</vt:lpstr>
      <vt:lpstr>20120 GEEBR50</vt:lpstr>
      <vt:lpstr>20137 IDEAL GAS SPRING</vt:lpstr>
      <vt:lpstr>20017 MEGAHOO</vt:lpstr>
      <vt:lpstr>20389 SUMINISTROS POWER PAINT</vt:lpstr>
      <vt:lpstr>20055 TAICHEER</vt:lpstr>
      <vt:lpstr>20130 YILI</vt:lpstr>
      <vt:lpstr>GEEBR55</vt:lpstr>
      <vt:lpstr>HENGZHU</vt:lpstr>
      <vt:lpstr>KUNSHAN</vt:lpstr>
      <vt:lpstr>OCEAN SPRINGS</vt:lpstr>
      <vt:lpstr>SEEGER</vt:lpstr>
      <vt:lpstr>NINGBO SWIKOU</vt:lpstr>
      <vt:lpstr>SUDEEP</vt:lpstr>
      <vt:lpstr>SUNZO (OLD) </vt:lpstr>
      <vt:lpstr>TAMA</vt:lpstr>
      <vt:lpstr>TAMA (Redzone)</vt:lpstr>
      <vt:lpstr>WESTON BODY HARDWARE</vt:lpstr>
      <vt:lpstr>XIAMEN SHAPEX</vt:lpstr>
      <vt:lpstr>YCH</vt:lpstr>
      <vt:lpstr>YUH HSIN</vt:lpstr>
      <vt:lpstr>One time refund</vt:lpstr>
      <vt:lpstr>RAYFR</vt:lpstr>
      <vt:lpstr>RAYSP</vt:lpstr>
      <vt:lpstr>IGS-TAKA</vt:lpstr>
      <vt:lpstr>ISG-UK Pound Sterling</vt:lpstr>
      <vt:lpstr>Surya Auto</vt:lpstr>
      <vt:lpstr>' 20109 ADVANCEH'!Print_Area</vt:lpstr>
      <vt:lpstr>'20001 RAINBOW'!Print_Area</vt:lpstr>
      <vt:lpstr>'20002  -IGS-USD'!Print_Area</vt:lpstr>
      <vt:lpstr>'20003 - NINGBO LIPINGE'!Print_Area</vt:lpstr>
      <vt:lpstr>'20004 - SUMAX'!Print_Area</vt:lpstr>
      <vt:lpstr>'20006 - DALIAN-COHESION'!Print_Area</vt:lpstr>
      <vt:lpstr>'20007 - DURABLE SPRING-DALIAN'!Print_Area</vt:lpstr>
      <vt:lpstr>'20008 - SUNZO 2024'!Print_Area</vt:lpstr>
      <vt:lpstr>'20009 - IGS-KAPCO'!Print_Area</vt:lpstr>
      <vt:lpstr>'20010 LDK-DEYUAN'!Print_Area</vt:lpstr>
      <vt:lpstr>'20012 CHANGZHOU LONGXIANG'!Print_Area</vt:lpstr>
      <vt:lpstr>'20015 - XIAMEN HARDWARE'!Print_Area</vt:lpstr>
      <vt:lpstr>'20016 - PENGCHEN'!Print_Area</vt:lpstr>
      <vt:lpstr>'20017 MEGAHOO'!Print_Area</vt:lpstr>
      <vt:lpstr>'20020 ASTIANJ'!Print_Area</vt:lpstr>
      <vt:lpstr>'20021SUZHOU MINICUT'!Print_Area</vt:lpstr>
      <vt:lpstr>'20025 - NEWLAND'!Print_Area</vt:lpstr>
      <vt:lpstr>'20039 CREATCOM'!Print_Area</vt:lpstr>
      <vt:lpstr>'20045 GLOBLGAS'!Print_Area</vt:lpstr>
      <vt:lpstr>'20046 RAYMEX'!Print_Area</vt:lpstr>
      <vt:lpstr>'20048 - ASRAYMOND UK'!Print_Area</vt:lpstr>
      <vt:lpstr>'20055 TAICHEER'!Print_Area</vt:lpstr>
      <vt:lpstr>'20060 AMAIN'!Print_Area</vt:lpstr>
      <vt:lpstr>'20063 HANI50'!Print_Area</vt:lpstr>
      <vt:lpstr>'20068 DESTEK'!Print_Area</vt:lpstr>
      <vt:lpstr>'20070 Pravi Auto'!Print_Area</vt:lpstr>
      <vt:lpstr>'20085JING50-JINGXX'!Print_Area</vt:lpstr>
      <vt:lpstr>'20088 GALA'!Print_Area</vt:lpstr>
      <vt:lpstr>'20120 GEEBR50'!Print_Area</vt:lpstr>
      <vt:lpstr>'20127 - SKYMAK'!Print_Area</vt:lpstr>
      <vt:lpstr>'20130 YILI'!Print_Area</vt:lpstr>
      <vt:lpstr>'20137 IDEAL GAS SPRING'!Print_Area</vt:lpstr>
      <vt:lpstr>'20174 CHINARAY'!Print_Area</vt:lpstr>
      <vt:lpstr>'20276 - STROMS'!Print_Area</vt:lpstr>
      <vt:lpstr>'20307-ASBRAZIL'!Print_Area</vt:lpstr>
      <vt:lpstr>'20325 - FANGXING'!Print_Area</vt:lpstr>
      <vt:lpstr>'20389 SUMINISTROS POWER PAINT'!Print_Area</vt:lpstr>
      <vt:lpstr>ACHILLES!Print_Area</vt:lpstr>
      <vt:lpstr>'ANAND BODHE'!Print_Area</vt:lpstr>
      <vt:lpstr>ASASIA!Print_Area</vt:lpstr>
      <vt:lpstr>AZOL!Print_Area</vt:lpstr>
      <vt:lpstr>'AZOL 012319'!Print_Area</vt:lpstr>
      <vt:lpstr>'BH TAN'!Print_Area</vt:lpstr>
      <vt:lpstr>DESAI!Print_Area</vt:lpstr>
      <vt:lpstr>DINGTH!Print_Area</vt:lpstr>
      <vt:lpstr>'DINGTH (revised 043018)'!Print_Area</vt:lpstr>
      <vt:lpstr>FILTO!Print_Area</vt:lpstr>
      <vt:lpstr>GAYSAN!Print_Area</vt:lpstr>
      <vt:lpstr>GEEBR55!Print_Area</vt:lpstr>
      <vt:lpstr>HENGZHU!Print_Area</vt:lpstr>
      <vt:lpstr>'IGS-TAKA'!Print_Area</vt:lpstr>
      <vt:lpstr>'ISG-UK Pound Sterling'!Print_Area</vt:lpstr>
      <vt:lpstr>KUNSHAN!Print_Area</vt:lpstr>
      <vt:lpstr>'NINGBO SWIKOU'!Print_Area</vt:lpstr>
      <vt:lpstr>'OCEAN SPRINGS'!Print_Area</vt:lpstr>
      <vt:lpstr>'One time refund'!Print_Area</vt:lpstr>
      <vt:lpstr>RAYFR!Print_Area</vt:lpstr>
      <vt:lpstr>RAYSP!Print_Area</vt:lpstr>
      <vt:lpstr>SEEGER!Print_Area</vt:lpstr>
      <vt:lpstr>SUDEEP!Print_Area</vt:lpstr>
      <vt:lpstr>'SUNZO (OLD) '!Print_Area</vt:lpstr>
      <vt:lpstr>'Surya Auto'!Print_Area</vt:lpstr>
      <vt:lpstr>TAMA!Print_Area</vt:lpstr>
      <vt:lpstr>'TAMA (Redzone)'!Print_Area</vt:lpstr>
      <vt:lpstr>'WESTON BODY HARDWARE'!Print_Area</vt:lpstr>
      <vt:lpstr>'XIAMEN SHAPEX'!Print_Area</vt:lpstr>
      <vt:lpstr>YCH!Print_Area</vt:lpstr>
      <vt:lpstr>'YUH HSIN'!Print_Area</vt:lpstr>
    </vt:vector>
  </TitlesOfParts>
  <Company>Barnes Group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Pelletier</dc:creator>
  <cp:lastModifiedBy>Eric Pronovost</cp:lastModifiedBy>
  <cp:lastPrinted>2026-02-24T15:59:54Z</cp:lastPrinted>
  <dcterms:created xsi:type="dcterms:W3CDTF">2008-11-07T13:48:54Z</dcterms:created>
  <dcterms:modified xsi:type="dcterms:W3CDTF">2026-04-02T16:59:39Z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0x01010009CE3685C0197548BA7A7192628215B1010038AFA67CACFE884A8BD18ECCB45D4B9F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