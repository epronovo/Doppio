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2.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ATHAR HUSSAIN\OneDrive\Desktop\Doppio Group\Herff-Jones\Templates\Basic_Finance_Configuration\"/>
    </mc:Choice>
  </mc:AlternateContent>
  <xr:revisionPtr revIDLastSave="0" documentId="13_ncr:1_{AF9CB3FC-80E0-4C45-A172-7649D43EB736}" xr6:coauthVersionLast="47" xr6:coauthVersionMax="47" xr10:uidLastSave="{00000000-0000-0000-0000-000000000000}"/>
  <bookViews>
    <workbookView xWindow="-110" yWindow="-110" windowWidth="19420" windowHeight="10300" xr2:uid="{00000000-000D-0000-FFFF-FFFF00000000}"/>
  </bookViews>
  <sheets>
    <sheet name="Finance Costing" sheetId="19" r:id="rId1"/>
    <sheet name="ColourCode" sheetId="21" r:id="rId2"/>
    <sheet name="PCS010" sheetId="46" r:id="rId3"/>
    <sheet name="PCS011" sheetId="50" r:id="rId4"/>
    <sheet name="PCS015" sheetId="55" r:id="rId5"/>
    <sheet name="PCS025" sheetId="57" r:id="rId6"/>
    <sheet name="Annexure1" sheetId="48" r:id="rId7"/>
    <sheet name="Annexure2" sheetId="49" r:id="rId8"/>
    <sheet name="Annexure3" sheetId="56" r:id="rId9"/>
    <sheet name="DataValidation" sheetId="23"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9" l="1"/>
  <c r="A7" i="19" s="1"/>
  <c r="A8"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3" authorId="0" shapeId="0" xr:uid="{F7FD4440-B8BF-4BD1-BFA0-A5ED87F0B920}">
      <text>
        <r>
          <rPr>
            <b/>
            <sz val="9"/>
            <color indexed="81"/>
            <rFont val="Tahoma"/>
            <family val="2"/>
          </rPr>
          <t>ATHAR HUSSAIN:</t>
        </r>
        <r>
          <rPr>
            <sz val="9"/>
            <color indexed="81"/>
            <rFont val="Tahoma"/>
            <family val="2"/>
          </rPr>
          <t xml:space="preserve">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DB9D5B6D-9C27-41CA-ADC4-9F44B975416A}">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C3" authorId="0" shapeId="0" xr:uid="{4D06A424-A6F4-416E-AFAA-804530C2A9F3}">
      <text>
        <r>
          <rPr>
            <b/>
            <sz val="9"/>
            <color indexed="81"/>
            <rFont val="Tahoma"/>
            <family val="2"/>
          </rPr>
          <t>ATHAR HUSSAIN:</t>
        </r>
        <r>
          <rPr>
            <sz val="9"/>
            <color indexed="81"/>
            <rFont val="Tahoma"/>
            <family val="2"/>
          </rPr>
          <t xml:space="preserve">
The field indicates description of costing components used in product costing model (40 positions in length).
</t>
        </r>
      </text>
    </comment>
    <comment ref="D3" authorId="0" shapeId="0" xr:uid="{DD7C646A-7FA0-435E-9BD9-5DFB0DC8EB36}">
      <text>
        <r>
          <rPr>
            <b/>
            <sz val="9"/>
            <color indexed="81"/>
            <rFont val="Tahoma"/>
            <family val="2"/>
          </rPr>
          <t>ATHAR HUSSAIN:</t>
        </r>
        <r>
          <rPr>
            <sz val="9"/>
            <color indexed="81"/>
            <rFont val="Tahoma"/>
            <family val="2"/>
          </rPr>
          <t xml:space="preserve">
The field indicates a name for the product costing component. It contains 15 positions.
When you edit descriptions and names, and no name is entered, the first 15 positions from the description field will automatically be proposed as the name.
</t>
        </r>
      </text>
    </comment>
    <comment ref="E3" authorId="0" shapeId="0" xr:uid="{3D3041B4-021A-4208-AF90-6BA3EFAFA37B}">
      <text>
        <r>
          <rPr>
            <b/>
            <sz val="9"/>
            <color indexed="81"/>
            <rFont val="Tahoma"/>
            <family val="2"/>
          </rPr>
          <t>ATHAR HUSSAIN:</t>
        </r>
        <r>
          <rPr>
            <sz val="9"/>
            <color indexed="81"/>
            <rFont val="Tahoma"/>
            <family val="2"/>
          </rPr>
          <t xml:space="preserve">
</t>
        </r>
        <r>
          <rPr>
            <b/>
            <sz val="10"/>
            <color indexed="81"/>
            <rFont val="Tahoma"/>
            <family val="2"/>
          </rPr>
          <t xml:space="preserve">Refer: Annexure1
</t>
        </r>
        <r>
          <rPr>
            <sz val="9"/>
            <color indexed="81"/>
            <rFont val="Tahoma"/>
            <family val="2"/>
          </rPr>
          <t xml:space="preserve">
The field indicates the cost driver to use when a costing component or costing element is calculated. For a detailed description of each cost driver per costing component, refer Annexure1.
The cost driver can only be defined when you enter a new costing component. Thus, it cannot be changed in an existing component unless it is deleted and reentered.
</t>
        </r>
      </text>
    </comment>
    <comment ref="F3" authorId="0" shapeId="0" xr:uid="{04918B06-03AB-4C98-9A4F-26C0FFC0EF01}">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G3" authorId="0" shapeId="0" xr:uid="{2078EDF1-6978-4722-BB23-BFEC893F2EEF}">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H3" authorId="0" shapeId="0" xr:uid="{5684F8EF-36AF-48D5-8385-6A63B59D979E}">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I3" authorId="0" shapeId="0" xr:uid="{1DE38D47-D7B3-458D-80A2-E1474548AA62}">
      <text>
        <r>
          <rPr>
            <b/>
            <sz val="9"/>
            <color indexed="81"/>
            <rFont val="Tahoma"/>
            <family val="2"/>
          </rPr>
          <t>ATHAR HUSSAIN:</t>
        </r>
        <r>
          <rPr>
            <sz val="9"/>
            <color indexed="81"/>
            <rFont val="Tahoma"/>
            <family val="2"/>
          </rPr>
          <t xml:space="preserve">
</t>
        </r>
        <r>
          <rPr>
            <sz val="9"/>
            <color indexed="81"/>
            <rFont val="Tahoma"/>
            <family val="2"/>
          </rPr>
          <t xml:space="preserve">
The field indicates how many decimal places that should be used when displaying or entering prices.
</t>
        </r>
        <r>
          <rPr>
            <b/>
            <sz val="9"/>
            <color indexed="81"/>
            <rFont val="Tahoma"/>
            <family val="2"/>
          </rPr>
          <t>Alternatives</t>
        </r>
        <r>
          <rPr>
            <sz val="9"/>
            <color indexed="81"/>
            <rFont val="Tahoma"/>
            <family val="2"/>
          </rPr>
          <t xml:space="preserve">
0 = No decimals
1 = One
2 = Two
3 = Three
4 = Four
</t>
        </r>
        <r>
          <rPr>
            <b/>
            <sz val="9"/>
            <color indexed="81"/>
            <rFont val="Tahoma"/>
            <family val="2"/>
          </rPr>
          <t>Note</t>
        </r>
        <r>
          <rPr>
            <sz val="9"/>
            <color indexed="81"/>
            <rFont val="Tahoma"/>
            <family val="2"/>
          </rPr>
          <t xml:space="preserve">
For the Customer Order Processing component group, the number of decimal places is controlled by the currency used, where it is possible to define the number of decimals to use for sales prices if the regular number of decimals of the currency should not be used.
If cost driver 99 is selected in (PCS015/E), the maximum number of decimals that can be used is 2, regardless of the number specified on that panel.
</t>
        </r>
      </text>
    </comment>
    <comment ref="J3" authorId="0" shapeId="0" xr:uid="{5154C1B3-A160-44E1-8D4F-7AD0DBD87466}">
      <text>
        <r>
          <rPr>
            <b/>
            <sz val="9"/>
            <color indexed="81"/>
            <rFont val="Tahoma"/>
            <family val="2"/>
          </rPr>
          <t>ATHAR HUSSAIN:</t>
        </r>
        <r>
          <rPr>
            <sz val="9"/>
            <color indexed="81"/>
            <rFont val="Tahoma"/>
            <family val="2"/>
          </rPr>
          <t xml:space="preserve">
The field indicates, for each component, the scrap amount that this component should refer to. Every costing ID has three scrap amounts and this reference makes it possible to divide the total scrap amount into these three amounts. If the amount is not to be divided, then 1 is specified for every component.
Alternatives
1 = Add the scrap amount to scrap 1
2 = Add the scrap amount to scrap 2
3 = Add the scrap amount to scrap 3.
</t>
        </r>
      </text>
    </comment>
    <comment ref="K3" authorId="0" shapeId="0" xr:uid="{BB8E995A-D71C-4384-BD6E-A4C016DBAF11}">
      <text>
        <r>
          <rPr>
            <b/>
            <sz val="9"/>
            <color indexed="81"/>
            <rFont val="Tahoma"/>
            <family val="2"/>
          </rPr>
          <t>ATHAR HUSSAIN:</t>
        </r>
        <r>
          <rPr>
            <sz val="9"/>
            <color indexed="81"/>
            <rFont val="Tahoma"/>
            <family val="2"/>
          </rPr>
          <t xml:space="preserve">
Select the check box to update budget figures for this component automatically.
</t>
        </r>
      </text>
    </comment>
    <comment ref="L3" authorId="0" shapeId="0" xr:uid="{0FF4723B-C378-4777-ADE6-E0CD729A96B8}">
      <text>
        <r>
          <rPr>
            <b/>
            <sz val="9"/>
            <color indexed="81"/>
            <rFont val="Tahoma"/>
            <family val="2"/>
          </rPr>
          <t>ATHAR HUSSAIN:</t>
        </r>
        <r>
          <rPr>
            <sz val="9"/>
            <color indexed="81"/>
            <rFont val="Tahoma"/>
            <family val="2"/>
          </rPr>
          <t xml:space="preserve">
Select the check box if this fixed cost should be considered order-unique. Regardless of the value entered, the sum is always divided by the current order size.
</t>
        </r>
      </text>
    </comment>
    <comment ref="M3" authorId="0" shapeId="0" xr:uid="{F158A4C0-B82E-425D-8EB8-41E20733119C}">
      <text>
        <r>
          <rPr>
            <b/>
            <sz val="9"/>
            <color indexed="81"/>
            <rFont val="Tahoma"/>
            <family val="2"/>
          </rPr>
          <t>ATHAR HUSSAIN:</t>
        </r>
        <r>
          <rPr>
            <sz val="9"/>
            <color indexed="81"/>
            <rFont val="Tahoma"/>
            <family val="2"/>
          </rPr>
          <t xml:space="preserve">
Select the check box if updates can be made in batches to the number of cost driver units (CDUs) and new prices.
</t>
        </r>
      </text>
    </comment>
    <comment ref="N3" authorId="0" shapeId="0" xr:uid="{0E505C8B-B7AB-4F6B-B200-928BE66E4B6A}">
      <text>
        <r>
          <rPr>
            <b/>
            <sz val="9"/>
            <color indexed="81"/>
            <rFont val="Tahoma"/>
            <family val="2"/>
          </rPr>
          <t>ATHAR HUSSAIN:</t>
        </r>
        <r>
          <rPr>
            <sz val="9"/>
            <color indexed="81"/>
            <rFont val="Tahoma"/>
            <family val="2"/>
          </rPr>
          <t xml:space="preserve">
The field indicates the overhead base.
The overhead base provides the basis for a percentage overhead in the product costing.
For B components, the base should be another B component or a virtual costing element. Note that only other B components can be defined in the virtual costing element.
For E components, the base should be an optional costing component or a virtual costing element. Note that optional costing components can be defined in the virtual costing element.
Costing components E01 to E10 are calculated in ascending order based on the component ID in (PCS010), that is, it is not based on the serial numbers specified in (PCS026). This means that costing component E02 can be calculated as a percentage on costing component E01 but not on E05. The same rule applies to B components.
</t>
        </r>
        <r>
          <rPr>
            <b/>
            <sz val="9"/>
            <color indexed="81"/>
            <rFont val="Tahoma"/>
            <family val="2"/>
          </rPr>
          <t>Note</t>
        </r>
        <r>
          <rPr>
            <sz val="9"/>
            <color indexed="81"/>
            <rFont val="Tahoma"/>
            <family val="2"/>
          </rPr>
          <t xml:space="preserve">
This field can only be used for cost driver 99 in combination with components B01-B14 and E01-E10.</t>
        </r>
      </text>
    </comment>
    <comment ref="O3" authorId="0" shapeId="0" xr:uid="{C82BD6F9-5801-4830-B04F-D446792865C6}">
      <text>
        <r>
          <rPr>
            <b/>
            <sz val="9"/>
            <color indexed="81"/>
            <rFont val="Tahoma"/>
            <family val="2"/>
          </rPr>
          <t>ATHAR HUSSAIN:</t>
        </r>
        <r>
          <rPr>
            <sz val="9"/>
            <color indexed="81"/>
            <rFont val="Tahoma"/>
            <family val="2"/>
          </rPr>
          <t xml:space="preserve">
The field indicates how the overhead base is calculated.
</t>
        </r>
        <r>
          <rPr>
            <b/>
            <sz val="9"/>
            <color indexed="81"/>
            <rFont val="Tahoma"/>
            <family val="2"/>
          </rPr>
          <t>Alternatives</t>
        </r>
        <r>
          <rPr>
            <sz val="9"/>
            <color indexed="81"/>
            <rFont val="Tahoma"/>
            <family val="2"/>
          </rPr>
          <t xml:space="preserve">
1 = The overhead base is the total of all levels for each costing component included in the base.
2 = The overhead base is the total of the structure level ("this level") for each costing component included in the base.
3 = As alternative 1. The only exception is that only costing components from A01 to A05 that refer to material items with acquisition codes 2 or 3 in (MMS002/E) are included in the calculation.
If you select alternative 3, only values added on the top level in the product structure are included. Any values for semi-finished material that has been included in the base on lower levels are not included.</t>
        </r>
      </text>
    </comment>
    <comment ref="P3" authorId="0" shapeId="0" xr:uid="{2A7ABBF4-040D-4A0E-BADF-2BA5E977C41B}">
      <text>
        <r>
          <rPr>
            <b/>
            <sz val="9"/>
            <color indexed="81"/>
            <rFont val="Tahoma"/>
            <family val="2"/>
          </rPr>
          <t>ATHAR HUSSAIN:</t>
        </r>
        <r>
          <rPr>
            <sz val="9"/>
            <color indexed="81"/>
            <rFont val="Tahoma"/>
            <family val="2"/>
          </rPr>
          <t xml:space="preserve">
Select the check box if a costing warning should be issued if the value of this component is 0. The field can only be entered for B and E components.
</t>
        </r>
        <r>
          <rPr>
            <b/>
            <sz val="9"/>
            <color indexed="81"/>
            <rFont val="Tahoma"/>
            <family val="2"/>
          </rPr>
          <t>Note</t>
        </r>
        <r>
          <rPr>
            <sz val="9"/>
            <color indexed="81"/>
            <rFont val="Tahoma"/>
            <family val="2"/>
          </rPr>
          <t xml:space="preserve">
Warnings are only issued if a warning check is activated when requesting product costing.
</t>
        </r>
      </text>
    </comment>
    <comment ref="Q3" authorId="0" shapeId="0" xr:uid="{EAF33C1F-9E65-4F2C-87E8-4BBCB887FBDA}">
      <text>
        <r>
          <rPr>
            <b/>
            <sz val="9"/>
            <color indexed="81"/>
            <rFont val="Tahoma"/>
            <family val="2"/>
          </rPr>
          <t>ATHAR HUSSAIN:</t>
        </r>
        <r>
          <rPr>
            <sz val="9"/>
            <color indexed="81"/>
            <rFont val="Tahoma"/>
            <family val="2"/>
          </rPr>
          <t xml:space="preserve">
Select the check box if the E component value should be negative.
The cost price should be entered without a sign.
</t>
        </r>
      </text>
    </comment>
    <comment ref="R3" authorId="0" shapeId="0" xr:uid="{328E1CC6-491A-4381-A5AA-7A3F5D150BC4}">
      <text>
        <r>
          <rPr>
            <b/>
            <sz val="9"/>
            <color indexed="81"/>
            <rFont val="Tahoma"/>
            <family val="2"/>
          </rPr>
          <t>ATHAR HUSSAIN:</t>
        </r>
        <r>
          <rPr>
            <sz val="9"/>
            <color indexed="81"/>
            <rFont val="Tahoma"/>
            <family val="2"/>
          </rPr>
          <t xml:space="preserve">
Select the check box if the line charge per quantity is independent of the quantity on the invoice line. This is defined per line charge.
If you do not select the check box, the charge(s) per quantity are automatically adjusted if the invoice line quantity is changed. If alternative 1 is selected, the charge(s) are not affected. This is the most common procedure.
</t>
        </r>
        <r>
          <rPr>
            <b/>
            <sz val="9"/>
            <color indexed="81"/>
            <rFont val="Tahoma"/>
            <family val="2"/>
          </rPr>
          <t>Example</t>
        </r>
        <r>
          <rPr>
            <sz val="9"/>
            <color indexed="81"/>
            <rFont val="Tahoma"/>
            <family val="2"/>
          </rPr>
          <t xml:space="preserve">
You have ordered and received 10 PCS. However, the first invoice is for 7 PCS but the freight charges included apply to the entire order of 10 PCS. Therefore, you select the check box for the line charge so that it will not be affected when you report the quantity 7 and then quantity 3 in (APS360).
</t>
        </r>
      </text>
    </comment>
    <comment ref="S3" authorId="0" shapeId="0" xr:uid="{D0684619-E2C7-47DC-B5DE-6C4A8E657799}">
      <text>
        <r>
          <rPr>
            <b/>
            <sz val="9"/>
            <color indexed="81"/>
            <rFont val="Tahoma"/>
            <family val="2"/>
          </rPr>
          <t>ATHAR HUSSAIN:</t>
        </r>
        <r>
          <rPr>
            <sz val="9"/>
            <color indexed="81"/>
            <rFont val="Tahoma"/>
            <family val="2"/>
          </rPr>
          <t xml:space="preserve">
</t>
        </r>
        <r>
          <rPr>
            <b/>
            <i/>
            <sz val="9"/>
            <color indexed="81"/>
            <rFont val="Tahoma"/>
            <family val="2"/>
          </rPr>
          <t xml:space="preserve">
Select the check box if the charge originates from another party than the supplier on the purchase order (for example, a freight charge from a forwarder).</t>
        </r>
        <r>
          <rPr>
            <sz val="9"/>
            <color indexed="81"/>
            <rFont val="Tahoma"/>
            <family val="2"/>
          </rPr>
          <t xml:space="preserve">
If you do not select the check box, this charge is proposed by default at invoice matching provided that the supplier on the invoice is the same as the supplier on the purchase order.
If you select the check box, this charge is proposed by default at invoice matching if the supplier on the invoice is NOT the same as the supplier on the purchase order.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3" authorId="0" shapeId="0" xr:uid="{B82407D6-2469-4424-83AB-652D30539AB3}">
      <text>
        <r>
          <rPr>
            <b/>
            <sz val="9"/>
            <color indexed="81"/>
            <rFont val="Tahoma"/>
            <family val="2"/>
          </rPr>
          <t>ATHAR HUSSAIN:</t>
        </r>
        <r>
          <rPr>
            <sz val="9"/>
            <color indexed="81"/>
            <rFont val="Tahoma"/>
            <family val="2"/>
          </rPr>
          <t xml:space="preserve">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B8137CA7-92B1-4D44-8CDF-0C80D273E039}">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C3" authorId="0" shapeId="0" xr:uid="{0344D502-5FDA-469B-A8C4-BD8111ED8A07}">
      <text>
        <r>
          <rPr>
            <b/>
            <sz val="9"/>
            <color indexed="81"/>
            <rFont val="Tahoma"/>
            <family val="2"/>
          </rPr>
          <t>ATHAR HUSSAIN:</t>
        </r>
        <r>
          <rPr>
            <sz val="9"/>
            <color indexed="81"/>
            <rFont val="Tahoma"/>
            <family val="2"/>
          </rPr>
          <t xml:space="preserve">
The field indicates description of costing components used in product costing model (40 positions in length).
</t>
        </r>
      </text>
    </comment>
    <comment ref="D3" authorId="0" shapeId="0" xr:uid="{15F36937-83AD-4B11-A634-4913C520DAD9}">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E3" authorId="0" shapeId="0" xr:uid="{2020708A-D0FE-4052-954D-2110926E2314}">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F3" authorId="0" shapeId="0" xr:uid="{E2FDA83C-33D7-48D4-A93A-7189DD31ECA8}">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G3" authorId="0" shapeId="0" xr:uid="{9CA5627E-CA2E-4383-A554-08AFAD26CF1B}">
      <text>
        <r>
          <rPr>
            <b/>
            <sz val="9"/>
            <color indexed="81"/>
            <rFont val="Tahoma"/>
            <family val="2"/>
          </rPr>
          <t>ATHAR HUSSAIN:</t>
        </r>
        <r>
          <rPr>
            <sz val="9"/>
            <color indexed="81"/>
            <rFont val="Tahoma"/>
            <family val="2"/>
          </rPr>
          <t xml:space="preserve">
</t>
        </r>
        <r>
          <rPr>
            <b/>
            <sz val="10"/>
            <color indexed="81"/>
            <rFont val="Tahoma"/>
            <family val="2"/>
          </rPr>
          <t xml:space="preserve">Refer: Annexure1
</t>
        </r>
        <r>
          <rPr>
            <sz val="9"/>
            <color indexed="81"/>
            <rFont val="Tahoma"/>
            <family val="2"/>
          </rPr>
          <t xml:space="preserve">
The field indictes the ID of the attribute or custom field for the object.
You can select up to five cost distribution keys for the costing element. A cost distribution key represents a "reason" or a cause that triggers a different rate.
You can view the available cost distribution keys by selecting view 11 in (CRS550).
The actual rates are defined for each costing element and its cost distribution keys in (PPS282).
Example: You select warehouse, delivery method and country as cost distribution keys for a costing element that represents an external freight cost. This enables you to define different rates depending on a combination of these parameters. In this example, items purchased for warehouse A and shipped from France by air have a different freight rate than the same items that are purchased for warehouse B and shipped from China by sea.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3" authorId="0" shapeId="0" xr:uid="{23603568-6CB3-49FF-A48B-2D61B8DDD4BE}">
      <text>
        <r>
          <rPr>
            <b/>
            <sz val="9"/>
            <color indexed="81"/>
            <rFont val="Tahoma"/>
            <family val="2"/>
          </rPr>
          <t>ATHAR HUSSAIN:</t>
        </r>
        <r>
          <rPr>
            <sz val="9"/>
            <color indexed="81"/>
            <rFont val="Tahoma"/>
            <family val="2"/>
          </rPr>
          <t xml:space="preserve">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3" authorId="0" shapeId="0" xr:uid="{EA090420-AF41-41BA-B8A1-09BEC5BBA4AE}">
      <text>
        <r>
          <rPr>
            <b/>
            <sz val="9"/>
            <color indexed="81"/>
            <rFont val="Tahoma"/>
            <family val="2"/>
          </rPr>
          <t>ATHAR HUSSAIN:</t>
        </r>
        <r>
          <rPr>
            <sz val="9"/>
            <color indexed="81"/>
            <rFont val="Tahoma"/>
            <family val="2"/>
          </rPr>
          <t xml:space="preserve">
The field indicates the user-defined ID for the various costing elements. These are defined in (PCS015). The specified element type regulates what the element is for.
</t>
        </r>
      </text>
    </comment>
    <comment ref="C3" authorId="0" shapeId="0" xr:uid="{CC9CD25F-D46E-4ECD-A5CB-863E90547292}">
      <text>
        <r>
          <rPr>
            <b/>
            <sz val="9"/>
            <color indexed="81"/>
            <rFont val="Tahoma"/>
            <family val="2"/>
          </rPr>
          <t>ATHAR HUSSAIN:</t>
        </r>
        <r>
          <rPr>
            <sz val="9"/>
            <color indexed="81"/>
            <rFont val="Tahoma"/>
            <family val="2"/>
          </rPr>
          <t xml:space="preserve">
The field indicates description of costing elements used in product costing model (40 positions in length).
</t>
        </r>
      </text>
    </comment>
    <comment ref="D3" authorId="0" shapeId="0" xr:uid="{B717DB85-A584-47D3-9DA9-C04AB3AF11E6}">
      <text>
        <r>
          <rPr>
            <b/>
            <sz val="9"/>
            <color indexed="81"/>
            <rFont val="Tahoma"/>
            <family val="2"/>
          </rPr>
          <t>ATHAR HUSSAIN:</t>
        </r>
        <r>
          <rPr>
            <sz val="9"/>
            <color indexed="81"/>
            <rFont val="Tahoma"/>
            <family val="2"/>
          </rPr>
          <t xml:space="preserve">
The field indicates a name for the product costing elements. It contains 15 positions.
When you edit descriptions and names, and no name is entered, the first 15 positions from the description field will automatically be proposed as the name.
</t>
        </r>
      </text>
    </comment>
    <comment ref="E3" authorId="0" shapeId="0" xr:uid="{34BE7997-EA48-4DB3-B1E8-42C4AB4DD186}">
      <text>
        <r>
          <rPr>
            <b/>
            <sz val="9"/>
            <color indexed="81"/>
            <rFont val="Tahoma"/>
            <family val="2"/>
          </rPr>
          <t>ATHAR HUSSAIN:</t>
        </r>
        <r>
          <rPr>
            <sz val="9"/>
            <color indexed="81"/>
            <rFont val="Tahoma"/>
            <family val="2"/>
          </rPr>
          <t xml:space="preserve">
The field indicates the element type. The type regulates the fields that can be updated when the element is defined.
</t>
        </r>
        <r>
          <rPr>
            <b/>
            <sz val="9"/>
            <color indexed="81"/>
            <rFont val="Tahoma"/>
            <family val="2"/>
          </rPr>
          <t>Alternatives</t>
        </r>
        <r>
          <rPr>
            <sz val="9"/>
            <color indexed="81"/>
            <rFont val="Tahoma"/>
            <family val="2"/>
          </rPr>
          <t xml:space="preserve">
1 = Element without reference to a component. These types of elements function in basically the same way as product components. The difference is that 1) there is no limit to the number of elements and 2) the elements are not saved per structure level.
2 = Virtual element. Contains one or more components. The value of this element type is included in subtotals and the final total. These types of elements are mainly used as 1) the calculation base for percent markups with a user-defined calculation base and 2) user-defined component totals for displays. The value of this element type is included in the subtotals and the final total.
3 = Subtotal or final total in the costing model.
4 = Virtual element. Same as element type 2 except that this element is not added to the subtotals and final total. This type of element is used as user-defined component totals for display purposes.</t>
        </r>
      </text>
    </comment>
    <comment ref="F3" authorId="0" shapeId="0" xr:uid="{20D7C1E0-12A3-435B-AFE3-1ECA555CFA96}">
      <text>
        <r>
          <rPr>
            <b/>
            <sz val="9"/>
            <color indexed="81"/>
            <rFont val="Tahoma"/>
            <family val="2"/>
          </rPr>
          <t>ATHAR HUSSAIN:</t>
        </r>
        <r>
          <rPr>
            <sz val="9"/>
            <color indexed="81"/>
            <rFont val="Tahoma"/>
            <family val="2"/>
          </rPr>
          <t xml:space="preserve">
</t>
        </r>
        <r>
          <rPr>
            <b/>
            <sz val="10"/>
            <color indexed="81"/>
            <rFont val="Tahoma"/>
            <family val="2"/>
          </rPr>
          <t xml:space="preserve">Refer: Annexure1
</t>
        </r>
        <r>
          <rPr>
            <sz val="9"/>
            <color indexed="81"/>
            <rFont val="Tahoma"/>
            <family val="2"/>
          </rPr>
          <t xml:space="preserve">
The field indicates the cost driver to use when a costing component or costing element is calculated. For a detailed description of each cost driver per costing component, refer Annexure1.
The cost driver can only be defined when you enter a new costing component. Thus, it cannot be changed in an existing component unless it is deleted and reentered.
</t>
        </r>
      </text>
    </comment>
    <comment ref="G3" authorId="0" shapeId="0" xr:uid="{F242AB6C-1296-44CD-88B1-5DE3F16B44FF}">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H3" authorId="0" shapeId="0" xr:uid="{D558DD7E-0C4C-49DE-A4F5-0319484A196E}">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I3" authorId="0" shapeId="0" xr:uid="{3B4B133D-3B14-4D69-9086-6AEB718AA555}">
      <text>
        <r>
          <rPr>
            <b/>
            <sz val="9"/>
            <color indexed="81"/>
            <rFont val="Tahoma"/>
            <family val="2"/>
          </rPr>
          <t>ATHAR HUSSAIN:</t>
        </r>
        <r>
          <rPr>
            <sz val="9"/>
            <color indexed="81"/>
            <rFont val="Tahoma"/>
            <family val="2"/>
          </rPr>
          <t xml:space="preserve">
</t>
        </r>
        <r>
          <rPr>
            <b/>
            <sz val="10"/>
            <color indexed="81"/>
            <rFont val="Tahoma"/>
            <family val="2"/>
          </rPr>
          <t xml:space="preserve">Refer: Annexure2
</t>
        </r>
        <r>
          <rPr>
            <sz val="9"/>
            <color indexed="81"/>
            <rFont val="Tahoma"/>
            <family val="2"/>
          </rPr>
          <t xml:space="preserve">
The field indicates cost distribution key 1, 2 or 3. Cost distribution keys are entered according to M3 object logic in user-defined fields.</t>
        </r>
      </text>
    </comment>
    <comment ref="J3" authorId="0" shapeId="0" xr:uid="{97CC55B7-92B9-4FAF-95D5-DEF7882F2FFC}">
      <text>
        <r>
          <rPr>
            <b/>
            <sz val="9"/>
            <color indexed="81"/>
            <rFont val="Tahoma"/>
            <family val="2"/>
          </rPr>
          <t>ATHAR HUSSAIN:</t>
        </r>
        <r>
          <rPr>
            <sz val="9"/>
            <color indexed="81"/>
            <rFont val="Tahoma"/>
            <family val="2"/>
          </rPr>
          <t xml:space="preserve">
The field indicates the subtotal of the product costing to which the element refers. The field is only open if the element type is 3. A subtotal can only appear once, so the subtotal number logic must be general even if several costing models are used.
Valid values are 1 to 9. Subtotals with a value of 0 are never saved, but can be specified as often as needed. Subtotals with a value from 1 to 9 can only be specified once per number.
</t>
        </r>
      </text>
    </comment>
    <comment ref="K3" authorId="0" shapeId="0" xr:uid="{1BE8B8EA-7066-42ED-822C-A67DA68E5E50}">
      <text>
        <r>
          <rPr>
            <b/>
            <sz val="9"/>
            <color indexed="81"/>
            <rFont val="Tahoma"/>
            <family val="2"/>
          </rPr>
          <t>ATHAR HUSSAIN:</t>
        </r>
        <r>
          <rPr>
            <sz val="9"/>
            <color indexed="81"/>
            <rFont val="Tahoma"/>
            <family val="2"/>
          </rPr>
          <t xml:space="preserve">
The field indicates responsible for costing elements</t>
        </r>
      </text>
    </comment>
    <comment ref="L3" authorId="0" shapeId="0" xr:uid="{99EFA722-AAD9-4CB7-82DE-693CECF38AA9}">
      <text>
        <r>
          <rPr>
            <b/>
            <sz val="9"/>
            <color indexed="81"/>
            <rFont val="Tahoma"/>
            <family val="2"/>
          </rPr>
          <t>ATHAR HUSSAIN:</t>
        </r>
        <r>
          <rPr>
            <sz val="9"/>
            <color indexed="81"/>
            <rFont val="Tahoma"/>
            <family val="2"/>
          </rPr>
          <t xml:space="preserve">
The field indicates the overhead base.
The overhead base provides the basis for a percentage overhead in the product costing.
For B components, the base should be another B component or a virtual costing element. Note that only other B components can be defined in the virtual costing element.
For E components, the base should be an optional costing component or a virtual costing element. Note that optional costing components can be defined in the virtual costing element.
Costing components E01 to E10 are calculated in ascending order based on the component ID in (PCS010), that is, it is not based on the serial numbers specified in (PCS026). This means that costing component E02 can be calculated as a percentage on costing component E01 but not on E05. The same rule applies to B components.
</t>
        </r>
        <r>
          <rPr>
            <b/>
            <sz val="9"/>
            <color indexed="81"/>
            <rFont val="Tahoma"/>
            <family val="2"/>
          </rPr>
          <t>Note</t>
        </r>
        <r>
          <rPr>
            <sz val="9"/>
            <color indexed="81"/>
            <rFont val="Tahoma"/>
            <family val="2"/>
          </rPr>
          <t xml:space="preserve">
This field can only be used for cost driver 99 in combination with components B01-B14 and E01-E10.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5" authorId="0" shapeId="0" xr:uid="{D72E2782-44AE-4A5C-A8A6-53861F63BC2F}">
      <text>
        <r>
          <rPr>
            <b/>
            <sz val="9"/>
            <color indexed="81"/>
            <rFont val="Tahoma"/>
            <family val="2"/>
          </rPr>
          <t>ATHAR HUSSAIN:</t>
        </r>
        <r>
          <rPr>
            <sz val="9"/>
            <color indexed="81"/>
            <rFont val="Tahoma"/>
            <family val="2"/>
          </rPr>
          <t xml:space="preserve">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5" authorId="0" shapeId="0" xr:uid="{2BA5BB01-0429-4D18-AAF2-C39864C7517F}">
      <text>
        <r>
          <rPr>
            <b/>
            <sz val="9"/>
            <color indexed="81"/>
            <rFont val="Tahoma"/>
            <family val="2"/>
          </rPr>
          <t>ATHAR HUSSAIN:</t>
        </r>
        <r>
          <rPr>
            <sz val="9"/>
            <color indexed="81"/>
            <rFont val="Tahoma"/>
            <family val="2"/>
          </rPr>
          <t xml:space="preserve">
The field indicates the ID of the product costing model.
The costing model is defined in (PCS025).
For manufacturing the costing model is generally applied in (PCS001), or in (MMS003) for item per facility.
For maintenance the costing model is generally applied in (CRS788), parameter 21, or in (MOS301/F) for service per facility.</t>
        </r>
      </text>
    </comment>
    <comment ref="C5" authorId="0" shapeId="0" xr:uid="{73503FAF-6AEF-43C1-8A74-2E4F2AE1932B}">
      <text>
        <r>
          <rPr>
            <b/>
            <sz val="9"/>
            <color indexed="81"/>
            <rFont val="Tahoma"/>
            <family val="2"/>
          </rPr>
          <t>ATHAR HUSSAIN:</t>
        </r>
        <r>
          <rPr>
            <sz val="9"/>
            <color indexed="81"/>
            <rFont val="Tahoma"/>
            <family val="2"/>
          </rPr>
          <t xml:space="preserve">
The field indicates a sequence number, which is entered manually in a costing model or an element structure, and forms part of its key identity. The sequence number determines the display order in the costing model.
</t>
        </r>
      </text>
    </comment>
    <comment ref="D5" authorId="0" shapeId="0" xr:uid="{E38F7982-4CB5-481B-A35B-0E92AD4C6A96}">
      <text>
        <r>
          <rPr>
            <b/>
            <sz val="9"/>
            <color indexed="81"/>
            <rFont val="Tahoma"/>
            <family val="2"/>
          </rPr>
          <t>ATHAR HUSSAIN:</t>
        </r>
        <r>
          <rPr>
            <sz val="9"/>
            <color indexed="81"/>
            <rFont val="Tahoma"/>
            <family val="2"/>
          </rPr>
          <t xml:space="preserve">
The field indicates the date from which the registered data becomes valid.</t>
        </r>
      </text>
    </comment>
    <comment ref="E5" authorId="0" shapeId="0" xr:uid="{AE4E9951-EED2-45FA-A479-374C7E5C5B66}">
      <text>
        <r>
          <rPr>
            <b/>
            <sz val="9"/>
            <color indexed="81"/>
            <rFont val="Tahoma"/>
            <family val="2"/>
          </rPr>
          <t>ATHAR HUSSAIN:</t>
        </r>
        <r>
          <rPr>
            <sz val="9"/>
            <color indexed="81"/>
            <rFont val="Tahoma"/>
            <family val="2"/>
          </rPr>
          <t xml:space="preserve">
The field indicates the date up to which the registered data are valid.
</t>
        </r>
      </text>
    </comment>
    <comment ref="F5" authorId="0" shapeId="0" xr:uid="{60EAB3AE-5D6A-4097-ACD8-539252C2F9AA}">
      <text>
        <r>
          <rPr>
            <b/>
            <sz val="9"/>
            <color indexed="81"/>
            <rFont val="Tahoma"/>
            <family val="2"/>
          </rPr>
          <t>ATHAR HUSSAIN:</t>
        </r>
        <r>
          <rPr>
            <sz val="9"/>
            <color indexed="81"/>
            <rFont val="Tahoma"/>
            <family val="2"/>
          </rPr>
          <t xml:space="preserve">
</t>
        </r>
        <r>
          <rPr>
            <b/>
            <sz val="9"/>
            <color indexed="81"/>
            <rFont val="Tahoma"/>
            <family val="2"/>
          </rPr>
          <t>The field indicates the ID of a costing component.</t>
        </r>
        <r>
          <rPr>
            <sz val="9"/>
            <color indexed="81"/>
            <rFont val="Tahoma"/>
            <family val="2"/>
          </rPr>
          <t xml:space="preserve">
Alternatives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
</t>
        </r>
        <r>
          <rPr>
            <b/>
            <sz val="9"/>
            <color indexed="81"/>
            <rFont val="Tahoma"/>
            <family val="2"/>
          </rPr>
          <t>Costing Elements:</t>
        </r>
        <r>
          <rPr>
            <sz val="9"/>
            <color indexed="81"/>
            <rFont val="Tahoma"/>
            <family val="2"/>
          </rPr>
          <t xml:space="preserve"> The field indicates the user-defined ID for the various costing elements. These are defined in (PCS015). The specified element type regulates what the element is for.
</t>
        </r>
      </text>
    </comment>
    <comment ref="G5" authorId="0" shapeId="0" xr:uid="{BB305E48-4513-481E-A2D3-19A908A8101E}">
      <text>
        <r>
          <rPr>
            <b/>
            <sz val="9"/>
            <color indexed="81"/>
            <rFont val="Tahoma"/>
            <family val="2"/>
          </rPr>
          <t>ATHAR HUSSAIN:</t>
        </r>
        <r>
          <rPr>
            <sz val="9"/>
            <color indexed="81"/>
            <rFont val="Tahoma"/>
            <family val="2"/>
          </rPr>
          <t xml:space="preserve">
The field indicates the element type. The type regulates the fields that can be updated when the element is defined.
</t>
        </r>
        <r>
          <rPr>
            <b/>
            <sz val="9"/>
            <color indexed="81"/>
            <rFont val="Tahoma"/>
            <family val="2"/>
          </rPr>
          <t>Alternatives</t>
        </r>
        <r>
          <rPr>
            <sz val="9"/>
            <color indexed="81"/>
            <rFont val="Tahoma"/>
            <family val="2"/>
          </rPr>
          <t xml:space="preserve">
1 = Element without reference to a component. These types of elements function in basically the same way as product components. The difference is that 1) there is no limit to the number of elements and 2) the elements are not saved per structure level.
2 = Virtual element. Contains one or more components. The value of this element type is included in subtotals and the final total. These types of elements are mainly used as 1) the calculation base for percent markups with a user-defined calculation base and 2) user-defined component totals for displays. The value of this element type is included in the subtotals and the final total.
3 = Subtotal or final total in the costing model.
4 = Virtual element. Same as element type 2 except that this element is not added to the subtotals and final total. This type of element is used as user-defined component totals for display purposes.</t>
        </r>
      </text>
    </comment>
    <comment ref="A43" authorId="0" shapeId="0" xr:uid="{96294153-F972-46A3-9546-A385C0351FF6}">
      <text>
        <r>
          <rPr>
            <b/>
            <sz val="9"/>
            <color indexed="81"/>
            <rFont val="Tahoma"/>
            <family val="2"/>
          </rPr>
          <t>ATHAR HUSSAIN:</t>
        </r>
        <r>
          <rPr>
            <sz val="9"/>
            <color indexed="81"/>
            <rFont val="Tahoma"/>
            <family val="2"/>
          </rPr>
          <t xml:space="preserve">
The field indicates company number, which is the primary identity in all files in the M3 system. The purpose of this is to be able to handle, in the same database, several companies completely or partially separated.
A maximum of 999 companies may be handled in the same database.</t>
        </r>
      </text>
    </comment>
    <comment ref="B43" authorId="0" shapeId="0" xr:uid="{22E68978-626A-4FBF-9574-FC0AB2FE8B02}">
      <text>
        <r>
          <rPr>
            <b/>
            <sz val="9"/>
            <color indexed="81"/>
            <rFont val="Tahoma"/>
            <family val="2"/>
          </rPr>
          <t>ATHAR HUSSAIN:</t>
        </r>
        <r>
          <rPr>
            <sz val="9"/>
            <color indexed="81"/>
            <rFont val="Tahoma"/>
            <family val="2"/>
          </rPr>
          <t xml:space="preserve">
The field indicates the ID of the product costing model.
The costing model is defined in (PCS025).
For manufacturing the costing model is generally applied in (PCS001), or in (MMS003) for item per facility.
For maintenance the costing model is generally applied in (CRS788), parameter 21, or in (MOS301/F) for service per facility.</t>
        </r>
      </text>
    </comment>
    <comment ref="C43" authorId="0" shapeId="0" xr:uid="{435BF61A-43B9-4347-B17B-64D5D51F9B83}">
      <text>
        <r>
          <rPr>
            <b/>
            <sz val="9"/>
            <color indexed="81"/>
            <rFont val="Tahoma"/>
            <family val="2"/>
          </rPr>
          <t>ATHAR HUSSAIN:</t>
        </r>
        <r>
          <rPr>
            <sz val="9"/>
            <color indexed="81"/>
            <rFont val="Tahoma"/>
            <family val="2"/>
          </rPr>
          <t xml:space="preserve">
The field indicates a sequence number, which is entered manually in a costing model or an element structure, and forms part of its key identity. The sequence number determines the display order in the costing model.
</t>
        </r>
      </text>
    </comment>
    <comment ref="D43" authorId="0" shapeId="0" xr:uid="{87EF01D8-6BB6-46E4-8400-BF8512F75E72}">
      <text>
        <r>
          <rPr>
            <b/>
            <sz val="9"/>
            <color indexed="81"/>
            <rFont val="Tahoma"/>
            <family val="2"/>
          </rPr>
          <t>ATHAR HUSSAIN:</t>
        </r>
        <r>
          <rPr>
            <sz val="9"/>
            <color indexed="81"/>
            <rFont val="Tahoma"/>
            <family val="2"/>
          </rPr>
          <t xml:space="preserve">
The field indicates the date from which the registered data becomes valid.</t>
        </r>
      </text>
    </comment>
    <comment ref="E43" authorId="0" shapeId="0" xr:uid="{BE757A19-36E7-47A6-B526-125051C10FCF}">
      <text>
        <r>
          <rPr>
            <b/>
            <sz val="9"/>
            <color indexed="81"/>
            <rFont val="Tahoma"/>
            <family val="2"/>
          </rPr>
          <t>ATHAR HUSSAIN:</t>
        </r>
        <r>
          <rPr>
            <sz val="9"/>
            <color indexed="81"/>
            <rFont val="Tahoma"/>
            <family val="2"/>
          </rPr>
          <t xml:space="preserve">
The field indicates the date up to which the registered data are valid.
</t>
        </r>
      </text>
    </comment>
    <comment ref="F43" authorId="0" shapeId="0" xr:uid="{CF4187C7-8E9C-4779-A6FD-297B7F852635}">
      <text>
        <r>
          <rPr>
            <b/>
            <sz val="9"/>
            <color indexed="81"/>
            <rFont val="Tahoma"/>
            <family val="2"/>
          </rPr>
          <t>ATHAR HUSSAIN:</t>
        </r>
        <r>
          <rPr>
            <sz val="9"/>
            <color indexed="81"/>
            <rFont val="Tahoma"/>
            <family val="2"/>
          </rPr>
          <t xml:space="preserve">
</t>
        </r>
        <r>
          <rPr>
            <b/>
            <sz val="9"/>
            <color indexed="81"/>
            <rFont val="Tahoma"/>
            <family val="2"/>
          </rPr>
          <t>The field indicates the ID of a costing component.</t>
        </r>
        <r>
          <rPr>
            <sz val="9"/>
            <color indexed="81"/>
            <rFont val="Tahoma"/>
            <family val="2"/>
          </rPr>
          <t xml:space="preserve">
Alternatives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
</t>
        </r>
        <r>
          <rPr>
            <b/>
            <sz val="9"/>
            <color indexed="81"/>
            <rFont val="Tahoma"/>
            <family val="2"/>
          </rPr>
          <t>Costing Elements:</t>
        </r>
        <r>
          <rPr>
            <sz val="9"/>
            <color indexed="81"/>
            <rFont val="Tahoma"/>
            <family val="2"/>
          </rPr>
          <t xml:space="preserve"> The field indicates the user-defined ID for the various costing elements. These are defined in (PCS015). The specified element type regulates what the element is for.
</t>
        </r>
      </text>
    </comment>
    <comment ref="G43" authorId="0" shapeId="0" xr:uid="{F425061A-EA02-4B70-9C79-7156D407B18C}">
      <text>
        <r>
          <rPr>
            <b/>
            <sz val="9"/>
            <color indexed="81"/>
            <rFont val="Tahoma"/>
            <family val="2"/>
          </rPr>
          <t>ATHAR HUSSAIN:</t>
        </r>
        <r>
          <rPr>
            <sz val="9"/>
            <color indexed="81"/>
            <rFont val="Tahoma"/>
            <family val="2"/>
          </rPr>
          <t xml:space="preserve">
The field indicates the element type. The type regulates the fields that can be updated when the element is defined.
</t>
        </r>
        <r>
          <rPr>
            <b/>
            <sz val="9"/>
            <color indexed="81"/>
            <rFont val="Tahoma"/>
            <family val="2"/>
          </rPr>
          <t>Alternatives</t>
        </r>
        <r>
          <rPr>
            <sz val="9"/>
            <color indexed="81"/>
            <rFont val="Tahoma"/>
            <family val="2"/>
          </rPr>
          <t xml:space="preserve">
1 = Element without reference to a component. These types of elements function in basically the same way as product components. The difference is that 1) there is no limit to the number of elements and 2) the elements are not saved per structure level.
2 = Virtual element. Contains one or more components. The value of this element type is included in subtotals and the final total. These types of elements are mainly used as 1) the calculation base for percent markups with a user-defined calculation base and 2) user-defined component totals for displays. The value of this element type is included in the subtotals and the final total.
3 = Subtotal or final total in the costing model.
4 = Virtual element. Same as element type 2 except that this element is not added to the subtotals and final total. This type of element is used as user-defined component totals for display purposes.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4" authorId="0" shapeId="0" xr:uid="{E2DD378D-E5A2-4120-8EE6-E1EBB5D098DC}">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B4" authorId="0" shapeId="0" xr:uid="{3B36C4A3-2780-4067-AF86-377A93203A44}">
      <text>
        <r>
          <rPr>
            <b/>
            <sz val="9"/>
            <color indexed="81"/>
            <rFont val="Tahoma"/>
            <family val="2"/>
          </rPr>
          <t>ATHAR HUSSAIN:</t>
        </r>
        <r>
          <rPr>
            <sz val="9"/>
            <color indexed="81"/>
            <rFont val="Tahoma"/>
            <family val="2"/>
          </rPr>
          <t xml:space="preserve">
The field indicates a description of the Key Distributions.
</t>
        </r>
      </text>
    </comment>
    <comment ref="A8" authorId="0" shapeId="0" xr:uid="{3748DBA7-0F91-458C-B0D7-3388A6FFE0AF}">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B8" authorId="0" shapeId="0" xr:uid="{2251A1E3-0D4B-4C1C-8CB9-1FD54420F506}">
      <text>
        <r>
          <rPr>
            <b/>
            <sz val="9"/>
            <color indexed="81"/>
            <rFont val="Tahoma"/>
            <family val="2"/>
          </rPr>
          <t>ATHAR HUSSAIN:</t>
        </r>
        <r>
          <rPr>
            <sz val="9"/>
            <color indexed="81"/>
            <rFont val="Tahoma"/>
            <family val="2"/>
          </rPr>
          <t xml:space="preserve">
The field indicates a description of the Key Distributions.
</t>
        </r>
      </text>
    </comment>
    <comment ref="A14" authorId="0" shapeId="0" xr:uid="{8A3CC3AD-7271-4C66-ACC9-81BDF90223D7}">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B14" authorId="0" shapeId="0" xr:uid="{1C169FC7-EFB5-40C4-8A1C-C07695B17EA5}">
      <text>
        <r>
          <rPr>
            <b/>
            <sz val="9"/>
            <color indexed="81"/>
            <rFont val="Tahoma"/>
            <family val="2"/>
          </rPr>
          <t>ATHAR HUSSAIN:</t>
        </r>
        <r>
          <rPr>
            <sz val="9"/>
            <color indexed="81"/>
            <rFont val="Tahoma"/>
            <family val="2"/>
          </rPr>
          <t xml:space="preserve">
The field indicates a description of the Key Distributions.
</t>
        </r>
      </text>
    </comment>
    <comment ref="A34" authorId="0" shapeId="0" xr:uid="{F6BE1147-A4D8-4150-B020-72062FFEB832}">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B34" authorId="0" shapeId="0" xr:uid="{D2D9A2C9-FADA-4317-8ABD-685D8F35530C}">
      <text>
        <r>
          <rPr>
            <b/>
            <sz val="9"/>
            <color indexed="81"/>
            <rFont val="Tahoma"/>
            <family val="2"/>
          </rPr>
          <t>ATHAR HUSSAIN:</t>
        </r>
        <r>
          <rPr>
            <sz val="9"/>
            <color indexed="81"/>
            <rFont val="Tahoma"/>
            <family val="2"/>
          </rPr>
          <t xml:space="preserve">
The field indicates a description of the Key Distributions.
</t>
        </r>
      </text>
    </comment>
    <comment ref="A40" authorId="0" shapeId="0" xr:uid="{6C804415-A055-4697-B4B2-5A427C497FA0}">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B40" authorId="0" shapeId="0" xr:uid="{0A78EE9F-E281-4CF0-92F4-1BA96F61E49F}">
      <text>
        <r>
          <rPr>
            <b/>
            <sz val="9"/>
            <color indexed="81"/>
            <rFont val="Tahoma"/>
            <family val="2"/>
          </rPr>
          <t>ATHAR HUSSAIN:</t>
        </r>
        <r>
          <rPr>
            <sz val="9"/>
            <color indexed="81"/>
            <rFont val="Tahoma"/>
            <family val="2"/>
          </rPr>
          <t xml:space="preserve">
The field indicates a description of the Key Distributions.
</t>
        </r>
      </text>
    </comment>
    <comment ref="A47" authorId="0" shapeId="0" xr:uid="{B4FF7960-028F-4856-B50E-F463E8E4ECC6}">
      <text>
        <r>
          <rPr>
            <b/>
            <sz val="9"/>
            <color indexed="81"/>
            <rFont val="Tahoma"/>
            <family val="2"/>
          </rPr>
          <t>ATHAR HUSSAIN:</t>
        </r>
        <r>
          <rPr>
            <sz val="9"/>
            <color indexed="81"/>
            <rFont val="Tahoma"/>
            <family val="2"/>
          </rPr>
          <t xml:space="preserve">
The field indicates the ID of a costing component.
</t>
        </r>
        <r>
          <rPr>
            <b/>
            <sz val="9"/>
            <color indexed="81"/>
            <rFont val="Tahoma"/>
            <family val="2"/>
          </rPr>
          <t>Alternatives</t>
        </r>
        <r>
          <rPr>
            <sz val="9"/>
            <color indexed="81"/>
            <rFont val="Tahoma"/>
            <family val="2"/>
          </rPr>
          <t xml:space="preserve">
A01 - A03 = Material cost (direct material)
A04 - A05 = Material overhead
B01 - B14 = Operation cost (excluding subcontracting and tools)
C01 - C02 = Tool costs for operations
D01 - D01 = Subcontract costs for operations
D02 - D02 = Subcontract overhead for operations
E01 - E10 = Product costs (common costs).</t>
        </r>
      </text>
    </comment>
    <comment ref="B47" authorId="0" shapeId="0" xr:uid="{741D69C7-E9AE-49A3-AA9C-4CE06B48D6F1}">
      <text>
        <r>
          <rPr>
            <b/>
            <sz val="9"/>
            <color indexed="81"/>
            <rFont val="Tahoma"/>
            <family val="2"/>
          </rPr>
          <t>ATHAR HUSSAIN:</t>
        </r>
        <r>
          <rPr>
            <sz val="9"/>
            <color indexed="81"/>
            <rFont val="Tahoma"/>
            <family val="2"/>
          </rPr>
          <t xml:space="preserve">
The field indicates a description of the Key Distributions.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3" authorId="0" shapeId="0" xr:uid="{BC10C36A-0FF5-4431-8991-19FE27674100}">
      <text>
        <r>
          <rPr>
            <b/>
            <sz val="9"/>
            <color indexed="81"/>
            <rFont val="Tahoma"/>
            <family val="2"/>
          </rPr>
          <t>ATHAR HUSSAIN:</t>
        </r>
        <r>
          <rPr>
            <sz val="9"/>
            <color indexed="81"/>
            <rFont val="Tahoma"/>
            <family val="2"/>
          </rPr>
          <t xml:space="preserve">
This represents available fields on which cost distribution can be enabled for defining cost rates for each costing components
If available fields are not set, cost rates can be defined at flat rate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ATHAR HUSSAIN</author>
  </authors>
  <commentList>
    <comment ref="A3" authorId="0" shapeId="0" xr:uid="{9FF5E154-82F9-4DDD-8760-C732790F9B82}">
      <text>
        <r>
          <rPr>
            <b/>
            <sz val="9"/>
            <color indexed="81"/>
            <rFont val="Tahoma"/>
            <family val="2"/>
          </rPr>
          <t>ATHAR HUSSAIN:</t>
        </r>
        <r>
          <rPr>
            <sz val="9"/>
            <color indexed="81"/>
            <rFont val="Tahoma"/>
            <family val="2"/>
          </rPr>
          <t xml:space="preserve">
This represents available fields on which cost distribution can be enabled for defining cost rates for each costing components
If available fields are not set, cost rates can be defined at flat rate</t>
        </r>
      </text>
    </comment>
  </commentList>
</comments>
</file>

<file path=xl/sharedStrings.xml><?xml version="1.0" encoding="utf-8"?>
<sst xmlns="http://schemas.openxmlformats.org/spreadsheetml/2006/main" count="1521" uniqueCount="542">
  <si>
    <t>Company</t>
  </si>
  <si>
    <t>100</t>
  </si>
  <si>
    <t>Sr. Nr.</t>
  </si>
  <si>
    <t>M3 Program Code</t>
  </si>
  <si>
    <t>Used for</t>
  </si>
  <si>
    <t>A</t>
  </si>
  <si>
    <t>N</t>
  </si>
  <si>
    <t>3</t>
  </si>
  <si>
    <t xml:space="preserve">M3 Column Description </t>
  </si>
  <si>
    <t>M3 Column Name</t>
  </si>
  <si>
    <t>Data Type</t>
  </si>
  <si>
    <t>A - Alphanumeric | N-Numeric</t>
  </si>
  <si>
    <t>Data Length</t>
  </si>
  <si>
    <t>Provide data based on column length and data type</t>
  </si>
  <si>
    <t>Colour</t>
  </si>
  <si>
    <t>Relevance for Colour Columns</t>
  </si>
  <si>
    <t>Comments</t>
  </si>
  <si>
    <t>Value should be within length set in columns</t>
  </si>
  <si>
    <t xml:space="preserve">Values </t>
  </si>
  <si>
    <t>M3 Column Description</t>
  </si>
  <si>
    <t>1</t>
  </si>
  <si>
    <t>Values are prefilled and only for validation or to be decided together</t>
  </si>
  <si>
    <t>Add Data</t>
  </si>
  <si>
    <t>Prefilled data or data not needed</t>
  </si>
  <si>
    <t>Open for decision later</t>
  </si>
  <si>
    <t>Data Validation Columns and Values</t>
  </si>
  <si>
    <t>Finance</t>
  </si>
  <si>
    <t>15</t>
  </si>
  <si>
    <t>6</t>
  </si>
  <si>
    <t>200</t>
  </si>
  <si>
    <t>300</t>
  </si>
  <si>
    <t>400</t>
  </si>
  <si>
    <t>500</t>
  </si>
  <si>
    <t>0-No</t>
  </si>
  <si>
    <t>1-Yes</t>
  </si>
  <si>
    <t>2</t>
  </si>
  <si>
    <t>10</t>
  </si>
  <si>
    <t>0</t>
  </si>
  <si>
    <t>99</t>
  </si>
  <si>
    <t>Item number</t>
  </si>
  <si>
    <t>INOBT5</t>
  </si>
  <si>
    <t>110</t>
  </si>
  <si>
    <t>00</t>
  </si>
  <si>
    <t>Item group</t>
  </si>
  <si>
    <t>Item type</t>
  </si>
  <si>
    <t>Order type</t>
  </si>
  <si>
    <t>Product group</t>
  </si>
  <si>
    <t>Supplier</t>
  </si>
  <si>
    <t>Warehouse</t>
  </si>
  <si>
    <t>210</t>
  </si>
  <si>
    <t>230</t>
  </si>
  <si>
    <t>Ordering cost</t>
  </si>
  <si>
    <t>205</t>
  </si>
  <si>
    <t>215</t>
  </si>
  <si>
    <t>PCS010: Costing Component</t>
  </si>
  <si>
    <t>KCCONO</t>
  </si>
  <si>
    <t>KCCCOM</t>
  </si>
  <si>
    <t>KCTX40</t>
  </si>
  <si>
    <t>KCTX15</t>
  </si>
  <si>
    <t>KCCODR</t>
  </si>
  <si>
    <t>KCPC01</t>
  </si>
  <si>
    <t>KCPC02</t>
  </si>
  <si>
    <t>KCPC03</t>
  </si>
  <si>
    <t>KCPDCC</t>
  </si>
  <si>
    <t>KCSCRF</t>
  </si>
  <si>
    <t>KCBUCO</t>
  </si>
  <si>
    <t>KCOUNI</t>
  </si>
  <si>
    <t>KCMCCO</t>
  </si>
  <si>
    <t>KCPEBA</t>
  </si>
  <si>
    <t>KCPEAO</t>
  </si>
  <si>
    <t>KCWARN</t>
  </si>
  <si>
    <t>KCNECO</t>
  </si>
  <si>
    <t>KCRDRI</t>
  </si>
  <si>
    <t>KCFIVA</t>
  </si>
  <si>
    <t>A01</t>
  </si>
  <si>
    <t>A02</t>
  </si>
  <si>
    <t>A03</t>
  </si>
  <si>
    <t>A04</t>
  </si>
  <si>
    <t>A05</t>
  </si>
  <si>
    <t>B01</t>
  </si>
  <si>
    <t>B02</t>
  </si>
  <si>
    <t>B03</t>
  </si>
  <si>
    <t>B04</t>
  </si>
  <si>
    <t>B05</t>
  </si>
  <si>
    <t>B06</t>
  </si>
  <si>
    <t>B07</t>
  </si>
  <si>
    <t>B08</t>
  </si>
  <si>
    <t>B09</t>
  </si>
  <si>
    <t>C01</t>
  </si>
  <si>
    <t>C02</t>
  </si>
  <si>
    <t>D01</t>
  </si>
  <si>
    <t>D02</t>
  </si>
  <si>
    <t>E01</t>
  </si>
  <si>
    <t>E02</t>
  </si>
  <si>
    <t>E03</t>
  </si>
  <si>
    <t>E04</t>
  </si>
  <si>
    <t>E05</t>
  </si>
  <si>
    <t>DIRECT MATERIAL/COMPONENT(COST BUCKET 1)</t>
  </si>
  <si>
    <t>DIR MAT (COST1)</t>
  </si>
  <si>
    <t>OTHER MATERIAL/COMPONENT(COST BUCKET 2)</t>
  </si>
  <si>
    <t>OTH MAT (COST2)</t>
  </si>
  <si>
    <t>PACKAGING MATERIAL (COST BUCKET 3)</t>
  </si>
  <si>
    <t>PKG MAT (COST3)</t>
  </si>
  <si>
    <t>ORDERING COST</t>
  </si>
  <si>
    <t>MATERIAL OVERHEADS</t>
  </si>
  <si>
    <t>MATERIAL OVERHD</t>
  </si>
  <si>
    <t>LABOR COST (TIME/HOURS)</t>
  </si>
  <si>
    <t>LABOR COST(HRS)</t>
  </si>
  <si>
    <t>MACHINE COST (TIME/HOURS)</t>
  </si>
  <si>
    <t>MACHINE COST</t>
  </si>
  <si>
    <t>LABOR OVERTIME</t>
  </si>
  <si>
    <t>LABOR SET UP COST</t>
  </si>
  <si>
    <t>LABOR SETUP COS</t>
  </si>
  <si>
    <t>MACHINE SETUP COST</t>
  </si>
  <si>
    <t>MACHINE SET CST</t>
  </si>
  <si>
    <t>OPERATION COST</t>
  </si>
  <si>
    <t>UNIT PRODUCED COST</t>
  </si>
  <si>
    <t>UNIT PROD COST</t>
  </si>
  <si>
    <t>ORDER MULTIPLE COST</t>
  </si>
  <si>
    <t>ORD MULTIP COST</t>
  </si>
  <si>
    <t>COST PER MATERIAL LINE</t>
  </si>
  <si>
    <t>CST PER MAT LIN</t>
  </si>
  <si>
    <t>TOOLING/DIES COST</t>
  </si>
  <si>
    <t>TOOL/DIES COST</t>
  </si>
  <si>
    <t>TOOLING/DIES OPERATION COST</t>
  </si>
  <si>
    <t>TOOL/DIES OP CT</t>
  </si>
  <si>
    <t>SUB CONTRACTOR COST</t>
  </si>
  <si>
    <t>SUBCON COST</t>
  </si>
  <si>
    <t>SUBCONTRACT OVERHEAD %</t>
  </si>
  <si>
    <t>SUBCON OVRHED %</t>
  </si>
  <si>
    <t>GENERAL PRODUCTION OVERHEAD</t>
  </si>
  <si>
    <t>GEN. PROD OVHED</t>
  </si>
  <si>
    <t>GENERAL OVERHEAD PER UNIT</t>
  </si>
  <si>
    <t>GEN OVHD PER UN</t>
  </si>
  <si>
    <t>FIXED  PRODUCT OVERHEAD</t>
  </si>
  <si>
    <t>FIXED PROD OVHD</t>
  </si>
  <si>
    <t>VARIABLE PRODUCT OVERHEAD</t>
  </si>
  <si>
    <t>VARBL PROD OVHD</t>
  </si>
  <si>
    <t>DEPRECIATION OVERHEAD</t>
  </si>
  <si>
    <t>DEPREC OVERHEAD</t>
  </si>
  <si>
    <t>41</t>
  </si>
  <si>
    <t>5</t>
  </si>
  <si>
    <t>7</t>
  </si>
  <si>
    <t>4</t>
  </si>
  <si>
    <t>PPPLGR</t>
  </si>
  <si>
    <t>MBWHLO</t>
  </si>
  <si>
    <t>MMITGR</t>
  </si>
  <si>
    <t>Costing component</t>
  </si>
  <si>
    <t>Description</t>
  </si>
  <si>
    <t>Name</t>
  </si>
  <si>
    <t>Cost driver</t>
  </si>
  <si>
    <t>Cost distribution key 1</t>
  </si>
  <si>
    <t>Cost distribution key 2</t>
  </si>
  <si>
    <t>Cost distribution key 3</t>
  </si>
  <si>
    <t>Number of price decimal places</t>
  </si>
  <si>
    <t>Scrap reference</t>
  </si>
  <si>
    <t>User-defined accounting control object</t>
  </si>
  <si>
    <t>Budget connection</t>
  </si>
  <si>
    <t>MRP/CRP connection</t>
  </si>
  <si>
    <t>Overhead base</t>
  </si>
  <si>
    <t>Overhead rule</t>
  </si>
  <si>
    <t>Warnings</t>
  </si>
  <si>
    <t>Negative component</t>
  </si>
  <si>
    <t>Resource driver</t>
  </si>
  <si>
    <t>40</t>
  </si>
  <si>
    <t>8</t>
  </si>
  <si>
    <t>Fixed/Variable value</t>
  </si>
  <si>
    <t>Work center</t>
  </si>
  <si>
    <t>Cost Driver</t>
  </si>
  <si>
    <t>Costing Components</t>
  </si>
  <si>
    <t>A01-A03 Material Cost</t>
  </si>
  <si>
    <t>Default as cost will be retrieved from material costing</t>
  </si>
  <si>
    <t>Cost Drivers</t>
  </si>
  <si>
    <t>Details and Use of Cost Driver</t>
  </si>
  <si>
    <t>A04-A05 Material Overheads</t>
  </si>
  <si>
    <t>Order-initiated portion of the purchase costing.</t>
  </si>
  <si>
    <t>97</t>
  </si>
  <si>
    <t xml:space="preserve">Distribution cost for distributed items, applied when check box 22 ‘Split cost into costing components’ is selected on (PCS001/F). </t>
  </si>
  <si>
    <t>Material overhead (percentage).</t>
  </si>
  <si>
    <t>Direct Material</t>
  </si>
  <si>
    <t>Material Overheads</t>
  </si>
  <si>
    <t>Operation/Routing</t>
  </si>
  <si>
    <t>B01-B14 Operations</t>
  </si>
  <si>
    <t>VOLUME-BASED COST DRIVERS</t>
  </si>
  <si>
    <t>ORDER-INITIATED COST DRIVERS</t>
  </si>
  <si>
    <t xml:space="preserve">99 </t>
  </si>
  <si>
    <t xml:space="preserve">41 </t>
  </si>
  <si>
    <t xml:space="preserve">42 </t>
  </si>
  <si>
    <t xml:space="preserve">43 </t>
  </si>
  <si>
    <t xml:space="preserve">44 </t>
  </si>
  <si>
    <t xml:space="preserve">45 </t>
  </si>
  <si>
    <t xml:space="preserve">48 </t>
  </si>
  <si>
    <t xml:space="preserve">49 </t>
  </si>
  <si>
    <t xml:space="preserve">01 </t>
  </si>
  <si>
    <t xml:space="preserve">02 </t>
  </si>
  <si>
    <t xml:space="preserve">03 </t>
  </si>
  <si>
    <t xml:space="preserve">04 </t>
  </si>
  <si>
    <t xml:space="preserve">05 </t>
  </si>
  <si>
    <t xml:space="preserve">06 </t>
  </si>
  <si>
    <t xml:space="preserve">07 </t>
  </si>
  <si>
    <t xml:space="preserve">08 </t>
  </si>
  <si>
    <t xml:space="preserve">09 </t>
  </si>
  <si>
    <t>Percent.</t>
  </si>
  <si>
    <t>Volume produced. (Volume is specified in the operation.)</t>
  </si>
  <si>
    <t>Cost multiplication unit. (The multiplier is specified in the operation.)</t>
  </si>
  <si>
    <t>Order multiple.</t>
  </si>
  <si>
    <t>Weight unit produced. (The initial weight which can be specified for the operation is used to find out the weight.)</t>
  </si>
  <si>
    <t>Unit produced. (The cost is multiplied by a production factor which can be specified for each operation.)</t>
  </si>
  <si>
    <t>Total labor time (both production and setup, Driver 2 above + Driver 42 below).</t>
  </si>
  <si>
    <t>Total machine time (both production and setup, Driver 1 above + Driver 41 below).</t>
  </si>
  <si>
    <t>Labor time for production.</t>
  </si>
  <si>
    <t>Machine time for production.</t>
  </si>
  <si>
    <t>The internal transfer price is used for work orders when labor is reported by an employee that belongs to a different facility. A cost component with this cost driver is needed in the cost model in order to update the final cost correctly. This is only valid for work orders.</t>
  </si>
  <si>
    <t>Transport distance to the next work center. (The distance specified in the transport table is used.)</t>
  </si>
  <si>
    <t>Cost per material line in the structure which is connected to the operation.</t>
  </si>
  <si>
    <t>Cost per operation.</t>
  </si>
  <si>
    <t>Labor time (internal and external setup time).</t>
  </si>
  <si>
    <t>Machine time (internal setup time).</t>
  </si>
  <si>
    <t>Volume Based or Order Initiated Cost Driver</t>
  </si>
  <si>
    <t>Tools/Dies/Molds Cost</t>
  </si>
  <si>
    <t>C01-C02 Tools</t>
  </si>
  <si>
    <t>Price per tool punch. (The quantity is divided by the value in the field for number of items per punch that is defined for the tool.)</t>
  </si>
  <si>
    <t>Machine time</t>
  </si>
  <si>
    <t>Per operation performed</t>
  </si>
  <si>
    <t>Subcontracting Cost and Subcon Overheads</t>
  </si>
  <si>
    <t>D01-D02 Subcontracting</t>
  </si>
  <si>
    <t>Nature of Subcontracting Cost and Overheads</t>
  </si>
  <si>
    <t>Default as cost will be retrieved from purchase agreement (PPS100) or PPS040</t>
  </si>
  <si>
    <t>Subcon cost from Service/Supplier</t>
  </si>
  <si>
    <t xml:space="preserve">Additional Subcon Overheads </t>
  </si>
  <si>
    <t>98</t>
  </si>
  <si>
    <t>Uplift cost for internal subcontract.</t>
  </si>
  <si>
    <t>Subcontracting overhead (percentage).</t>
  </si>
  <si>
    <t>Product Overhead Cost</t>
  </si>
  <si>
    <t>E01-E10 Production Overheads</t>
  </si>
  <si>
    <t xml:space="preserve">93 </t>
  </si>
  <si>
    <t xml:space="preserve">94 </t>
  </si>
  <si>
    <t xml:space="preserve">95 </t>
  </si>
  <si>
    <t xml:space="preserve">96 </t>
  </si>
  <si>
    <t xml:space="preserve">97 </t>
  </si>
  <si>
    <t xml:space="preserve">98 </t>
  </si>
  <si>
    <t xml:space="preserve">46 </t>
  </si>
  <si>
    <t>Volume.</t>
  </si>
  <si>
    <t>Gross weight.</t>
  </si>
  <si>
    <t>Quantity in basic unit of measure.</t>
  </si>
  <si>
    <t>Lead time with capital tied up. Formula: lead time * percent * sum of A, B, C and D components / no. of workdays during the year. The cost driver is specified in percent.</t>
  </si>
  <si>
    <t>Average inventory formula: average inventory * price / annual demand. The cost driver is specified in percent.</t>
  </si>
  <si>
    <t>Structure complexity, that is, the cost per complexity unit. The number of units is specified in (PDS001).</t>
  </si>
  <si>
    <t>User-defined field 2 in the item file.</t>
  </si>
  <si>
    <t>Net weight.</t>
  </si>
  <si>
    <t>Margin amount - material. The margin amount is the difference between the cost price and the sales price for materials on a work order. The margin amount is used to adjust the final cost of an item. The margin amount is only valid for actual costed items produced via work order. To set a sales price on a work order a valid customer and a valid agreement needs to be added to the work order. The prices can, for example, be seen in (MOS101), in sorting order 19.</t>
  </si>
  <si>
    <t>Margin amount - labor. The margin amount is the difference between the cost price and the sales price for labor on a work order. The margin amount is used to adjust the final cost of an item. The margin amount is only valid for actual costed items produced via a work order. To set a sales price on a work order, a valid customer and a valid agreement must be added to the work order. The prices can be viewed in (MOS101), sorting order 19, for example.</t>
  </si>
  <si>
    <t>Margin amount, that is, the difference between the cost price and the internal sales price on a work order.</t>
  </si>
  <si>
    <t>Invoice matching difference.</t>
  </si>
  <si>
    <t>Distribution cost for distributed items, applied when check box 22 ‘Split cost into costing components’ is selected in (PCS001/F). For details, see the M3 BE User Documentation.</t>
  </si>
  <si>
    <t>Uplift (change of standard cost) for distributed items. This cost driver is updated when (DPS290) is run, provided that the Move component values setting is selected on (DPS290/E).</t>
  </si>
  <si>
    <t>Cost per lead time day.</t>
  </si>
  <si>
    <t>Ordering cost (cost per order).</t>
  </si>
  <si>
    <t>Number of material lines in the structure. (The rate is multiplied by the number of lines.)</t>
  </si>
  <si>
    <t>Number of operation lines (excluding subcontract) in the structure, that is, the cost per operation. (The rate is multiplied by the number of lines.)</t>
  </si>
  <si>
    <t>Number of subcontract operation lines in the structure, that is, the cost per subcontract operation. (The rate is multiplied by the number of lines.)</t>
  </si>
  <si>
    <t>Structure complexity - see cost driver 6 above.</t>
  </si>
  <si>
    <t>M9ACRF</t>
  </si>
  <si>
    <t>M9WCLN</t>
  </si>
  <si>
    <t>MBEOQM</t>
  </si>
  <si>
    <t>MBORTY</t>
  </si>
  <si>
    <t>MBPLCD</t>
  </si>
  <si>
    <t>MBSLTP</t>
  </si>
  <si>
    <t>MBSUNO</t>
  </si>
  <si>
    <t>MBWHLT</t>
  </si>
  <si>
    <t>MMACRF</t>
  </si>
  <si>
    <t>MMBUAR</t>
  </si>
  <si>
    <t>MMCFI1</t>
  </si>
  <si>
    <t>MMCFI3</t>
  </si>
  <si>
    <t>MMCFI4</t>
  </si>
  <si>
    <t>MMCFI5</t>
  </si>
  <si>
    <t>MMGRP1</t>
  </si>
  <si>
    <t>MMGRP2</t>
  </si>
  <si>
    <t>MMGRP3</t>
  </si>
  <si>
    <t>MMGRP4</t>
  </si>
  <si>
    <t>MMGRP5</t>
  </si>
  <si>
    <t>MMGRTI</t>
  </si>
  <si>
    <t>MMITCL</t>
  </si>
  <si>
    <t>MMITNO</t>
  </si>
  <si>
    <t>MMITTY</t>
  </si>
  <si>
    <t>MMPDLN</t>
  </si>
  <si>
    <t>MMPRGP</t>
  </si>
  <si>
    <t>MMSPAC</t>
  </si>
  <si>
    <t>MMUNMS</t>
  </si>
  <si>
    <t>POOPNO</t>
  </si>
  <si>
    <t>QJEMNO</t>
  </si>
  <si>
    <t>Cost Distribution Keys 1, 2, and 3</t>
  </si>
  <si>
    <t>Cost Distribution Keys</t>
  </si>
  <si>
    <t>Description of Cost Distribution Keys</t>
  </si>
  <si>
    <t>MITFAC: Item - facility</t>
  </si>
  <si>
    <t>MITBAL: Item</t>
  </si>
  <si>
    <t>MPDOPE: Operations</t>
  </si>
  <si>
    <t>Infor M3 Table</t>
  </si>
  <si>
    <t>MITMAS: Item Master Table</t>
  </si>
  <si>
    <t>MMOPTR: Maintenance operation</t>
  </si>
  <si>
    <t>MPDWCT: Work centers</t>
  </si>
  <si>
    <t>=</t>
  </si>
  <si>
    <t>Production line</t>
  </si>
  <si>
    <t>Order policy</t>
  </si>
  <si>
    <t>Planning policy</t>
  </si>
  <si>
    <t>Stock zone</t>
  </si>
  <si>
    <t>Location type</t>
  </si>
  <si>
    <t>Business area</t>
  </si>
  <si>
    <t>User-defined field 1 - item</t>
  </si>
  <si>
    <t>User-defined field 3 - item</t>
  </si>
  <si>
    <t>User-defined field 4 - item</t>
  </si>
  <si>
    <t>User-defined field 5 - item</t>
  </si>
  <si>
    <t>Search group 1</t>
  </si>
  <si>
    <t>Search group 2</t>
  </si>
  <si>
    <t>Search group 3</t>
  </si>
  <si>
    <t>Search group 4</t>
  </si>
  <si>
    <t>Search group 5</t>
  </si>
  <si>
    <t>Group technology class</t>
  </si>
  <si>
    <t>Product line</t>
  </si>
  <si>
    <t>Procurement group</t>
  </si>
  <si>
    <t>Storage packaging</t>
  </si>
  <si>
    <t>Basic unit of measure</t>
  </si>
  <si>
    <t>Operation number</t>
  </si>
  <si>
    <t>Employee number</t>
  </si>
  <si>
    <t>Scrap Reference</t>
  </si>
  <si>
    <t xml:space="preserve"> </t>
  </si>
  <si>
    <t>1-Add the scrap amount to scrap 1</t>
  </si>
  <si>
    <t>2-Add the scrap amount to scrap 2</t>
  </si>
  <si>
    <t>3-Add the scrap amount to scrap 3</t>
  </si>
  <si>
    <t>0-Not Applicable</t>
  </si>
  <si>
    <t>0-Not applicable</t>
  </si>
  <si>
    <t>Number of Decimals</t>
  </si>
  <si>
    <t>0-No Decimal</t>
  </si>
  <si>
    <t>1-One Decimal</t>
  </si>
  <si>
    <t>2-Two Decimals</t>
  </si>
  <si>
    <t>3-Three Decimals</t>
  </si>
  <si>
    <t>4-Four Decimals</t>
  </si>
  <si>
    <t>Budget Connections</t>
  </si>
  <si>
    <t>Ordering Cost</t>
  </si>
  <si>
    <t>2-This Level Values</t>
  </si>
  <si>
    <t>1-All Level Values</t>
  </si>
  <si>
    <t>3-Added Values</t>
  </si>
  <si>
    <t>Warning</t>
  </si>
  <si>
    <t>PRODUCT COSTING TEMPLATE</t>
  </si>
  <si>
    <t>Component of Product Costing</t>
  </si>
  <si>
    <t>PCS010</t>
  </si>
  <si>
    <t>Costing Elements</t>
  </si>
  <si>
    <t>PCS015</t>
  </si>
  <si>
    <t>PCS015: Costing Elements</t>
  </si>
  <si>
    <t>Costing element</t>
  </si>
  <si>
    <t>KJCONO</t>
  </si>
  <si>
    <t>KJPEID</t>
  </si>
  <si>
    <t>KJTX40</t>
  </si>
  <si>
    <t>KJTX15</t>
  </si>
  <si>
    <t>KJELTY</t>
  </si>
  <si>
    <t>KJPC01</t>
  </si>
  <si>
    <t>KJPC02</t>
  </si>
  <si>
    <t>KJPC03</t>
  </si>
  <si>
    <t>Costing element type</t>
  </si>
  <si>
    <t>KJSUMN</t>
  </si>
  <si>
    <t>Subtotal number</t>
  </si>
  <si>
    <t>Costing element responsible</t>
  </si>
  <si>
    <t>KJELRE</t>
  </si>
  <si>
    <t>1001</t>
  </si>
  <si>
    <t>DIRECT MATERIAL COST SUBTOTAL</t>
  </si>
  <si>
    <t>DIR MAT SUBTTL</t>
  </si>
  <si>
    <t>1002</t>
  </si>
  <si>
    <t>MATERIAL OVERHEAD SUBTOTAL</t>
  </si>
  <si>
    <t>MAT OH SUBTOTAL</t>
  </si>
  <si>
    <t>2001</t>
  </si>
  <si>
    <t>OPERATION COST SUBTOTAL</t>
  </si>
  <si>
    <t>OPERATION SUBTO</t>
  </si>
  <si>
    <t>3001</t>
  </si>
  <si>
    <t>TOOLING/DIES COST SUBTOTAL</t>
  </si>
  <si>
    <t>TOOL/DIES SUBTO</t>
  </si>
  <si>
    <t>4001</t>
  </si>
  <si>
    <t>SUBCONTRACT COST SUBTOTAL</t>
  </si>
  <si>
    <t>SUBCON SUBTOTAL</t>
  </si>
  <si>
    <t>5001</t>
  </si>
  <si>
    <t>PRODUCT OVERHEAD SUBTOTAL</t>
  </si>
  <si>
    <t>PROD OH SUBTOTA</t>
  </si>
  <si>
    <t>6001</t>
  </si>
  <si>
    <t>TOTAL PRODUCT COST</t>
  </si>
  <si>
    <t>PRODUCT COST TO</t>
  </si>
  <si>
    <t>7001</t>
  </si>
  <si>
    <t>CORPORATE PRODUCT COST TOTAL</t>
  </si>
  <si>
    <t>COR PROD COST T</t>
  </si>
  <si>
    <t>Element Type</t>
  </si>
  <si>
    <t>1-Element no reference</t>
  </si>
  <si>
    <t>KJCODR</t>
  </si>
  <si>
    <t>2-Virtual element</t>
  </si>
  <si>
    <t>3-Subtotal or final total</t>
  </si>
  <si>
    <t>4-Virtual element no total</t>
  </si>
  <si>
    <t>SUKMAD3</t>
  </si>
  <si>
    <t>PCS011: Costing Components - Enter Values/Rates</t>
  </si>
  <si>
    <t>Rates</t>
  </si>
  <si>
    <t>Dept</t>
  </si>
  <si>
    <t>Area</t>
  </si>
  <si>
    <t>3DP100</t>
  </si>
  <si>
    <t>GE3DP000</t>
  </si>
  <si>
    <t>3D PRINT</t>
  </si>
  <si>
    <t>CAS100</t>
  </si>
  <si>
    <t>GECAS000</t>
  </si>
  <si>
    <t>CAST</t>
  </si>
  <si>
    <t>EAS100</t>
  </si>
  <si>
    <t>GEEAS000</t>
  </si>
  <si>
    <t>CAST CLEAN</t>
  </si>
  <si>
    <t>EAS110</t>
  </si>
  <si>
    <t>SANDBLAST</t>
  </si>
  <si>
    <t>EAS120</t>
  </si>
  <si>
    <t>DRILL</t>
  </si>
  <si>
    <t>EAS130</t>
  </si>
  <si>
    <t>PIN STEM</t>
  </si>
  <si>
    <t>EAS140</t>
  </si>
  <si>
    <t>ROLLOVER</t>
  </si>
  <si>
    <t>EAS150</t>
  </si>
  <si>
    <t>OVEN SOLDER</t>
  </si>
  <si>
    <t>EAS160</t>
  </si>
  <si>
    <t>FUSION SOLDER</t>
  </si>
  <si>
    <t>EAS170</t>
  </si>
  <si>
    <t>TORCH SOLDER</t>
  </si>
  <si>
    <t>ENG100</t>
  </si>
  <si>
    <t>GEENG000</t>
  </si>
  <si>
    <t>ENGRAVE</t>
  </si>
  <si>
    <t>FUT100</t>
  </si>
  <si>
    <t>GEFUT000</t>
  </si>
  <si>
    <t>FUTRON</t>
  </si>
  <si>
    <t>FUT110</t>
  </si>
  <si>
    <t>EPOXY</t>
  </si>
  <si>
    <t>FUT120</t>
  </si>
  <si>
    <t>FUTRON OVEN</t>
  </si>
  <si>
    <t>INS100</t>
  </si>
  <si>
    <t>GEINS000</t>
  </si>
  <si>
    <t>INSPECT</t>
  </si>
  <si>
    <t>INS110</t>
  </si>
  <si>
    <t>GREASE AND TEST</t>
  </si>
  <si>
    <t>INS130</t>
  </si>
  <si>
    <t>FINAL INSPECTION</t>
  </si>
  <si>
    <t>INS140</t>
  </si>
  <si>
    <t>PACK</t>
  </si>
  <si>
    <t>INSG100</t>
  </si>
  <si>
    <t>CAST INSPECTION</t>
  </si>
  <si>
    <t>LASG100</t>
  </si>
  <si>
    <t>GELAS000</t>
  </si>
  <si>
    <t>FIBER LASER</t>
  </si>
  <si>
    <t>PKG100</t>
  </si>
  <si>
    <t>PACKAGE</t>
  </si>
  <si>
    <t>PLT100</t>
  </si>
  <si>
    <t>GEPLT000</t>
  </si>
  <si>
    <t>PLATE</t>
  </si>
  <si>
    <t>PLT110</t>
  </si>
  <si>
    <t>LACQUER</t>
  </si>
  <si>
    <t>POLG100</t>
  </si>
  <si>
    <t>GEPOL000</t>
  </si>
  <si>
    <t>POLISH</t>
  </si>
  <si>
    <t>POLG110</t>
  </si>
  <si>
    <t>OCHRE</t>
  </si>
  <si>
    <t>POLG120</t>
  </si>
  <si>
    <t>GLOSS</t>
  </si>
  <si>
    <t>POLG130</t>
  </si>
  <si>
    <t>BRUSH</t>
  </si>
  <si>
    <t>POLG140</t>
  </si>
  <si>
    <t>CUT</t>
  </si>
  <si>
    <t>POLG150</t>
  </si>
  <si>
    <t>LAP</t>
  </si>
  <si>
    <t>POLG160</t>
  </si>
  <si>
    <t>PUMICE</t>
  </si>
  <si>
    <t>POLG170</t>
  </si>
  <si>
    <t>RUBBER WHEEL</t>
  </si>
  <si>
    <t>PRS100</t>
  </si>
  <si>
    <t>GEPRS000</t>
  </si>
  <si>
    <t>STRIKE</t>
  </si>
  <si>
    <t>PRS110</t>
  </si>
  <si>
    <t>TRIM</t>
  </si>
  <si>
    <t>PRS120</t>
  </si>
  <si>
    <t>DEBURR</t>
  </si>
  <si>
    <t>PRS130</t>
  </si>
  <si>
    <t>PIERCE</t>
  </si>
  <si>
    <t>PRS140</t>
  </si>
  <si>
    <t>BLANK</t>
  </si>
  <si>
    <t>PRS150</t>
  </si>
  <si>
    <t>ANNEAL</t>
  </si>
  <si>
    <t>PRS160</t>
  </si>
  <si>
    <t>TRADEMARK</t>
  </si>
  <si>
    <t>STN100</t>
  </si>
  <si>
    <t>GESTN000</t>
  </si>
  <si>
    <t>STONE SET</t>
  </si>
  <si>
    <t>STN110</t>
  </si>
  <si>
    <t>BRIGHT CUT</t>
  </si>
  <si>
    <t>VLT100</t>
  </si>
  <si>
    <t>GEVLT000</t>
  </si>
  <si>
    <t>ISSUE</t>
  </si>
  <si>
    <t>WAX100</t>
  </si>
  <si>
    <t>GEWAX000</t>
  </si>
  <si>
    <t>WAX INJECTION</t>
  </si>
  <si>
    <t>WAX120</t>
  </si>
  <si>
    <t>TREE UP</t>
  </si>
  <si>
    <t>Work Center</t>
  </si>
  <si>
    <t>Work Center Name</t>
  </si>
  <si>
    <t>Work Center (PPPLGR) in PDS010</t>
  </si>
  <si>
    <t>PCS025: Product Costing Model</t>
  </si>
  <si>
    <t>KMCONO</t>
  </si>
  <si>
    <t>KMPRCM</t>
  </si>
  <si>
    <t>KMCOSQ</t>
  </si>
  <si>
    <t>KMFRDT</t>
  </si>
  <si>
    <t>KMTODT</t>
  </si>
  <si>
    <t>KMELCO</t>
  </si>
  <si>
    <t>KMELTY</t>
  </si>
  <si>
    <t>Sequence number</t>
  </si>
  <si>
    <t>From date</t>
  </si>
  <si>
    <t>To date</t>
  </si>
  <si>
    <t>Product Costing Model</t>
  </si>
  <si>
    <t>Costing Element / Component</t>
  </si>
  <si>
    <t>HJPC01</t>
  </si>
  <si>
    <t>20260101</t>
  </si>
  <si>
    <t>99999999</t>
  </si>
  <si>
    <t>120</t>
  </si>
  <si>
    <t>150</t>
  </si>
  <si>
    <t>160</t>
  </si>
  <si>
    <t>170</t>
  </si>
  <si>
    <t>190</t>
  </si>
  <si>
    <t>220</t>
  </si>
  <si>
    <t>225</t>
  </si>
  <si>
    <t>235</t>
  </si>
  <si>
    <t>240</t>
  </si>
  <si>
    <t>290</t>
  </si>
  <si>
    <t>310</t>
  </si>
  <si>
    <t>390</t>
  </si>
  <si>
    <t>410</t>
  </si>
  <si>
    <t>490</t>
  </si>
  <si>
    <t>505</t>
  </si>
  <si>
    <t>510</t>
  </si>
  <si>
    <t>515</t>
  </si>
  <si>
    <t>520</t>
  </si>
  <si>
    <t>590</t>
  </si>
  <si>
    <t>900</t>
  </si>
  <si>
    <t>Product Costing Model: HJPC01-H.J. Product Cost 01</t>
  </si>
  <si>
    <t>Product Costing Model: HJPC02-H.J. Product Cost 02</t>
  </si>
  <si>
    <t>HJPC02</t>
  </si>
  <si>
    <t>Costing Components. Define Rate/Cost</t>
  </si>
  <si>
    <t>PCS011</t>
  </si>
  <si>
    <t>PCS025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</si>
</sst>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Times New Roman"/>
      <family val="1"/>
    </font>
    <font>
      <b/>
      <sz val="11"/>
      <color theme="1"/>
      <name val="Times New Roman"/>
      <family val="1"/>
    </font>
    <font>
      <b/>
      <sz val="14"/>
      <color theme="1"/>
      <name val="Times New Roman"/>
      <family val="1"/>
    </font>
    <font>
      <sz val="16"/>
      <color theme="1"/>
      <name val="Times New Roman"/>
      <family val="1"/>
    </font>
    <font>
      <sz val="11"/>
      <name val="Times New Roman"/>
      <family val="1"/>
    </font>
    <font>
      <b/>
      <sz val="11"/>
      <color theme="4" tint="0.79998168889431442"/>
      <name val="Times New Roman"/>
      <family val="1"/>
    </font>
    <font>
      <b/>
      <sz val="16"/>
      <color theme="0"/>
      <name val="Times New Roman"/>
      <family val="1"/>
    </font>
    <font>
      <sz val="11"/>
      <color rgb="FF09098F"/>
      <name val="Times New Roman"/>
      <family val="1"/>
    </font>
    <font>
      <sz val="11"/>
      <color theme="0"/>
      <name val="Times New Roman"/>
      <family val="1"/>
    </font>
    <font>
      <sz val="9"/>
      <color indexed="81"/>
      <name val="Tahoma"/>
      <family val="2"/>
    </font>
    <font>
      <b/>
      <sz val="9"/>
      <color indexed="81"/>
      <name val="Tahoma"/>
      <family val="2"/>
    </font>
    <font>
      <b/>
      <sz val="11"/>
      <color theme="0"/>
      <name val="Times New Roman"/>
      <family val="1"/>
    </font>
    <font>
      <b/>
      <i/>
      <sz val="9"/>
      <color indexed="81"/>
      <name val="Tahoma"/>
      <family val="2"/>
    </font>
    <font>
      <b/>
      <sz val="10"/>
      <color indexed="81"/>
      <name val="Tahoma"/>
      <family val="2"/>
    </font>
    <font>
      <sz val="10"/>
      <name val="Times New Roman"/>
      <family val="1"/>
    </font>
    <font>
      <b/>
      <sz val="12"/>
      <color rgb="FF09098F"/>
      <name val="Times New Roman"/>
      <family val="1"/>
    </font>
    <font>
      <b/>
      <sz val="12"/>
      <color theme="1"/>
      <name val="Times New Roman"/>
      <family val="1"/>
    </font>
    <font>
      <b/>
      <sz val="11"/>
      <color rgb="FF0B0BA9"/>
      <name val="Times New Roman"/>
      <family val="1"/>
    </font>
    <font>
      <b/>
      <sz val="12"/>
      <color rgb="FF0B0BA9"/>
      <name val="Times New Roman"/>
      <family val="1"/>
    </font>
  </fonts>
  <fills count="1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rgb="FF000032"/>
        <bgColor indexed="64"/>
      </patternFill>
    </fill>
    <fill>
      <patternFill patternType="solid">
        <fgColor rgb="FF471D05"/>
        <bgColor indexed="64"/>
      </patternFill>
    </fill>
    <fill>
      <patternFill patternType="solid">
        <fgColor theme="3" tint="-0.249977111117893"/>
        <bgColor indexed="64"/>
      </patternFill>
    </fill>
    <fill>
      <patternFill patternType="solid">
        <fgColor rgb="FF003E1C"/>
        <bgColor indexed="64"/>
      </patternFill>
    </fill>
    <fill>
      <patternFill patternType="solid">
        <fgColor rgb="FFF1FEF0"/>
        <bgColor indexed="64"/>
      </patternFill>
    </fill>
    <fill>
      <patternFill patternType="solid">
        <fgColor rgb="FF3B3A12"/>
        <bgColor indexed="64"/>
      </patternFill>
    </fill>
    <fill>
      <patternFill patternType="solid">
        <fgColor theme="4" tint="0.79998168889431442"/>
        <bgColor indexed="64"/>
      </patternFill>
    </fill>
    <fill>
      <patternFill patternType="solid">
        <fgColor rgb="FFFCE4D6"/>
        <bgColor indexed="64"/>
      </patternFill>
    </fill>
    <fill>
      <patternFill patternType="solid">
        <fgColor rgb="FFDEDEDE"/>
        <bgColor indexed="64"/>
      </patternFill>
    </fill>
    <fill>
      <patternFill patternType="solid">
        <fgColor rgb="FFD4E4FC"/>
        <bgColor indexed="64"/>
      </patternFill>
    </fill>
    <fill>
      <patternFill patternType="solid">
        <fgColor rgb="FF09098F"/>
        <bgColor indexed="64"/>
      </patternFill>
    </fill>
    <fill>
      <patternFill patternType="solid">
        <fgColor rgb="FF00502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2">
    <xf numFmtId="0" fontId="0" fillId="0" borderId="0" xfId="0"/>
    <xf numFmtId="49" fontId="3" fillId="2" borderId="0" xfId="0" applyNumberFormat="1" applyFont="1" applyFill="1"/>
    <xf numFmtId="0" fontId="1" fillId="2" borderId="0" xfId="0" applyFont="1" applyFill="1"/>
    <xf numFmtId="0" fontId="2" fillId="2" borderId="0" xfId="0" applyFont="1" applyFill="1" applyAlignment="1">
      <alignment horizontal="left" vertical="justify"/>
    </xf>
    <xf numFmtId="0" fontId="1" fillId="2" borderId="1" xfId="0" applyFont="1" applyFill="1" applyBorder="1"/>
    <xf numFmtId="49" fontId="1" fillId="2" borderId="0" xfId="0" applyNumberFormat="1" applyFont="1" applyFill="1"/>
    <xf numFmtId="49" fontId="2" fillId="3" borderId="1" xfId="0" applyNumberFormat="1" applyFont="1" applyFill="1" applyBorder="1" applyAlignment="1">
      <alignment horizontal="left" vertical="justify"/>
    </xf>
    <xf numFmtId="0" fontId="2" fillId="2" borderId="1" xfId="0" applyFont="1" applyFill="1" applyBorder="1" applyAlignment="1">
      <alignment horizontal="left" vertical="justify"/>
    </xf>
    <xf numFmtId="0" fontId="4" fillId="2" borderId="0" xfId="0" applyFont="1" applyFill="1"/>
    <xf numFmtId="49" fontId="2" fillId="2" borderId="1" xfId="0" applyNumberFormat="1" applyFont="1" applyFill="1" applyBorder="1" applyAlignment="1">
      <alignment horizontal="left" vertical="justify"/>
    </xf>
    <xf numFmtId="49" fontId="6" fillId="5" borderId="1" xfId="0" applyNumberFormat="1" applyFont="1" applyFill="1" applyBorder="1" applyAlignment="1">
      <alignment horizontal="left" vertical="justify"/>
    </xf>
    <xf numFmtId="49" fontId="6" fillId="6" borderId="1" xfId="0" applyNumberFormat="1" applyFont="1" applyFill="1" applyBorder="1" applyAlignment="1">
      <alignment horizontal="center" vertical="justify"/>
    </xf>
    <xf numFmtId="49" fontId="1" fillId="2" borderId="1" xfId="0" applyNumberFormat="1" applyFont="1" applyFill="1" applyBorder="1" applyAlignment="1">
      <alignment vertical="center"/>
    </xf>
    <xf numFmtId="49" fontId="6" fillId="7" borderId="1" xfId="0" applyNumberFormat="1" applyFont="1" applyFill="1" applyBorder="1" applyAlignment="1">
      <alignment horizontal="center" vertical="justify"/>
    </xf>
    <xf numFmtId="49" fontId="1" fillId="8" borderId="1" xfId="0" applyNumberFormat="1" applyFont="1" applyFill="1" applyBorder="1"/>
    <xf numFmtId="0" fontId="9" fillId="9" borderId="1" xfId="0" applyFont="1" applyFill="1" applyBorder="1"/>
    <xf numFmtId="0" fontId="8" fillId="2" borderId="1" xfId="0" applyFont="1" applyFill="1" applyBorder="1"/>
    <xf numFmtId="0" fontId="2" fillId="10" borderId="1" xfId="0" applyFont="1" applyFill="1" applyBorder="1"/>
    <xf numFmtId="49" fontId="2" fillId="11" borderId="1" xfId="0" applyNumberFormat="1" applyFont="1" applyFill="1" applyBorder="1" applyAlignment="1">
      <alignment horizontal="left" vertical="justify"/>
    </xf>
    <xf numFmtId="0" fontId="5" fillId="12" borderId="1" xfId="0" applyFont="1" applyFill="1" applyBorder="1"/>
    <xf numFmtId="0" fontId="5" fillId="13" borderId="1" xfId="0" applyFont="1" applyFill="1" applyBorder="1"/>
    <xf numFmtId="0" fontId="3" fillId="2" borderId="0" xfId="0" applyFont="1" applyFill="1"/>
    <xf numFmtId="0" fontId="2" fillId="10" borderId="1" xfId="0" applyFont="1" applyFill="1" applyBorder="1" applyAlignment="1">
      <alignment horizontal="left" vertical="justify"/>
    </xf>
    <xf numFmtId="0" fontId="1" fillId="2" borderId="0" xfId="0" applyFont="1" applyFill="1" applyAlignment="1">
      <alignment horizontal="left" vertical="justify"/>
    </xf>
    <xf numFmtId="0" fontId="1" fillId="2" borderId="1" xfId="0" applyFont="1" applyFill="1" applyBorder="1" applyAlignment="1">
      <alignment wrapText="1"/>
    </xf>
    <xf numFmtId="49" fontId="1" fillId="2" borderId="1" xfId="0" applyNumberFormat="1" applyFont="1" applyFill="1" applyBorder="1"/>
    <xf numFmtId="0" fontId="6" fillId="6" borderId="1" xfId="0" applyFont="1" applyFill="1" applyBorder="1" applyAlignment="1">
      <alignment horizontal="center" vertical="justify"/>
    </xf>
    <xf numFmtId="49" fontId="12" fillId="14" borderId="1" xfId="0" applyNumberFormat="1" applyFont="1" applyFill="1" applyBorder="1" applyAlignment="1">
      <alignment horizontal="left" vertical="justify"/>
    </xf>
    <xf numFmtId="49" fontId="1" fillId="13" borderId="1" xfId="0" applyNumberFormat="1" applyFont="1" applyFill="1" applyBorder="1"/>
    <xf numFmtId="49" fontId="15" fillId="2" borderId="0" xfId="0" applyNumberFormat="1" applyFont="1" applyFill="1"/>
    <xf numFmtId="0" fontId="5" fillId="2" borderId="0" xfId="0" applyFont="1" applyFill="1"/>
    <xf numFmtId="0" fontId="15" fillId="2" borderId="1" xfId="0" applyFont="1" applyFill="1" applyBorder="1" applyAlignment="1">
      <alignment horizontal="justify" vertical="center" wrapText="1"/>
    </xf>
    <xf numFmtId="49" fontId="15" fillId="8" borderId="1" xfId="0" applyNumberFormat="1" applyFont="1" applyFill="1" applyBorder="1" applyAlignment="1">
      <alignment vertical="top"/>
    </xf>
    <xf numFmtId="49" fontId="16" fillId="2" borderId="0" xfId="0" applyNumberFormat="1" applyFont="1" applyFill="1"/>
    <xf numFmtId="0" fontId="0" fillId="2" borderId="0" xfId="0" applyFill="1"/>
    <xf numFmtId="0" fontId="0" fillId="8" borderId="1" xfId="0" applyFill="1" applyBorder="1"/>
    <xf numFmtId="0" fontId="8" fillId="2" borderId="0" xfId="0" applyFont="1" applyFill="1"/>
    <xf numFmtId="49" fontId="17" fillId="2" borderId="0" xfId="0" applyNumberFormat="1" applyFont="1" applyFill="1"/>
    <xf numFmtId="0" fontId="7" fillId="4" borderId="0" xfId="0" applyFont="1" applyFill="1" applyAlignment="1">
      <alignment horizontal="center"/>
    </xf>
    <xf numFmtId="49" fontId="2" fillId="2" borderId="0" xfId="0" applyNumberFormat="1" applyFont="1" applyFill="1"/>
    <xf numFmtId="49" fontId="1" fillId="8" borderId="1" xfId="0" applyNumberFormat="1" applyFont="1" applyFill="1" applyBorder="1" applyAlignment="1">
      <alignment horizontal="left"/>
    </xf>
    <xf numFmtId="0" fontId="1" fillId="2" borderId="1" xfId="0" applyNumberFormat="1" applyFont="1" applyFill="1" applyBorder="1" applyAlignment="1">
      <alignment horizontal="left" vertical="justify"/>
    </xf>
    <xf numFmtId="0" fontId="1" fillId="13" borderId="1" xfId="0" applyNumberFormat="1" applyFont="1" applyFill="1" applyBorder="1" applyAlignment="1">
      <alignment horizontal="left" vertical="justify"/>
    </xf>
    <xf numFmtId="49" fontId="1" fillId="2" borderId="1" xfId="0" applyNumberFormat="1" applyFont="1" applyFill="1" applyBorder="1" applyAlignment="1">
      <alignment horizontal="left" vertical="center"/>
    </xf>
    <xf numFmtId="0" fontId="1" fillId="13" borderId="1" xfId="0" applyNumberFormat="1" applyFont="1" applyFill="1" applyBorder="1" applyAlignment="1">
      <alignment horizontal="left" vertical="center"/>
    </xf>
    <xf numFmtId="49" fontId="18" fillId="2" borderId="0" xfId="0" applyNumberFormat="1" applyFont="1" applyFill="1"/>
    <xf numFmtId="0" fontId="1" fillId="2" borderId="1" xfId="0" applyFont="1" applyFill="1" applyBorder="1" applyAlignment="1">
      <alignment vertical="top"/>
    </xf>
    <xf numFmtId="0" fontId="12" fillId="15" borderId="1" xfId="0" applyNumberFormat="1" applyFont="1" applyFill="1" applyBorder="1" applyAlignment="1">
      <alignment horizontal="left" vertical="justify"/>
    </xf>
    <xf numFmtId="0" fontId="5" fillId="2" borderId="0" xfId="0" applyNumberFormat="1" applyFont="1" applyFill="1" applyAlignment="1">
      <alignment horizontal="left" vertical="justify"/>
    </xf>
    <xf numFmtId="0" fontId="0" fillId="8" borderId="1" xfId="0" applyFont="1" applyFill="1" applyBorder="1"/>
    <xf numFmtId="0" fontId="18" fillId="2" borderId="0" xfId="0" applyFont="1" applyFill="1"/>
    <xf numFmtId="0" fontId="19" fillId="2" borderId="0" xfId="0" applyFont="1" applyFill="1"/>
  </cellXfs>
  <cellStyles count="1">
    <cellStyle name="Normal" xfId="0" builtinId="0"/>
  </cellStyles>
  <dxfs count="0"/>
  <tableStyles count="0" defaultTableStyle="TableStyleMedium2" defaultPivotStyle="PivotStyleLight16"/>
  <colors>
    <mruColors>
      <color rgb="FF0B0BA9"/>
      <color rgb="FFF1FEF0"/>
      <color rgb="FF09098F"/>
      <color rgb="FF005024"/>
      <color rgb="FFD4E4FC"/>
      <color rgb="FF4D2307"/>
      <color rgb="FF646464"/>
      <color rgb="FF180A02"/>
      <color rgb="FFFCE4D6"/>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4BBD8-3895-46BC-AADD-BA8E9C6B1B9C}">
  <dimension ref="A2:F8"/>
  <sheetViews>
    <sheetView tabSelected="1" workbookViewId="0"/>
  </sheetViews>
  <sheetFormatPr defaultColWidth="8.6328125" defaultRowHeight="14" x14ac:dyDescent="0.3"/>
  <cols>
    <col min="1" max="1" width="5.6328125" style="2" customWidth="1"/>
    <col min="2" max="2" width="41.1796875" style="2" customWidth="1"/>
    <col min="3" max="3" width="12.1796875" style="2" customWidth="1"/>
    <col min="4" max="4" width="8.1796875" style="5" bestFit="1" customWidth="1"/>
    <col min="5" max="16384" width="8.6328125" style="2"/>
  </cols>
  <sheetData>
    <row r="2" spans="1:6" s="8" customFormat="1" ht="20.5" x14ac:dyDescent="0.45">
      <c r="A2" s="38" t="s">
        <v>343</v>
      </c>
      <c r="B2" s="38"/>
      <c r="C2" s="38"/>
      <c r="D2" s="38"/>
      <c r="F2" s="2"/>
    </row>
    <row r="4" spans="1:6" s="3" customFormat="1" ht="28" x14ac:dyDescent="0.35">
      <c r="A4" s="7" t="s">
        <v>2</v>
      </c>
      <c r="B4" s="7" t="s">
        <v>344</v>
      </c>
      <c r="C4" s="7" t="s">
        <v>3</v>
      </c>
      <c r="D4" s="9" t="s">
        <v>4</v>
      </c>
    </row>
    <row r="5" spans="1:6" x14ac:dyDescent="0.3">
      <c r="A5" s="4">
        <v>1</v>
      </c>
      <c r="B5" s="4" t="s">
        <v>169</v>
      </c>
      <c r="C5" s="4" t="s">
        <v>345</v>
      </c>
      <c r="D5" s="12" t="s">
        <v>26</v>
      </c>
    </row>
    <row r="6" spans="1:6" x14ac:dyDescent="0.3">
      <c r="A6" s="4">
        <f>A5+1</f>
        <v>2</v>
      </c>
      <c r="B6" s="4" t="s">
        <v>539</v>
      </c>
      <c r="C6" s="4" t="s">
        <v>540</v>
      </c>
      <c r="D6" s="12" t="s">
        <v>26</v>
      </c>
    </row>
    <row r="7" spans="1:6" x14ac:dyDescent="0.3">
      <c r="A7" s="4">
        <f t="shared" ref="A7:A8" si="0">A6+1</f>
        <v>3</v>
      </c>
      <c r="B7" s="4" t="s">
        <v>346</v>
      </c>
      <c r="C7" s="4" t="s">
        <v>347</v>
      </c>
      <c r="D7" s="12" t="s">
        <v>26</v>
      </c>
    </row>
    <row r="8" spans="1:6" x14ac:dyDescent="0.3">
      <c r="A8" s="4">
        <f t="shared" si="0"/>
        <v>4</v>
      </c>
      <c r="B8" s="4" t="s">
        <v>511</v>
      </c>
      <c r="C8" s="4" t="s">
        <v>541</v>
      </c>
      <c r="D8" s="12" t="s">
        <v>26</v>
      </c>
    </row>
  </sheetData>
  <mergeCells count="1">
    <mergeCell ref="A2:D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C9394-AFEC-4010-9592-36DF4D85A094}">
  <dimension ref="A2:C9"/>
  <sheetViews>
    <sheetView workbookViewId="0">
      <selection activeCell="C5" sqref="C5"/>
    </sheetView>
  </sheetViews>
  <sheetFormatPr defaultColWidth="8.6328125" defaultRowHeight="14" x14ac:dyDescent="0.3"/>
  <cols>
    <col min="1" max="1" width="8.6328125" style="2" customWidth="1"/>
    <col min="2" max="2" width="42.1796875" style="2" bestFit="1" customWidth="1"/>
    <col min="3" max="3" width="56.6328125" style="2" bestFit="1" customWidth="1"/>
    <col min="4" max="16384" width="8.6328125" style="2"/>
  </cols>
  <sheetData>
    <row r="2" spans="1:3" x14ac:dyDescent="0.3">
      <c r="A2" s="17" t="s">
        <v>14</v>
      </c>
      <c r="B2" s="17" t="s">
        <v>15</v>
      </c>
      <c r="C2" s="17" t="s">
        <v>16</v>
      </c>
    </row>
    <row r="3" spans="1:3" x14ac:dyDescent="0.3">
      <c r="A3" s="6"/>
      <c r="B3" s="15" t="s">
        <v>8</v>
      </c>
      <c r="C3" s="16" t="s">
        <v>19</v>
      </c>
    </row>
    <row r="4" spans="1:3" x14ac:dyDescent="0.3">
      <c r="A4" s="10"/>
      <c r="B4" s="15" t="s">
        <v>9</v>
      </c>
      <c r="C4" s="16" t="s">
        <v>9</v>
      </c>
    </row>
    <row r="5" spans="1:3" x14ac:dyDescent="0.3">
      <c r="A5" s="11"/>
      <c r="B5" s="15" t="s">
        <v>10</v>
      </c>
      <c r="C5" s="16" t="s">
        <v>11</v>
      </c>
    </row>
    <row r="6" spans="1:3" x14ac:dyDescent="0.3">
      <c r="A6" s="13"/>
      <c r="B6" s="15" t="s">
        <v>12</v>
      </c>
      <c r="C6" s="16" t="s">
        <v>17</v>
      </c>
    </row>
    <row r="7" spans="1:3" x14ac:dyDescent="0.3">
      <c r="A7" s="14"/>
      <c r="B7" s="15" t="s">
        <v>13</v>
      </c>
      <c r="C7" s="16" t="s">
        <v>18</v>
      </c>
    </row>
    <row r="8" spans="1:3" x14ac:dyDescent="0.3">
      <c r="A8" s="19"/>
      <c r="B8" s="15" t="s">
        <v>23</v>
      </c>
      <c r="C8" s="16" t="s">
        <v>21</v>
      </c>
    </row>
    <row r="9" spans="1:3" x14ac:dyDescent="0.3">
      <c r="A9" s="20"/>
      <c r="B9" s="15" t="s">
        <v>22</v>
      </c>
      <c r="C9" s="16" t="s">
        <v>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B9642-9C80-4791-AD72-624F021EECDF}">
  <sheetPr>
    <tabColor rgb="FF005024"/>
  </sheetPr>
  <dimension ref="A1:S29"/>
  <sheetViews>
    <sheetView topLeftCell="G2" workbookViewId="0">
      <selection activeCell="O8" sqref="O8"/>
    </sheetView>
  </sheetViews>
  <sheetFormatPr defaultColWidth="8.6328125" defaultRowHeight="14" x14ac:dyDescent="0.3"/>
  <cols>
    <col min="1" max="1" width="10.453125" style="2" customWidth="1"/>
    <col min="2" max="2" width="11.08984375" style="2" customWidth="1"/>
    <col min="3" max="3" width="48.6328125" style="2" bestFit="1" customWidth="1"/>
    <col min="4" max="4" width="19.81640625" style="2" bestFit="1" customWidth="1"/>
    <col min="5" max="5" width="12.6328125" style="2" customWidth="1"/>
    <col min="6" max="9" width="16.1796875" style="2" customWidth="1"/>
    <col min="10" max="10" width="28.81640625" style="2" bestFit="1" customWidth="1"/>
    <col min="11" max="11" width="15.26953125" style="2" bestFit="1" customWidth="1"/>
    <col min="12" max="12" width="14.90625" style="2" customWidth="1"/>
    <col min="13" max="13" width="14.453125" style="2" customWidth="1"/>
    <col min="14" max="14" width="14.08984375" style="2" bestFit="1" customWidth="1"/>
    <col min="15" max="15" width="18.1796875" style="2" customWidth="1"/>
    <col min="16" max="17" width="12.6328125" style="2" customWidth="1"/>
    <col min="18" max="18" width="15.1796875" style="2" customWidth="1"/>
    <col min="19" max="19" width="14.08984375" style="2" customWidth="1"/>
    <col min="20" max="16384" width="8.6328125" style="2"/>
  </cols>
  <sheetData>
    <row r="1" spans="1:19" ht="17.5" x14ac:dyDescent="0.35">
      <c r="A1" s="1" t="s">
        <v>54</v>
      </c>
      <c r="B1" s="1"/>
      <c r="C1" s="1"/>
      <c r="D1" s="1"/>
      <c r="E1" s="1"/>
      <c r="F1" s="1"/>
      <c r="L1" s="1"/>
      <c r="M1" s="1"/>
      <c r="N1" s="1"/>
    </row>
    <row r="2" spans="1:19" x14ac:dyDescent="0.3">
      <c r="A2" s="39"/>
      <c r="B2" s="39"/>
      <c r="C2" s="39"/>
      <c r="D2" s="39"/>
      <c r="E2" s="39"/>
      <c r="F2" s="39"/>
      <c r="L2" s="39"/>
      <c r="M2" s="39"/>
      <c r="N2" s="39"/>
    </row>
    <row r="3" spans="1:19" ht="28" x14ac:dyDescent="0.3">
      <c r="A3" s="18" t="s">
        <v>0</v>
      </c>
      <c r="B3" s="18" t="s">
        <v>147</v>
      </c>
      <c r="C3" s="18" t="s">
        <v>148</v>
      </c>
      <c r="D3" s="18" t="s">
        <v>149</v>
      </c>
      <c r="E3" s="18" t="s">
        <v>150</v>
      </c>
      <c r="F3" s="18" t="s">
        <v>151</v>
      </c>
      <c r="G3" s="18" t="s">
        <v>152</v>
      </c>
      <c r="H3" s="18" t="s">
        <v>153</v>
      </c>
      <c r="I3" s="18" t="s">
        <v>154</v>
      </c>
      <c r="J3" s="18" t="s">
        <v>155</v>
      </c>
      <c r="K3" s="18" t="s">
        <v>157</v>
      </c>
      <c r="L3" s="18" t="s">
        <v>51</v>
      </c>
      <c r="M3" s="18" t="s">
        <v>158</v>
      </c>
      <c r="N3" s="18" t="s">
        <v>159</v>
      </c>
      <c r="O3" s="18" t="s">
        <v>160</v>
      </c>
      <c r="P3" s="18" t="s">
        <v>161</v>
      </c>
      <c r="Q3" s="18" t="s">
        <v>162</v>
      </c>
      <c r="R3" s="18" t="s">
        <v>163</v>
      </c>
      <c r="S3" s="18" t="s">
        <v>166</v>
      </c>
    </row>
    <row r="4" spans="1:19" x14ac:dyDescent="0.3">
      <c r="A4" s="10" t="s">
        <v>55</v>
      </c>
      <c r="B4" s="10" t="s">
        <v>56</v>
      </c>
      <c r="C4" s="10" t="s">
        <v>57</v>
      </c>
      <c r="D4" s="10" t="s">
        <v>58</v>
      </c>
      <c r="E4" s="10" t="s">
        <v>59</v>
      </c>
      <c r="F4" s="10" t="s">
        <v>60</v>
      </c>
      <c r="G4" s="10" t="s">
        <v>61</v>
      </c>
      <c r="H4" s="10" t="s">
        <v>62</v>
      </c>
      <c r="I4" s="10" t="s">
        <v>63</v>
      </c>
      <c r="J4" s="10" t="s">
        <v>64</v>
      </c>
      <c r="K4" s="10" t="s">
        <v>65</v>
      </c>
      <c r="L4" s="10" t="s">
        <v>66</v>
      </c>
      <c r="M4" s="10" t="s">
        <v>67</v>
      </c>
      <c r="N4" s="10" t="s">
        <v>68</v>
      </c>
      <c r="O4" s="10" t="s">
        <v>69</v>
      </c>
      <c r="P4" s="10" t="s">
        <v>70</v>
      </c>
      <c r="Q4" s="10" t="s">
        <v>71</v>
      </c>
      <c r="R4" s="10" t="s">
        <v>72</v>
      </c>
      <c r="S4" s="10" t="s">
        <v>73</v>
      </c>
    </row>
    <row r="5" spans="1:19" x14ac:dyDescent="0.3">
      <c r="A5" s="26" t="s">
        <v>6</v>
      </c>
      <c r="B5" s="26" t="s">
        <v>5</v>
      </c>
      <c r="C5" s="26" t="s">
        <v>5</v>
      </c>
      <c r="D5" s="26" t="s">
        <v>5</v>
      </c>
      <c r="E5" s="26" t="s">
        <v>6</v>
      </c>
      <c r="F5" s="26" t="s">
        <v>5</v>
      </c>
      <c r="G5" s="26" t="s">
        <v>5</v>
      </c>
      <c r="H5" s="26" t="s">
        <v>5</v>
      </c>
      <c r="I5" s="26" t="s">
        <v>6</v>
      </c>
      <c r="J5" s="26" t="s">
        <v>6</v>
      </c>
      <c r="K5" s="26" t="s">
        <v>6</v>
      </c>
      <c r="L5" s="26" t="s">
        <v>6</v>
      </c>
      <c r="M5" s="26" t="s">
        <v>6</v>
      </c>
      <c r="N5" s="26" t="s">
        <v>5</v>
      </c>
      <c r="O5" s="26" t="s">
        <v>6</v>
      </c>
      <c r="P5" s="26" t="s">
        <v>6</v>
      </c>
      <c r="Q5" s="26" t="s">
        <v>6</v>
      </c>
      <c r="R5" s="26" t="s">
        <v>5</v>
      </c>
      <c r="S5" s="26" t="s">
        <v>5</v>
      </c>
    </row>
    <row r="6" spans="1:19" x14ac:dyDescent="0.3">
      <c r="A6" s="13" t="s">
        <v>7</v>
      </c>
      <c r="B6" s="13" t="s">
        <v>28</v>
      </c>
      <c r="C6" s="13" t="s">
        <v>164</v>
      </c>
      <c r="D6" s="13" t="s">
        <v>27</v>
      </c>
      <c r="E6" s="13" t="s">
        <v>35</v>
      </c>
      <c r="F6" s="13" t="s">
        <v>28</v>
      </c>
      <c r="G6" s="13" t="s">
        <v>28</v>
      </c>
      <c r="H6" s="13" t="s">
        <v>28</v>
      </c>
      <c r="I6" s="13" t="s">
        <v>20</v>
      </c>
      <c r="J6" s="13" t="s">
        <v>20</v>
      </c>
      <c r="K6" s="13" t="s">
        <v>20</v>
      </c>
      <c r="L6" s="13" t="s">
        <v>20</v>
      </c>
      <c r="M6" s="13" t="s">
        <v>20</v>
      </c>
      <c r="N6" s="13" t="s">
        <v>28</v>
      </c>
      <c r="O6" s="13" t="s">
        <v>20</v>
      </c>
      <c r="P6" s="13" t="s">
        <v>20</v>
      </c>
      <c r="Q6" s="13" t="s">
        <v>20</v>
      </c>
      <c r="R6" s="13" t="s">
        <v>28</v>
      </c>
      <c r="S6" s="13" t="s">
        <v>20</v>
      </c>
    </row>
    <row r="7" spans="1:19" x14ac:dyDescent="0.3">
      <c r="A7" s="14" t="s">
        <v>29</v>
      </c>
      <c r="B7" s="14" t="s">
        <v>74</v>
      </c>
      <c r="C7" s="14" t="s">
        <v>97</v>
      </c>
      <c r="D7" s="14" t="s">
        <v>98</v>
      </c>
      <c r="E7" s="40" t="s">
        <v>42</v>
      </c>
      <c r="F7" s="14"/>
      <c r="G7" s="14"/>
      <c r="H7" s="14"/>
      <c r="I7" s="14" t="s">
        <v>336</v>
      </c>
      <c r="J7" s="14" t="s">
        <v>326</v>
      </c>
      <c r="K7" s="14" t="s">
        <v>33</v>
      </c>
      <c r="L7" s="14" t="s">
        <v>33</v>
      </c>
      <c r="M7" s="14" t="s">
        <v>33</v>
      </c>
      <c r="N7" s="14"/>
      <c r="O7" s="14" t="s">
        <v>329</v>
      </c>
      <c r="P7" s="14" t="s">
        <v>33</v>
      </c>
      <c r="Q7" s="14" t="s">
        <v>33</v>
      </c>
      <c r="R7" s="14"/>
      <c r="S7" s="14"/>
    </row>
    <row r="8" spans="1:19" s="36" customFormat="1" x14ac:dyDescent="0.3">
      <c r="A8" s="14" t="s">
        <v>29</v>
      </c>
      <c r="B8" s="14" t="s">
        <v>75</v>
      </c>
      <c r="C8" s="14" t="s">
        <v>99</v>
      </c>
      <c r="D8" s="14" t="s">
        <v>100</v>
      </c>
      <c r="E8" s="40" t="s">
        <v>42</v>
      </c>
      <c r="F8" s="14"/>
      <c r="G8" s="14"/>
      <c r="H8" s="14"/>
      <c r="I8" s="14" t="s">
        <v>336</v>
      </c>
      <c r="J8" s="14" t="s">
        <v>326</v>
      </c>
      <c r="K8" s="14" t="s">
        <v>33</v>
      </c>
      <c r="L8" s="14" t="s">
        <v>33</v>
      </c>
      <c r="M8" s="14" t="s">
        <v>33</v>
      </c>
      <c r="N8" s="14"/>
      <c r="O8" s="14" t="s">
        <v>329</v>
      </c>
      <c r="P8" s="14" t="s">
        <v>33</v>
      </c>
      <c r="Q8" s="14" t="s">
        <v>33</v>
      </c>
      <c r="R8" s="14"/>
      <c r="S8" s="14"/>
    </row>
    <row r="9" spans="1:19" x14ac:dyDescent="0.3">
      <c r="A9" s="14" t="s">
        <v>29</v>
      </c>
      <c r="B9" s="14" t="s">
        <v>76</v>
      </c>
      <c r="C9" s="14" t="s">
        <v>101</v>
      </c>
      <c r="D9" s="14" t="s">
        <v>102</v>
      </c>
      <c r="E9" s="40" t="s">
        <v>42</v>
      </c>
      <c r="F9" s="14"/>
      <c r="G9" s="14"/>
      <c r="H9" s="14"/>
      <c r="I9" s="14" t="s">
        <v>336</v>
      </c>
      <c r="J9" s="14" t="s">
        <v>326</v>
      </c>
      <c r="K9" s="14" t="s">
        <v>33</v>
      </c>
      <c r="L9" s="14" t="s">
        <v>33</v>
      </c>
      <c r="M9" s="14" t="s">
        <v>33</v>
      </c>
      <c r="N9" s="14"/>
      <c r="O9" s="14" t="s">
        <v>329</v>
      </c>
      <c r="P9" s="14" t="s">
        <v>33</v>
      </c>
      <c r="Q9" s="14" t="s">
        <v>33</v>
      </c>
      <c r="R9" s="14"/>
      <c r="S9" s="14"/>
    </row>
    <row r="10" spans="1:19" x14ac:dyDescent="0.3">
      <c r="A10" s="14" t="s">
        <v>29</v>
      </c>
      <c r="B10" s="14" t="s">
        <v>77</v>
      </c>
      <c r="C10" s="14" t="s">
        <v>103</v>
      </c>
      <c r="D10" s="14" t="s">
        <v>103</v>
      </c>
      <c r="E10" s="40" t="s">
        <v>140</v>
      </c>
      <c r="F10" s="14"/>
      <c r="G10" s="14"/>
      <c r="H10" s="14"/>
      <c r="I10" s="14" t="s">
        <v>336</v>
      </c>
      <c r="J10" s="14" t="s">
        <v>326</v>
      </c>
      <c r="K10" s="14" t="s">
        <v>33</v>
      </c>
      <c r="L10" s="14" t="s">
        <v>34</v>
      </c>
      <c r="M10" s="14" t="s">
        <v>33</v>
      </c>
      <c r="N10" s="14"/>
      <c r="O10" s="14" t="s">
        <v>329</v>
      </c>
      <c r="P10" s="14" t="s">
        <v>33</v>
      </c>
      <c r="Q10" s="14" t="s">
        <v>33</v>
      </c>
      <c r="R10" s="14"/>
      <c r="S10" s="14"/>
    </row>
    <row r="11" spans="1:19" x14ac:dyDescent="0.3">
      <c r="A11" s="14" t="s">
        <v>29</v>
      </c>
      <c r="B11" s="14" t="s">
        <v>78</v>
      </c>
      <c r="C11" s="14" t="s">
        <v>104</v>
      </c>
      <c r="D11" s="14" t="s">
        <v>105</v>
      </c>
      <c r="E11" s="40" t="s">
        <v>38</v>
      </c>
      <c r="F11" s="14"/>
      <c r="G11" s="14"/>
      <c r="H11" s="14"/>
      <c r="I11" s="14" t="s">
        <v>336</v>
      </c>
      <c r="J11" s="14" t="s">
        <v>326</v>
      </c>
      <c r="K11" s="14" t="s">
        <v>33</v>
      </c>
      <c r="L11" s="14" t="s">
        <v>33</v>
      </c>
      <c r="M11" s="14" t="s">
        <v>33</v>
      </c>
      <c r="N11" s="14"/>
      <c r="O11" s="14" t="s">
        <v>329</v>
      </c>
      <c r="P11" s="14" t="s">
        <v>33</v>
      </c>
      <c r="Q11" s="14" t="s">
        <v>33</v>
      </c>
      <c r="R11" s="14"/>
      <c r="S11" s="14"/>
    </row>
    <row r="12" spans="1:19" x14ac:dyDescent="0.3">
      <c r="A12" s="14" t="s">
        <v>29</v>
      </c>
      <c r="B12" s="14" t="s">
        <v>79</v>
      </c>
      <c r="C12" s="14" t="s">
        <v>106</v>
      </c>
      <c r="D12" s="14" t="s">
        <v>107</v>
      </c>
      <c r="E12" s="40" t="s">
        <v>194</v>
      </c>
      <c r="F12" s="14" t="s">
        <v>144</v>
      </c>
      <c r="G12" s="14"/>
      <c r="H12" s="14"/>
      <c r="I12" s="14" t="s">
        <v>336</v>
      </c>
      <c r="J12" s="14" t="s">
        <v>326</v>
      </c>
      <c r="K12" s="14" t="s">
        <v>34</v>
      </c>
      <c r="L12" s="14" t="s">
        <v>33</v>
      </c>
      <c r="M12" s="14" t="s">
        <v>34</v>
      </c>
      <c r="N12" s="14"/>
      <c r="O12" s="14" t="s">
        <v>329</v>
      </c>
      <c r="P12" s="14" t="s">
        <v>33</v>
      </c>
      <c r="Q12" s="14" t="s">
        <v>33</v>
      </c>
      <c r="R12" s="14"/>
      <c r="S12" s="14"/>
    </row>
    <row r="13" spans="1:19" x14ac:dyDescent="0.3">
      <c r="A13" s="14" t="s">
        <v>29</v>
      </c>
      <c r="B13" s="14" t="s">
        <v>80</v>
      </c>
      <c r="C13" s="14" t="s">
        <v>108</v>
      </c>
      <c r="D13" s="14" t="s">
        <v>109</v>
      </c>
      <c r="E13" s="40" t="s">
        <v>193</v>
      </c>
      <c r="F13" s="14" t="s">
        <v>144</v>
      </c>
      <c r="G13" s="14"/>
      <c r="H13" s="14"/>
      <c r="I13" s="14" t="s">
        <v>336</v>
      </c>
      <c r="J13" s="14" t="s">
        <v>326</v>
      </c>
      <c r="K13" s="14" t="s">
        <v>34</v>
      </c>
      <c r="L13" s="14" t="s">
        <v>33</v>
      </c>
      <c r="M13" s="14" t="s">
        <v>34</v>
      </c>
      <c r="N13" s="14"/>
      <c r="O13" s="14" t="s">
        <v>329</v>
      </c>
      <c r="P13" s="14" t="s">
        <v>33</v>
      </c>
      <c r="Q13" s="14" t="s">
        <v>33</v>
      </c>
      <c r="R13" s="14"/>
      <c r="S13" s="14"/>
    </row>
    <row r="14" spans="1:19" x14ac:dyDescent="0.3">
      <c r="A14" s="14" t="s">
        <v>29</v>
      </c>
      <c r="B14" s="14" t="s">
        <v>81</v>
      </c>
      <c r="C14" s="14" t="s">
        <v>110</v>
      </c>
      <c r="D14" s="14" t="s">
        <v>110</v>
      </c>
      <c r="E14" s="40" t="s">
        <v>185</v>
      </c>
      <c r="F14" s="14" t="s">
        <v>144</v>
      </c>
      <c r="G14" s="14"/>
      <c r="H14" s="14"/>
      <c r="I14" s="14" t="s">
        <v>336</v>
      </c>
      <c r="J14" s="14" t="s">
        <v>326</v>
      </c>
      <c r="K14" s="14" t="s">
        <v>33</v>
      </c>
      <c r="L14" s="14" t="s">
        <v>33</v>
      </c>
      <c r="M14" s="14" t="s">
        <v>33</v>
      </c>
      <c r="N14" s="14" t="s">
        <v>79</v>
      </c>
      <c r="O14" s="14" t="s">
        <v>329</v>
      </c>
      <c r="P14" s="14" t="s">
        <v>33</v>
      </c>
      <c r="Q14" s="14" t="s">
        <v>33</v>
      </c>
      <c r="R14" s="14"/>
      <c r="S14" s="14"/>
    </row>
    <row r="15" spans="1:19" x14ac:dyDescent="0.3">
      <c r="A15" s="14" t="s">
        <v>29</v>
      </c>
      <c r="B15" s="14" t="s">
        <v>82</v>
      </c>
      <c r="C15" s="14" t="s">
        <v>111</v>
      </c>
      <c r="D15" s="14" t="s">
        <v>112</v>
      </c>
      <c r="E15" s="40" t="s">
        <v>187</v>
      </c>
      <c r="F15" s="14" t="s">
        <v>144</v>
      </c>
      <c r="G15" s="14"/>
      <c r="H15" s="14"/>
      <c r="I15" s="14" t="s">
        <v>336</v>
      </c>
      <c r="J15" s="14" t="s">
        <v>326</v>
      </c>
      <c r="K15" s="14" t="s">
        <v>33</v>
      </c>
      <c r="L15" s="14" t="s">
        <v>33</v>
      </c>
      <c r="M15" s="14" t="s">
        <v>33</v>
      </c>
      <c r="N15" s="14"/>
      <c r="O15" s="14" t="s">
        <v>329</v>
      </c>
      <c r="P15" s="14" t="s">
        <v>33</v>
      </c>
      <c r="Q15" s="14" t="s">
        <v>33</v>
      </c>
      <c r="R15" s="14"/>
      <c r="S15" s="14"/>
    </row>
    <row r="16" spans="1:19" x14ac:dyDescent="0.3">
      <c r="A16" s="14" t="s">
        <v>29</v>
      </c>
      <c r="B16" s="14" t="s">
        <v>83</v>
      </c>
      <c r="C16" s="14" t="s">
        <v>113</v>
      </c>
      <c r="D16" s="14" t="s">
        <v>114</v>
      </c>
      <c r="E16" s="40" t="s">
        <v>186</v>
      </c>
      <c r="F16" s="14" t="s">
        <v>144</v>
      </c>
      <c r="G16" s="14"/>
      <c r="H16" s="14"/>
      <c r="I16" s="14" t="s">
        <v>336</v>
      </c>
      <c r="J16" s="14" t="s">
        <v>326</v>
      </c>
      <c r="K16" s="14" t="s">
        <v>33</v>
      </c>
      <c r="L16" s="14" t="s">
        <v>33</v>
      </c>
      <c r="M16" s="14" t="s">
        <v>33</v>
      </c>
      <c r="N16" s="14"/>
      <c r="O16" s="14" t="s">
        <v>329</v>
      </c>
      <c r="P16" s="14" t="s">
        <v>33</v>
      </c>
      <c r="Q16" s="14" t="s">
        <v>33</v>
      </c>
      <c r="R16" s="14"/>
      <c r="S16" s="14"/>
    </row>
    <row r="17" spans="1:19" x14ac:dyDescent="0.3">
      <c r="A17" s="14" t="s">
        <v>29</v>
      </c>
      <c r="B17" s="14" t="s">
        <v>84</v>
      </c>
      <c r="C17" s="14" t="s">
        <v>115</v>
      </c>
      <c r="D17" s="14" t="s">
        <v>115</v>
      </c>
      <c r="E17" s="40" t="s">
        <v>188</v>
      </c>
      <c r="F17" s="14" t="s">
        <v>144</v>
      </c>
      <c r="G17" s="14"/>
      <c r="H17" s="14"/>
      <c r="I17" s="14" t="s">
        <v>336</v>
      </c>
      <c r="J17" s="14" t="s">
        <v>326</v>
      </c>
      <c r="K17" s="14" t="s">
        <v>33</v>
      </c>
      <c r="L17" s="14" t="s">
        <v>33</v>
      </c>
      <c r="M17" s="14" t="s">
        <v>33</v>
      </c>
      <c r="N17" s="14"/>
      <c r="O17" s="14" t="s">
        <v>329</v>
      </c>
      <c r="P17" s="14" t="s">
        <v>33</v>
      </c>
      <c r="Q17" s="14" t="s">
        <v>33</v>
      </c>
      <c r="R17" s="14"/>
      <c r="S17" s="14"/>
    </row>
    <row r="18" spans="1:19" x14ac:dyDescent="0.3">
      <c r="A18" s="14" t="s">
        <v>29</v>
      </c>
      <c r="B18" s="14" t="s">
        <v>85</v>
      </c>
      <c r="C18" s="14" t="s">
        <v>116</v>
      </c>
      <c r="D18" s="14" t="s">
        <v>117</v>
      </c>
      <c r="E18" s="40" t="s">
        <v>197</v>
      </c>
      <c r="F18" s="14" t="s">
        <v>144</v>
      </c>
      <c r="G18" s="14"/>
      <c r="H18" s="14"/>
      <c r="I18" s="14" t="s">
        <v>336</v>
      </c>
      <c r="J18" s="14" t="s">
        <v>326</v>
      </c>
      <c r="K18" s="14" t="s">
        <v>33</v>
      </c>
      <c r="L18" s="14" t="s">
        <v>33</v>
      </c>
      <c r="M18" s="14" t="s">
        <v>33</v>
      </c>
      <c r="N18" s="14"/>
      <c r="O18" s="14" t="s">
        <v>329</v>
      </c>
      <c r="P18" s="14" t="s">
        <v>33</v>
      </c>
      <c r="Q18" s="14" t="s">
        <v>33</v>
      </c>
      <c r="R18" s="14"/>
      <c r="S18" s="14"/>
    </row>
    <row r="19" spans="1:19" x14ac:dyDescent="0.3">
      <c r="A19" s="14" t="s">
        <v>29</v>
      </c>
      <c r="B19" s="14" t="s">
        <v>86</v>
      </c>
      <c r="C19" s="14" t="s">
        <v>118</v>
      </c>
      <c r="D19" s="14" t="s">
        <v>119</v>
      </c>
      <c r="E19" s="40" t="s">
        <v>199</v>
      </c>
      <c r="F19" s="14" t="s">
        <v>144</v>
      </c>
      <c r="G19" s="14"/>
      <c r="H19" s="14"/>
      <c r="I19" s="14" t="s">
        <v>336</v>
      </c>
      <c r="J19" s="14" t="s">
        <v>326</v>
      </c>
      <c r="K19" s="14" t="s">
        <v>33</v>
      </c>
      <c r="L19" s="14" t="s">
        <v>33</v>
      </c>
      <c r="M19" s="14" t="s">
        <v>33</v>
      </c>
      <c r="N19" s="14"/>
      <c r="O19" s="14" t="s">
        <v>329</v>
      </c>
      <c r="P19" s="14" t="s">
        <v>33</v>
      </c>
      <c r="Q19" s="14" t="s">
        <v>33</v>
      </c>
      <c r="R19" s="14"/>
      <c r="S19" s="14"/>
    </row>
    <row r="20" spans="1:19" x14ac:dyDescent="0.3">
      <c r="A20" s="14" t="s">
        <v>29</v>
      </c>
      <c r="B20" s="14" t="s">
        <v>87</v>
      </c>
      <c r="C20" s="14" t="s">
        <v>120</v>
      </c>
      <c r="D20" s="14" t="s">
        <v>121</v>
      </c>
      <c r="E20" s="40" t="s">
        <v>189</v>
      </c>
      <c r="F20" s="14" t="s">
        <v>144</v>
      </c>
      <c r="G20" s="14"/>
      <c r="H20" s="14"/>
      <c r="I20" s="14" t="s">
        <v>336</v>
      </c>
      <c r="J20" s="14" t="s">
        <v>326</v>
      </c>
      <c r="K20" s="14" t="s">
        <v>33</v>
      </c>
      <c r="L20" s="14" t="s">
        <v>33</v>
      </c>
      <c r="M20" s="14" t="s">
        <v>33</v>
      </c>
      <c r="N20" s="14"/>
      <c r="O20" s="14" t="s">
        <v>329</v>
      </c>
      <c r="P20" s="14" t="s">
        <v>33</v>
      </c>
      <c r="Q20" s="14" t="s">
        <v>33</v>
      </c>
      <c r="R20" s="14"/>
      <c r="S20" s="14"/>
    </row>
    <row r="21" spans="1:19" x14ac:dyDescent="0.3">
      <c r="A21" s="14" t="s">
        <v>29</v>
      </c>
      <c r="B21" s="14" t="s">
        <v>88</v>
      </c>
      <c r="C21" s="14" t="s">
        <v>122</v>
      </c>
      <c r="D21" s="14" t="s">
        <v>123</v>
      </c>
      <c r="E21" s="40" t="s">
        <v>194</v>
      </c>
      <c r="F21" s="14"/>
      <c r="G21" s="14"/>
      <c r="H21" s="14"/>
      <c r="I21" s="14" t="s">
        <v>336</v>
      </c>
      <c r="J21" s="14" t="s">
        <v>326</v>
      </c>
      <c r="K21" s="14" t="s">
        <v>33</v>
      </c>
      <c r="L21" s="14" t="s">
        <v>33</v>
      </c>
      <c r="M21" s="14" t="s">
        <v>33</v>
      </c>
      <c r="N21" s="14"/>
      <c r="O21" s="14" t="s">
        <v>329</v>
      </c>
      <c r="P21" s="14" t="s">
        <v>33</v>
      </c>
      <c r="Q21" s="14" t="s">
        <v>33</v>
      </c>
      <c r="R21" s="14"/>
      <c r="S21" s="14"/>
    </row>
    <row r="22" spans="1:19" x14ac:dyDescent="0.3">
      <c r="A22" s="14" t="s">
        <v>29</v>
      </c>
      <c r="B22" s="14" t="s">
        <v>89</v>
      </c>
      <c r="C22" s="14" t="s">
        <v>124</v>
      </c>
      <c r="D22" s="14" t="s">
        <v>125</v>
      </c>
      <c r="E22" s="40" t="s">
        <v>140</v>
      </c>
      <c r="F22" s="14"/>
      <c r="G22" s="14"/>
      <c r="H22" s="14"/>
      <c r="I22" s="14" t="s">
        <v>336</v>
      </c>
      <c r="J22" s="14" t="s">
        <v>326</v>
      </c>
      <c r="K22" s="14" t="s">
        <v>33</v>
      </c>
      <c r="L22" s="14" t="s">
        <v>33</v>
      </c>
      <c r="M22" s="14" t="s">
        <v>33</v>
      </c>
      <c r="N22" s="14"/>
      <c r="O22" s="14" t="s">
        <v>329</v>
      </c>
      <c r="P22" s="14" t="s">
        <v>33</v>
      </c>
      <c r="Q22" s="14" t="s">
        <v>33</v>
      </c>
      <c r="R22" s="14"/>
      <c r="S22" s="14"/>
    </row>
    <row r="23" spans="1:19" x14ac:dyDescent="0.3">
      <c r="A23" s="14" t="s">
        <v>29</v>
      </c>
      <c r="B23" s="14" t="s">
        <v>90</v>
      </c>
      <c r="C23" s="14" t="s">
        <v>126</v>
      </c>
      <c r="D23" s="14" t="s">
        <v>127</v>
      </c>
      <c r="E23" s="40" t="s">
        <v>42</v>
      </c>
      <c r="F23" s="14"/>
      <c r="G23" s="14"/>
      <c r="H23" s="14"/>
      <c r="I23" s="14" t="s">
        <v>336</v>
      </c>
      <c r="J23" s="14" t="s">
        <v>326</v>
      </c>
      <c r="K23" s="14" t="s">
        <v>33</v>
      </c>
      <c r="L23" s="14" t="s">
        <v>33</v>
      </c>
      <c r="M23" s="14" t="s">
        <v>33</v>
      </c>
      <c r="N23" s="14"/>
      <c r="O23" s="14" t="s">
        <v>329</v>
      </c>
      <c r="P23" s="14" t="s">
        <v>33</v>
      </c>
      <c r="Q23" s="14" t="s">
        <v>33</v>
      </c>
      <c r="R23" s="14"/>
      <c r="S23" s="14"/>
    </row>
    <row r="24" spans="1:19" x14ac:dyDescent="0.3">
      <c r="A24" s="14" t="s">
        <v>29</v>
      </c>
      <c r="B24" s="14" t="s">
        <v>91</v>
      </c>
      <c r="C24" s="14" t="s">
        <v>128</v>
      </c>
      <c r="D24" s="14" t="s">
        <v>129</v>
      </c>
      <c r="E24" s="40" t="s">
        <v>38</v>
      </c>
      <c r="F24" s="14"/>
      <c r="G24" s="14"/>
      <c r="H24" s="14"/>
      <c r="I24" s="14" t="s">
        <v>336</v>
      </c>
      <c r="J24" s="14" t="s">
        <v>326</v>
      </c>
      <c r="K24" s="14" t="s">
        <v>33</v>
      </c>
      <c r="L24" s="14" t="s">
        <v>33</v>
      </c>
      <c r="M24" s="14" t="s">
        <v>33</v>
      </c>
      <c r="N24" s="14"/>
      <c r="O24" s="14" t="s">
        <v>329</v>
      </c>
      <c r="P24" s="14" t="s">
        <v>33</v>
      </c>
      <c r="Q24" s="14" t="s">
        <v>33</v>
      </c>
      <c r="R24" s="14"/>
      <c r="S24" s="14"/>
    </row>
    <row r="25" spans="1:19" x14ac:dyDescent="0.3">
      <c r="A25" s="14" t="s">
        <v>29</v>
      </c>
      <c r="B25" s="14" t="s">
        <v>92</v>
      </c>
      <c r="C25" s="14" t="s">
        <v>130</v>
      </c>
      <c r="D25" s="14" t="s">
        <v>131</v>
      </c>
      <c r="E25" s="40" t="s">
        <v>38</v>
      </c>
      <c r="F25" s="14" t="s">
        <v>145</v>
      </c>
      <c r="G25" s="14" t="s">
        <v>146</v>
      </c>
      <c r="H25" s="14"/>
      <c r="I25" s="14" t="s">
        <v>336</v>
      </c>
      <c r="J25" s="14" t="s">
        <v>330</v>
      </c>
      <c r="K25" s="14" t="s">
        <v>33</v>
      </c>
      <c r="L25" s="14" t="s">
        <v>33</v>
      </c>
      <c r="M25" s="14" t="s">
        <v>33</v>
      </c>
      <c r="N25" s="14" t="s">
        <v>74</v>
      </c>
      <c r="O25" s="14" t="s">
        <v>340</v>
      </c>
      <c r="P25" s="14" t="s">
        <v>33</v>
      </c>
      <c r="Q25" s="14" t="s">
        <v>33</v>
      </c>
      <c r="R25" s="14"/>
      <c r="S25" s="14"/>
    </row>
    <row r="26" spans="1:19" x14ac:dyDescent="0.3">
      <c r="A26" s="14" t="s">
        <v>29</v>
      </c>
      <c r="B26" s="14" t="s">
        <v>93</v>
      </c>
      <c r="C26" s="14" t="s">
        <v>132</v>
      </c>
      <c r="D26" s="14" t="s">
        <v>133</v>
      </c>
      <c r="E26" s="40" t="s">
        <v>195</v>
      </c>
      <c r="F26" s="14" t="s">
        <v>145</v>
      </c>
      <c r="G26" s="14" t="s">
        <v>146</v>
      </c>
      <c r="H26" s="14"/>
      <c r="I26" s="14" t="s">
        <v>336</v>
      </c>
      <c r="J26" s="14" t="s">
        <v>330</v>
      </c>
      <c r="K26" s="14" t="s">
        <v>33</v>
      </c>
      <c r="L26" s="14" t="s">
        <v>33</v>
      </c>
      <c r="M26" s="14" t="s">
        <v>33</v>
      </c>
      <c r="N26" s="14"/>
      <c r="O26" s="14" t="s">
        <v>329</v>
      </c>
      <c r="P26" s="14" t="s">
        <v>33</v>
      </c>
      <c r="Q26" s="14" t="s">
        <v>33</v>
      </c>
      <c r="R26" s="14"/>
      <c r="S26" s="14"/>
    </row>
    <row r="27" spans="1:19" x14ac:dyDescent="0.3">
      <c r="A27" s="14" t="s">
        <v>29</v>
      </c>
      <c r="B27" s="14" t="s">
        <v>94</v>
      </c>
      <c r="C27" s="14" t="s">
        <v>134</v>
      </c>
      <c r="D27" s="14" t="s">
        <v>135</v>
      </c>
      <c r="E27" s="40" t="s">
        <v>195</v>
      </c>
      <c r="F27" s="14" t="s">
        <v>145</v>
      </c>
      <c r="G27" s="14" t="s">
        <v>146</v>
      </c>
      <c r="H27" s="14"/>
      <c r="I27" s="14" t="s">
        <v>336</v>
      </c>
      <c r="J27" s="14" t="s">
        <v>330</v>
      </c>
      <c r="K27" s="14" t="s">
        <v>33</v>
      </c>
      <c r="L27" s="14" t="s">
        <v>33</v>
      </c>
      <c r="M27" s="14" t="s">
        <v>33</v>
      </c>
      <c r="N27" s="14"/>
      <c r="O27" s="14" t="s">
        <v>329</v>
      </c>
      <c r="P27" s="14" t="s">
        <v>33</v>
      </c>
      <c r="Q27" s="14" t="s">
        <v>33</v>
      </c>
      <c r="R27" s="14"/>
      <c r="S27" s="14"/>
    </row>
    <row r="28" spans="1:19" x14ac:dyDescent="0.3">
      <c r="A28" s="14" t="s">
        <v>29</v>
      </c>
      <c r="B28" s="14" t="s">
        <v>95</v>
      </c>
      <c r="C28" s="14" t="s">
        <v>136</v>
      </c>
      <c r="D28" s="14" t="s">
        <v>137</v>
      </c>
      <c r="E28" s="40" t="s">
        <v>195</v>
      </c>
      <c r="F28" s="14" t="s">
        <v>145</v>
      </c>
      <c r="G28" s="14" t="s">
        <v>146</v>
      </c>
      <c r="H28" s="14"/>
      <c r="I28" s="14" t="s">
        <v>336</v>
      </c>
      <c r="J28" s="14" t="s">
        <v>330</v>
      </c>
      <c r="K28" s="14" t="s">
        <v>33</v>
      </c>
      <c r="L28" s="14" t="s">
        <v>33</v>
      </c>
      <c r="M28" s="14" t="s">
        <v>33</v>
      </c>
      <c r="N28" s="14"/>
      <c r="O28" s="14" t="s">
        <v>329</v>
      </c>
      <c r="P28" s="14" t="s">
        <v>33</v>
      </c>
      <c r="Q28" s="14" t="s">
        <v>33</v>
      </c>
      <c r="R28" s="14"/>
      <c r="S28" s="14"/>
    </row>
    <row r="29" spans="1:19" x14ac:dyDescent="0.3">
      <c r="A29" s="14" t="s">
        <v>29</v>
      </c>
      <c r="B29" s="14" t="s">
        <v>96</v>
      </c>
      <c r="C29" s="14" t="s">
        <v>138</v>
      </c>
      <c r="D29" s="14" t="s">
        <v>139</v>
      </c>
      <c r="E29" s="40" t="s">
        <v>195</v>
      </c>
      <c r="F29" s="14" t="s">
        <v>145</v>
      </c>
      <c r="G29" s="14" t="s">
        <v>146</v>
      </c>
      <c r="H29" s="14"/>
      <c r="I29" s="14" t="s">
        <v>336</v>
      </c>
      <c r="J29" s="14" t="s">
        <v>330</v>
      </c>
      <c r="K29" s="14" t="s">
        <v>33</v>
      </c>
      <c r="L29" s="14" t="s">
        <v>33</v>
      </c>
      <c r="M29" s="14" t="s">
        <v>33</v>
      </c>
      <c r="N29" s="14"/>
      <c r="O29" s="14" t="s">
        <v>329</v>
      </c>
      <c r="P29" s="14" t="s">
        <v>33</v>
      </c>
      <c r="Q29" s="14" t="s">
        <v>33</v>
      </c>
      <c r="R29" s="14"/>
      <c r="S29" s="14"/>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5">
        <x14:dataValidation type="list" allowBlank="1" showInputMessage="1" showErrorMessage="1" xr:uid="{A5D99D1C-9413-473F-BCD7-80100B25DD40}">
          <x14:formula1>
            <xm:f>Annexure1!$B$5:$B$6</xm:f>
          </x14:formula1>
          <xm:sqref>E7:E9</xm:sqref>
        </x14:dataValidation>
        <x14:dataValidation type="list" allowBlank="1" showInputMessage="1" showErrorMessage="1" xr:uid="{38DEB10C-A989-402C-8604-FA4DD6905D5F}">
          <x14:formula1>
            <xm:f>Annexure1!$B$9:$B$12</xm:f>
          </x14:formula1>
          <xm:sqref>E10:E11</xm:sqref>
        </x14:dataValidation>
        <x14:dataValidation type="list" allowBlank="1" showInputMessage="1" showErrorMessage="1" xr:uid="{F64A92E2-B8D3-41E1-9643-298DD77B9F83}">
          <x14:formula1>
            <xm:f>Annexure1!$B$15:$B$32</xm:f>
          </x14:formula1>
          <xm:sqref>E12:E20</xm:sqref>
        </x14:dataValidation>
        <x14:dataValidation type="list" allowBlank="1" showInputMessage="1" showErrorMessage="1" xr:uid="{9936B864-E9DE-4B4E-BF0A-B4BC577EB135}">
          <x14:formula1>
            <xm:f>Annexure1!$B$35:$B$37</xm:f>
          </x14:formula1>
          <xm:sqref>E21:E22</xm:sqref>
        </x14:dataValidation>
        <x14:dataValidation type="list" allowBlank="1" showInputMessage="1" showErrorMessage="1" xr:uid="{9631F0C2-91C9-40A0-927A-91ADEAF3DB3D}">
          <x14:formula1>
            <xm:f>Annexure1!$B$41:$B$44</xm:f>
          </x14:formula1>
          <xm:sqref>E23:E24</xm:sqref>
        </x14:dataValidation>
        <x14:dataValidation type="list" allowBlank="1" showInputMessage="1" showErrorMessage="1" xr:uid="{9A336735-CDFA-42A1-BB1A-05E78AEE5FAE}">
          <x14:formula1>
            <xm:f>Annexure1!$B$48:$B$69</xm:f>
          </x14:formula1>
          <xm:sqref>E25:E29</xm:sqref>
        </x14:dataValidation>
        <x14:dataValidation type="list" allowBlank="1" showInputMessage="1" showErrorMessage="1" xr:uid="{560B3F60-0C34-44E9-9384-5DFB17602280}">
          <x14:formula1>
            <xm:f>Annexure2!$A$4:$A$36</xm:f>
          </x14:formula1>
          <xm:sqref>F7:H29</xm:sqref>
        </x14:dataValidation>
        <x14:dataValidation type="list" allowBlank="1" showInputMessage="1" showErrorMessage="1" xr:uid="{C96E778A-AC56-4565-87EC-8596A3308760}">
          <x14:formula1>
            <xm:f>DataValidation!$G$4:$G$7</xm:f>
          </x14:formula1>
          <xm:sqref>J7:J29</xm:sqref>
        </x14:dataValidation>
        <x14:dataValidation type="list" allowBlank="1" showInputMessage="1" showErrorMessage="1" xr:uid="{EBB52377-1A2E-4ABA-82B1-E07ED6DA13EE}">
          <x14:formula1>
            <xm:f>DataValidation!$G$11:$G$16</xm:f>
          </x14:formula1>
          <xm:sqref>I7:I29</xm:sqref>
        </x14:dataValidation>
        <x14:dataValidation type="list" allowBlank="1" showInputMessage="1" showErrorMessage="1" xr:uid="{1A2992AA-CC2E-44DD-BF18-EE0EB3DBFDE2}">
          <x14:formula1>
            <xm:f>DataValidation!$A$4:$A$6</xm:f>
          </x14:formula1>
          <xm:sqref>K7:K29</xm:sqref>
        </x14:dataValidation>
        <x14:dataValidation type="list" allowBlank="1" showInputMessage="1" showErrorMessage="1" xr:uid="{757DB13B-162F-4EF7-9761-6FCE76C31ED3}">
          <x14:formula1>
            <xm:f>DataValidation!$B$4:$B$6</xm:f>
          </x14:formula1>
          <xm:sqref>L7:L29</xm:sqref>
        </x14:dataValidation>
        <x14:dataValidation type="list" allowBlank="1" showInputMessage="1" showErrorMessage="1" xr:uid="{C2A534E3-A60F-47F6-AB35-0924956719EB}">
          <x14:formula1>
            <xm:f>DataValidation!$C$4:$C$6</xm:f>
          </x14:formula1>
          <xm:sqref>M7:M29</xm:sqref>
        </x14:dataValidation>
        <x14:dataValidation type="list" allowBlank="1" showInputMessage="1" showErrorMessage="1" xr:uid="{B4CA9C44-41A3-4E1B-BBB6-ECAB787B87A3}">
          <x14:formula1>
            <xm:f>DataValidation!$D$4:$D$8</xm:f>
          </x14:formula1>
          <xm:sqref>O7:O29</xm:sqref>
        </x14:dataValidation>
        <x14:dataValidation type="list" allowBlank="1" showInputMessage="1" showErrorMessage="1" xr:uid="{3A506B85-E99E-466E-85D3-85712813378E}">
          <x14:formula1>
            <xm:f>DataValidation!$E$4:$E$6</xm:f>
          </x14:formula1>
          <xm:sqref>P7:P29</xm:sqref>
        </x14:dataValidation>
        <x14:dataValidation type="list" allowBlank="1" showInputMessage="1" showErrorMessage="1" xr:uid="{5BA10F57-404F-48D4-811C-C735153B7D8F}">
          <x14:formula1>
            <xm:f>DataValidation!$F$4:$F$6</xm:f>
          </x14:formula1>
          <xm:sqref>Q7:Q29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66DAC-94A0-4482-818B-886609DC1343}">
  <sheetPr>
    <tabColor rgb="FF005024"/>
  </sheetPr>
  <dimension ref="A1:G36"/>
  <sheetViews>
    <sheetView topLeftCell="A12" workbookViewId="0">
      <selection activeCell="G30" sqref="G30"/>
    </sheetView>
  </sheetViews>
  <sheetFormatPr defaultRowHeight="14.5" x14ac:dyDescent="0.35"/>
  <cols>
    <col min="1" max="1" width="11.453125" style="2" customWidth="1"/>
    <col min="2" max="2" width="13.6328125" style="2" customWidth="1"/>
    <col min="3" max="3" width="28.453125" style="2" customWidth="1"/>
    <col min="4" max="4" width="16.1796875" style="34" customWidth="1"/>
    <col min="5" max="5" width="16.6328125" style="34" customWidth="1"/>
    <col min="6" max="6" width="15.90625" style="34" customWidth="1"/>
    <col min="7" max="7" width="12.6328125" style="34" customWidth="1"/>
    <col min="8" max="16384" width="8.7265625" style="34"/>
  </cols>
  <sheetData>
    <row r="1" spans="1:7" ht="17.5" x14ac:dyDescent="0.35">
      <c r="A1" s="1" t="s">
        <v>394</v>
      </c>
      <c r="B1" s="1"/>
      <c r="C1" s="1"/>
    </row>
    <row r="3" spans="1:7" ht="28" x14ac:dyDescent="0.35">
      <c r="A3" s="18" t="s">
        <v>0</v>
      </c>
      <c r="B3" s="18" t="s">
        <v>147</v>
      </c>
      <c r="C3" s="18" t="s">
        <v>148</v>
      </c>
      <c r="D3" s="18" t="s">
        <v>151</v>
      </c>
      <c r="E3" s="18" t="s">
        <v>152</v>
      </c>
      <c r="F3" s="18" t="s">
        <v>153</v>
      </c>
      <c r="G3" s="18" t="s">
        <v>395</v>
      </c>
    </row>
    <row r="4" spans="1:7" x14ac:dyDescent="0.35">
      <c r="A4" s="10" t="s">
        <v>55</v>
      </c>
      <c r="B4" s="10" t="s">
        <v>56</v>
      </c>
      <c r="C4" s="10" t="s">
        <v>57</v>
      </c>
      <c r="D4" s="10" t="s">
        <v>60</v>
      </c>
      <c r="E4" s="10" t="s">
        <v>61</v>
      </c>
      <c r="F4" s="10" t="s">
        <v>62</v>
      </c>
      <c r="G4" s="10" t="s">
        <v>40</v>
      </c>
    </row>
    <row r="5" spans="1:7" x14ac:dyDescent="0.35">
      <c r="A5" s="26" t="s">
        <v>6</v>
      </c>
      <c r="B5" s="26" t="s">
        <v>5</v>
      </c>
      <c r="C5" s="26" t="s">
        <v>5</v>
      </c>
      <c r="D5" s="26" t="s">
        <v>5</v>
      </c>
      <c r="E5" s="26" t="s">
        <v>5</v>
      </c>
      <c r="F5" s="26" t="s">
        <v>5</v>
      </c>
      <c r="G5" s="26" t="s">
        <v>6</v>
      </c>
    </row>
    <row r="6" spans="1:7" x14ac:dyDescent="0.35">
      <c r="A6" s="13" t="s">
        <v>7</v>
      </c>
      <c r="B6" s="13" t="s">
        <v>28</v>
      </c>
      <c r="C6" s="13" t="s">
        <v>164</v>
      </c>
      <c r="D6" s="13" t="s">
        <v>28</v>
      </c>
      <c r="E6" s="13" t="s">
        <v>28</v>
      </c>
      <c r="F6" s="13" t="s">
        <v>28</v>
      </c>
      <c r="G6" s="13" t="s">
        <v>7</v>
      </c>
    </row>
    <row r="7" spans="1:7" x14ac:dyDescent="0.35">
      <c r="A7" s="14" t="s">
        <v>29</v>
      </c>
      <c r="B7" s="14" t="s">
        <v>79</v>
      </c>
      <c r="C7" s="14" t="s">
        <v>106</v>
      </c>
      <c r="D7" s="35" t="s">
        <v>401</v>
      </c>
      <c r="E7" s="35"/>
      <c r="F7" s="35"/>
      <c r="G7" s="49">
        <v>44</v>
      </c>
    </row>
    <row r="8" spans="1:7" x14ac:dyDescent="0.35">
      <c r="A8" s="14" t="s">
        <v>29</v>
      </c>
      <c r="B8" s="14" t="s">
        <v>79</v>
      </c>
      <c r="C8" s="14" t="s">
        <v>106</v>
      </c>
      <c r="D8" s="35" t="s">
        <v>404</v>
      </c>
      <c r="E8" s="35"/>
      <c r="F8" s="35"/>
      <c r="G8" s="49">
        <v>60</v>
      </c>
    </row>
    <row r="9" spans="1:7" x14ac:dyDescent="0.35">
      <c r="A9" s="14" t="s">
        <v>29</v>
      </c>
      <c r="B9" s="14" t="s">
        <v>79</v>
      </c>
      <c r="C9" s="14" t="s">
        <v>106</v>
      </c>
      <c r="D9" s="35" t="s">
        <v>407</v>
      </c>
      <c r="E9" s="35"/>
      <c r="F9" s="35"/>
      <c r="G9" s="49">
        <v>42</v>
      </c>
    </row>
    <row r="10" spans="1:7" x14ac:dyDescent="0.35">
      <c r="A10" s="14" t="s">
        <v>29</v>
      </c>
      <c r="B10" s="14" t="s">
        <v>79</v>
      </c>
      <c r="C10" s="14" t="s">
        <v>106</v>
      </c>
      <c r="D10" s="35" t="s">
        <v>411</v>
      </c>
      <c r="E10" s="35"/>
      <c r="F10" s="35"/>
      <c r="G10" s="49">
        <v>52</v>
      </c>
    </row>
    <row r="11" spans="1:7" x14ac:dyDescent="0.35">
      <c r="A11" s="14" t="s">
        <v>29</v>
      </c>
      <c r="B11" s="14" t="s">
        <v>79</v>
      </c>
      <c r="C11" s="14" t="s">
        <v>106</v>
      </c>
      <c r="D11" s="35" t="s">
        <v>415</v>
      </c>
      <c r="E11" s="35"/>
      <c r="F11" s="35"/>
      <c r="G11" s="49">
        <v>55</v>
      </c>
    </row>
    <row r="12" spans="1:7" x14ac:dyDescent="0.35">
      <c r="A12" s="14" t="s">
        <v>29</v>
      </c>
      <c r="B12" s="14" t="s">
        <v>79</v>
      </c>
      <c r="C12" s="14" t="s">
        <v>106</v>
      </c>
      <c r="D12" s="35" t="s">
        <v>419</v>
      </c>
      <c r="E12" s="35"/>
      <c r="F12" s="35"/>
      <c r="G12" s="49">
        <v>46</v>
      </c>
    </row>
    <row r="13" spans="1:7" x14ac:dyDescent="0.35">
      <c r="A13" s="14" t="s">
        <v>29</v>
      </c>
      <c r="B13" s="14" t="s">
        <v>79</v>
      </c>
      <c r="C13" s="14" t="s">
        <v>106</v>
      </c>
      <c r="D13" s="35" t="s">
        <v>424</v>
      </c>
      <c r="E13" s="35"/>
      <c r="F13" s="35"/>
      <c r="G13" s="49">
        <v>43</v>
      </c>
    </row>
    <row r="14" spans="1:7" x14ac:dyDescent="0.35">
      <c r="A14" s="14" t="s">
        <v>29</v>
      </c>
      <c r="B14" s="14" t="s">
        <v>79</v>
      </c>
      <c r="C14" s="14" t="s">
        <v>106</v>
      </c>
      <c r="D14" s="35" t="s">
        <v>429</v>
      </c>
      <c r="E14" s="35"/>
      <c r="F14" s="35"/>
      <c r="G14" s="49">
        <v>44</v>
      </c>
    </row>
    <row r="15" spans="1:7" x14ac:dyDescent="0.35">
      <c r="A15" s="14"/>
      <c r="B15" s="14"/>
      <c r="C15" s="14"/>
      <c r="D15" s="35"/>
      <c r="E15" s="35"/>
      <c r="F15" s="35"/>
      <c r="G15" s="35"/>
    </row>
    <row r="16" spans="1:7" x14ac:dyDescent="0.35">
      <c r="A16" s="14"/>
      <c r="B16" s="14"/>
      <c r="C16" s="14"/>
      <c r="D16" s="35"/>
      <c r="E16" s="35"/>
      <c r="F16" s="35"/>
      <c r="G16" s="35"/>
    </row>
    <row r="17" spans="1:7" x14ac:dyDescent="0.35">
      <c r="A17" s="14"/>
      <c r="B17" s="14"/>
      <c r="C17" s="14"/>
      <c r="D17" s="35"/>
      <c r="E17" s="35"/>
      <c r="F17" s="35"/>
      <c r="G17" s="35"/>
    </row>
    <row r="18" spans="1:7" x14ac:dyDescent="0.35">
      <c r="A18" s="14"/>
      <c r="B18" s="14"/>
      <c r="C18" s="14"/>
      <c r="D18" s="35"/>
      <c r="E18" s="35"/>
      <c r="F18" s="35"/>
      <c r="G18" s="35"/>
    </row>
    <row r="19" spans="1:7" x14ac:dyDescent="0.35">
      <c r="A19" s="14"/>
      <c r="B19" s="14"/>
      <c r="C19" s="14"/>
      <c r="D19" s="35"/>
      <c r="E19" s="35"/>
      <c r="F19" s="35"/>
      <c r="G19" s="35"/>
    </row>
    <row r="20" spans="1:7" x14ac:dyDescent="0.35">
      <c r="A20" s="14"/>
      <c r="B20" s="14"/>
      <c r="C20" s="14"/>
      <c r="D20" s="35"/>
      <c r="E20" s="35"/>
      <c r="F20" s="35"/>
      <c r="G20" s="35"/>
    </row>
    <row r="21" spans="1:7" x14ac:dyDescent="0.35">
      <c r="A21" s="14"/>
      <c r="B21" s="14"/>
      <c r="C21" s="14"/>
      <c r="D21" s="35"/>
      <c r="E21" s="35"/>
      <c r="F21" s="35"/>
      <c r="G21" s="35"/>
    </row>
    <row r="22" spans="1:7" x14ac:dyDescent="0.35">
      <c r="A22" s="14"/>
      <c r="B22" s="14"/>
      <c r="C22" s="14"/>
      <c r="D22" s="35"/>
      <c r="E22" s="35"/>
      <c r="F22" s="35"/>
      <c r="G22" s="35"/>
    </row>
    <row r="23" spans="1:7" x14ac:dyDescent="0.35">
      <c r="A23" s="14"/>
      <c r="B23" s="14"/>
      <c r="C23" s="14"/>
      <c r="D23" s="35"/>
      <c r="E23" s="35"/>
      <c r="F23" s="35"/>
      <c r="G23" s="35"/>
    </row>
    <row r="24" spans="1:7" x14ac:dyDescent="0.35">
      <c r="A24" s="14"/>
      <c r="B24" s="14"/>
      <c r="C24" s="14"/>
      <c r="D24" s="35"/>
      <c r="E24" s="35"/>
      <c r="F24" s="35"/>
      <c r="G24" s="35"/>
    </row>
    <row r="25" spans="1:7" x14ac:dyDescent="0.35">
      <c r="A25" s="14"/>
      <c r="B25" s="14"/>
      <c r="C25" s="14"/>
      <c r="D25" s="35"/>
      <c r="E25" s="35"/>
      <c r="F25" s="35"/>
      <c r="G25" s="35"/>
    </row>
    <row r="26" spans="1:7" x14ac:dyDescent="0.35">
      <c r="A26" s="14"/>
      <c r="B26" s="14"/>
      <c r="C26" s="14"/>
      <c r="D26" s="35"/>
      <c r="E26" s="35"/>
      <c r="F26" s="35"/>
      <c r="G26" s="35"/>
    </row>
    <row r="27" spans="1:7" x14ac:dyDescent="0.35">
      <c r="A27" s="14"/>
      <c r="B27" s="14"/>
      <c r="C27" s="14"/>
      <c r="D27" s="35"/>
      <c r="E27" s="35"/>
      <c r="F27" s="35"/>
      <c r="G27" s="35"/>
    </row>
    <row r="28" spans="1:7" x14ac:dyDescent="0.35">
      <c r="A28" s="14"/>
      <c r="B28" s="14"/>
      <c r="C28" s="14"/>
      <c r="D28" s="35"/>
      <c r="E28" s="35"/>
      <c r="F28" s="35"/>
      <c r="G28" s="35"/>
    </row>
    <row r="29" spans="1:7" x14ac:dyDescent="0.35">
      <c r="A29" s="14"/>
      <c r="B29" s="14"/>
      <c r="C29" s="14"/>
      <c r="D29" s="35"/>
      <c r="E29" s="35"/>
      <c r="F29" s="35"/>
      <c r="G29" s="35"/>
    </row>
    <row r="30" spans="1:7" x14ac:dyDescent="0.35">
      <c r="A30" s="14"/>
      <c r="B30" s="14"/>
      <c r="C30" s="14"/>
      <c r="D30" s="35"/>
      <c r="E30" s="35"/>
      <c r="F30" s="35"/>
      <c r="G30" s="35"/>
    </row>
    <row r="31" spans="1:7" x14ac:dyDescent="0.35">
      <c r="A31" s="14"/>
      <c r="B31" s="14"/>
      <c r="C31" s="14"/>
      <c r="D31" s="35"/>
      <c r="E31" s="35"/>
      <c r="F31" s="35"/>
      <c r="G31" s="35"/>
    </row>
    <row r="32" spans="1:7" x14ac:dyDescent="0.35">
      <c r="A32" s="14"/>
      <c r="B32" s="14"/>
      <c r="C32" s="14"/>
      <c r="D32" s="35"/>
      <c r="E32" s="35"/>
      <c r="F32" s="35"/>
      <c r="G32" s="35"/>
    </row>
    <row r="33" spans="1:7" x14ac:dyDescent="0.35">
      <c r="A33" s="14"/>
      <c r="B33" s="14"/>
      <c r="C33" s="14"/>
      <c r="D33" s="35"/>
      <c r="E33" s="35"/>
      <c r="F33" s="35"/>
      <c r="G33" s="35"/>
    </row>
    <row r="34" spans="1:7" x14ac:dyDescent="0.35">
      <c r="A34" s="14"/>
      <c r="B34" s="14"/>
      <c r="C34" s="14"/>
      <c r="D34" s="35"/>
      <c r="E34" s="35"/>
      <c r="F34" s="35"/>
      <c r="G34" s="35"/>
    </row>
    <row r="35" spans="1:7" x14ac:dyDescent="0.35">
      <c r="A35" s="14"/>
      <c r="B35" s="14"/>
      <c r="C35" s="14"/>
      <c r="D35" s="35"/>
      <c r="E35" s="35"/>
      <c r="F35" s="35"/>
      <c r="G35" s="35"/>
    </row>
    <row r="36" spans="1:7" x14ac:dyDescent="0.35">
      <c r="A36" s="14"/>
      <c r="B36" s="14"/>
      <c r="C36" s="14"/>
      <c r="D36" s="35"/>
      <c r="E36" s="35"/>
      <c r="F36" s="35"/>
      <c r="G36" s="35"/>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90AE5DEA-40E1-4C25-9211-6C95B2107299}">
          <x14:formula1>
            <xm:f>'PCS010'!$C$7:$C$26</xm:f>
          </x14:formula1>
          <xm:sqref>C7:C36</xm:sqref>
        </x14:dataValidation>
        <x14:dataValidation type="list" allowBlank="1" showInputMessage="1" showErrorMessage="1" xr:uid="{05673E70-1BDF-42AB-A69F-292EFEC9096B}">
          <x14:formula1>
            <xm:f>'PCS010'!$B$7:$B$29</xm:f>
          </x14:formula1>
          <xm:sqref>B7:B36</xm:sqref>
        </x14:dataValidation>
        <x14:dataValidation type="list" allowBlank="1" showInputMessage="1" showErrorMessage="1" xr:uid="{6C865E00-DE76-4219-BA1F-59227014B124}">
          <x14:formula1>
            <xm:f>Annexure3!$A$4:$A$47</xm:f>
          </x14:formula1>
          <xm:sqref>D7:D36</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C062-6C4A-4516-9707-B84BD2E4AFF4}">
  <sheetPr>
    <tabColor rgb="FF005024"/>
  </sheetPr>
  <dimension ref="A1:L14"/>
  <sheetViews>
    <sheetView workbookViewId="0">
      <selection activeCell="E7" sqref="E7"/>
    </sheetView>
  </sheetViews>
  <sheetFormatPr defaultColWidth="8.6328125" defaultRowHeight="14" x14ac:dyDescent="0.3"/>
  <cols>
    <col min="1" max="1" width="10.453125" style="2" customWidth="1"/>
    <col min="2" max="2" width="11.08984375" style="2" customWidth="1"/>
    <col min="3" max="3" width="48.6328125" style="2" bestFit="1" customWidth="1"/>
    <col min="4" max="4" width="19.81640625" style="2" bestFit="1" customWidth="1"/>
    <col min="5" max="5" width="19.6328125" style="2" bestFit="1" customWidth="1"/>
    <col min="6" max="6" width="12.6328125" style="2" customWidth="1"/>
    <col min="7" max="9" width="16.1796875" style="2" customWidth="1"/>
    <col min="10" max="10" width="10.1796875" style="2" customWidth="1"/>
    <col min="11" max="11" width="15.54296875" style="2" customWidth="1"/>
    <col min="12" max="12" width="14.08984375" style="2" bestFit="1" customWidth="1"/>
    <col min="13" max="16384" width="8.6328125" style="2"/>
  </cols>
  <sheetData>
    <row r="1" spans="1:12" ht="17.5" x14ac:dyDescent="0.35">
      <c r="A1" s="1" t="s">
        <v>348</v>
      </c>
      <c r="B1" s="1"/>
      <c r="C1" s="1"/>
      <c r="D1" s="1"/>
      <c r="E1" s="1"/>
      <c r="F1" s="1"/>
      <c r="G1" s="1"/>
      <c r="L1" s="1"/>
    </row>
    <row r="3" spans="1:12" ht="28" x14ac:dyDescent="0.3">
      <c r="A3" s="18" t="s">
        <v>0</v>
      </c>
      <c r="B3" s="18" t="s">
        <v>349</v>
      </c>
      <c r="C3" s="18" t="s">
        <v>148</v>
      </c>
      <c r="D3" s="18" t="s">
        <v>149</v>
      </c>
      <c r="E3" s="18" t="s">
        <v>358</v>
      </c>
      <c r="F3" s="18" t="s">
        <v>150</v>
      </c>
      <c r="G3" s="18" t="s">
        <v>151</v>
      </c>
      <c r="H3" s="18" t="s">
        <v>152</v>
      </c>
      <c r="I3" s="18" t="s">
        <v>153</v>
      </c>
      <c r="J3" s="18" t="s">
        <v>360</v>
      </c>
      <c r="K3" s="18" t="s">
        <v>361</v>
      </c>
      <c r="L3" s="18" t="s">
        <v>159</v>
      </c>
    </row>
    <row r="4" spans="1:12" x14ac:dyDescent="0.3">
      <c r="A4" s="10" t="s">
        <v>350</v>
      </c>
      <c r="B4" s="10" t="s">
        <v>351</v>
      </c>
      <c r="C4" s="10" t="s">
        <v>352</v>
      </c>
      <c r="D4" s="10" t="s">
        <v>353</v>
      </c>
      <c r="E4" s="10" t="s">
        <v>354</v>
      </c>
      <c r="F4" s="10" t="s">
        <v>389</v>
      </c>
      <c r="G4" s="10" t="s">
        <v>355</v>
      </c>
      <c r="H4" s="10" t="s">
        <v>356</v>
      </c>
      <c r="I4" s="10" t="s">
        <v>357</v>
      </c>
      <c r="J4" s="10" t="s">
        <v>359</v>
      </c>
      <c r="K4" s="10" t="s">
        <v>362</v>
      </c>
      <c r="L4" s="10" t="s">
        <v>68</v>
      </c>
    </row>
    <row r="5" spans="1:12" x14ac:dyDescent="0.3">
      <c r="A5" s="26" t="s">
        <v>6</v>
      </c>
      <c r="B5" s="26" t="s">
        <v>5</v>
      </c>
      <c r="C5" s="26" t="s">
        <v>5</v>
      </c>
      <c r="D5" s="26" t="s">
        <v>5</v>
      </c>
      <c r="E5" s="26" t="s">
        <v>5</v>
      </c>
      <c r="F5" s="26" t="s">
        <v>6</v>
      </c>
      <c r="G5" s="26" t="s">
        <v>5</v>
      </c>
      <c r="H5" s="26" t="s">
        <v>5</v>
      </c>
      <c r="I5" s="26" t="s">
        <v>5</v>
      </c>
      <c r="J5" s="26" t="s">
        <v>6</v>
      </c>
      <c r="K5" s="26" t="s">
        <v>5</v>
      </c>
      <c r="L5" s="26" t="s">
        <v>5</v>
      </c>
    </row>
    <row r="6" spans="1:12" x14ac:dyDescent="0.3">
      <c r="A6" s="13" t="s">
        <v>7</v>
      </c>
      <c r="B6" s="13" t="s">
        <v>28</v>
      </c>
      <c r="C6" s="13" t="s">
        <v>164</v>
      </c>
      <c r="D6" s="13" t="s">
        <v>27</v>
      </c>
      <c r="E6" s="13" t="s">
        <v>20</v>
      </c>
      <c r="F6" s="13" t="s">
        <v>35</v>
      </c>
      <c r="G6" s="13" t="s">
        <v>28</v>
      </c>
      <c r="H6" s="13" t="s">
        <v>28</v>
      </c>
      <c r="I6" s="13" t="s">
        <v>28</v>
      </c>
      <c r="J6" s="13" t="s">
        <v>20</v>
      </c>
      <c r="K6" s="13" t="s">
        <v>36</v>
      </c>
      <c r="L6" s="13" t="s">
        <v>28</v>
      </c>
    </row>
    <row r="7" spans="1:12" x14ac:dyDescent="0.3">
      <c r="A7" s="14" t="s">
        <v>29</v>
      </c>
      <c r="B7" s="14" t="s">
        <v>363</v>
      </c>
      <c r="C7" s="14" t="s">
        <v>364</v>
      </c>
      <c r="D7" s="14" t="s">
        <v>365</v>
      </c>
      <c r="E7" s="14" t="s">
        <v>391</v>
      </c>
      <c r="F7" s="40" t="s">
        <v>42</v>
      </c>
      <c r="G7" s="14"/>
      <c r="H7" s="14"/>
      <c r="I7" s="14"/>
      <c r="J7" s="14" t="s">
        <v>20</v>
      </c>
      <c r="K7" s="14" t="s">
        <v>393</v>
      </c>
      <c r="L7" s="14"/>
    </row>
    <row r="8" spans="1:12" s="36" customFormat="1" x14ac:dyDescent="0.3">
      <c r="A8" s="14" t="s">
        <v>29</v>
      </c>
      <c r="B8" s="14" t="s">
        <v>366</v>
      </c>
      <c r="C8" s="14" t="s">
        <v>367</v>
      </c>
      <c r="D8" s="14" t="s">
        <v>368</v>
      </c>
      <c r="E8" s="14" t="s">
        <v>391</v>
      </c>
      <c r="F8" s="40" t="s">
        <v>42</v>
      </c>
      <c r="G8" s="14"/>
      <c r="H8" s="14"/>
      <c r="I8" s="14"/>
      <c r="J8" s="14" t="s">
        <v>37</v>
      </c>
      <c r="K8" s="14" t="s">
        <v>393</v>
      </c>
      <c r="L8" s="14"/>
    </row>
    <row r="9" spans="1:12" x14ac:dyDescent="0.3">
      <c r="A9" s="14" t="s">
        <v>29</v>
      </c>
      <c r="B9" s="14" t="s">
        <v>369</v>
      </c>
      <c r="C9" s="14" t="s">
        <v>370</v>
      </c>
      <c r="D9" s="14" t="s">
        <v>371</v>
      </c>
      <c r="E9" s="14" t="s">
        <v>391</v>
      </c>
      <c r="F9" s="40" t="s">
        <v>42</v>
      </c>
      <c r="G9" s="14"/>
      <c r="H9" s="14"/>
      <c r="I9" s="14"/>
      <c r="J9" s="14" t="s">
        <v>35</v>
      </c>
      <c r="K9" s="14" t="s">
        <v>393</v>
      </c>
      <c r="L9" s="14"/>
    </row>
    <row r="10" spans="1:12" x14ac:dyDescent="0.3">
      <c r="A10" s="14" t="s">
        <v>29</v>
      </c>
      <c r="B10" s="14" t="s">
        <v>372</v>
      </c>
      <c r="C10" s="14" t="s">
        <v>373</v>
      </c>
      <c r="D10" s="14" t="s">
        <v>374</v>
      </c>
      <c r="E10" s="14" t="s">
        <v>391</v>
      </c>
      <c r="F10" s="40" t="s">
        <v>42</v>
      </c>
      <c r="G10" s="14"/>
      <c r="H10" s="14"/>
      <c r="I10" s="14"/>
      <c r="J10" s="14" t="s">
        <v>7</v>
      </c>
      <c r="K10" s="14" t="s">
        <v>393</v>
      </c>
      <c r="L10" s="14"/>
    </row>
    <row r="11" spans="1:12" x14ac:dyDescent="0.3">
      <c r="A11" s="14" t="s">
        <v>29</v>
      </c>
      <c r="B11" s="14" t="s">
        <v>375</v>
      </c>
      <c r="C11" s="14" t="s">
        <v>376</v>
      </c>
      <c r="D11" s="14" t="s">
        <v>377</v>
      </c>
      <c r="E11" s="14" t="s">
        <v>391</v>
      </c>
      <c r="F11" s="40" t="s">
        <v>42</v>
      </c>
      <c r="G11" s="14"/>
      <c r="H11" s="14"/>
      <c r="I11" s="14"/>
      <c r="J11" s="14" t="s">
        <v>143</v>
      </c>
      <c r="K11" s="14" t="s">
        <v>393</v>
      </c>
      <c r="L11" s="14"/>
    </row>
    <row r="12" spans="1:12" x14ac:dyDescent="0.3">
      <c r="A12" s="14" t="s">
        <v>29</v>
      </c>
      <c r="B12" s="14" t="s">
        <v>378</v>
      </c>
      <c r="C12" s="14" t="s">
        <v>379</v>
      </c>
      <c r="D12" s="14" t="s">
        <v>380</v>
      </c>
      <c r="E12" s="14" t="s">
        <v>391</v>
      </c>
      <c r="F12" s="40" t="s">
        <v>42</v>
      </c>
      <c r="G12" s="14"/>
      <c r="H12" s="14"/>
      <c r="I12" s="14"/>
      <c r="J12" s="14" t="s">
        <v>141</v>
      </c>
      <c r="K12" s="14" t="s">
        <v>393</v>
      </c>
      <c r="L12" s="14"/>
    </row>
    <row r="13" spans="1:12" x14ac:dyDescent="0.3">
      <c r="A13" s="14" t="s">
        <v>29</v>
      </c>
      <c r="B13" s="14" t="s">
        <v>381</v>
      </c>
      <c r="C13" s="14" t="s">
        <v>382</v>
      </c>
      <c r="D13" s="14" t="s">
        <v>383</v>
      </c>
      <c r="E13" s="14" t="s">
        <v>391</v>
      </c>
      <c r="F13" s="40" t="s">
        <v>42</v>
      </c>
      <c r="G13" s="14"/>
      <c r="H13" s="14"/>
      <c r="I13" s="14"/>
      <c r="J13" s="14" t="s">
        <v>28</v>
      </c>
      <c r="K13" s="14" t="s">
        <v>393</v>
      </c>
      <c r="L13" s="14"/>
    </row>
    <row r="14" spans="1:12" x14ac:dyDescent="0.3">
      <c r="A14" s="14" t="s">
        <v>29</v>
      </c>
      <c r="B14" s="14" t="s">
        <v>384</v>
      </c>
      <c r="C14" s="14" t="s">
        <v>385</v>
      </c>
      <c r="D14" s="14" t="s">
        <v>386</v>
      </c>
      <c r="E14" s="14" t="s">
        <v>391</v>
      </c>
      <c r="F14" s="40" t="s">
        <v>42</v>
      </c>
      <c r="G14" s="14"/>
      <c r="H14" s="14"/>
      <c r="I14" s="14"/>
      <c r="J14" s="14" t="s">
        <v>142</v>
      </c>
      <c r="K14" s="14" t="s">
        <v>393</v>
      </c>
      <c r="L14" s="14" t="s">
        <v>79</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D3F7C31-97C6-4AA2-8F07-3281620125A4}">
          <x14:formula1>
            <xm:f>Annexure2!$A$4:$A$36</xm:f>
          </x14:formula1>
          <xm:sqref>G7:I14</xm:sqref>
        </x14:dataValidation>
        <x14:dataValidation type="list" allowBlank="1" showInputMessage="1" showErrorMessage="1" xr:uid="{1B463CCA-D393-4FE1-B7DF-C2E8FE17E17F}">
          <x14:formula1>
            <xm:f>Annexure1!$B$5:$B$6</xm:f>
          </x14:formula1>
          <xm:sqref>F7:F14</xm:sqref>
        </x14:dataValidation>
        <x14:dataValidation type="list" allowBlank="1" showInputMessage="1" showErrorMessage="1" xr:uid="{70B6D5C2-259D-470F-B2F7-5F8D7C1F0499}">
          <x14:formula1>
            <xm:f>DataValidation!$E$9:$E$13</xm:f>
          </x14:formula1>
          <xm:sqref>E7:E14</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6CA3F-7DEB-4240-8AC3-11EEA9447E79}">
  <sheetPr>
    <tabColor rgb="FF005024"/>
  </sheetPr>
  <dimension ref="A1:G67"/>
  <sheetViews>
    <sheetView workbookViewId="0"/>
  </sheetViews>
  <sheetFormatPr defaultColWidth="8.6328125" defaultRowHeight="14" x14ac:dyDescent="0.3"/>
  <cols>
    <col min="1" max="1" width="10.453125" style="2" customWidth="1"/>
    <col min="2" max="2" width="14.453125" style="2" customWidth="1"/>
    <col min="3" max="3" width="13.7265625" style="2" customWidth="1"/>
    <col min="4" max="4" width="12.36328125" style="2" customWidth="1"/>
    <col min="5" max="5" width="12.54296875" style="2" customWidth="1"/>
    <col min="6" max="6" width="16.54296875" style="2" customWidth="1"/>
    <col min="7" max="7" width="19.6328125" style="2" bestFit="1" customWidth="1"/>
    <col min="8" max="16384" width="8.6328125" style="2"/>
  </cols>
  <sheetData>
    <row r="1" spans="1:7" ht="17.5" x14ac:dyDescent="0.35">
      <c r="A1" s="1" t="s">
        <v>500</v>
      </c>
      <c r="B1" s="1"/>
      <c r="C1" s="1"/>
      <c r="D1" s="1"/>
      <c r="E1" s="1"/>
      <c r="F1" s="1"/>
      <c r="G1" s="1"/>
    </row>
    <row r="3" spans="1:7" ht="15" x14ac:dyDescent="0.3">
      <c r="A3" s="51" t="s">
        <v>536</v>
      </c>
    </row>
    <row r="4" spans="1:7" x14ac:dyDescent="0.3">
      <c r="A4" s="50"/>
    </row>
    <row r="5" spans="1:7" ht="28" x14ac:dyDescent="0.3">
      <c r="A5" s="18" t="s">
        <v>0</v>
      </c>
      <c r="B5" s="18" t="s">
        <v>511</v>
      </c>
      <c r="C5" s="18" t="s">
        <v>508</v>
      </c>
      <c r="D5" s="18" t="s">
        <v>509</v>
      </c>
      <c r="E5" s="18" t="s">
        <v>510</v>
      </c>
      <c r="F5" s="18" t="s">
        <v>512</v>
      </c>
      <c r="G5" s="18" t="s">
        <v>358</v>
      </c>
    </row>
    <row r="6" spans="1:7" x14ac:dyDescent="0.3">
      <c r="A6" s="10" t="s">
        <v>501</v>
      </c>
      <c r="B6" s="10" t="s">
        <v>502</v>
      </c>
      <c r="C6" s="10" t="s">
        <v>503</v>
      </c>
      <c r="D6" s="10" t="s">
        <v>504</v>
      </c>
      <c r="E6" s="10" t="s">
        <v>505</v>
      </c>
      <c r="F6" s="10" t="s">
        <v>506</v>
      </c>
      <c r="G6" s="10" t="s">
        <v>507</v>
      </c>
    </row>
    <row r="7" spans="1:7" x14ac:dyDescent="0.3">
      <c r="A7" s="26" t="s">
        <v>6</v>
      </c>
      <c r="B7" s="26" t="s">
        <v>5</v>
      </c>
      <c r="C7" s="26" t="s">
        <v>6</v>
      </c>
      <c r="D7" s="26" t="s">
        <v>6</v>
      </c>
      <c r="E7" s="26" t="s">
        <v>6</v>
      </c>
      <c r="F7" s="26" t="s">
        <v>5</v>
      </c>
      <c r="G7" s="26" t="s">
        <v>5</v>
      </c>
    </row>
    <row r="8" spans="1:7" x14ac:dyDescent="0.3">
      <c r="A8" s="13" t="s">
        <v>7</v>
      </c>
      <c r="B8" s="13" t="s">
        <v>28</v>
      </c>
      <c r="C8" s="13" t="s">
        <v>143</v>
      </c>
      <c r="D8" s="13" t="s">
        <v>165</v>
      </c>
      <c r="E8" s="13" t="s">
        <v>165</v>
      </c>
      <c r="F8" s="13" t="s">
        <v>28</v>
      </c>
      <c r="G8" s="13" t="s">
        <v>20</v>
      </c>
    </row>
    <row r="9" spans="1:7" x14ac:dyDescent="0.3">
      <c r="A9" s="14" t="s">
        <v>29</v>
      </c>
      <c r="B9" s="14" t="s">
        <v>513</v>
      </c>
      <c r="C9" s="14" t="s">
        <v>1</v>
      </c>
      <c r="D9" s="14" t="s">
        <v>514</v>
      </c>
      <c r="E9" s="14" t="s">
        <v>515</v>
      </c>
      <c r="F9" s="14" t="s">
        <v>74</v>
      </c>
      <c r="G9" s="14"/>
    </row>
    <row r="10" spans="1:7" s="36" customFormat="1" x14ac:dyDescent="0.3">
      <c r="A10" s="14" t="s">
        <v>29</v>
      </c>
      <c r="B10" s="14" t="s">
        <v>513</v>
      </c>
      <c r="C10" s="14" t="s">
        <v>41</v>
      </c>
      <c r="D10" s="14" t="s">
        <v>514</v>
      </c>
      <c r="E10" s="14" t="s">
        <v>515</v>
      </c>
      <c r="F10" s="14" t="s">
        <v>75</v>
      </c>
      <c r="G10" s="14"/>
    </row>
    <row r="11" spans="1:7" x14ac:dyDescent="0.3">
      <c r="A11" s="14" t="s">
        <v>29</v>
      </c>
      <c r="B11" s="14" t="s">
        <v>513</v>
      </c>
      <c r="C11" s="14" t="s">
        <v>516</v>
      </c>
      <c r="D11" s="14" t="s">
        <v>514</v>
      </c>
      <c r="E11" s="14" t="s">
        <v>515</v>
      </c>
      <c r="F11" s="14" t="s">
        <v>76</v>
      </c>
      <c r="G11" s="14"/>
    </row>
    <row r="12" spans="1:7" x14ac:dyDescent="0.3">
      <c r="A12" s="14" t="s">
        <v>29</v>
      </c>
      <c r="B12" s="14" t="s">
        <v>513</v>
      </c>
      <c r="C12" s="14" t="s">
        <v>517</v>
      </c>
      <c r="D12" s="14" t="s">
        <v>514</v>
      </c>
      <c r="E12" s="14" t="s">
        <v>515</v>
      </c>
      <c r="F12" s="14" t="s">
        <v>363</v>
      </c>
      <c r="G12" s="14" t="s">
        <v>391</v>
      </c>
    </row>
    <row r="13" spans="1:7" x14ac:dyDescent="0.3">
      <c r="A13" s="14" t="s">
        <v>29</v>
      </c>
      <c r="B13" s="14" t="s">
        <v>513</v>
      </c>
      <c r="C13" s="14" t="s">
        <v>518</v>
      </c>
      <c r="D13" s="14" t="s">
        <v>514</v>
      </c>
      <c r="E13" s="14" t="s">
        <v>515</v>
      </c>
      <c r="F13" s="14" t="s">
        <v>77</v>
      </c>
      <c r="G13" s="14"/>
    </row>
    <row r="14" spans="1:7" x14ac:dyDescent="0.3">
      <c r="A14" s="14" t="s">
        <v>29</v>
      </c>
      <c r="B14" s="14" t="s">
        <v>513</v>
      </c>
      <c r="C14" s="14" t="s">
        <v>519</v>
      </c>
      <c r="D14" s="14" t="s">
        <v>514</v>
      </c>
      <c r="E14" s="14" t="s">
        <v>515</v>
      </c>
      <c r="F14" s="14" t="s">
        <v>78</v>
      </c>
      <c r="G14" s="14"/>
    </row>
    <row r="15" spans="1:7" x14ac:dyDescent="0.3">
      <c r="A15" s="14" t="s">
        <v>29</v>
      </c>
      <c r="B15" s="14" t="s">
        <v>513</v>
      </c>
      <c r="C15" s="14" t="s">
        <v>520</v>
      </c>
      <c r="D15" s="14" t="s">
        <v>514</v>
      </c>
      <c r="E15" s="14" t="s">
        <v>515</v>
      </c>
      <c r="F15" s="14" t="s">
        <v>366</v>
      </c>
      <c r="G15" s="14" t="s">
        <v>391</v>
      </c>
    </row>
    <row r="16" spans="1:7" x14ac:dyDescent="0.3">
      <c r="A16" s="14" t="s">
        <v>29</v>
      </c>
      <c r="B16" s="14" t="s">
        <v>513</v>
      </c>
      <c r="C16" s="14" t="s">
        <v>29</v>
      </c>
      <c r="D16" s="14" t="s">
        <v>514</v>
      </c>
      <c r="E16" s="14" t="s">
        <v>515</v>
      </c>
      <c r="F16" s="14" t="s">
        <v>79</v>
      </c>
      <c r="G16" s="14"/>
    </row>
    <row r="17" spans="1:7" x14ac:dyDescent="0.3">
      <c r="A17" s="14" t="s">
        <v>29</v>
      </c>
      <c r="B17" s="14" t="s">
        <v>513</v>
      </c>
      <c r="C17" s="14" t="s">
        <v>52</v>
      </c>
      <c r="D17" s="14" t="s">
        <v>514</v>
      </c>
      <c r="E17" s="14" t="s">
        <v>515</v>
      </c>
      <c r="F17" s="14" t="s">
        <v>80</v>
      </c>
      <c r="G17" s="14"/>
    </row>
    <row r="18" spans="1:7" x14ac:dyDescent="0.3">
      <c r="A18" s="14" t="s">
        <v>29</v>
      </c>
      <c r="B18" s="14" t="s">
        <v>513</v>
      </c>
      <c r="C18" s="14" t="s">
        <v>49</v>
      </c>
      <c r="D18" s="14" t="s">
        <v>514</v>
      </c>
      <c r="E18" s="14" t="s">
        <v>515</v>
      </c>
      <c r="F18" s="14" t="s">
        <v>81</v>
      </c>
      <c r="G18" s="14"/>
    </row>
    <row r="19" spans="1:7" x14ac:dyDescent="0.3">
      <c r="A19" s="14" t="s">
        <v>29</v>
      </c>
      <c r="B19" s="14" t="s">
        <v>513</v>
      </c>
      <c r="C19" s="14" t="s">
        <v>53</v>
      </c>
      <c r="D19" s="14" t="s">
        <v>514</v>
      </c>
      <c r="E19" s="14" t="s">
        <v>515</v>
      </c>
      <c r="F19" s="14" t="s">
        <v>82</v>
      </c>
      <c r="G19" s="14"/>
    </row>
    <row r="20" spans="1:7" x14ac:dyDescent="0.3">
      <c r="A20" s="14" t="s">
        <v>29</v>
      </c>
      <c r="B20" s="14" t="s">
        <v>513</v>
      </c>
      <c r="C20" s="14" t="s">
        <v>521</v>
      </c>
      <c r="D20" s="14" t="s">
        <v>514</v>
      </c>
      <c r="E20" s="14" t="s">
        <v>515</v>
      </c>
      <c r="F20" s="14" t="s">
        <v>83</v>
      </c>
      <c r="G20" s="14"/>
    </row>
    <row r="21" spans="1:7" x14ac:dyDescent="0.3">
      <c r="A21" s="14" t="s">
        <v>29</v>
      </c>
      <c r="B21" s="14" t="s">
        <v>513</v>
      </c>
      <c r="C21" s="14" t="s">
        <v>522</v>
      </c>
      <c r="D21" s="14" t="s">
        <v>514</v>
      </c>
      <c r="E21" s="14" t="s">
        <v>515</v>
      </c>
      <c r="F21" s="14" t="s">
        <v>84</v>
      </c>
      <c r="G21" s="14"/>
    </row>
    <row r="22" spans="1:7" x14ac:dyDescent="0.3">
      <c r="A22" s="14" t="s">
        <v>29</v>
      </c>
      <c r="B22" s="14" t="s">
        <v>513</v>
      </c>
      <c r="C22" s="14" t="s">
        <v>50</v>
      </c>
      <c r="D22" s="14" t="s">
        <v>514</v>
      </c>
      <c r="E22" s="14" t="s">
        <v>515</v>
      </c>
      <c r="F22" s="14" t="s">
        <v>85</v>
      </c>
      <c r="G22" s="14"/>
    </row>
    <row r="23" spans="1:7" x14ac:dyDescent="0.3">
      <c r="A23" s="14" t="s">
        <v>29</v>
      </c>
      <c r="B23" s="14" t="s">
        <v>513</v>
      </c>
      <c r="C23" s="14" t="s">
        <v>523</v>
      </c>
      <c r="D23" s="14" t="s">
        <v>514</v>
      </c>
      <c r="E23" s="14" t="s">
        <v>515</v>
      </c>
      <c r="F23" s="14" t="s">
        <v>86</v>
      </c>
      <c r="G23" s="14"/>
    </row>
    <row r="24" spans="1:7" x14ac:dyDescent="0.3">
      <c r="A24" s="14" t="s">
        <v>29</v>
      </c>
      <c r="B24" s="14" t="s">
        <v>513</v>
      </c>
      <c r="C24" s="14" t="s">
        <v>524</v>
      </c>
      <c r="D24" s="14" t="s">
        <v>514</v>
      </c>
      <c r="E24" s="14" t="s">
        <v>515</v>
      </c>
      <c r="F24" s="14" t="s">
        <v>87</v>
      </c>
      <c r="G24" s="14"/>
    </row>
    <row r="25" spans="1:7" x14ac:dyDescent="0.3">
      <c r="A25" s="14" t="s">
        <v>29</v>
      </c>
      <c r="B25" s="14" t="s">
        <v>513</v>
      </c>
      <c r="C25" s="14" t="s">
        <v>525</v>
      </c>
      <c r="D25" s="14" t="s">
        <v>514</v>
      </c>
      <c r="E25" s="14" t="s">
        <v>515</v>
      </c>
      <c r="F25" s="14" t="s">
        <v>369</v>
      </c>
      <c r="G25" s="14" t="s">
        <v>391</v>
      </c>
    </row>
    <row r="26" spans="1:7" x14ac:dyDescent="0.3">
      <c r="A26" s="14" t="s">
        <v>29</v>
      </c>
      <c r="B26" s="14" t="s">
        <v>513</v>
      </c>
      <c r="C26" s="14" t="s">
        <v>30</v>
      </c>
      <c r="D26" s="14" t="s">
        <v>514</v>
      </c>
      <c r="E26" s="14" t="s">
        <v>515</v>
      </c>
      <c r="F26" s="14" t="s">
        <v>88</v>
      </c>
      <c r="G26" s="14"/>
    </row>
    <row r="27" spans="1:7" x14ac:dyDescent="0.3">
      <c r="A27" s="14" t="s">
        <v>29</v>
      </c>
      <c r="B27" s="14" t="s">
        <v>513</v>
      </c>
      <c r="C27" s="14" t="s">
        <v>526</v>
      </c>
      <c r="D27" s="14" t="s">
        <v>514</v>
      </c>
      <c r="E27" s="14" t="s">
        <v>515</v>
      </c>
      <c r="F27" s="14" t="s">
        <v>89</v>
      </c>
      <c r="G27" s="14"/>
    </row>
    <row r="28" spans="1:7" x14ac:dyDescent="0.3">
      <c r="A28" s="14" t="s">
        <v>29</v>
      </c>
      <c r="B28" s="14" t="s">
        <v>513</v>
      </c>
      <c r="C28" s="14" t="s">
        <v>527</v>
      </c>
      <c r="D28" s="14" t="s">
        <v>514</v>
      </c>
      <c r="E28" s="14" t="s">
        <v>515</v>
      </c>
      <c r="F28" s="14" t="s">
        <v>372</v>
      </c>
      <c r="G28" s="14" t="s">
        <v>391</v>
      </c>
    </row>
    <row r="29" spans="1:7" x14ac:dyDescent="0.3">
      <c r="A29" s="14" t="s">
        <v>29</v>
      </c>
      <c r="B29" s="14" t="s">
        <v>513</v>
      </c>
      <c r="C29" s="14" t="s">
        <v>31</v>
      </c>
      <c r="D29" s="14" t="s">
        <v>514</v>
      </c>
      <c r="E29" s="14" t="s">
        <v>515</v>
      </c>
      <c r="F29" s="14" t="s">
        <v>90</v>
      </c>
      <c r="G29" s="14"/>
    </row>
    <row r="30" spans="1:7" x14ac:dyDescent="0.3">
      <c r="A30" s="14" t="s">
        <v>29</v>
      </c>
      <c r="B30" s="14" t="s">
        <v>513</v>
      </c>
      <c r="C30" s="14" t="s">
        <v>528</v>
      </c>
      <c r="D30" s="14" t="s">
        <v>514</v>
      </c>
      <c r="E30" s="14" t="s">
        <v>515</v>
      </c>
      <c r="F30" s="14" t="s">
        <v>91</v>
      </c>
      <c r="G30" s="14"/>
    </row>
    <row r="31" spans="1:7" x14ac:dyDescent="0.3">
      <c r="A31" s="14" t="s">
        <v>29</v>
      </c>
      <c r="B31" s="14" t="s">
        <v>513</v>
      </c>
      <c r="C31" s="14" t="s">
        <v>529</v>
      </c>
      <c r="D31" s="14" t="s">
        <v>514</v>
      </c>
      <c r="E31" s="14" t="s">
        <v>515</v>
      </c>
      <c r="F31" s="14" t="s">
        <v>375</v>
      </c>
      <c r="G31" s="14" t="s">
        <v>391</v>
      </c>
    </row>
    <row r="32" spans="1:7" x14ac:dyDescent="0.3">
      <c r="A32" s="14" t="s">
        <v>29</v>
      </c>
      <c r="B32" s="14" t="s">
        <v>513</v>
      </c>
      <c r="C32" s="14" t="s">
        <v>32</v>
      </c>
      <c r="D32" s="14" t="s">
        <v>514</v>
      </c>
      <c r="E32" s="14" t="s">
        <v>515</v>
      </c>
      <c r="F32" s="14" t="s">
        <v>92</v>
      </c>
      <c r="G32" s="14"/>
    </row>
    <row r="33" spans="1:7" x14ac:dyDescent="0.3">
      <c r="A33" s="14" t="s">
        <v>29</v>
      </c>
      <c r="B33" s="14" t="s">
        <v>513</v>
      </c>
      <c r="C33" s="14" t="s">
        <v>530</v>
      </c>
      <c r="D33" s="14" t="s">
        <v>514</v>
      </c>
      <c r="E33" s="14" t="s">
        <v>515</v>
      </c>
      <c r="F33" s="14" t="s">
        <v>93</v>
      </c>
      <c r="G33" s="14"/>
    </row>
    <row r="34" spans="1:7" x14ac:dyDescent="0.3">
      <c r="A34" s="14" t="s">
        <v>29</v>
      </c>
      <c r="B34" s="14" t="s">
        <v>513</v>
      </c>
      <c r="C34" s="14" t="s">
        <v>531</v>
      </c>
      <c r="D34" s="14" t="s">
        <v>514</v>
      </c>
      <c r="E34" s="14" t="s">
        <v>515</v>
      </c>
      <c r="F34" s="14" t="s">
        <v>94</v>
      </c>
      <c r="G34" s="14"/>
    </row>
    <row r="35" spans="1:7" x14ac:dyDescent="0.3">
      <c r="A35" s="14" t="s">
        <v>29</v>
      </c>
      <c r="B35" s="14" t="s">
        <v>513</v>
      </c>
      <c r="C35" s="14" t="s">
        <v>532</v>
      </c>
      <c r="D35" s="14" t="s">
        <v>514</v>
      </c>
      <c r="E35" s="14" t="s">
        <v>515</v>
      </c>
      <c r="F35" s="14" t="s">
        <v>95</v>
      </c>
      <c r="G35" s="14"/>
    </row>
    <row r="36" spans="1:7" x14ac:dyDescent="0.3">
      <c r="A36" s="14" t="s">
        <v>29</v>
      </c>
      <c r="B36" s="14" t="s">
        <v>513</v>
      </c>
      <c r="C36" s="14" t="s">
        <v>533</v>
      </c>
      <c r="D36" s="14" t="s">
        <v>514</v>
      </c>
      <c r="E36" s="14" t="s">
        <v>515</v>
      </c>
      <c r="F36" s="14" t="s">
        <v>96</v>
      </c>
      <c r="G36" s="14"/>
    </row>
    <row r="37" spans="1:7" x14ac:dyDescent="0.3">
      <c r="A37" s="14" t="s">
        <v>29</v>
      </c>
      <c r="B37" s="14" t="s">
        <v>513</v>
      </c>
      <c r="C37" s="14" t="s">
        <v>534</v>
      </c>
      <c r="D37" s="14" t="s">
        <v>514</v>
      </c>
      <c r="E37" s="14" t="s">
        <v>515</v>
      </c>
      <c r="F37" s="14" t="s">
        <v>378</v>
      </c>
      <c r="G37" s="14" t="s">
        <v>391</v>
      </c>
    </row>
    <row r="38" spans="1:7" x14ac:dyDescent="0.3">
      <c r="A38" s="14" t="s">
        <v>29</v>
      </c>
      <c r="B38" s="14" t="s">
        <v>513</v>
      </c>
      <c r="C38" s="14" t="s">
        <v>535</v>
      </c>
      <c r="D38" s="14" t="s">
        <v>514</v>
      </c>
      <c r="E38" s="14" t="s">
        <v>515</v>
      </c>
      <c r="F38" s="14" t="s">
        <v>381</v>
      </c>
      <c r="G38" s="14" t="s">
        <v>391</v>
      </c>
    </row>
    <row r="41" spans="1:7" ht="15" x14ac:dyDescent="0.3">
      <c r="A41" s="51" t="s">
        <v>537</v>
      </c>
    </row>
    <row r="42" spans="1:7" x14ac:dyDescent="0.3">
      <c r="A42" s="50"/>
    </row>
    <row r="43" spans="1:7" ht="28" x14ac:dyDescent="0.3">
      <c r="A43" s="18" t="s">
        <v>0</v>
      </c>
      <c r="B43" s="18" t="s">
        <v>511</v>
      </c>
      <c r="C43" s="18" t="s">
        <v>508</v>
      </c>
      <c r="D43" s="18" t="s">
        <v>509</v>
      </c>
      <c r="E43" s="18" t="s">
        <v>510</v>
      </c>
      <c r="F43" s="18" t="s">
        <v>512</v>
      </c>
      <c r="G43" s="18" t="s">
        <v>358</v>
      </c>
    </row>
    <row r="44" spans="1:7" x14ac:dyDescent="0.3">
      <c r="A44" s="10" t="s">
        <v>501</v>
      </c>
      <c r="B44" s="10" t="s">
        <v>502</v>
      </c>
      <c r="C44" s="10" t="s">
        <v>503</v>
      </c>
      <c r="D44" s="10" t="s">
        <v>504</v>
      </c>
      <c r="E44" s="10" t="s">
        <v>505</v>
      </c>
      <c r="F44" s="10" t="s">
        <v>506</v>
      </c>
      <c r="G44" s="10" t="s">
        <v>507</v>
      </c>
    </row>
    <row r="45" spans="1:7" x14ac:dyDescent="0.3">
      <c r="A45" s="26" t="s">
        <v>6</v>
      </c>
      <c r="B45" s="26" t="s">
        <v>5</v>
      </c>
      <c r="C45" s="26" t="s">
        <v>6</v>
      </c>
      <c r="D45" s="26" t="s">
        <v>6</v>
      </c>
      <c r="E45" s="26" t="s">
        <v>6</v>
      </c>
      <c r="F45" s="26" t="s">
        <v>5</v>
      </c>
      <c r="G45" s="26" t="s">
        <v>5</v>
      </c>
    </row>
    <row r="46" spans="1:7" x14ac:dyDescent="0.3">
      <c r="A46" s="13" t="s">
        <v>7</v>
      </c>
      <c r="B46" s="13" t="s">
        <v>28</v>
      </c>
      <c r="C46" s="13" t="s">
        <v>143</v>
      </c>
      <c r="D46" s="13" t="s">
        <v>165</v>
      </c>
      <c r="E46" s="13" t="s">
        <v>165</v>
      </c>
      <c r="F46" s="13" t="s">
        <v>28</v>
      </c>
      <c r="G46" s="13" t="s">
        <v>20</v>
      </c>
    </row>
    <row r="47" spans="1:7" x14ac:dyDescent="0.3">
      <c r="A47" s="14" t="s">
        <v>29</v>
      </c>
      <c r="B47" s="14" t="s">
        <v>538</v>
      </c>
      <c r="C47" s="14" t="s">
        <v>1</v>
      </c>
      <c r="D47" s="14" t="s">
        <v>514</v>
      </c>
      <c r="E47" s="14" t="s">
        <v>515</v>
      </c>
      <c r="F47" s="14" t="s">
        <v>74</v>
      </c>
      <c r="G47" s="14"/>
    </row>
    <row r="48" spans="1:7" x14ac:dyDescent="0.3">
      <c r="A48" s="14" t="s">
        <v>29</v>
      </c>
      <c r="B48" s="14" t="s">
        <v>538</v>
      </c>
      <c r="C48" s="14" t="s">
        <v>41</v>
      </c>
      <c r="D48" s="14" t="s">
        <v>514</v>
      </c>
      <c r="E48" s="14" t="s">
        <v>515</v>
      </c>
      <c r="F48" s="14" t="s">
        <v>75</v>
      </c>
      <c r="G48" s="14"/>
    </row>
    <row r="49" spans="1:7" x14ac:dyDescent="0.3">
      <c r="A49" s="14" t="s">
        <v>29</v>
      </c>
      <c r="B49" s="14" t="s">
        <v>538</v>
      </c>
      <c r="C49" s="14" t="s">
        <v>516</v>
      </c>
      <c r="D49" s="14" t="s">
        <v>514</v>
      </c>
      <c r="E49" s="14" t="s">
        <v>515</v>
      </c>
      <c r="F49" s="14" t="s">
        <v>76</v>
      </c>
      <c r="G49" s="14"/>
    </row>
    <row r="50" spans="1:7" x14ac:dyDescent="0.3">
      <c r="A50" s="14" t="s">
        <v>29</v>
      </c>
      <c r="B50" s="14" t="s">
        <v>538</v>
      </c>
      <c r="C50" s="14" t="s">
        <v>517</v>
      </c>
      <c r="D50" s="14" t="s">
        <v>514</v>
      </c>
      <c r="E50" s="14" t="s">
        <v>515</v>
      </c>
      <c r="F50" s="14" t="s">
        <v>363</v>
      </c>
      <c r="G50" s="14" t="s">
        <v>391</v>
      </c>
    </row>
    <row r="51" spans="1:7" x14ac:dyDescent="0.3">
      <c r="A51" s="14" t="s">
        <v>29</v>
      </c>
      <c r="B51" s="14" t="s">
        <v>538</v>
      </c>
      <c r="C51" s="14" t="s">
        <v>29</v>
      </c>
      <c r="D51" s="14" t="s">
        <v>514</v>
      </c>
      <c r="E51" s="14" t="s">
        <v>515</v>
      </c>
      <c r="F51" s="14" t="s">
        <v>79</v>
      </c>
      <c r="G51" s="14"/>
    </row>
    <row r="52" spans="1:7" x14ac:dyDescent="0.3">
      <c r="A52" s="14" t="s">
        <v>29</v>
      </c>
      <c r="B52" s="14" t="s">
        <v>538</v>
      </c>
      <c r="C52" s="14" t="s">
        <v>52</v>
      </c>
      <c r="D52" s="14" t="s">
        <v>514</v>
      </c>
      <c r="E52" s="14" t="s">
        <v>515</v>
      </c>
      <c r="F52" s="14" t="s">
        <v>80</v>
      </c>
      <c r="G52" s="14"/>
    </row>
    <row r="53" spans="1:7" x14ac:dyDescent="0.3">
      <c r="A53" s="14" t="s">
        <v>29</v>
      </c>
      <c r="B53" s="14" t="s">
        <v>538</v>
      </c>
      <c r="C53" s="14" t="s">
        <v>49</v>
      </c>
      <c r="D53" s="14" t="s">
        <v>514</v>
      </c>
      <c r="E53" s="14" t="s">
        <v>515</v>
      </c>
      <c r="F53" s="14" t="s">
        <v>81</v>
      </c>
      <c r="G53" s="14"/>
    </row>
    <row r="54" spans="1:7" x14ac:dyDescent="0.3">
      <c r="A54" s="14" t="s">
        <v>29</v>
      </c>
      <c r="B54" s="14" t="s">
        <v>538</v>
      </c>
      <c r="C54" s="14" t="s">
        <v>53</v>
      </c>
      <c r="D54" s="14" t="s">
        <v>514</v>
      </c>
      <c r="E54" s="14" t="s">
        <v>515</v>
      </c>
      <c r="F54" s="14" t="s">
        <v>82</v>
      </c>
      <c r="G54" s="14"/>
    </row>
    <row r="55" spans="1:7" x14ac:dyDescent="0.3">
      <c r="A55" s="14" t="s">
        <v>29</v>
      </c>
      <c r="B55" s="14" t="s">
        <v>538</v>
      </c>
      <c r="C55" s="14" t="s">
        <v>521</v>
      </c>
      <c r="D55" s="14" t="s">
        <v>514</v>
      </c>
      <c r="E55" s="14" t="s">
        <v>515</v>
      </c>
      <c r="F55" s="14" t="s">
        <v>83</v>
      </c>
      <c r="G55" s="14"/>
    </row>
    <row r="56" spans="1:7" x14ac:dyDescent="0.3">
      <c r="A56" s="14" t="s">
        <v>29</v>
      </c>
      <c r="B56" s="14" t="s">
        <v>538</v>
      </c>
      <c r="C56" s="14" t="s">
        <v>522</v>
      </c>
      <c r="D56" s="14" t="s">
        <v>514</v>
      </c>
      <c r="E56" s="14" t="s">
        <v>515</v>
      </c>
      <c r="F56" s="14" t="s">
        <v>84</v>
      </c>
      <c r="G56" s="14"/>
    </row>
    <row r="57" spans="1:7" x14ac:dyDescent="0.3">
      <c r="A57" s="14" t="s">
        <v>29</v>
      </c>
      <c r="B57" s="14" t="s">
        <v>538</v>
      </c>
      <c r="C57" s="14" t="s">
        <v>525</v>
      </c>
      <c r="D57" s="14" t="s">
        <v>514</v>
      </c>
      <c r="E57" s="14" t="s">
        <v>515</v>
      </c>
      <c r="F57" s="14" t="s">
        <v>369</v>
      </c>
      <c r="G57" s="14" t="s">
        <v>391</v>
      </c>
    </row>
    <row r="58" spans="1:7" x14ac:dyDescent="0.3">
      <c r="A58" s="14" t="s">
        <v>29</v>
      </c>
      <c r="B58" s="14" t="s">
        <v>538</v>
      </c>
      <c r="C58" s="14" t="s">
        <v>30</v>
      </c>
      <c r="D58" s="14" t="s">
        <v>514</v>
      </c>
      <c r="E58" s="14" t="s">
        <v>515</v>
      </c>
      <c r="F58" s="14" t="s">
        <v>88</v>
      </c>
      <c r="G58" s="14"/>
    </row>
    <row r="59" spans="1:7" x14ac:dyDescent="0.3">
      <c r="A59" s="14" t="s">
        <v>29</v>
      </c>
      <c r="B59" s="14" t="s">
        <v>538</v>
      </c>
      <c r="C59" s="14" t="s">
        <v>527</v>
      </c>
      <c r="D59" s="14" t="s">
        <v>514</v>
      </c>
      <c r="E59" s="14" t="s">
        <v>515</v>
      </c>
      <c r="F59" s="14" t="s">
        <v>372</v>
      </c>
      <c r="G59" s="14" t="s">
        <v>391</v>
      </c>
    </row>
    <row r="60" spans="1:7" x14ac:dyDescent="0.3">
      <c r="A60" s="14" t="s">
        <v>29</v>
      </c>
      <c r="B60" s="14" t="s">
        <v>538</v>
      </c>
      <c r="C60" s="14" t="s">
        <v>31</v>
      </c>
      <c r="D60" s="14" t="s">
        <v>514</v>
      </c>
      <c r="E60" s="14" t="s">
        <v>515</v>
      </c>
      <c r="F60" s="14" t="s">
        <v>90</v>
      </c>
      <c r="G60" s="14"/>
    </row>
    <row r="61" spans="1:7" x14ac:dyDescent="0.3">
      <c r="A61" s="14" t="s">
        <v>29</v>
      </c>
      <c r="B61" s="14" t="s">
        <v>538</v>
      </c>
      <c r="C61" s="14" t="s">
        <v>529</v>
      </c>
      <c r="D61" s="14" t="s">
        <v>514</v>
      </c>
      <c r="E61" s="14" t="s">
        <v>515</v>
      </c>
      <c r="F61" s="14" t="s">
        <v>375</v>
      </c>
      <c r="G61" s="14" t="s">
        <v>391</v>
      </c>
    </row>
    <row r="62" spans="1:7" x14ac:dyDescent="0.3">
      <c r="A62" s="14" t="s">
        <v>29</v>
      </c>
      <c r="B62" s="14" t="s">
        <v>538</v>
      </c>
      <c r="C62" s="14" t="s">
        <v>32</v>
      </c>
      <c r="D62" s="14" t="s">
        <v>514</v>
      </c>
      <c r="E62" s="14" t="s">
        <v>515</v>
      </c>
      <c r="F62" s="14" t="s">
        <v>92</v>
      </c>
      <c r="G62" s="14"/>
    </row>
    <row r="63" spans="1:7" x14ac:dyDescent="0.3">
      <c r="A63" s="14" t="s">
        <v>29</v>
      </c>
      <c r="B63" s="14" t="s">
        <v>538</v>
      </c>
      <c r="C63" s="14" t="s">
        <v>531</v>
      </c>
      <c r="D63" s="14" t="s">
        <v>514</v>
      </c>
      <c r="E63" s="14" t="s">
        <v>515</v>
      </c>
      <c r="F63" s="14" t="s">
        <v>94</v>
      </c>
      <c r="G63" s="14"/>
    </row>
    <row r="64" spans="1:7" x14ac:dyDescent="0.3">
      <c r="A64" s="14" t="s">
        <v>29</v>
      </c>
      <c r="B64" s="14" t="s">
        <v>538</v>
      </c>
      <c r="C64" s="14" t="s">
        <v>532</v>
      </c>
      <c r="D64" s="14" t="s">
        <v>514</v>
      </c>
      <c r="E64" s="14" t="s">
        <v>515</v>
      </c>
      <c r="F64" s="14" t="s">
        <v>95</v>
      </c>
      <c r="G64" s="14"/>
    </row>
    <row r="65" spans="1:7" x14ac:dyDescent="0.3">
      <c r="A65" s="14" t="s">
        <v>29</v>
      </c>
      <c r="B65" s="14" t="s">
        <v>538</v>
      </c>
      <c r="C65" s="14" t="s">
        <v>533</v>
      </c>
      <c r="D65" s="14" t="s">
        <v>514</v>
      </c>
      <c r="E65" s="14" t="s">
        <v>515</v>
      </c>
      <c r="F65" s="14" t="s">
        <v>96</v>
      </c>
      <c r="G65" s="14"/>
    </row>
    <row r="66" spans="1:7" x14ac:dyDescent="0.3">
      <c r="A66" s="14" t="s">
        <v>29</v>
      </c>
      <c r="B66" s="14" t="s">
        <v>538</v>
      </c>
      <c r="C66" s="14" t="s">
        <v>534</v>
      </c>
      <c r="D66" s="14" t="s">
        <v>514</v>
      </c>
      <c r="E66" s="14" t="s">
        <v>515</v>
      </c>
      <c r="F66" s="14" t="s">
        <v>378</v>
      </c>
      <c r="G66" s="14" t="s">
        <v>391</v>
      </c>
    </row>
    <row r="67" spans="1:7" x14ac:dyDescent="0.3">
      <c r="A67" s="14" t="s">
        <v>29</v>
      </c>
      <c r="B67" s="14" t="s">
        <v>538</v>
      </c>
      <c r="C67" s="14" t="s">
        <v>535</v>
      </c>
      <c r="D67" s="14" t="s">
        <v>514</v>
      </c>
      <c r="E67" s="14" t="s">
        <v>515</v>
      </c>
      <c r="F67" s="14" t="s">
        <v>381</v>
      </c>
      <c r="G67" s="14" t="s">
        <v>391</v>
      </c>
    </row>
  </sheetData>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2B00AAA-1E56-4218-B483-B985A03B6443}">
          <x14:formula1>
            <xm:f>DataValidation!$E$9:$E$13</xm:f>
          </x14:formula1>
          <xm:sqref>G12 G15 G25 G28 G31 G37:G38 G50 G57 G59 G61 G66:G67</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0EBAD-646E-4429-BC46-C806F3C81957}">
  <sheetPr>
    <tabColor rgb="FF005024"/>
  </sheetPr>
  <dimension ref="A1:D68"/>
  <sheetViews>
    <sheetView topLeftCell="A58" workbookViewId="0">
      <selection activeCell="C53" sqref="C53"/>
    </sheetView>
  </sheetViews>
  <sheetFormatPr defaultRowHeight="14" x14ac:dyDescent="0.3"/>
  <cols>
    <col min="1" max="1" width="27.1796875" style="5" customWidth="1"/>
    <col min="2" max="2" width="9.6328125" style="5" customWidth="1"/>
    <col min="3" max="3" width="82.7265625" style="5" customWidth="1"/>
    <col min="4" max="4" width="32.7265625" style="2" bestFit="1" customWidth="1"/>
    <col min="5" max="16384" width="8.7265625" style="2"/>
  </cols>
  <sheetData>
    <row r="1" spans="1:4" ht="15" x14ac:dyDescent="0.3">
      <c r="A1" s="37" t="s">
        <v>172</v>
      </c>
    </row>
    <row r="3" spans="1:4" x14ac:dyDescent="0.3">
      <c r="A3" s="45" t="s">
        <v>179</v>
      </c>
    </row>
    <row r="4" spans="1:4" s="3" customFormat="1" ht="28" x14ac:dyDescent="0.35">
      <c r="A4" s="27" t="s">
        <v>169</v>
      </c>
      <c r="B4" s="27" t="s">
        <v>168</v>
      </c>
      <c r="C4" s="27" t="s">
        <v>173</v>
      </c>
    </row>
    <row r="5" spans="1:4" x14ac:dyDescent="0.3">
      <c r="A5" s="28" t="s">
        <v>170</v>
      </c>
      <c r="B5" s="25" t="s">
        <v>42</v>
      </c>
      <c r="C5" s="25" t="s">
        <v>171</v>
      </c>
    </row>
    <row r="7" spans="1:4" x14ac:dyDescent="0.3">
      <c r="A7" s="45" t="s">
        <v>180</v>
      </c>
    </row>
    <row r="8" spans="1:4" ht="28" x14ac:dyDescent="0.3">
      <c r="A8" s="27" t="s">
        <v>169</v>
      </c>
      <c r="B8" s="27" t="s">
        <v>168</v>
      </c>
      <c r="C8" s="27" t="s">
        <v>173</v>
      </c>
    </row>
    <row r="9" spans="1:4" x14ac:dyDescent="0.3">
      <c r="A9" s="42" t="s">
        <v>174</v>
      </c>
      <c r="B9" s="43" t="s">
        <v>140</v>
      </c>
      <c r="C9" s="41" t="s">
        <v>175</v>
      </c>
    </row>
    <row r="10" spans="1:4" ht="28" x14ac:dyDescent="0.3">
      <c r="A10" s="44" t="s">
        <v>174</v>
      </c>
      <c r="B10" s="43" t="s">
        <v>176</v>
      </c>
      <c r="C10" s="41" t="s">
        <v>177</v>
      </c>
    </row>
    <row r="11" spans="1:4" x14ac:dyDescent="0.3">
      <c r="A11" s="42" t="s">
        <v>174</v>
      </c>
      <c r="B11" s="43" t="s">
        <v>38</v>
      </c>
      <c r="C11" s="41" t="s">
        <v>178</v>
      </c>
    </row>
    <row r="13" spans="1:4" x14ac:dyDescent="0.3">
      <c r="A13" s="45" t="s">
        <v>181</v>
      </c>
    </row>
    <row r="14" spans="1:4" ht="28" x14ac:dyDescent="0.3">
      <c r="A14" s="27" t="s">
        <v>169</v>
      </c>
      <c r="B14" s="27" t="s">
        <v>168</v>
      </c>
      <c r="C14" s="27" t="s">
        <v>173</v>
      </c>
      <c r="D14" s="27" t="s">
        <v>218</v>
      </c>
    </row>
    <row r="15" spans="1:4" x14ac:dyDescent="0.3">
      <c r="A15" s="42" t="s">
        <v>182</v>
      </c>
      <c r="B15" s="43" t="s">
        <v>193</v>
      </c>
      <c r="C15" s="41" t="s">
        <v>211</v>
      </c>
      <c r="D15" s="46" t="s">
        <v>183</v>
      </c>
    </row>
    <row r="16" spans="1:4" x14ac:dyDescent="0.3">
      <c r="A16" s="42" t="s">
        <v>182</v>
      </c>
      <c r="B16" s="43" t="s">
        <v>194</v>
      </c>
      <c r="C16" s="41" t="s">
        <v>210</v>
      </c>
      <c r="D16" s="46" t="s">
        <v>183</v>
      </c>
    </row>
    <row r="17" spans="1:4" x14ac:dyDescent="0.3">
      <c r="A17" s="42" t="s">
        <v>182</v>
      </c>
      <c r="B17" s="43" t="s">
        <v>195</v>
      </c>
      <c r="C17" s="41" t="s">
        <v>209</v>
      </c>
      <c r="D17" s="46" t="s">
        <v>183</v>
      </c>
    </row>
    <row r="18" spans="1:4" x14ac:dyDescent="0.3">
      <c r="A18" s="42" t="s">
        <v>182</v>
      </c>
      <c r="B18" s="43" t="s">
        <v>196</v>
      </c>
      <c r="C18" s="41" t="s">
        <v>208</v>
      </c>
      <c r="D18" s="46" t="s">
        <v>183</v>
      </c>
    </row>
    <row r="19" spans="1:4" ht="28" x14ac:dyDescent="0.3">
      <c r="A19" s="42" t="s">
        <v>182</v>
      </c>
      <c r="B19" s="43" t="s">
        <v>197</v>
      </c>
      <c r="C19" s="41" t="s">
        <v>207</v>
      </c>
      <c r="D19" s="46" t="s">
        <v>183</v>
      </c>
    </row>
    <row r="20" spans="1:4" ht="28" x14ac:dyDescent="0.3">
      <c r="A20" s="42" t="s">
        <v>182</v>
      </c>
      <c r="B20" s="43" t="s">
        <v>198</v>
      </c>
      <c r="C20" s="41" t="s">
        <v>206</v>
      </c>
      <c r="D20" s="46" t="s">
        <v>183</v>
      </c>
    </row>
    <row r="21" spans="1:4" x14ac:dyDescent="0.3">
      <c r="A21" s="42" t="s">
        <v>182</v>
      </c>
      <c r="B21" s="43" t="s">
        <v>199</v>
      </c>
      <c r="C21" s="41" t="s">
        <v>205</v>
      </c>
      <c r="D21" s="46" t="s">
        <v>183</v>
      </c>
    </row>
    <row r="22" spans="1:4" x14ac:dyDescent="0.3">
      <c r="A22" s="42" t="s">
        <v>182</v>
      </c>
      <c r="B22" s="43" t="s">
        <v>200</v>
      </c>
      <c r="C22" s="41" t="s">
        <v>204</v>
      </c>
      <c r="D22" s="46" t="s">
        <v>183</v>
      </c>
    </row>
    <row r="23" spans="1:4" x14ac:dyDescent="0.3">
      <c r="A23" s="42" t="s">
        <v>182</v>
      </c>
      <c r="B23" s="43" t="s">
        <v>201</v>
      </c>
      <c r="C23" s="41" t="s">
        <v>203</v>
      </c>
      <c r="D23" s="46" t="s">
        <v>183</v>
      </c>
    </row>
    <row r="24" spans="1:4" x14ac:dyDescent="0.3">
      <c r="A24" s="42" t="s">
        <v>182</v>
      </c>
      <c r="B24" s="43" t="s">
        <v>185</v>
      </c>
      <c r="C24" s="41" t="s">
        <v>202</v>
      </c>
      <c r="D24" s="46" t="s">
        <v>183</v>
      </c>
    </row>
    <row r="25" spans="1:4" x14ac:dyDescent="0.3">
      <c r="A25" s="42" t="s">
        <v>182</v>
      </c>
      <c r="B25" s="43" t="s">
        <v>186</v>
      </c>
      <c r="C25" s="41" t="s">
        <v>217</v>
      </c>
      <c r="D25" s="46" t="s">
        <v>184</v>
      </c>
    </row>
    <row r="26" spans="1:4" x14ac:dyDescent="0.3">
      <c r="A26" s="42" t="s">
        <v>182</v>
      </c>
      <c r="B26" s="43" t="s">
        <v>187</v>
      </c>
      <c r="C26" s="41" t="s">
        <v>216</v>
      </c>
      <c r="D26" s="46" t="s">
        <v>184</v>
      </c>
    </row>
    <row r="27" spans="1:4" x14ac:dyDescent="0.3">
      <c r="A27" s="42" t="s">
        <v>182</v>
      </c>
      <c r="B27" s="43" t="s">
        <v>188</v>
      </c>
      <c r="C27" s="41" t="s">
        <v>215</v>
      </c>
      <c r="D27" s="46" t="s">
        <v>184</v>
      </c>
    </row>
    <row r="28" spans="1:4" x14ac:dyDescent="0.3">
      <c r="A28" s="42" t="s">
        <v>182</v>
      </c>
      <c r="B28" s="43" t="s">
        <v>189</v>
      </c>
      <c r="C28" s="41" t="s">
        <v>214</v>
      </c>
      <c r="D28" s="46" t="s">
        <v>184</v>
      </c>
    </row>
    <row r="29" spans="1:4" x14ac:dyDescent="0.3">
      <c r="A29" s="42" t="s">
        <v>182</v>
      </c>
      <c r="B29" s="43" t="s">
        <v>190</v>
      </c>
      <c r="C29" s="41" t="s">
        <v>213</v>
      </c>
      <c r="D29" s="46" t="s">
        <v>184</v>
      </c>
    </row>
    <row r="30" spans="1:4" x14ac:dyDescent="0.3">
      <c r="A30" s="42" t="s">
        <v>182</v>
      </c>
      <c r="B30" s="43" t="s">
        <v>191</v>
      </c>
      <c r="C30" s="41" t="s">
        <v>204</v>
      </c>
      <c r="D30" s="46" t="s">
        <v>184</v>
      </c>
    </row>
    <row r="31" spans="1:4" ht="42" x14ac:dyDescent="0.3">
      <c r="A31" s="42" t="s">
        <v>182</v>
      </c>
      <c r="B31" s="43" t="s">
        <v>192</v>
      </c>
      <c r="C31" s="41" t="s">
        <v>212</v>
      </c>
      <c r="D31" s="46" t="s">
        <v>184</v>
      </c>
    </row>
    <row r="33" spans="1:4" x14ac:dyDescent="0.3">
      <c r="A33" s="45" t="s">
        <v>219</v>
      </c>
    </row>
    <row r="34" spans="1:4" ht="28" x14ac:dyDescent="0.3">
      <c r="A34" s="27" t="s">
        <v>169</v>
      </c>
      <c r="B34" s="27" t="s">
        <v>168</v>
      </c>
      <c r="C34" s="27" t="s">
        <v>173</v>
      </c>
      <c r="D34" s="27" t="s">
        <v>218</v>
      </c>
    </row>
    <row r="35" spans="1:4" x14ac:dyDescent="0.3">
      <c r="A35" s="42" t="s">
        <v>220</v>
      </c>
      <c r="B35" s="43" t="s">
        <v>193</v>
      </c>
      <c r="C35" s="41" t="s">
        <v>222</v>
      </c>
      <c r="D35" s="46" t="s">
        <v>183</v>
      </c>
    </row>
    <row r="36" spans="1:4" ht="28" x14ac:dyDescent="0.3">
      <c r="A36" s="42" t="s">
        <v>220</v>
      </c>
      <c r="B36" s="43" t="s">
        <v>194</v>
      </c>
      <c r="C36" s="41" t="s">
        <v>221</v>
      </c>
      <c r="D36" s="46" t="s">
        <v>183</v>
      </c>
    </row>
    <row r="37" spans="1:4" x14ac:dyDescent="0.3">
      <c r="A37" s="42" t="s">
        <v>220</v>
      </c>
      <c r="B37" s="43" t="s">
        <v>140</v>
      </c>
      <c r="C37" s="41" t="s">
        <v>223</v>
      </c>
      <c r="D37" s="46" t="s">
        <v>184</v>
      </c>
    </row>
    <row r="39" spans="1:4" x14ac:dyDescent="0.3">
      <c r="A39" s="45" t="s">
        <v>224</v>
      </c>
    </row>
    <row r="40" spans="1:4" ht="28" x14ac:dyDescent="0.3">
      <c r="A40" s="27" t="s">
        <v>169</v>
      </c>
      <c r="B40" s="27" t="s">
        <v>168</v>
      </c>
      <c r="C40" s="27" t="s">
        <v>173</v>
      </c>
      <c r="D40" s="27" t="s">
        <v>226</v>
      </c>
    </row>
    <row r="41" spans="1:4" x14ac:dyDescent="0.3">
      <c r="A41" s="42" t="s">
        <v>225</v>
      </c>
      <c r="B41" s="25" t="s">
        <v>42</v>
      </c>
      <c r="C41" s="25" t="s">
        <v>227</v>
      </c>
      <c r="D41" s="46" t="s">
        <v>228</v>
      </c>
    </row>
    <row r="42" spans="1:4" x14ac:dyDescent="0.3">
      <c r="A42" s="42" t="s">
        <v>225</v>
      </c>
      <c r="B42" s="43" t="s">
        <v>140</v>
      </c>
      <c r="C42" s="41" t="s">
        <v>175</v>
      </c>
      <c r="D42" s="46" t="s">
        <v>229</v>
      </c>
    </row>
    <row r="43" spans="1:4" x14ac:dyDescent="0.3">
      <c r="A43" s="42" t="s">
        <v>225</v>
      </c>
      <c r="B43" s="43" t="s">
        <v>230</v>
      </c>
      <c r="C43" s="41" t="s">
        <v>231</v>
      </c>
      <c r="D43" s="46" t="s">
        <v>229</v>
      </c>
    </row>
    <row r="44" spans="1:4" x14ac:dyDescent="0.3">
      <c r="A44" s="42" t="s">
        <v>225</v>
      </c>
      <c r="B44" s="43" t="s">
        <v>38</v>
      </c>
      <c r="C44" s="41" t="s">
        <v>232</v>
      </c>
      <c r="D44" s="46" t="s">
        <v>229</v>
      </c>
    </row>
    <row r="46" spans="1:4" x14ac:dyDescent="0.3">
      <c r="A46" s="45" t="s">
        <v>233</v>
      </c>
    </row>
    <row r="47" spans="1:4" ht="28" x14ac:dyDescent="0.3">
      <c r="A47" s="27" t="s">
        <v>169</v>
      </c>
      <c r="B47" s="27" t="s">
        <v>168</v>
      </c>
      <c r="C47" s="27" t="s">
        <v>173</v>
      </c>
      <c r="D47" s="27" t="s">
        <v>218</v>
      </c>
    </row>
    <row r="48" spans="1:4" x14ac:dyDescent="0.3">
      <c r="A48" s="42" t="s">
        <v>234</v>
      </c>
      <c r="B48" s="43" t="s">
        <v>193</v>
      </c>
      <c r="C48" s="41" t="s">
        <v>243</v>
      </c>
      <c r="D48" s="46" t="s">
        <v>183</v>
      </c>
    </row>
    <row r="49" spans="1:4" x14ac:dyDescent="0.3">
      <c r="A49" s="42" t="s">
        <v>234</v>
      </c>
      <c r="B49" s="43" t="s">
        <v>194</v>
      </c>
      <c r="C49" s="41" t="s">
        <v>242</v>
      </c>
      <c r="D49" s="46" t="s">
        <v>183</v>
      </c>
    </row>
    <row r="50" spans="1:4" x14ac:dyDescent="0.3">
      <c r="A50" s="42" t="s">
        <v>234</v>
      </c>
      <c r="B50" s="43" t="s">
        <v>195</v>
      </c>
      <c r="C50" s="41" t="s">
        <v>244</v>
      </c>
      <c r="D50" s="46" t="s">
        <v>183</v>
      </c>
    </row>
    <row r="51" spans="1:4" ht="28" x14ac:dyDescent="0.3">
      <c r="A51" s="42" t="s">
        <v>234</v>
      </c>
      <c r="B51" s="43" t="s">
        <v>196</v>
      </c>
      <c r="C51" s="41" t="s">
        <v>245</v>
      </c>
      <c r="D51" s="46" t="s">
        <v>183</v>
      </c>
    </row>
    <row r="52" spans="1:4" ht="28" x14ac:dyDescent="0.3">
      <c r="A52" s="42" t="s">
        <v>234</v>
      </c>
      <c r="B52" s="43" t="s">
        <v>197</v>
      </c>
      <c r="C52" s="41" t="s">
        <v>246</v>
      </c>
      <c r="D52" s="46" t="s">
        <v>183</v>
      </c>
    </row>
    <row r="53" spans="1:4" ht="28" x14ac:dyDescent="0.3">
      <c r="A53" s="42" t="s">
        <v>234</v>
      </c>
      <c r="B53" s="43" t="s">
        <v>198</v>
      </c>
      <c r="C53" s="41" t="s">
        <v>247</v>
      </c>
      <c r="D53" s="46" t="s">
        <v>183</v>
      </c>
    </row>
    <row r="54" spans="1:4" x14ac:dyDescent="0.3">
      <c r="A54" s="42" t="s">
        <v>234</v>
      </c>
      <c r="B54" s="43" t="s">
        <v>199</v>
      </c>
      <c r="C54" s="41" t="s">
        <v>248</v>
      </c>
      <c r="D54" s="46" t="s">
        <v>183</v>
      </c>
    </row>
    <row r="55" spans="1:4" x14ac:dyDescent="0.3">
      <c r="A55" s="42" t="s">
        <v>234</v>
      </c>
      <c r="B55" s="43" t="s">
        <v>200</v>
      </c>
      <c r="C55" s="41" t="s">
        <v>249</v>
      </c>
      <c r="D55" s="46" t="s">
        <v>183</v>
      </c>
    </row>
    <row r="56" spans="1:4" ht="70" x14ac:dyDescent="0.3">
      <c r="A56" s="42" t="s">
        <v>234</v>
      </c>
      <c r="B56" s="43" t="s">
        <v>235</v>
      </c>
      <c r="C56" s="41" t="s">
        <v>250</v>
      </c>
      <c r="D56" s="46" t="s">
        <v>183</v>
      </c>
    </row>
    <row r="57" spans="1:4" ht="70" x14ac:dyDescent="0.3">
      <c r="A57" s="42" t="s">
        <v>234</v>
      </c>
      <c r="B57" s="43" t="s">
        <v>236</v>
      </c>
      <c r="C57" s="41" t="s">
        <v>251</v>
      </c>
      <c r="D57" s="46" t="s">
        <v>183</v>
      </c>
    </row>
    <row r="58" spans="1:4" ht="28" x14ac:dyDescent="0.3">
      <c r="A58" s="42" t="s">
        <v>234</v>
      </c>
      <c r="B58" s="43" t="s">
        <v>237</v>
      </c>
      <c r="C58" s="41" t="s">
        <v>252</v>
      </c>
      <c r="D58" s="46" t="s">
        <v>183</v>
      </c>
    </row>
    <row r="59" spans="1:4" x14ac:dyDescent="0.3">
      <c r="A59" s="42" t="s">
        <v>234</v>
      </c>
      <c r="B59" s="43" t="s">
        <v>238</v>
      </c>
      <c r="C59" s="41" t="s">
        <v>253</v>
      </c>
      <c r="D59" s="46" t="s">
        <v>183</v>
      </c>
    </row>
    <row r="60" spans="1:4" ht="28" x14ac:dyDescent="0.3">
      <c r="A60" s="42" t="s">
        <v>234</v>
      </c>
      <c r="B60" s="43" t="s">
        <v>239</v>
      </c>
      <c r="C60" s="41" t="s">
        <v>254</v>
      </c>
      <c r="D60" s="46" t="s">
        <v>183</v>
      </c>
    </row>
    <row r="61" spans="1:4" ht="28" x14ac:dyDescent="0.3">
      <c r="A61" s="42" t="s">
        <v>234</v>
      </c>
      <c r="B61" s="43" t="s">
        <v>240</v>
      </c>
      <c r="C61" s="41" t="s">
        <v>255</v>
      </c>
      <c r="D61" s="46" t="s">
        <v>183</v>
      </c>
    </row>
    <row r="62" spans="1:4" x14ac:dyDescent="0.3">
      <c r="A62" s="42" t="s">
        <v>234</v>
      </c>
      <c r="B62" s="43" t="s">
        <v>185</v>
      </c>
      <c r="C62" s="41" t="s">
        <v>202</v>
      </c>
      <c r="D62" s="46" t="s">
        <v>183</v>
      </c>
    </row>
    <row r="63" spans="1:4" x14ac:dyDescent="0.3">
      <c r="A63" s="42" t="s">
        <v>234</v>
      </c>
      <c r="B63" s="43" t="s">
        <v>186</v>
      </c>
      <c r="C63" s="41" t="s">
        <v>256</v>
      </c>
      <c r="D63" s="46" t="s">
        <v>184</v>
      </c>
    </row>
    <row r="64" spans="1:4" x14ac:dyDescent="0.3">
      <c r="A64" s="42" t="s">
        <v>234</v>
      </c>
      <c r="B64" s="43" t="s">
        <v>187</v>
      </c>
      <c r="C64" s="41" t="s">
        <v>257</v>
      </c>
      <c r="D64" s="46" t="s">
        <v>184</v>
      </c>
    </row>
    <row r="65" spans="1:4" x14ac:dyDescent="0.3">
      <c r="A65" s="42" t="s">
        <v>234</v>
      </c>
      <c r="B65" s="43" t="s">
        <v>188</v>
      </c>
      <c r="C65" s="41" t="s">
        <v>258</v>
      </c>
      <c r="D65" s="46" t="s">
        <v>184</v>
      </c>
    </row>
    <row r="66" spans="1:4" ht="28" x14ac:dyDescent="0.3">
      <c r="A66" s="42" t="s">
        <v>234</v>
      </c>
      <c r="B66" s="43" t="s">
        <v>189</v>
      </c>
      <c r="C66" s="41" t="s">
        <v>259</v>
      </c>
      <c r="D66" s="46" t="s">
        <v>184</v>
      </c>
    </row>
    <row r="67" spans="1:4" ht="28" x14ac:dyDescent="0.3">
      <c r="A67" s="42" t="s">
        <v>234</v>
      </c>
      <c r="B67" s="43" t="s">
        <v>190</v>
      </c>
      <c r="C67" s="41" t="s">
        <v>260</v>
      </c>
      <c r="D67" s="46" t="s">
        <v>184</v>
      </c>
    </row>
    <row r="68" spans="1:4" x14ac:dyDescent="0.3">
      <c r="A68" s="42" t="s">
        <v>234</v>
      </c>
      <c r="B68" s="43" t="s">
        <v>241</v>
      </c>
      <c r="C68" s="41" t="s">
        <v>261</v>
      </c>
      <c r="D68" s="46" t="s">
        <v>184</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00105-5752-4791-A88E-4588F2C64B5B}">
  <sheetPr>
    <tabColor rgb="FF005024"/>
  </sheetPr>
  <dimension ref="A1:D35"/>
  <sheetViews>
    <sheetView topLeftCell="A17" workbookViewId="0">
      <selection activeCell="A16" sqref="A16"/>
    </sheetView>
  </sheetViews>
  <sheetFormatPr defaultRowHeight="14" x14ac:dyDescent="0.3"/>
  <cols>
    <col min="1" max="1" width="17.08984375" style="29" customWidth="1"/>
    <col min="2" max="2" width="35.26953125" style="29" bestFit="1" customWidth="1"/>
    <col min="3" max="3" width="27.54296875" style="30" customWidth="1"/>
    <col min="4" max="16384" width="8.7265625" style="30"/>
  </cols>
  <sheetData>
    <row r="1" spans="1:4" ht="15" x14ac:dyDescent="0.3">
      <c r="A1" s="33" t="s">
        <v>291</v>
      </c>
    </row>
    <row r="3" spans="1:4" s="48" customFormat="1" ht="28" x14ac:dyDescent="0.35">
      <c r="A3" s="47" t="s">
        <v>292</v>
      </c>
      <c r="B3" s="47" t="s">
        <v>293</v>
      </c>
      <c r="C3" s="47" t="s">
        <v>297</v>
      </c>
    </row>
    <row r="4" spans="1:4" x14ac:dyDescent="0.3">
      <c r="A4" s="32" t="s">
        <v>262</v>
      </c>
      <c r="B4" s="31" t="s">
        <v>156</v>
      </c>
      <c r="C4" s="31" t="s">
        <v>294</v>
      </c>
      <c r="D4" s="30" t="s">
        <v>301</v>
      </c>
    </row>
    <row r="5" spans="1:4" x14ac:dyDescent="0.3">
      <c r="A5" s="32" t="s">
        <v>263</v>
      </c>
      <c r="B5" s="31" t="s">
        <v>302</v>
      </c>
      <c r="C5" s="31" t="s">
        <v>294</v>
      </c>
    </row>
    <row r="6" spans="1:4" x14ac:dyDescent="0.3">
      <c r="A6" s="32" t="s">
        <v>264</v>
      </c>
      <c r="B6" s="31" t="s">
        <v>303</v>
      </c>
      <c r="C6" s="31" t="s">
        <v>295</v>
      </c>
    </row>
    <row r="7" spans="1:4" x14ac:dyDescent="0.3">
      <c r="A7" s="32" t="s">
        <v>265</v>
      </c>
      <c r="B7" s="31" t="s">
        <v>45</v>
      </c>
      <c r="C7" s="31" t="s">
        <v>295</v>
      </c>
    </row>
    <row r="8" spans="1:4" x14ac:dyDescent="0.3">
      <c r="A8" s="32" t="s">
        <v>266</v>
      </c>
      <c r="B8" s="31" t="s">
        <v>304</v>
      </c>
      <c r="C8" s="31" t="s">
        <v>295</v>
      </c>
    </row>
    <row r="9" spans="1:4" x14ac:dyDescent="0.3">
      <c r="A9" s="32" t="s">
        <v>267</v>
      </c>
      <c r="B9" s="31" t="s">
        <v>305</v>
      </c>
      <c r="C9" s="31" t="s">
        <v>295</v>
      </c>
    </row>
    <row r="10" spans="1:4" x14ac:dyDescent="0.3">
      <c r="A10" s="32" t="s">
        <v>268</v>
      </c>
      <c r="B10" s="31" t="s">
        <v>47</v>
      </c>
      <c r="C10" s="31" t="s">
        <v>295</v>
      </c>
    </row>
    <row r="11" spans="1:4" x14ac:dyDescent="0.3">
      <c r="A11" s="32" t="s">
        <v>145</v>
      </c>
      <c r="B11" s="31" t="s">
        <v>48</v>
      </c>
      <c r="C11" s="31" t="s">
        <v>295</v>
      </c>
    </row>
    <row r="12" spans="1:4" x14ac:dyDescent="0.3">
      <c r="A12" s="32" t="s">
        <v>269</v>
      </c>
      <c r="B12" s="31" t="s">
        <v>306</v>
      </c>
      <c r="C12" s="31" t="s">
        <v>295</v>
      </c>
    </row>
    <row r="13" spans="1:4" x14ac:dyDescent="0.3">
      <c r="A13" s="32" t="s">
        <v>270</v>
      </c>
      <c r="B13" s="31" t="s">
        <v>156</v>
      </c>
      <c r="C13" s="31" t="s">
        <v>298</v>
      </c>
    </row>
    <row r="14" spans="1:4" x14ac:dyDescent="0.3">
      <c r="A14" s="32" t="s">
        <v>271</v>
      </c>
      <c r="B14" s="31" t="s">
        <v>307</v>
      </c>
      <c r="C14" s="31" t="s">
        <v>298</v>
      </c>
    </row>
    <row r="15" spans="1:4" x14ac:dyDescent="0.3">
      <c r="A15" s="32" t="s">
        <v>272</v>
      </c>
      <c r="B15" s="31" t="s">
        <v>308</v>
      </c>
      <c r="C15" s="31" t="s">
        <v>298</v>
      </c>
    </row>
    <row r="16" spans="1:4" x14ac:dyDescent="0.3">
      <c r="A16" s="32" t="s">
        <v>273</v>
      </c>
      <c r="B16" s="31" t="s">
        <v>309</v>
      </c>
      <c r="C16" s="31" t="s">
        <v>298</v>
      </c>
    </row>
    <row r="17" spans="1:3" x14ac:dyDescent="0.3">
      <c r="A17" s="32" t="s">
        <v>274</v>
      </c>
      <c r="B17" s="31" t="s">
        <v>310</v>
      </c>
      <c r="C17" s="31" t="s">
        <v>298</v>
      </c>
    </row>
    <row r="18" spans="1:3" x14ac:dyDescent="0.3">
      <c r="A18" s="32" t="s">
        <v>275</v>
      </c>
      <c r="B18" s="31" t="s">
        <v>311</v>
      </c>
      <c r="C18" s="31" t="s">
        <v>298</v>
      </c>
    </row>
    <row r="19" spans="1:3" x14ac:dyDescent="0.3">
      <c r="A19" s="32" t="s">
        <v>276</v>
      </c>
      <c r="B19" s="31" t="s">
        <v>312</v>
      </c>
      <c r="C19" s="31" t="s">
        <v>298</v>
      </c>
    </row>
    <row r="20" spans="1:3" x14ac:dyDescent="0.3">
      <c r="A20" s="32" t="s">
        <v>277</v>
      </c>
      <c r="B20" s="31" t="s">
        <v>313</v>
      </c>
      <c r="C20" s="31" t="s">
        <v>298</v>
      </c>
    </row>
    <row r="21" spans="1:3" x14ac:dyDescent="0.3">
      <c r="A21" s="32" t="s">
        <v>278</v>
      </c>
      <c r="B21" s="31" t="s">
        <v>314</v>
      </c>
      <c r="C21" s="31" t="s">
        <v>298</v>
      </c>
    </row>
    <row r="22" spans="1:3" x14ac:dyDescent="0.3">
      <c r="A22" s="32" t="s">
        <v>279</v>
      </c>
      <c r="B22" s="31" t="s">
        <v>315</v>
      </c>
      <c r="C22" s="31" t="s">
        <v>298</v>
      </c>
    </row>
    <row r="23" spans="1:3" x14ac:dyDescent="0.3">
      <c r="A23" s="32" t="s">
        <v>280</v>
      </c>
      <c r="B23" s="31" t="s">
        <v>316</v>
      </c>
      <c r="C23" s="31" t="s">
        <v>298</v>
      </c>
    </row>
    <row r="24" spans="1:3" x14ac:dyDescent="0.3">
      <c r="A24" s="32" t="s">
        <v>281</v>
      </c>
      <c r="B24" s="31" t="s">
        <v>317</v>
      </c>
      <c r="C24" s="31" t="s">
        <v>298</v>
      </c>
    </row>
    <row r="25" spans="1:3" x14ac:dyDescent="0.3">
      <c r="A25" s="32" t="s">
        <v>282</v>
      </c>
      <c r="B25" s="31" t="s">
        <v>46</v>
      </c>
      <c r="C25" s="31" t="s">
        <v>298</v>
      </c>
    </row>
    <row r="26" spans="1:3" x14ac:dyDescent="0.3">
      <c r="A26" s="32" t="s">
        <v>146</v>
      </c>
      <c r="B26" s="31" t="s">
        <v>43</v>
      </c>
      <c r="C26" s="31" t="s">
        <v>298</v>
      </c>
    </row>
    <row r="27" spans="1:3" x14ac:dyDescent="0.3">
      <c r="A27" s="32" t="s">
        <v>283</v>
      </c>
      <c r="B27" s="31" t="s">
        <v>39</v>
      </c>
      <c r="C27" s="31" t="s">
        <v>298</v>
      </c>
    </row>
    <row r="28" spans="1:3" x14ac:dyDescent="0.3">
      <c r="A28" s="32" t="s">
        <v>284</v>
      </c>
      <c r="B28" s="31" t="s">
        <v>44</v>
      </c>
      <c r="C28" s="31" t="s">
        <v>298</v>
      </c>
    </row>
    <row r="29" spans="1:3" x14ac:dyDescent="0.3">
      <c r="A29" s="32" t="s">
        <v>285</v>
      </c>
      <c r="B29" s="31" t="s">
        <v>318</v>
      </c>
      <c r="C29" s="31" t="s">
        <v>298</v>
      </c>
    </row>
    <row r="30" spans="1:3" x14ac:dyDescent="0.3">
      <c r="A30" s="32" t="s">
        <v>286</v>
      </c>
      <c r="B30" s="31" t="s">
        <v>319</v>
      </c>
      <c r="C30" s="31" t="s">
        <v>298</v>
      </c>
    </row>
    <row r="31" spans="1:3" x14ac:dyDescent="0.3">
      <c r="A31" s="32" t="s">
        <v>287</v>
      </c>
      <c r="B31" s="31" t="s">
        <v>320</v>
      </c>
      <c r="C31" s="31" t="s">
        <v>298</v>
      </c>
    </row>
    <row r="32" spans="1:3" x14ac:dyDescent="0.3">
      <c r="A32" s="32" t="s">
        <v>288</v>
      </c>
      <c r="B32" s="31" t="s">
        <v>321</v>
      </c>
      <c r="C32" s="31" t="s">
        <v>298</v>
      </c>
    </row>
    <row r="33" spans="1:3" x14ac:dyDescent="0.3">
      <c r="A33" s="32" t="s">
        <v>289</v>
      </c>
      <c r="B33" s="31" t="s">
        <v>322</v>
      </c>
      <c r="C33" s="31" t="s">
        <v>296</v>
      </c>
    </row>
    <row r="34" spans="1:3" x14ac:dyDescent="0.3">
      <c r="A34" s="32" t="s">
        <v>290</v>
      </c>
      <c r="B34" s="31" t="s">
        <v>323</v>
      </c>
      <c r="C34" s="31" t="s">
        <v>299</v>
      </c>
    </row>
    <row r="35" spans="1:3" x14ac:dyDescent="0.3">
      <c r="A35" s="32" t="s">
        <v>144</v>
      </c>
      <c r="B35" s="31" t="s">
        <v>167</v>
      </c>
      <c r="C35" s="31" t="s">
        <v>300</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090CB-FC04-409D-A3ED-980060EC1A48}">
  <sheetPr>
    <tabColor rgb="FF005024"/>
  </sheetPr>
  <dimension ref="A1:D46"/>
  <sheetViews>
    <sheetView workbookViewId="0">
      <selection activeCell="A2" sqref="A2"/>
    </sheetView>
  </sheetViews>
  <sheetFormatPr defaultRowHeight="14" x14ac:dyDescent="0.3"/>
  <cols>
    <col min="1" max="1" width="17.08984375" style="29" customWidth="1"/>
    <col min="2" max="2" width="18.90625" style="30" bestFit="1" customWidth="1"/>
    <col min="3" max="3" width="35.26953125" style="29" bestFit="1" customWidth="1"/>
    <col min="4" max="4" width="27.54296875" style="30" customWidth="1"/>
    <col min="5" max="16384" width="8.7265625" style="30"/>
  </cols>
  <sheetData>
    <row r="1" spans="1:4" ht="15" x14ac:dyDescent="0.3">
      <c r="A1" s="33" t="s">
        <v>499</v>
      </c>
    </row>
    <row r="3" spans="1:4" s="48" customFormat="1" x14ac:dyDescent="0.35">
      <c r="A3" s="47" t="s">
        <v>497</v>
      </c>
      <c r="B3" s="47" t="s">
        <v>498</v>
      </c>
      <c r="C3" s="47" t="s">
        <v>396</v>
      </c>
      <c r="D3" s="47" t="s">
        <v>397</v>
      </c>
    </row>
    <row r="4" spans="1:4" x14ac:dyDescent="0.3">
      <c r="A4" s="32" t="s">
        <v>398</v>
      </c>
      <c r="B4" s="31" t="s">
        <v>400</v>
      </c>
      <c r="C4" s="31" t="s">
        <v>399</v>
      </c>
      <c r="D4" s="31" t="s">
        <v>399</v>
      </c>
    </row>
    <row r="5" spans="1:4" x14ac:dyDescent="0.3">
      <c r="A5" s="32" t="s">
        <v>401</v>
      </c>
      <c r="B5" s="31" t="s">
        <v>403</v>
      </c>
      <c r="C5" s="31" t="s">
        <v>402</v>
      </c>
      <c r="D5" s="31" t="s">
        <v>402</v>
      </c>
    </row>
    <row r="6" spans="1:4" x14ac:dyDescent="0.3">
      <c r="A6" s="32" t="s">
        <v>404</v>
      </c>
      <c r="B6" s="31" t="s">
        <v>406</v>
      </c>
      <c r="C6" s="31" t="s">
        <v>405</v>
      </c>
      <c r="D6" s="31" t="s">
        <v>405</v>
      </c>
    </row>
    <row r="7" spans="1:4" x14ac:dyDescent="0.3">
      <c r="A7" s="32" t="s">
        <v>407</v>
      </c>
      <c r="B7" s="31" t="s">
        <v>408</v>
      </c>
      <c r="C7" s="31" t="s">
        <v>405</v>
      </c>
      <c r="D7" s="31" t="s">
        <v>405</v>
      </c>
    </row>
    <row r="8" spans="1:4" x14ac:dyDescent="0.3">
      <c r="A8" s="32" t="s">
        <v>409</v>
      </c>
      <c r="B8" s="31" t="s">
        <v>410</v>
      </c>
      <c r="C8" s="31" t="s">
        <v>405</v>
      </c>
      <c r="D8" s="31" t="s">
        <v>405</v>
      </c>
    </row>
    <row r="9" spans="1:4" x14ac:dyDescent="0.3">
      <c r="A9" s="32" t="s">
        <v>411</v>
      </c>
      <c r="B9" s="31" t="s">
        <v>412</v>
      </c>
      <c r="C9" s="31" t="s">
        <v>405</v>
      </c>
      <c r="D9" s="31" t="s">
        <v>405</v>
      </c>
    </row>
    <row r="10" spans="1:4" x14ac:dyDescent="0.3">
      <c r="A10" s="32" t="s">
        <v>413</v>
      </c>
      <c r="B10" s="31" t="s">
        <v>414</v>
      </c>
      <c r="C10" s="31" t="s">
        <v>405</v>
      </c>
      <c r="D10" s="31" t="s">
        <v>405</v>
      </c>
    </row>
    <row r="11" spans="1:4" x14ac:dyDescent="0.3">
      <c r="A11" s="32" t="s">
        <v>415</v>
      </c>
      <c r="B11" s="31" t="s">
        <v>416</v>
      </c>
      <c r="C11" s="31" t="s">
        <v>405</v>
      </c>
      <c r="D11" s="31" t="s">
        <v>405</v>
      </c>
    </row>
    <row r="12" spans="1:4" x14ac:dyDescent="0.3">
      <c r="A12" s="32" t="s">
        <v>417</v>
      </c>
      <c r="B12" s="31" t="s">
        <v>418</v>
      </c>
      <c r="C12" s="31" t="s">
        <v>405</v>
      </c>
      <c r="D12" s="31" t="s">
        <v>405</v>
      </c>
    </row>
    <row r="13" spans="1:4" x14ac:dyDescent="0.3">
      <c r="A13" s="32" t="s">
        <v>419</v>
      </c>
      <c r="B13" s="31" t="s">
        <v>420</v>
      </c>
      <c r="C13" s="31" t="s">
        <v>405</v>
      </c>
      <c r="D13" s="31" t="s">
        <v>405</v>
      </c>
    </row>
    <row r="14" spans="1:4" x14ac:dyDescent="0.3">
      <c r="A14" s="32" t="s">
        <v>421</v>
      </c>
      <c r="B14" s="31" t="s">
        <v>423</v>
      </c>
      <c r="C14" s="31" t="s">
        <v>422</v>
      </c>
      <c r="D14" s="31" t="s">
        <v>422</v>
      </c>
    </row>
    <row r="15" spans="1:4" x14ac:dyDescent="0.3">
      <c r="A15" s="32" t="s">
        <v>424</v>
      </c>
      <c r="B15" s="31" t="s">
        <v>426</v>
      </c>
      <c r="C15" s="31" t="s">
        <v>425</v>
      </c>
      <c r="D15" s="31" t="s">
        <v>425</v>
      </c>
    </row>
    <row r="16" spans="1:4" x14ac:dyDescent="0.3">
      <c r="A16" s="32" t="s">
        <v>427</v>
      </c>
      <c r="B16" s="31" t="s">
        <v>428</v>
      </c>
      <c r="C16" s="31" t="s">
        <v>425</v>
      </c>
      <c r="D16" s="31" t="s">
        <v>425</v>
      </c>
    </row>
    <row r="17" spans="1:4" x14ac:dyDescent="0.3">
      <c r="A17" s="32" t="s">
        <v>429</v>
      </c>
      <c r="B17" s="31" t="s">
        <v>430</v>
      </c>
      <c r="C17" s="31" t="s">
        <v>425</v>
      </c>
      <c r="D17" s="31" t="s">
        <v>425</v>
      </c>
    </row>
    <row r="18" spans="1:4" x14ac:dyDescent="0.3">
      <c r="A18" s="32" t="s">
        <v>431</v>
      </c>
      <c r="B18" s="31" t="s">
        <v>433</v>
      </c>
      <c r="C18" s="31" t="s">
        <v>432</v>
      </c>
      <c r="D18" s="31" t="s">
        <v>432</v>
      </c>
    </row>
    <row r="19" spans="1:4" x14ac:dyDescent="0.3">
      <c r="A19" s="32" t="s">
        <v>434</v>
      </c>
      <c r="B19" s="31" t="s">
        <v>435</v>
      </c>
      <c r="C19" s="31" t="s">
        <v>432</v>
      </c>
      <c r="D19" s="31" t="s">
        <v>432</v>
      </c>
    </row>
    <row r="20" spans="1:4" x14ac:dyDescent="0.3">
      <c r="A20" s="32" t="s">
        <v>436</v>
      </c>
      <c r="B20" s="31" t="s">
        <v>437</v>
      </c>
      <c r="C20" s="31" t="s">
        <v>432</v>
      </c>
      <c r="D20" s="31" t="s">
        <v>432</v>
      </c>
    </row>
    <row r="21" spans="1:4" x14ac:dyDescent="0.3">
      <c r="A21" s="32" t="s">
        <v>438</v>
      </c>
      <c r="B21" s="31" t="s">
        <v>439</v>
      </c>
      <c r="C21" s="31" t="s">
        <v>432</v>
      </c>
      <c r="D21" s="31" t="s">
        <v>432</v>
      </c>
    </row>
    <row r="22" spans="1:4" x14ac:dyDescent="0.3">
      <c r="A22" s="32" t="s">
        <v>440</v>
      </c>
      <c r="B22" s="31" t="s">
        <v>441</v>
      </c>
      <c r="C22" s="31" t="s">
        <v>432</v>
      </c>
      <c r="D22" s="31" t="s">
        <v>432</v>
      </c>
    </row>
    <row r="23" spans="1:4" x14ac:dyDescent="0.3">
      <c r="A23" s="32" t="s">
        <v>442</v>
      </c>
      <c r="B23" s="31" t="s">
        <v>444</v>
      </c>
      <c r="C23" s="31" t="s">
        <v>443</v>
      </c>
      <c r="D23" s="31" t="s">
        <v>443</v>
      </c>
    </row>
    <row r="24" spans="1:4" x14ac:dyDescent="0.3">
      <c r="A24" s="32" t="s">
        <v>445</v>
      </c>
      <c r="B24" s="31" t="s">
        <v>446</v>
      </c>
      <c r="C24" s="31" t="s">
        <v>432</v>
      </c>
      <c r="D24" s="31" t="s">
        <v>432</v>
      </c>
    </row>
    <row r="25" spans="1:4" x14ac:dyDescent="0.3">
      <c r="A25" s="32" t="s">
        <v>447</v>
      </c>
      <c r="B25" s="31" t="s">
        <v>449</v>
      </c>
      <c r="C25" s="31" t="s">
        <v>448</v>
      </c>
      <c r="D25" s="31" t="s">
        <v>448</v>
      </c>
    </row>
    <row r="26" spans="1:4" x14ac:dyDescent="0.3">
      <c r="A26" s="32" t="s">
        <v>450</v>
      </c>
      <c r="B26" s="31" t="s">
        <v>451</v>
      </c>
      <c r="C26" s="31" t="s">
        <v>448</v>
      </c>
      <c r="D26" s="31" t="s">
        <v>448</v>
      </c>
    </row>
    <row r="27" spans="1:4" x14ac:dyDescent="0.3">
      <c r="A27" s="32" t="s">
        <v>452</v>
      </c>
      <c r="B27" s="31" t="s">
        <v>454</v>
      </c>
      <c r="C27" s="31" t="s">
        <v>453</v>
      </c>
      <c r="D27" s="31" t="s">
        <v>453</v>
      </c>
    </row>
    <row r="28" spans="1:4" x14ac:dyDescent="0.3">
      <c r="A28" s="32" t="s">
        <v>455</v>
      </c>
      <c r="B28" s="31" t="s">
        <v>456</v>
      </c>
      <c r="C28" s="31" t="s">
        <v>453</v>
      </c>
      <c r="D28" s="31" t="s">
        <v>453</v>
      </c>
    </row>
    <row r="29" spans="1:4" x14ac:dyDescent="0.3">
      <c r="A29" s="32" t="s">
        <v>457</v>
      </c>
      <c r="B29" s="31" t="s">
        <v>458</v>
      </c>
      <c r="C29" s="31" t="s">
        <v>453</v>
      </c>
      <c r="D29" s="31" t="s">
        <v>453</v>
      </c>
    </row>
    <row r="30" spans="1:4" x14ac:dyDescent="0.3">
      <c r="A30" s="32" t="s">
        <v>459</v>
      </c>
      <c r="B30" s="31" t="s">
        <v>460</v>
      </c>
      <c r="C30" s="31" t="s">
        <v>453</v>
      </c>
      <c r="D30" s="31" t="s">
        <v>453</v>
      </c>
    </row>
    <row r="31" spans="1:4" x14ac:dyDescent="0.3">
      <c r="A31" s="32" t="s">
        <v>461</v>
      </c>
      <c r="B31" s="31" t="s">
        <v>462</v>
      </c>
      <c r="C31" s="31" t="s">
        <v>453</v>
      </c>
      <c r="D31" s="31" t="s">
        <v>453</v>
      </c>
    </row>
    <row r="32" spans="1:4" x14ac:dyDescent="0.3">
      <c r="A32" s="32" t="s">
        <v>463</v>
      </c>
      <c r="B32" s="31" t="s">
        <v>464</v>
      </c>
      <c r="C32" s="31" t="s">
        <v>453</v>
      </c>
      <c r="D32" s="31" t="s">
        <v>453</v>
      </c>
    </row>
    <row r="33" spans="1:4" x14ac:dyDescent="0.3">
      <c r="A33" s="32" t="s">
        <v>465</v>
      </c>
      <c r="B33" s="31" t="s">
        <v>466</v>
      </c>
      <c r="C33" s="31" t="s">
        <v>453</v>
      </c>
      <c r="D33" s="31" t="s">
        <v>453</v>
      </c>
    </row>
    <row r="34" spans="1:4" x14ac:dyDescent="0.3">
      <c r="A34" s="32" t="s">
        <v>467</v>
      </c>
      <c r="B34" s="31" t="s">
        <v>468</v>
      </c>
      <c r="C34" s="31" t="s">
        <v>453</v>
      </c>
      <c r="D34" s="31" t="s">
        <v>453</v>
      </c>
    </row>
    <row r="35" spans="1:4" x14ac:dyDescent="0.3">
      <c r="A35" s="32" t="s">
        <v>469</v>
      </c>
      <c r="B35" s="31" t="s">
        <v>471</v>
      </c>
      <c r="C35" s="31" t="s">
        <v>470</v>
      </c>
      <c r="D35" s="31" t="s">
        <v>470</v>
      </c>
    </row>
    <row r="36" spans="1:4" x14ac:dyDescent="0.3">
      <c r="A36" s="32" t="s">
        <v>472</v>
      </c>
      <c r="B36" s="31" t="s">
        <v>473</v>
      </c>
      <c r="C36" s="31" t="s">
        <v>470</v>
      </c>
      <c r="D36" s="31" t="s">
        <v>470</v>
      </c>
    </row>
    <row r="37" spans="1:4" x14ac:dyDescent="0.3">
      <c r="A37" s="32" t="s">
        <v>474</v>
      </c>
      <c r="B37" s="31" t="s">
        <v>475</v>
      </c>
      <c r="C37" s="31" t="s">
        <v>470</v>
      </c>
      <c r="D37" s="31" t="s">
        <v>470</v>
      </c>
    </row>
    <row r="38" spans="1:4" x14ac:dyDescent="0.3">
      <c r="A38" s="32" t="s">
        <v>476</v>
      </c>
      <c r="B38" s="31" t="s">
        <v>477</v>
      </c>
      <c r="C38" s="31" t="s">
        <v>470</v>
      </c>
      <c r="D38" s="31" t="s">
        <v>470</v>
      </c>
    </row>
    <row r="39" spans="1:4" x14ac:dyDescent="0.3">
      <c r="A39" s="32" t="s">
        <v>478</v>
      </c>
      <c r="B39" s="31" t="s">
        <v>479</v>
      </c>
      <c r="C39" s="31" t="s">
        <v>470</v>
      </c>
      <c r="D39" s="31" t="s">
        <v>470</v>
      </c>
    </row>
    <row r="40" spans="1:4" x14ac:dyDescent="0.3">
      <c r="A40" s="32" t="s">
        <v>480</v>
      </c>
      <c r="B40" s="31" t="s">
        <v>481</v>
      </c>
      <c r="C40" s="31" t="s">
        <v>470</v>
      </c>
      <c r="D40" s="31" t="s">
        <v>470</v>
      </c>
    </row>
    <row r="41" spans="1:4" x14ac:dyDescent="0.3">
      <c r="A41" s="32" t="s">
        <v>482</v>
      </c>
      <c r="B41" s="31" t="s">
        <v>483</v>
      </c>
      <c r="C41" s="31" t="s">
        <v>470</v>
      </c>
      <c r="D41" s="31" t="s">
        <v>470</v>
      </c>
    </row>
    <row r="42" spans="1:4" x14ac:dyDescent="0.3">
      <c r="A42" s="32" t="s">
        <v>484</v>
      </c>
      <c r="B42" s="31" t="s">
        <v>486</v>
      </c>
      <c r="C42" s="31" t="s">
        <v>485</v>
      </c>
      <c r="D42" s="31" t="s">
        <v>485</v>
      </c>
    </row>
    <row r="43" spans="1:4" x14ac:dyDescent="0.3">
      <c r="A43" s="32" t="s">
        <v>487</v>
      </c>
      <c r="B43" s="31" t="s">
        <v>488</v>
      </c>
      <c r="C43" s="31" t="s">
        <v>485</v>
      </c>
      <c r="D43" s="31" t="s">
        <v>485</v>
      </c>
    </row>
    <row r="44" spans="1:4" x14ac:dyDescent="0.3">
      <c r="A44" s="32" t="s">
        <v>489</v>
      </c>
      <c r="B44" s="31" t="s">
        <v>491</v>
      </c>
      <c r="C44" s="31" t="s">
        <v>490</v>
      </c>
      <c r="D44" s="31" t="s">
        <v>490</v>
      </c>
    </row>
    <row r="45" spans="1:4" x14ac:dyDescent="0.3">
      <c r="A45" s="32" t="s">
        <v>492</v>
      </c>
      <c r="B45" s="31" t="s">
        <v>494</v>
      </c>
      <c r="C45" s="31" t="s">
        <v>493</v>
      </c>
      <c r="D45" s="31" t="s">
        <v>493</v>
      </c>
    </row>
    <row r="46" spans="1:4" x14ac:dyDescent="0.3">
      <c r="A46" s="32" t="s">
        <v>495</v>
      </c>
      <c r="B46" s="31" t="s">
        <v>496</v>
      </c>
      <c r="C46" s="31" t="s">
        <v>493</v>
      </c>
      <c r="D46" s="31" t="s">
        <v>493</v>
      </c>
    </row>
  </sheetData>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48E6-C9EC-469D-812F-4C8BB8B7FF6B}">
  <sheetPr>
    <tabColor rgb="FF005024"/>
  </sheetPr>
  <dimension ref="A1:H15"/>
  <sheetViews>
    <sheetView workbookViewId="0">
      <selection activeCell="E13" sqref="E13"/>
    </sheetView>
  </sheetViews>
  <sheetFormatPr defaultColWidth="8.81640625" defaultRowHeight="14" x14ac:dyDescent="0.3"/>
  <cols>
    <col min="1" max="1" width="12.1796875" style="2" customWidth="1"/>
    <col min="2" max="2" width="16.7265625" style="2" customWidth="1"/>
    <col min="3" max="3" width="18.36328125" style="2" bestFit="1" customWidth="1"/>
    <col min="4" max="4" width="17.7265625" style="2" customWidth="1"/>
    <col min="5" max="5" width="30" style="2" bestFit="1" customWidth="1"/>
    <col min="6" max="6" width="28.7265625" style="2" bestFit="1" customWidth="1"/>
    <col min="7" max="7" width="31.7265625" style="2" bestFit="1" customWidth="1"/>
    <col min="8" max="16384" width="8.81640625" style="2"/>
  </cols>
  <sheetData>
    <row r="1" spans="1:8" ht="17.5" x14ac:dyDescent="0.35">
      <c r="A1" s="21" t="s">
        <v>25</v>
      </c>
    </row>
    <row r="3" spans="1:8" s="23" customFormat="1" ht="28" x14ac:dyDescent="0.35">
      <c r="A3" s="22" t="s">
        <v>337</v>
      </c>
      <c r="B3" s="22" t="s">
        <v>338</v>
      </c>
      <c r="C3" s="22" t="s">
        <v>158</v>
      </c>
      <c r="D3" s="22" t="s">
        <v>160</v>
      </c>
      <c r="E3" s="22" t="s">
        <v>342</v>
      </c>
      <c r="F3" s="22" t="s">
        <v>162</v>
      </c>
      <c r="G3" s="22" t="s">
        <v>324</v>
      </c>
    </row>
    <row r="4" spans="1:8" x14ac:dyDescent="0.3">
      <c r="A4" s="4" t="s">
        <v>33</v>
      </c>
      <c r="B4" s="4" t="s">
        <v>33</v>
      </c>
      <c r="C4" s="4" t="s">
        <v>33</v>
      </c>
      <c r="D4" s="4" t="s">
        <v>329</v>
      </c>
      <c r="E4" s="4" t="s">
        <v>33</v>
      </c>
      <c r="F4" s="4" t="s">
        <v>33</v>
      </c>
      <c r="G4" s="4" t="s">
        <v>326</v>
      </c>
      <c r="H4" s="2" t="s">
        <v>325</v>
      </c>
    </row>
    <row r="5" spans="1:8" x14ac:dyDescent="0.3">
      <c r="A5" s="4" t="s">
        <v>34</v>
      </c>
      <c r="B5" s="4" t="s">
        <v>34</v>
      </c>
      <c r="C5" s="4" t="s">
        <v>34</v>
      </c>
      <c r="D5" s="4" t="s">
        <v>340</v>
      </c>
      <c r="E5" s="4" t="s">
        <v>34</v>
      </c>
      <c r="F5" s="4" t="s">
        <v>34</v>
      </c>
      <c r="G5" s="4" t="s">
        <v>327</v>
      </c>
    </row>
    <row r="6" spans="1:8" x14ac:dyDescent="0.3">
      <c r="A6" s="4"/>
      <c r="B6" s="4"/>
      <c r="C6" s="4"/>
      <c r="D6" s="4" t="s">
        <v>339</v>
      </c>
      <c r="E6" s="4"/>
      <c r="F6" s="4"/>
      <c r="G6" s="4" t="s">
        <v>328</v>
      </c>
    </row>
    <row r="7" spans="1:8" x14ac:dyDescent="0.3">
      <c r="A7" s="4"/>
      <c r="B7" s="4"/>
      <c r="C7" s="4"/>
      <c r="D7" s="4" t="s">
        <v>341</v>
      </c>
      <c r="E7" s="4"/>
      <c r="F7" s="4"/>
      <c r="G7" s="4" t="s">
        <v>330</v>
      </c>
    </row>
    <row r="8" spans="1:8" x14ac:dyDescent="0.3">
      <c r="A8" s="4"/>
      <c r="B8" s="4"/>
      <c r="C8" s="4"/>
      <c r="D8" s="4"/>
      <c r="E8" s="22" t="s">
        <v>387</v>
      </c>
      <c r="F8" s="4"/>
      <c r="G8" s="4"/>
    </row>
    <row r="9" spans="1:8" x14ac:dyDescent="0.3">
      <c r="A9" s="4"/>
      <c r="B9" s="4"/>
      <c r="C9" s="4"/>
      <c r="D9" s="4"/>
      <c r="E9" s="4" t="s">
        <v>388</v>
      </c>
      <c r="F9" s="24"/>
      <c r="G9" s="24"/>
    </row>
    <row r="10" spans="1:8" x14ac:dyDescent="0.3">
      <c r="A10" s="4"/>
      <c r="B10" s="4"/>
      <c r="C10" s="4"/>
      <c r="D10" s="4"/>
      <c r="E10" s="4" t="s">
        <v>390</v>
      </c>
      <c r="F10" s="4"/>
      <c r="G10" s="22" t="s">
        <v>331</v>
      </c>
    </row>
    <row r="11" spans="1:8" x14ac:dyDescent="0.3">
      <c r="A11" s="4"/>
      <c r="B11" s="4"/>
      <c r="C11" s="4"/>
      <c r="D11" s="4"/>
      <c r="E11" s="4" t="s">
        <v>391</v>
      </c>
      <c r="F11" s="4"/>
      <c r="G11" s="4" t="s">
        <v>332</v>
      </c>
    </row>
    <row r="12" spans="1:8" x14ac:dyDescent="0.3">
      <c r="A12" s="4"/>
      <c r="B12" s="4"/>
      <c r="C12" s="4"/>
      <c r="D12" s="4"/>
      <c r="E12" s="4" t="s">
        <v>392</v>
      </c>
      <c r="F12" s="4"/>
      <c r="G12" s="4" t="s">
        <v>333</v>
      </c>
    </row>
    <row r="13" spans="1:8" x14ac:dyDescent="0.3">
      <c r="A13" s="4"/>
      <c r="B13" s="4"/>
      <c r="C13" s="4"/>
      <c r="D13" s="4"/>
      <c r="E13" s="4"/>
      <c r="F13" s="4"/>
      <c r="G13" s="4" t="s">
        <v>334</v>
      </c>
    </row>
    <row r="14" spans="1:8" x14ac:dyDescent="0.3">
      <c r="A14" s="4"/>
      <c r="B14" s="4"/>
      <c r="C14" s="4"/>
      <c r="D14" s="4"/>
      <c r="E14" s="4"/>
      <c r="F14" s="4"/>
      <c r="G14" s="4" t="s">
        <v>335</v>
      </c>
    </row>
    <row r="15" spans="1:8" x14ac:dyDescent="0.3">
      <c r="A15" s="4"/>
      <c r="B15" s="4"/>
      <c r="C15" s="4"/>
      <c r="D15" s="4"/>
      <c r="E15" s="4"/>
      <c r="F15" s="4"/>
      <c r="G15" s="4" t="s">
        <v>336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Props1.xml><?xml version="1.0" encoding="utf-8"?>
<ds:datastoreItem xmlns:ds="http://schemas.openxmlformats.org/officeDocument/2006/customXml" ds:itemID="{2B02DEB1-980B-42D5-B7B1-5AA9184C5396}"/>
</file>

<file path=customXml/itemProps2.xml><?xml version="1.0" encoding="utf-8"?>
<ds:datastoreItem xmlns:ds="http://schemas.openxmlformats.org/officeDocument/2006/customXml" ds:itemID="{ADF327C8-6452-4E87-B52D-78FE0B81613F}"/>
</file>

<file path=customXml/itemProps3.xml><?xml version="1.0" encoding="utf-8"?>
<ds:datastoreItem xmlns:ds="http://schemas.openxmlformats.org/officeDocument/2006/customXml" ds:itemID="{9E903FC6-6486-4099-AC60-DCBA431918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Finance Costing</vt:lpstr>
      <vt:lpstr>ColourCode</vt:lpstr>
      <vt:lpstr>PCS010</vt:lpstr>
      <vt:lpstr>PCS011</vt:lpstr>
      <vt:lpstr>PCS015</vt:lpstr>
      <vt:lpstr>PCS025</vt:lpstr>
      <vt:lpstr>Annexure1</vt:lpstr>
      <vt:lpstr>Annexure2</vt:lpstr>
      <vt:lpstr>Annexure3</vt:lpstr>
      <vt:lpstr>DataValidation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 HUSSAIN</dc:creator>
  <cp:lastModifiedBy>Hussain, Athar</cp:lastModifiedBy>
  <cp:lastPrinted>2026-01-07T23:54:18Z</cp:lastPrinted>
  <dcterms:created xsi:type="dcterms:W3CDTF">2015-06-05T18:17:20Z</dcterms:created>
  <dcterms:modified xsi:type="dcterms:W3CDTF">2026-03-26T00:28:26Z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ies>
</file>